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00000000-0000-0000-0000-000000000000}"/>
  <workbookPr updateLinks="always" codeName="ThisWorkbook" defaultThemeVersion="166925"/>
  <mc:AlternateContent xmlns:mc="http://schemas.openxmlformats.org/markup-compatibility/2006">
    <mc:Choice Requires="x15">
      <x15ac:absPath xmlns:x15ac="http://schemas.microsoft.com/office/spreadsheetml/2010/11/ac" url="https://absacorp.sharepoint.com/sites/CombinedAssuranceProjectTeam/Shared Documents/General/Issues &amp; Actions/Combined Actions/Actions Target Definition/"/>
    </mc:Choice>
  </mc:AlternateContent>
  <xr:revisionPtr revIDLastSave="2597" documentId="8_{0E89BA33-4AC1-41DE-BC55-E295D2EB2961}" xr6:coauthVersionLast="47" xr6:coauthVersionMax="47" xr10:uidLastSave="{91195645-74DD-4E7C-86E5-5F17FB6801FA}"/>
  <bookViews>
    <workbookView minimized="1" xWindow="700" yWindow="700" windowWidth="19180" windowHeight="10180" xr2:uid="{24AD37D9-36E5-4A22-B819-76A829487E43}"/>
  </bookViews>
  <sheets>
    <sheet name="Actions Target Matching" sheetId="14" r:id="rId1"/>
    <sheet name="Actions Target Definition" sheetId="15" r:id="rId2"/>
    <sheet name="Actions STTM" sheetId="24" r:id="rId3"/>
    <sheet name="Target Check" sheetId="13" r:id="rId4"/>
    <sheet name="Actions Gap Analysis" sheetId="6" r:id="rId5"/>
    <sheet name="ORMS Extract" sheetId="7" r:id="rId6"/>
    <sheet name="PCM TARGET CHECK" sheetId="23" r:id="rId7"/>
    <sheet name="PCM" sheetId="16" r:id="rId8"/>
    <sheet name="Issues Source Check" sheetId="5" state="hidden" r:id="rId9"/>
    <sheet name="Issues Target Check" sheetId="10" state="hidden" r:id="rId10"/>
    <sheet name="Fincrime" sheetId="12" state="hidden" r:id="rId11"/>
  </sheets>
  <externalReferences>
    <externalReference r:id="rId12"/>
    <externalReference r:id="rId13"/>
    <externalReference r:id="rId14"/>
  </externalReferences>
  <definedNames>
    <definedName name="_xlnm._FilterDatabase" localSheetId="4" hidden="1">'Actions Gap Analysis'!$A$1:$L$45</definedName>
    <definedName name="_xlnm._FilterDatabase" localSheetId="1" hidden="1">'Actions Target Definition'!$A$2:$F$51</definedName>
    <definedName name="_xlnm._FilterDatabase" localSheetId="0" hidden="1">'Actions Target Matching'!$A$2:$Q$301</definedName>
    <definedName name="_xlnm._FilterDatabase" localSheetId="8" hidden="1">'Issues Source Check'!$A$2:$I$66</definedName>
    <definedName name="_xlnm._FilterDatabase" localSheetId="9" hidden="1">'Issues Target Check'!$A$2:$I$66</definedName>
    <definedName name="_xlnm._FilterDatabase" localSheetId="5" hidden="1">'ORMS Extract'!$A$1:$CK$3395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34" i="24" l="1"/>
  <c r="P206" i="24"/>
  <c r="N194" i="24"/>
  <c r="M194" i="24"/>
  <c r="M193" i="24"/>
  <c r="N192" i="24"/>
  <c r="M192" i="24"/>
  <c r="N191" i="24"/>
  <c r="M190" i="24"/>
  <c r="N184" i="24"/>
  <c r="N180" i="24"/>
  <c r="N178" i="24"/>
  <c r="M178" i="24"/>
  <c r="N177" i="24"/>
  <c r="M177" i="24"/>
  <c r="N176" i="24"/>
  <c r="M176" i="24"/>
  <c r="N175" i="24"/>
  <c r="M175" i="24"/>
  <c r="N174" i="24"/>
  <c r="M174" i="24"/>
  <c r="M173" i="24"/>
  <c r="N172" i="24"/>
  <c r="N171" i="24"/>
  <c r="M171" i="24"/>
  <c r="N170" i="24"/>
  <c r="M170" i="24"/>
  <c r="N169" i="24"/>
  <c r="M169" i="24"/>
  <c r="N168" i="24"/>
  <c r="M168" i="24"/>
  <c r="N167" i="24"/>
  <c r="M167" i="24"/>
  <c r="N166" i="24"/>
  <c r="N165" i="24"/>
  <c r="M165" i="24"/>
  <c r="N164" i="24"/>
  <c r="M164" i="24"/>
  <c r="N163" i="24"/>
  <c r="M163" i="24"/>
  <c r="N162" i="24"/>
  <c r="M162" i="24"/>
  <c r="N161" i="24"/>
  <c r="M161" i="24"/>
  <c r="N159" i="24"/>
  <c r="M159" i="24"/>
  <c r="N157" i="24"/>
  <c r="N156" i="24"/>
  <c r="M156" i="24"/>
  <c r="N155" i="24"/>
  <c r="N154" i="24"/>
  <c r="M154" i="24"/>
  <c r="N153" i="24"/>
  <c r="M153" i="24"/>
  <c r="N152" i="24"/>
  <c r="M152" i="24"/>
  <c r="N150" i="24"/>
  <c r="M150" i="24"/>
  <c r="N149" i="24"/>
  <c r="M149" i="24"/>
  <c r="N148" i="24"/>
  <c r="P141" i="24"/>
  <c r="P139" i="24"/>
  <c r="P138" i="24"/>
  <c r="F138" i="24"/>
  <c r="P135" i="24"/>
  <c r="P131" i="24"/>
  <c r="P130" i="24"/>
  <c r="P128" i="24"/>
  <c r="P118" i="24"/>
  <c r="P113" i="24"/>
  <c r="P112" i="24"/>
  <c r="P109" i="24"/>
  <c r="P107" i="24"/>
  <c r="P104" i="24"/>
  <c r="P102" i="24"/>
  <c r="P101" i="24"/>
  <c r="P100" i="24"/>
  <c r="P93" i="24"/>
  <c r="F93" i="24"/>
  <c r="P82" i="24"/>
  <c r="F82" i="24"/>
  <c r="P80" i="24"/>
  <c r="P65" i="24"/>
  <c r="P64" i="24"/>
  <c r="P62" i="24"/>
  <c r="P61" i="24"/>
  <c r="F61" i="24"/>
  <c r="P59" i="24"/>
  <c r="F59" i="24"/>
  <c r="P56" i="24"/>
  <c r="P54" i="24"/>
  <c r="F54" i="24"/>
  <c r="P53" i="24"/>
  <c r="F53" i="24"/>
  <c r="P52" i="24"/>
  <c r="F52" i="24"/>
  <c r="P45" i="24"/>
  <c r="P43" i="24"/>
  <c r="P42" i="24"/>
  <c r="P35" i="24"/>
  <c r="P34" i="24"/>
  <c r="P32" i="24"/>
  <c r="P22" i="24"/>
  <c r="P17" i="24"/>
  <c r="P16" i="24"/>
  <c r="P14" i="24"/>
  <c r="P13" i="24"/>
  <c r="P11" i="24"/>
  <c r="P8" i="24"/>
  <c r="P6" i="24"/>
  <c r="P5" i="24"/>
  <c r="P4" i="24"/>
  <c r="P202" i="14"/>
  <c r="M221" i="14"/>
  <c r="P62" i="14"/>
  <c r="M161" i="14"/>
  <c r="F199" i="14"/>
  <c r="P199" i="14"/>
  <c r="N171" i="14"/>
  <c r="F160" i="14"/>
  <c r="P160" i="14"/>
  <c r="P149" i="14"/>
  <c r="N226" i="14"/>
  <c r="P214" i="14"/>
  <c r="P203" i="14"/>
  <c r="N191" i="14"/>
  <c r="P150" i="14"/>
  <c r="F215" i="14"/>
  <c r="P215" i="14"/>
  <c r="P204" i="14"/>
  <c r="P163" i="14"/>
  <c r="P159" i="14"/>
  <c r="M151" i="14"/>
  <c r="N151" i="14"/>
  <c r="F45" i="14"/>
  <c r="P45" i="14"/>
  <c r="P53" i="14"/>
  <c r="P58" i="14"/>
  <c r="M31" i="14"/>
  <c r="N31" i="14"/>
  <c r="P29" i="14"/>
  <c r="M16" i="14"/>
  <c r="N16" i="14"/>
  <c r="C2" i="23" a="1"/>
  <c r="C2" i="23"/>
  <c r="J46"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2" i="6"/>
  <c r="L4" i="6"/>
  <c r="F55" i="14"/>
  <c r="N126" i="14"/>
  <c r="N116" i="14"/>
  <c r="N36" i="14"/>
  <c r="M236" i="14"/>
  <c r="P213" i="14"/>
  <c r="P198" i="14"/>
  <c r="P184" i="14"/>
  <c r="P164" i="14"/>
  <c r="P158" i="14"/>
  <c r="P148" i="14"/>
  <c r="P98" i="14"/>
  <c r="P99" i="14"/>
  <c r="P75" i="14"/>
  <c r="P74" i="14"/>
  <c r="P73" i="14"/>
  <c r="P70" i="14"/>
  <c r="P69" i="14"/>
  <c r="P68" i="14"/>
  <c r="P60" i="14"/>
  <c r="P55" i="14"/>
  <c r="P54" i="14"/>
  <c r="P44" i="14"/>
  <c r="P43" i="14"/>
  <c r="P30" i="14"/>
  <c r="P28" i="14"/>
  <c r="P20" i="14"/>
  <c r="P19" i="14"/>
  <c r="P18" i="14"/>
  <c r="P15" i="14"/>
  <c r="P14" i="14"/>
  <c r="P13" i="14"/>
  <c r="P10" i="14"/>
  <c r="P9" i="14"/>
  <c r="P8" i="14"/>
  <c r="F10" i="14"/>
  <c r="F15" i="14"/>
  <c r="F20" i="14"/>
  <c r="M231" i="14"/>
  <c r="N231" i="14"/>
  <c r="M241" i="14"/>
  <c r="N241" i="14"/>
  <c r="N11" i="14"/>
  <c r="M21" i="14"/>
  <c r="N21" i="14"/>
  <c r="M36" i="14"/>
  <c r="M41" i="14"/>
  <c r="N41" i="14"/>
  <c r="N46" i="14"/>
  <c r="M51" i="14"/>
  <c r="N51" i="14"/>
  <c r="M66" i="14"/>
  <c r="N66" i="14"/>
  <c r="M76" i="14"/>
  <c r="N76" i="14"/>
  <c r="M81" i="14"/>
  <c r="N81" i="14"/>
  <c r="M86" i="14"/>
  <c r="N86" i="14"/>
  <c r="M91" i="14"/>
  <c r="N91" i="14"/>
  <c r="N56" i="14"/>
  <c r="M96" i="14"/>
  <c r="N96" i="14"/>
  <c r="N101" i="14"/>
  <c r="M106" i="14"/>
  <c r="N106" i="14"/>
  <c r="M111" i="14"/>
  <c r="N111" i="14"/>
  <c r="M116" i="14"/>
  <c r="M121" i="14"/>
  <c r="N121" i="14"/>
  <c r="M126" i="14"/>
  <c r="N131" i="14"/>
  <c r="M136" i="14"/>
  <c r="M141" i="14"/>
  <c r="N141" i="14"/>
  <c r="M146" i="14"/>
  <c r="N146" i="14"/>
  <c r="M156" i="14"/>
  <c r="N156" i="14"/>
  <c r="N161" i="14"/>
  <c r="C25" i="13"/>
  <c r="C26" i="13"/>
  <c r="C27" i="13"/>
  <c r="C28" i="13"/>
  <c r="C29" i="13"/>
  <c r="C30" i="13"/>
  <c r="C31" i="13"/>
  <c r="C32" i="13"/>
  <c r="C33" i="13"/>
  <c r="C34" i="13"/>
  <c r="C35" i="13"/>
  <c r="C37" i="13"/>
  <c r="C38" i="13"/>
  <c r="C39" i="13"/>
  <c r="C40" i="13"/>
  <c r="C41" i="13"/>
  <c r="C43" i="13"/>
  <c r="C24" i="13"/>
  <c r="I4" i="13"/>
  <c r="I6" i="13"/>
  <c r="I7" i="13"/>
  <c r="I8" i="13"/>
  <c r="I9" i="13"/>
  <c r="I10" i="13"/>
  <c r="I11" i="13"/>
  <c r="I12" i="13"/>
  <c r="I13" i="13"/>
  <c r="I14" i="13"/>
  <c r="I16" i="13"/>
  <c r="I17" i="13"/>
  <c r="I18" i="13"/>
  <c r="I19" i="13"/>
  <c r="I20" i="13"/>
  <c r="I21" i="13"/>
  <c r="I22" i="13"/>
  <c r="I3" i="13"/>
  <c r="J3" i="6"/>
  <c r="K3" i="6"/>
  <c r="L3" i="6"/>
  <c r="J4" i="6"/>
  <c r="K4" i="6"/>
  <c r="J5" i="6"/>
  <c r="K5" i="6"/>
  <c r="L5" i="6"/>
  <c r="J6" i="6"/>
  <c r="K6" i="6"/>
  <c r="L6" i="6"/>
  <c r="J7" i="6"/>
  <c r="K7" i="6"/>
  <c r="L7" i="6"/>
  <c r="J8" i="6"/>
  <c r="K8" i="6"/>
  <c r="L8" i="6"/>
  <c r="J9" i="6"/>
  <c r="K9" i="6"/>
  <c r="L9" i="6"/>
  <c r="J10" i="6"/>
  <c r="K10" i="6"/>
  <c r="L10" i="6"/>
  <c r="J11" i="6"/>
  <c r="K11" i="6"/>
  <c r="L11" i="6"/>
  <c r="J12" i="6"/>
  <c r="K12" i="6"/>
  <c r="L12" i="6"/>
  <c r="J13" i="6"/>
  <c r="K13" i="6"/>
  <c r="L13" i="6"/>
  <c r="J14" i="6"/>
  <c r="K14" i="6"/>
  <c r="L14" i="6"/>
  <c r="J15" i="6"/>
  <c r="K15" i="6"/>
  <c r="L15" i="6"/>
  <c r="J16" i="6"/>
  <c r="K16" i="6"/>
  <c r="L16" i="6"/>
  <c r="J17" i="6"/>
  <c r="K17" i="6"/>
  <c r="L17" i="6"/>
  <c r="J18" i="6"/>
  <c r="K18" i="6"/>
  <c r="L18" i="6"/>
  <c r="J19" i="6"/>
  <c r="K19" i="6"/>
  <c r="L19" i="6"/>
  <c r="J20" i="6"/>
  <c r="K20" i="6"/>
  <c r="L20" i="6"/>
  <c r="J21" i="6"/>
  <c r="K21" i="6"/>
  <c r="L21" i="6"/>
  <c r="J22" i="6"/>
  <c r="K22" i="6"/>
  <c r="L22" i="6"/>
  <c r="J23" i="6"/>
  <c r="K23" i="6"/>
  <c r="L23" i="6"/>
  <c r="J24" i="6"/>
  <c r="K24" i="6"/>
  <c r="L24" i="6"/>
  <c r="J25" i="6"/>
  <c r="K25" i="6"/>
  <c r="L25" i="6"/>
  <c r="J26" i="6"/>
  <c r="K26" i="6"/>
  <c r="L26" i="6"/>
  <c r="J27" i="6"/>
  <c r="K27" i="6"/>
  <c r="L27" i="6"/>
  <c r="J28" i="6"/>
  <c r="K28" i="6"/>
  <c r="L28" i="6"/>
  <c r="J29" i="6"/>
  <c r="K29" i="6"/>
  <c r="L29" i="6"/>
  <c r="J30" i="6"/>
  <c r="K30" i="6"/>
  <c r="L30" i="6"/>
  <c r="J31" i="6"/>
  <c r="K31" i="6"/>
  <c r="L31" i="6"/>
  <c r="J32" i="6"/>
  <c r="K32" i="6"/>
  <c r="L32" i="6"/>
  <c r="J33" i="6"/>
  <c r="K33" i="6"/>
  <c r="L33" i="6"/>
  <c r="J34" i="6"/>
  <c r="K34" i="6"/>
  <c r="L34" i="6"/>
  <c r="J35" i="6"/>
  <c r="K35" i="6"/>
  <c r="L35" i="6"/>
  <c r="J36" i="6"/>
  <c r="K36" i="6"/>
  <c r="L36" i="6"/>
  <c r="J37" i="6"/>
  <c r="K37" i="6"/>
  <c r="L37" i="6"/>
  <c r="J38" i="6"/>
  <c r="K38" i="6"/>
  <c r="L38" i="6"/>
  <c r="J39" i="6"/>
  <c r="K39" i="6"/>
  <c r="L39" i="6"/>
  <c r="J40" i="6"/>
  <c r="K40" i="6"/>
  <c r="L40" i="6"/>
  <c r="J41" i="6"/>
  <c r="K41" i="6"/>
  <c r="L41" i="6"/>
  <c r="J42" i="6"/>
  <c r="K42" i="6"/>
  <c r="L42" i="6"/>
  <c r="J43" i="6"/>
  <c r="K43" i="6"/>
  <c r="L43" i="6"/>
  <c r="J44" i="6"/>
  <c r="K44" i="6"/>
  <c r="L44" i="6"/>
  <c r="J45" i="6"/>
  <c r="K45" i="6"/>
  <c r="L45" i="6"/>
  <c r="F4" i="13"/>
  <c r="F5" i="13"/>
  <c r="F6" i="13"/>
  <c r="F7" i="13"/>
  <c r="F8" i="13"/>
  <c r="F9" i="13"/>
  <c r="F10" i="13"/>
  <c r="F11" i="13"/>
  <c r="F12" i="13"/>
  <c r="F13" i="13"/>
  <c r="F15" i="13"/>
  <c r="F16" i="13"/>
  <c r="F17" i="13"/>
  <c r="F18" i="13"/>
  <c r="F19" i="13"/>
  <c r="F20" i="13"/>
  <c r="F3" i="13"/>
  <c r="C4" i="13"/>
  <c r="C5" i="13"/>
  <c r="C6" i="13"/>
  <c r="C7" i="13"/>
  <c r="C8" i="13"/>
  <c r="C9" i="13"/>
  <c r="C10" i="13"/>
  <c r="C11" i="13"/>
  <c r="C12" i="13"/>
  <c r="C13" i="13"/>
  <c r="C14" i="13"/>
  <c r="C15" i="13"/>
  <c r="C16" i="13"/>
  <c r="C17" i="13"/>
  <c r="C18" i="13"/>
  <c r="C19" i="13"/>
  <c r="C20" i="13"/>
  <c r="C21" i="13"/>
  <c r="C3" i="13"/>
  <c r="M46" i="6" l="1"/>
  <c r="E3" i="5"/>
  <c r="E3" i="6" l="1"/>
  <c r="E4" i="6"/>
  <c r="E5" i="6"/>
  <c r="E6" i="6"/>
  <c r="E7" i="6"/>
  <c r="E8" i="6"/>
  <c r="E9" i="6"/>
  <c r="E10" i="6"/>
  <c r="E11" i="6"/>
  <c r="E12" i="6"/>
  <c r="E13" i="6"/>
  <c r="E14" i="6"/>
  <c r="E15" i="6"/>
  <c r="E16" i="6"/>
  <c r="E17" i="6"/>
  <c r="E18" i="6"/>
  <c r="E19" i="6"/>
  <c r="E20" i="6"/>
  <c r="E21" i="6"/>
  <c r="E22" i="6"/>
  <c r="E23" i="6"/>
  <c r="E24" i="6"/>
  <c r="E25" i="6"/>
  <c r="E26" i="6"/>
  <c r="E27" i="6"/>
  <c r="E28" i="6"/>
  <c r="E29" i="6"/>
  <c r="E30" i="6"/>
  <c r="E32" i="6"/>
  <c r="E33" i="6"/>
  <c r="E34" i="6"/>
  <c r="E35" i="6"/>
  <c r="E36" i="6"/>
  <c r="E37" i="6"/>
  <c r="E38" i="6"/>
  <c r="E39" i="6"/>
  <c r="E40" i="6"/>
  <c r="E41" i="6"/>
  <c r="E43" i="6"/>
  <c r="E44" i="6"/>
  <c r="E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2" i="6"/>
  <c r="D33" i="6"/>
  <c r="D34" i="6"/>
  <c r="D35" i="6"/>
  <c r="D36" i="6"/>
  <c r="D37" i="6"/>
  <c r="D38" i="6"/>
  <c r="D39" i="6"/>
  <c r="D40" i="6"/>
  <c r="D41" i="6"/>
  <c r="D43" i="6"/>
  <c r="D44" i="6"/>
  <c r="D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2" i="6"/>
  <c r="C33" i="6"/>
  <c r="C34" i="6"/>
  <c r="C35" i="6"/>
  <c r="C36" i="6"/>
  <c r="C37" i="6"/>
  <c r="C38" i="6"/>
  <c r="C39" i="6"/>
  <c r="C40" i="6"/>
  <c r="C41" i="6"/>
  <c r="C43" i="6"/>
  <c r="C44" i="6"/>
  <c r="C2" i="6"/>
  <c r="E3105" i="7"/>
  <c r="E2256" i="7"/>
  <c r="E1407" i="7"/>
  <c r="E558" i="7"/>
  <c r="B1" i="12"/>
  <c r="B2" i="12"/>
  <c r="B3" i="12"/>
  <c r="B4" i="12"/>
  <c r="B5" i="12"/>
  <c r="B6" i="12"/>
  <c r="B8" i="12"/>
  <c r="B9" i="12"/>
  <c r="B10" i="12"/>
  <c r="B11" i="12"/>
  <c r="B12" i="12"/>
  <c r="B6" i="5" l="1"/>
  <c r="B12" i="10"/>
  <c r="B13" i="10"/>
  <c r="B23" i="10"/>
  <c r="B24" i="10"/>
  <c r="B25" i="10"/>
  <c r="B27" i="10"/>
  <c r="B31" i="10"/>
  <c r="B36" i="10"/>
  <c r="B38" i="10"/>
  <c r="B39" i="10"/>
  <c r="B43" i="10"/>
  <c r="B48" i="10"/>
  <c r="B49" i="10"/>
  <c r="B50" i="10"/>
  <c r="B51" i="10"/>
  <c r="B55" i="10"/>
  <c r="B60" i="10"/>
  <c r="B61" i="10"/>
  <c r="B62" i="10"/>
  <c r="B63" i="10"/>
  <c r="B66" i="10"/>
  <c r="B65" i="10"/>
  <c r="B64" i="10"/>
  <c r="B59" i="10"/>
  <c r="B58" i="10"/>
  <c r="B57" i="10"/>
  <c r="B56" i="10"/>
  <c r="B54" i="10"/>
  <c r="B53" i="10"/>
  <c r="B52" i="10"/>
  <c r="B47" i="10"/>
  <c r="B46" i="10"/>
  <c r="B45" i="10"/>
  <c r="B44" i="10"/>
  <c r="B42" i="10"/>
  <c r="B41" i="10"/>
  <c r="B40" i="10"/>
  <c r="B35" i="10"/>
  <c r="B34" i="10"/>
  <c r="B33" i="10"/>
  <c r="B32" i="10"/>
  <c r="B30" i="10"/>
  <c r="B29" i="10"/>
  <c r="G28" i="10"/>
  <c r="B28" i="10"/>
  <c r="G27" i="10"/>
  <c r="G26" i="10"/>
  <c r="B26" i="10"/>
  <c r="G25" i="10"/>
  <c r="G24" i="10"/>
  <c r="G23" i="10"/>
  <c r="G22" i="10"/>
  <c r="B22" i="10"/>
  <c r="G21" i="10"/>
  <c r="E21" i="10"/>
  <c r="B21" i="10"/>
  <c r="G20" i="10"/>
  <c r="E20" i="10"/>
  <c r="B20" i="10"/>
  <c r="I19" i="10"/>
  <c r="G19" i="10"/>
  <c r="E19" i="10"/>
  <c r="B19" i="10"/>
  <c r="I18" i="10"/>
  <c r="G18" i="10"/>
  <c r="E18" i="10"/>
  <c r="B18" i="10"/>
  <c r="I17" i="10"/>
  <c r="G17" i="10"/>
  <c r="E17" i="10"/>
  <c r="B17" i="10"/>
  <c r="I16" i="10"/>
  <c r="G16" i="10"/>
  <c r="E16" i="10"/>
  <c r="B16" i="10"/>
  <c r="I15" i="10"/>
  <c r="G15" i="10"/>
  <c r="E15" i="10"/>
  <c r="B15" i="10"/>
  <c r="I14" i="10"/>
  <c r="G14" i="10"/>
  <c r="E14" i="10"/>
  <c r="B14" i="10"/>
  <c r="I13" i="10"/>
  <c r="G13" i="10"/>
  <c r="E13" i="10"/>
  <c r="I12" i="10"/>
  <c r="G12" i="10"/>
  <c r="E12" i="10"/>
  <c r="I11" i="10"/>
  <c r="G11" i="10"/>
  <c r="E11" i="10"/>
  <c r="B11" i="10"/>
  <c r="I10" i="10"/>
  <c r="G10" i="10"/>
  <c r="E10" i="10"/>
  <c r="B10" i="10"/>
  <c r="I9" i="10"/>
  <c r="G9" i="10"/>
  <c r="E9" i="10"/>
  <c r="B9" i="10"/>
  <c r="I8" i="10"/>
  <c r="G8" i="10"/>
  <c r="E8" i="10"/>
  <c r="B8" i="10"/>
  <c r="I7" i="10"/>
  <c r="G7" i="10"/>
  <c r="E7" i="10"/>
  <c r="B7" i="10"/>
  <c r="I6" i="10"/>
  <c r="G6" i="10"/>
  <c r="E6" i="10"/>
  <c r="B6" i="10"/>
  <c r="I5" i="10"/>
  <c r="G5" i="10"/>
  <c r="E5" i="10"/>
  <c r="B5" i="10"/>
  <c r="I4" i="10"/>
  <c r="G4" i="10"/>
  <c r="E4" i="10"/>
  <c r="B4" i="10"/>
  <c r="I3" i="10"/>
  <c r="G3" i="10"/>
  <c r="E3" i="10"/>
  <c r="B3" i="10"/>
  <c r="I4" i="5"/>
  <c r="I5" i="5"/>
  <c r="I6" i="5"/>
  <c r="I7" i="5"/>
  <c r="I8" i="5"/>
  <c r="I9" i="5"/>
  <c r="I10" i="5"/>
  <c r="I11" i="5"/>
  <c r="I12" i="5"/>
  <c r="I13" i="5"/>
  <c r="I14" i="5"/>
  <c r="I15" i="5"/>
  <c r="I16" i="5"/>
  <c r="I17" i="5"/>
  <c r="I18" i="5"/>
  <c r="I19" i="5"/>
  <c r="I3" i="5"/>
  <c r="G4" i="5"/>
  <c r="G5" i="5"/>
  <c r="G6" i="5"/>
  <c r="G7" i="5"/>
  <c r="G8" i="5"/>
  <c r="G9" i="5"/>
  <c r="G10" i="5"/>
  <c r="G11" i="5"/>
  <c r="G12" i="5"/>
  <c r="G13" i="5"/>
  <c r="G14" i="5"/>
  <c r="G15" i="5"/>
  <c r="G16" i="5"/>
  <c r="G17" i="5"/>
  <c r="G18" i="5"/>
  <c r="G19" i="5"/>
  <c r="G20" i="5"/>
  <c r="G21" i="5"/>
  <c r="G22" i="5"/>
  <c r="G3" i="5"/>
  <c r="E5" i="5"/>
  <c r="E6" i="5"/>
  <c r="E7" i="5"/>
  <c r="E8" i="5"/>
  <c r="E9" i="5"/>
  <c r="E10" i="5"/>
  <c r="E11" i="5"/>
  <c r="E12" i="5"/>
  <c r="E13" i="5"/>
  <c r="E14" i="5"/>
  <c r="E15" i="5"/>
  <c r="E16" i="5"/>
  <c r="E17" i="5"/>
  <c r="E18" i="5"/>
  <c r="E19" i="5"/>
  <c r="E20" i="5"/>
  <c r="B4" i="5"/>
  <c r="B5"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3" i="5"/>
  <c r="L2" i="6" l="1"/>
  <c r="L46" i="6" s="1"/>
  <c r="K2" i="6"/>
  <c r="K46" i="6" s="1"/>
  <c r="J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tc={064A58D7-BA4D-4001-B7B6-7F3D6A42191D}</author>
  </authors>
  <commentList>
    <comment ref="G45" authorId="0" shapeId="0" xr:uid="{064A58D7-BA4D-4001-B7B6-7F3D6A42191D}">
      <text>
        <t>[Threaded comment]
Your version of Excel allows you to read this threaded comment; however, any edits to it will get removed if the file is opened in a newer version of Excel. Learn more: https://go.microsoft.com/fwlink/?linkid=870924
Comment:
    Action owner not users, no ID
Reply:
    Derived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<sst xmlns="http://schemas.openxmlformats.org/spreadsheetml/2006/main" count="84816" uniqueCount="4069">
  <si>
    <t>SOURCE DATA - HADOOP</t>
  </si>
  <si>
    <t>Mapping/Transformation Criteria</t>
  </si>
  <si>
    <t xml:space="preserve">    TARGET - HADOOP</t>
  </si>
  <si>
    <t>DEPARTMENT</t>
  </si>
  <si>
    <t>SOURCE DATABASE NAME</t>
  </si>
  <si>
    <t>SOURCE TABLE NAME</t>
  </si>
  <si>
    <t>SOURCE COLUMN NAME</t>
  </si>
  <si>
    <t>Labelling</t>
  </si>
  <si>
    <t>SOURCE COLUMN DATATYPE</t>
  </si>
  <si>
    <t>COLUMN DESCRIPTION</t>
  </si>
  <si>
    <t>Derivation/Calculation Rules</t>
  </si>
  <si>
    <t>Joins/Possible values</t>
  </si>
  <si>
    <t>TRANSFORMATION RULE</t>
  </si>
  <si>
    <t>TARGET DATABASE</t>
  </si>
  <si>
    <t>TARGET TABLE NAME</t>
  </si>
  <si>
    <t>TARGET_COLUMN_NAME</t>
  </si>
  <si>
    <t>TARGET COLUMN DATATYPE</t>
  </si>
  <si>
    <t>CAN IT BE NULL?</t>
  </si>
  <si>
    <t>In UAT</t>
  </si>
  <si>
    <t>Comment</t>
  </si>
  <si>
    <t>Compliance</t>
  </si>
  <si>
    <t>dl_galvanize_highbond</t>
  </si>
  <si>
    <t xml:space="preserve"> mt_highbond_actions_d_s</t>
  </si>
  <si>
    <t>derived</t>
  </si>
  <si>
    <t>string</t>
  </si>
  <si>
    <t>Source the data is being pulled from</t>
  </si>
  <si>
    <t>default = "Compliance"</t>
  </si>
  <si>
    <t>dm_combined_assurance</t>
  </si>
  <si>
    <t>combined_actions</t>
  </si>
  <si>
    <t>source</t>
  </si>
  <si>
    <t>cannot be null</t>
  </si>
  <si>
    <t>No</t>
  </si>
  <si>
    <t>IA</t>
  </si>
  <si>
    <t>IA_Actions</t>
  </si>
  <si>
    <t>default = "InternalAudit"</t>
  </si>
  <si>
    <t>Financial Crime</t>
  </si>
  <si>
    <t>fcat_highbond_actions_d_s</t>
  </si>
  <si>
    <t>default = "FinCrime"</t>
  </si>
  <si>
    <t>ORMS</t>
  </si>
  <si>
    <t>dl_ibm_open_pages</t>
  </si>
  <si>
    <t>orms_issue_management_action</t>
  </si>
  <si>
    <t>default = "ORMS"</t>
  </si>
  <si>
    <t>PCM</t>
  </si>
  <si>
    <t>dm_ibm_open_pages</t>
  </si>
  <si>
    <t>pcm_dwbs_remediation_action</t>
  </si>
  <si>
    <t>default = "PCM"</t>
  </si>
  <si>
    <t>Source</t>
  </si>
  <si>
    <t>actions_id</t>
  </si>
  <si>
    <t>int</t>
  </si>
  <si>
    <t xml:space="preserve">Indicates the area where the issues has been created under </t>
  </si>
  <si>
    <t>direct pull</t>
  </si>
  <si>
    <t>id</t>
  </si>
  <si>
    <t>ia_actions_id</t>
  </si>
  <si>
    <t>indicates the area where the action was created under</t>
  </si>
  <si>
    <t>.</t>
  </si>
  <si>
    <t>name</t>
  </si>
  <si>
    <t>The unique identifier or label assigned to an object, entity, or task.</t>
  </si>
  <si>
    <t>Yes</t>
  </si>
  <si>
    <t>Name</t>
  </si>
  <si>
    <t>actions_title</t>
  </si>
  <si>
    <t>Short name / title</t>
  </si>
  <si>
    <t>title</t>
  </si>
  <si>
    <t xml:space="preserve">allows nulls </t>
  </si>
  <si>
    <t>ia_actions_title</t>
  </si>
  <si>
    <t>title of action</t>
  </si>
  <si>
    <t>actions_Title</t>
  </si>
  <si>
    <t xml:space="preserve"> The name or title given to an object, document, or task to identify its purpose or content.</t>
  </si>
  <si>
    <t xml:space="preserve">string </t>
  </si>
  <si>
    <t>actions_description</t>
  </si>
  <si>
    <t>A detailed description of the action which will be taken.</t>
  </si>
  <si>
    <t>description</t>
  </si>
  <si>
    <t>allows nulls</t>
  </si>
  <si>
    <t>ia_actions_description</t>
  </si>
  <si>
    <t>description of the action to be taken</t>
  </si>
  <si>
    <t>actions_Description</t>
  </si>
  <si>
    <t>A brief explanation or summary providing details about the characteristics or purpose of something.</t>
  </si>
  <si>
    <t>Description</t>
  </si>
  <si>
    <t>A deviation type is a specific category of irregularity in a bank's operations that requires corrective action.</t>
  </si>
  <si>
    <t>deviation_type</t>
  </si>
  <si>
    <t>Deviation_Type</t>
  </si>
  <si>
    <t>actions_created_at</t>
  </si>
  <si>
    <t>string (dd/mm/yyyy hh:mm:ss)</t>
  </si>
  <si>
    <t>Indicates the date when the action was created
i.e Date field (Month, Day, Year)</t>
  </si>
  <si>
    <t>creation_date</t>
  </si>
  <si>
    <t>ia_actions_created_at</t>
  </si>
  <si>
    <t>creation date of the action</t>
  </si>
  <si>
    <t>The date and time when an object or task was originally created or initiated.</t>
  </si>
  <si>
    <t>Creation_Date</t>
  </si>
  <si>
    <t>The anticipated or expected date when a reopened issue or task is forecasted to be closed again.</t>
  </si>
  <si>
    <t>expected_reopen_closure_date</t>
  </si>
  <si>
    <t>Any additional reasons or justifications for reopening an issue or task besides those previously mentioned.</t>
  </si>
  <si>
    <t>other_reopen_reason</t>
  </si>
  <si>
    <t>Any additional reasons or justifications for reopening an issue or task besides those previously mentioned</t>
  </si>
  <si>
    <t>actions_Status</t>
  </si>
  <si>
    <t>The status of an action</t>
  </si>
  <si>
    <t>action_status</t>
  </si>
  <si>
    <t>ia_actions_action_status</t>
  </si>
  <si>
    <t>status of the action</t>
  </si>
  <si>
    <t>The current state or condition of an action or task, indicating its progress or completion status.</t>
  </si>
  <si>
    <t>Comments or explanations regarding why an action or task is overdue or has not been completed within the expected timeframe.</t>
  </si>
  <si>
    <t>overdue_action_comment</t>
  </si>
  <si>
    <t>Comments or explanations regarding why an action or task is overdue or has not been completed within the expected timeframe</t>
  </si>
  <si>
    <t>actions_type</t>
  </si>
  <si>
    <t>Indicates the type of action</t>
  </si>
  <si>
    <t>ia_actions_type</t>
  </si>
  <si>
    <t>type of action</t>
  </si>
  <si>
    <t>The categorization or classification of an action or task based on its nature or purpose.</t>
  </si>
  <si>
    <t>The categorization or classification of an action or task based on its nature or purpose</t>
  </si>
  <si>
    <t>actions_classification_value</t>
  </si>
  <si>
    <t>Use this to indicate if this action is a milestone or action where closure is defined.</t>
  </si>
  <si>
    <t>action_type</t>
  </si>
  <si>
    <t>actions_Classification_value</t>
  </si>
  <si>
    <t>Remediation_Action_Type</t>
  </si>
  <si>
    <t>The initial or first planned deadline for completing an action or task.</t>
  </si>
  <si>
    <t>original_due_date</t>
  </si>
  <si>
    <t>actions_due_date</t>
  </si>
  <si>
    <t>The due date of an action
i.e Date field (Month, Day, Year)</t>
  </si>
  <si>
    <t>action_due_date</t>
  </si>
  <si>
    <t>ia_actions_due_date</t>
  </si>
  <si>
    <t>due date for the action</t>
  </si>
  <si>
    <t>The deadline or target date by which an action or task is expected to be completed.</t>
  </si>
  <si>
    <t>Due_Date</t>
  </si>
  <si>
    <t>actions_completed_date</t>
  </si>
  <si>
    <t>Indicates the date when the action was completed
i.e Date field (Month, Day, Year)</t>
  </si>
  <si>
    <t>actual_completion_date</t>
  </si>
  <si>
    <t>ia_actions_completed_on</t>
  </si>
  <si>
    <t>completion date for the action</t>
  </si>
  <si>
    <t>The date when an action or task was actually completed or finished.</t>
  </si>
  <si>
    <t>Actual_Completion_Date</t>
  </si>
  <si>
    <t>The date when an action or task was officially closed or marked as completed.</t>
  </si>
  <si>
    <t>date_closed</t>
  </si>
  <si>
    <t>The date when an action or task was officially closed or marked as completed</t>
  </si>
  <si>
    <t>The date when an action or task was last reopened after being closed previously.</t>
  </si>
  <si>
    <t>date_last_reopened</t>
  </si>
  <si>
    <t>Indicates whether an action or task is overdue or has not been completed within the expected timeframe.</t>
  </si>
  <si>
    <t>reason_reopened</t>
  </si>
  <si>
    <t>The rationale or justification for reopening an action or task that was previously closed.</t>
  </si>
  <si>
    <t>Indicates whether an action or task is overdue or has not been completed within the expected timeframe</t>
  </si>
  <si>
    <t>action_overdue</t>
  </si>
  <si>
    <t>actions_owner</t>
  </si>
  <si>
    <t>Identifies the accountable executive owner with a Personal Identifier (PII)</t>
  </si>
  <si>
    <t xml:space="preserve">actions_owner </t>
  </si>
  <si>
    <t>ia_actions_owner</t>
  </si>
  <si>
    <t>identifies executive owner with a personal identifier</t>
  </si>
  <si>
    <t>action_owner</t>
  </si>
  <si>
    <t>The individual or entity responsible for executing or overseeing a particular action or task.</t>
  </si>
  <si>
    <t>Created_By_</t>
  </si>
  <si>
    <t>The name of the individual or entity responsible for executing or overseeing a particular action or task.</t>
  </si>
  <si>
    <t>action_owner_name</t>
  </si>
  <si>
    <t>Created_By_Name</t>
  </si>
  <si>
    <t>The name of the individual or entity responsible for executing or overseeing a particular action or task</t>
  </si>
  <si>
    <t>A request to reopen a previously closed action or task.</t>
  </si>
  <si>
    <t>reopened</t>
  </si>
  <si>
    <t>Indicates whether an action or task has been reopened after being closed previously.</t>
  </si>
  <si>
    <t>A request to extend the deadline for completing an action or task.</t>
  </si>
  <si>
    <t>request_due_date_extension</t>
  </si>
  <si>
    <t>request_reopen</t>
  </si>
  <si>
    <t>The proposed or requested deadline for completing an action or task.</t>
  </si>
  <si>
    <t>requested_due_date</t>
  </si>
  <si>
    <t>Indicates whether the due date for completing an action or task has been extended beyond the original deadline.</t>
  </si>
  <si>
    <t>extended_due_date_approved</t>
  </si>
  <si>
    <t>due_date_extended</t>
  </si>
  <si>
    <t>The time remaining until the deadline for completing an action or task.</t>
  </si>
  <si>
    <t>due_in</t>
  </si>
  <si>
    <t>Existing in Hadoop</t>
  </si>
  <si>
    <t>The anticipated or expected date by which an action or task is forecasted to be closed.</t>
  </si>
  <si>
    <t>expected_action_closure_date</t>
  </si>
  <si>
    <t>The updated status or condition of an action or task after revisions or modifications.</t>
  </si>
  <si>
    <t>revised_action_status</t>
  </si>
  <si>
    <t>The updated status or condition of an action or task after revisions or modification.</t>
  </si>
  <si>
    <t>actions_updated_at</t>
  </si>
  <si>
    <t>Indicates the date when the action was last modified
i.e Date field (Month, Day, Year)</t>
  </si>
  <si>
    <t>last_modification_date</t>
  </si>
  <si>
    <t>ia_actions_updated_at</t>
  </si>
  <si>
    <t>date the action was updated</t>
  </si>
  <si>
    <t>The date and time when the last modification or change was made to an object or task.</t>
  </si>
  <si>
    <t>Last_Modification_Date</t>
  </si>
  <si>
    <t>The name or identifier of the issue associated with an action or task.</t>
  </si>
  <si>
    <t>issue_name</t>
  </si>
  <si>
    <t>actions_issue_id</t>
  </si>
  <si>
    <t>Actions that are linked or associated with a particular issue and require closure for issue resolution.</t>
  </si>
  <si>
    <t>linked_actions_requiring_closure</t>
  </si>
  <si>
    <t>ia_actions_issue_id</t>
  </si>
  <si>
    <t>actions_accountable_executive_value</t>
  </si>
  <si>
    <t>Identifies the accountable executive owner with a Unique Identifier</t>
  </si>
  <si>
    <t>accountable_executive</t>
  </si>
  <si>
    <t>IA_Findings</t>
  </si>
  <si>
    <t>ia_findings_issue_responsible_executive_name_title</t>
  </si>
  <si>
    <t>identiies executive owner with a unique identifier</t>
  </si>
  <si>
    <t>SELECT 
b.ia_findings_issue_responsible_executive_name_title as accountable_executive
FROM ia_actions AS a 
LEFT JOIN (
    SELECT ia_findings_issue_id , ia_findings_issue_responsible_executive_name_title , 
  ia_findings_impacted_risk_value, 
  ia_findings_secondary_risk_value, ia_findings_responsible_business_function_value   
    FROM ia_findings  
    WHERE ENCELADUS_INFO_DATE = 'Reporting Date'
) AS b
ON (a.ia_actions_issue_id = b.ia_findings_issue_id)
WHERE a.ENCELADUS_INFO_DATE = 'Reporting Date'</t>
  </si>
  <si>
    <t>Join to IA_Findings</t>
  </si>
  <si>
    <t>fcat_highbond_projects_d_s</t>
  </si>
  <si>
    <t>projects_accountable_executives_value</t>
  </si>
  <si>
    <r>
      <rPr>
        <b/>
        <sz val="11"/>
        <color rgb="FF5B9BD5"/>
        <rFont val="Calibri"/>
        <family val="2"/>
        <scheme val="minor"/>
      </rPr>
      <t>SELECT</t>
    </r>
    <r>
      <rPr>
        <sz val="11"/>
        <color rgb="FF000000"/>
        <rFont val="Calibri"/>
        <family val="2"/>
        <scheme val="minor"/>
      </rPr>
      <t xml:space="preserve"> b.projects_accountable_executives_value as Accountable_Executive
</t>
    </r>
    <r>
      <rPr>
        <b/>
        <sz val="11"/>
        <color rgb="FF5B9BD5"/>
        <rFont val="Calibri"/>
        <family val="2"/>
        <scheme val="minor"/>
      </rPr>
      <t>FROM</t>
    </r>
    <r>
      <rPr>
        <sz val="11"/>
        <color rgb="FF000000"/>
        <rFont val="Calibri"/>
        <family val="2"/>
        <scheme val="minor"/>
      </rPr>
      <t xml:space="preserve"> fcat_highbond_issues_d_s </t>
    </r>
    <r>
      <rPr>
        <sz val="11"/>
        <color rgb="FF5B9BD5"/>
        <rFont val="Calibri"/>
        <family val="2"/>
        <scheme val="minor"/>
      </rPr>
      <t>as</t>
    </r>
    <r>
      <rPr>
        <sz val="11"/>
        <color rgb="FF000000"/>
        <rFont val="Calibri"/>
        <family val="2"/>
        <scheme val="minor"/>
      </rPr>
      <t xml:space="preserve"> a
</t>
    </r>
    <r>
      <rPr>
        <b/>
        <sz val="11"/>
        <color rgb="FF5B9BD5"/>
        <rFont val="Calibri"/>
        <family val="2"/>
        <scheme val="minor"/>
      </rPr>
      <t>LEFT JOIN</t>
    </r>
    <r>
      <rPr>
        <sz val="11"/>
        <color rgb="FF000000"/>
        <rFont val="Calibri"/>
        <family val="2"/>
        <scheme val="minor"/>
      </rPr>
      <t xml:space="preserve"> (
</t>
    </r>
    <r>
      <rPr>
        <b/>
        <sz val="11"/>
        <color rgb="FF5B9BD5"/>
        <rFont val="Calibri"/>
        <family val="2"/>
        <scheme val="minor"/>
      </rPr>
      <t xml:space="preserve">  SELECT </t>
    </r>
    <r>
      <rPr>
        <sz val="11"/>
        <color rgb="FF000000"/>
        <rFont val="Calibri"/>
        <family val="2"/>
        <scheme val="minor"/>
      </rPr>
      <t xml:space="preserve">projects_review_id, projects_accountable_executives_value
 </t>
    </r>
    <r>
      <rPr>
        <b/>
        <sz val="11"/>
        <color rgb="FF5B9BD5"/>
        <rFont val="Calibri"/>
        <family val="2"/>
        <scheme val="minor"/>
      </rPr>
      <t xml:space="preserve"> FROM</t>
    </r>
    <r>
      <rPr>
        <sz val="11"/>
        <color rgb="FF000000"/>
        <rFont val="Calibri"/>
        <family val="2"/>
        <scheme val="minor"/>
      </rPr>
      <t xml:space="preserve"> fcat_highbond_projects_d_s
</t>
    </r>
    <r>
      <rPr>
        <b/>
        <sz val="11"/>
        <color rgb="FF5B9BD5"/>
        <rFont val="Calibri"/>
        <family val="2"/>
        <scheme val="minor"/>
      </rPr>
      <t xml:space="preserve">  WHERE </t>
    </r>
    <r>
      <rPr>
        <sz val="11"/>
        <color rgb="FF000000"/>
        <rFont val="Calibri"/>
        <family val="2"/>
        <scheme val="minor"/>
      </rPr>
      <t xml:space="preserve">enceladus_info_date = </t>
    </r>
    <r>
      <rPr>
        <i/>
        <sz val="11"/>
        <color rgb="FF5B9BD5"/>
        <rFont val="Calibri"/>
        <family val="2"/>
        <scheme val="minor"/>
      </rPr>
      <t>Reporting Date</t>
    </r>
    <r>
      <rPr>
        <sz val="11"/>
        <color rgb="FF000000"/>
        <rFont val="Calibri"/>
        <family val="2"/>
        <scheme val="minor"/>
      </rPr>
      <t xml:space="preserve">)
</t>
    </r>
    <r>
      <rPr>
        <sz val="11"/>
        <color rgb="FF5B9BD5"/>
        <rFont val="Calibri"/>
        <family val="2"/>
        <scheme val="minor"/>
      </rPr>
      <t>as</t>
    </r>
    <r>
      <rPr>
        <sz val="11"/>
        <color rgb="FF000000"/>
        <rFont val="Calibri"/>
        <family val="2"/>
        <scheme val="minor"/>
      </rPr>
      <t xml:space="preserve"> b </t>
    </r>
    <r>
      <rPr>
        <sz val="11"/>
        <color rgb="FF5B9BD5"/>
        <rFont val="Calibri"/>
        <family val="2"/>
        <scheme val="minor"/>
      </rPr>
      <t>ON</t>
    </r>
    <r>
      <rPr>
        <sz val="11"/>
        <color rgb="FF000000"/>
        <rFont val="Calibri"/>
        <family val="2"/>
        <scheme val="minor"/>
      </rPr>
      <t xml:space="preserve"> (a.issues_project_id = b.projects_review_id)
</t>
    </r>
    <r>
      <rPr>
        <b/>
        <sz val="11"/>
        <color rgb="FF5B9BD5"/>
        <rFont val="Calibri"/>
        <family val="2"/>
        <scheme val="minor"/>
      </rPr>
      <t xml:space="preserve">WHERE </t>
    </r>
    <r>
      <rPr>
        <sz val="11"/>
        <color rgb="FF000000"/>
        <rFont val="Calibri"/>
        <family val="2"/>
        <scheme val="minor"/>
      </rPr>
      <t xml:space="preserve">a.enceladus_info_date = </t>
    </r>
    <r>
      <rPr>
        <i/>
        <sz val="11"/>
        <color rgb="FF5B9BD5"/>
        <rFont val="Calibri"/>
        <family val="2"/>
        <scheme val="minor"/>
      </rPr>
      <t>Reporting Date</t>
    </r>
    <r>
      <rPr>
        <sz val="11"/>
        <color rgb="FF000000"/>
        <rFont val="Calibri"/>
        <family val="2"/>
        <scheme val="minor"/>
      </rPr>
      <t>;</t>
    </r>
  </si>
  <si>
    <t>Get from projects table</t>
  </si>
  <si>
    <t xml:space="preserve">orms_issue_management </t>
  </si>
  <si>
    <t>Existing Hadoop Data</t>
  </si>
  <si>
    <t>The name of the executive who holds ultimate responsibility for overseeing the resolution of an issue or task.</t>
  </si>
  <si>
    <t>accountable_executive_name</t>
  </si>
  <si>
    <t>SELECT b.accountable_executive_name 
FROM orms_issue_management_action as a
LEFT JOIN (
  SELECT name, accountable_executive_name, accountable_executive, impacted_risk_principal_risk, risk_category_specialist_risk_type, risk_category_specific_risk
  FROM orms_issue_management
  WHERE enceladus_info_date = Reporting Date) as b 
ON (a.issue_name = b.name)
WHERE a.enceladus_info_date = Reporting Date</t>
  </si>
  <si>
    <t xml:space="preserve">Pulled from orms_issue_management </t>
  </si>
  <si>
    <t>Use this to indicate whether action plans have been agreed with the action owners.</t>
  </si>
  <si>
    <t>action_agreed_with_action_owners</t>
  </si>
  <si>
    <t>Derived</t>
  </si>
  <si>
    <t>Default value = "Yes"</t>
  </si>
  <si>
    <t xml:space="preserve"> Derived</t>
  </si>
  <si>
    <t>risks_principal_risk_choices_level1</t>
  </si>
  <si>
    <t>Indicate the impacted Principal risk . Mulitselect field</t>
  </si>
  <si>
    <t>impacted_risk_principal_risk</t>
  </si>
  <si>
    <t>ia_findings_impacted_risk_value</t>
  </si>
  <si>
    <t>fcat_highbond_issues_d_s</t>
  </si>
  <si>
    <t>issues_principal_risk</t>
  </si>
  <si>
    <t xml:space="preserve">Indicate the impacted Principal risk . Mulitselect field </t>
  </si>
  <si>
    <r>
      <rPr>
        <b/>
        <sz val="11"/>
        <color theme="4"/>
        <rFont val="Calibri"/>
        <family val="2"/>
      </rPr>
      <t xml:space="preserve">SELECT </t>
    </r>
    <r>
      <rPr>
        <sz val="11"/>
        <rFont val="Calibri"/>
        <family val="2"/>
      </rPr>
      <t xml:space="preserve">b.issues_principal_risk
 </t>
    </r>
    <r>
      <rPr>
        <b/>
        <sz val="11"/>
        <color theme="4"/>
        <rFont val="Calibri"/>
        <family val="2"/>
      </rPr>
      <t>FROM</t>
    </r>
    <r>
      <rPr>
        <sz val="11"/>
        <rFont val="Calibri"/>
        <family val="2"/>
      </rPr>
      <t xml:space="preserve"> fcat_highbond_actions_d_s AS a
</t>
    </r>
    <r>
      <rPr>
        <b/>
        <sz val="11"/>
        <color theme="4"/>
        <rFont val="Calibri"/>
        <family val="2"/>
      </rPr>
      <t>LEFT JOIN</t>
    </r>
    <r>
      <rPr>
        <sz val="11"/>
        <rFont val="Calibri"/>
        <family val="2"/>
      </rPr>
      <t xml:space="preserve"> (
    </t>
    </r>
    <r>
      <rPr>
        <b/>
        <sz val="11"/>
        <color theme="4"/>
        <rFont val="Calibri"/>
        <family val="2"/>
      </rPr>
      <t>SELECT</t>
    </r>
    <r>
      <rPr>
        <sz val="11"/>
        <rFont val="Calibri"/>
        <family val="2"/>
      </rPr>
      <t xml:space="preserve"> issues_id, issues_project_id, issues_issue_title, issues_principal_risk
    </t>
    </r>
    <r>
      <rPr>
        <b/>
        <sz val="11"/>
        <color theme="4"/>
        <rFont val="Calibri"/>
        <family val="2"/>
      </rPr>
      <t>FROM</t>
    </r>
    <r>
      <rPr>
        <sz val="11"/>
        <rFont val="Calibri"/>
        <family val="2"/>
      </rPr>
      <t xml:space="preserve"> fcat_highbond_issues_d_s
    </t>
    </r>
    <r>
      <rPr>
        <b/>
        <sz val="11"/>
        <color theme="4"/>
        <rFont val="Calibri"/>
        <family val="2"/>
      </rPr>
      <t>WHERE</t>
    </r>
    <r>
      <rPr>
        <sz val="11"/>
        <rFont val="Calibri"/>
        <family val="2"/>
      </rPr>
      <t xml:space="preserve"> ENCELADUS_INFO_DATE = </t>
    </r>
    <r>
      <rPr>
        <i/>
        <sz val="11"/>
        <color theme="4"/>
        <rFont val="Calibri"/>
        <family val="2"/>
      </rPr>
      <t>Reporting Date</t>
    </r>
    <r>
      <rPr>
        <sz val="11"/>
        <rFont val="Calibri"/>
        <family val="2"/>
      </rPr>
      <t xml:space="preserve">
) AS b ON (a.actions_issue_id = b.issues_id)
</t>
    </r>
    <r>
      <rPr>
        <b/>
        <sz val="11"/>
        <color theme="4"/>
        <rFont val="Calibri"/>
        <family val="2"/>
      </rPr>
      <t>LEFT JOIN</t>
    </r>
    <r>
      <rPr>
        <sz val="11"/>
        <rFont val="Calibri"/>
        <family val="2"/>
      </rPr>
      <t xml:space="preserve"> (
    </t>
    </r>
    <r>
      <rPr>
        <b/>
        <sz val="11"/>
        <color theme="4"/>
        <rFont val="Calibri"/>
        <family val="2"/>
      </rPr>
      <t>SELECT</t>
    </r>
    <r>
      <rPr>
        <sz val="11"/>
        <rFont val="Calibri"/>
        <family val="2"/>
      </rPr>
      <t xml:space="preserve"> objectives_project_id, objectives_objective_id
    </t>
    </r>
    <r>
      <rPr>
        <b/>
        <sz val="11"/>
        <color theme="4"/>
        <rFont val="Calibri"/>
        <family val="2"/>
      </rPr>
      <t>FROM</t>
    </r>
    <r>
      <rPr>
        <sz val="11"/>
        <rFont val="Calibri"/>
        <family val="2"/>
      </rPr>
      <t xml:space="preserve"> fcat_highbond_objectives_d_s
    </t>
    </r>
    <r>
      <rPr>
        <b/>
        <sz val="11"/>
        <color theme="4"/>
        <rFont val="Calibri"/>
        <family val="2"/>
      </rPr>
      <t>WHERE</t>
    </r>
    <r>
      <rPr>
        <sz val="11"/>
        <rFont val="Calibri"/>
        <family val="2"/>
      </rPr>
      <t xml:space="preserve"> ENCELADUS_INFO_DATE = </t>
    </r>
    <r>
      <rPr>
        <i/>
        <sz val="11"/>
        <color theme="4"/>
        <rFont val="Calibri"/>
        <family val="2"/>
      </rPr>
      <t>Reporting Date</t>
    </r>
    <r>
      <rPr>
        <sz val="11"/>
        <rFont val="Calibri"/>
        <family val="2"/>
      </rPr>
      <t xml:space="preserve">
) </t>
    </r>
    <r>
      <rPr>
        <sz val="11"/>
        <color theme="4"/>
        <rFont val="Calibri"/>
        <family val="2"/>
      </rPr>
      <t>AS</t>
    </r>
    <r>
      <rPr>
        <sz val="11"/>
        <rFont val="Calibri"/>
        <family val="2"/>
      </rPr>
      <t xml:space="preserve"> c </t>
    </r>
    <r>
      <rPr>
        <sz val="11"/>
        <color theme="4"/>
        <rFont val="Calibri"/>
        <family val="2"/>
      </rPr>
      <t>ON</t>
    </r>
    <r>
      <rPr>
        <sz val="11"/>
        <rFont val="Calibri"/>
        <family val="2"/>
      </rPr>
      <t xml:space="preserve"> (b.issues_project_id = c.objectives_project_id)
</t>
    </r>
    <r>
      <rPr>
        <b/>
        <sz val="11"/>
        <color theme="4"/>
        <rFont val="Calibri"/>
        <family val="2"/>
      </rPr>
      <t>LEFT JOIN</t>
    </r>
    <r>
      <rPr>
        <sz val="11"/>
        <rFont val="Calibri"/>
        <family val="2"/>
      </rPr>
      <t xml:space="preserve"> (
    </t>
    </r>
    <r>
      <rPr>
        <b/>
        <sz val="11"/>
        <color theme="4"/>
        <rFont val="Calibri"/>
        <family val="2"/>
      </rPr>
      <t>SELECT</t>
    </r>
    <r>
      <rPr>
        <sz val="11"/>
        <rFont val="Calibri"/>
        <family val="2"/>
      </rPr>
      <t xml:space="preserve"> risks_objective_id, risks_id, risks_process_area_business_area_value, risks_principal_risk_l3_value, risks_risk_l4_value
    </t>
    </r>
    <r>
      <rPr>
        <b/>
        <sz val="11"/>
        <color theme="4"/>
        <rFont val="Calibri"/>
        <family val="2"/>
      </rPr>
      <t>FROM</t>
    </r>
    <r>
      <rPr>
        <sz val="11"/>
        <rFont val="Calibri"/>
        <family val="2"/>
      </rPr>
      <t xml:space="preserve"> fcat_highbond_risks_d_s
    </t>
    </r>
    <r>
      <rPr>
        <b/>
        <sz val="11"/>
        <color theme="4"/>
        <rFont val="Calibri"/>
        <family val="2"/>
      </rPr>
      <t>WHERE</t>
    </r>
    <r>
      <rPr>
        <sz val="11"/>
        <rFont val="Calibri"/>
        <family val="2"/>
      </rPr>
      <t xml:space="preserve"> ENCELADUS_INFO_DATE = </t>
    </r>
    <r>
      <rPr>
        <i/>
        <sz val="11"/>
        <color theme="4"/>
        <rFont val="Calibri"/>
        <family val="2"/>
      </rPr>
      <t>Reporting Date</t>
    </r>
    <r>
      <rPr>
        <sz val="11"/>
        <rFont val="Calibri"/>
        <family val="2"/>
      </rPr>
      <t xml:space="preserve">
) </t>
    </r>
    <r>
      <rPr>
        <sz val="11"/>
        <color theme="4"/>
        <rFont val="Calibri"/>
        <family val="2"/>
      </rPr>
      <t>AS</t>
    </r>
    <r>
      <rPr>
        <sz val="11"/>
        <rFont val="Calibri"/>
        <family val="2"/>
      </rPr>
      <t xml:space="preserve"> d </t>
    </r>
    <r>
      <rPr>
        <sz val="11"/>
        <color theme="4"/>
        <rFont val="Calibri"/>
        <family val="2"/>
      </rPr>
      <t>ON</t>
    </r>
    <r>
      <rPr>
        <sz val="11"/>
        <rFont val="Calibri"/>
        <family val="2"/>
      </rPr>
      <t xml:space="preserve"> (c.objectives_objective_id = d.risks_objective_id)
</t>
    </r>
    <r>
      <rPr>
        <b/>
        <sz val="11"/>
        <color theme="4"/>
        <rFont val="Calibri"/>
        <family val="2"/>
      </rPr>
      <t>WHERE</t>
    </r>
    <r>
      <rPr>
        <sz val="11"/>
        <rFont val="Calibri"/>
        <family val="2"/>
      </rPr>
      <t xml:space="preserve"> a.enceladus_info_date = </t>
    </r>
    <r>
      <rPr>
        <i/>
        <sz val="11"/>
        <color theme="4"/>
        <rFont val="Calibri"/>
        <family val="2"/>
      </rPr>
      <t>Reporting Date</t>
    </r>
    <r>
      <rPr>
        <sz val="11"/>
        <rFont val="Calibri"/>
        <family val="2"/>
      </rPr>
      <t>;</t>
    </r>
  </si>
  <si>
    <t>Get from issues table</t>
  </si>
  <si>
    <t>risks_sub_risk_choices_level2</t>
  </si>
  <si>
    <t>detailed explanation of the risk type</t>
  </si>
  <si>
    <t>sub_risk_type_assured</t>
  </si>
  <si>
    <t>###</t>
  </si>
  <si>
    <t>ia_findings_secondary_risk_value</t>
  </si>
  <si>
    <t>SELECT  
b.ia_findings_secondary_risk_value as sub_risk_type_assured 
FROM ia_actions AS a 
LEFT JOIN (
    SELECT ia_findings_issue_id , ia_findings_issue_responsible_executive_name_title , 
  ia_findings_impacted_risk_value, 
  ia_findings_secondary_risk_value, ia_findings_responsible_business_function_value   
    FROM ia_findings  
    WHERE ENCELADUS_INFO_DATE = 'Reporting Date'
) AS b
ON (a.ia_actions_issue_id = b.ia_findings_issue_id)
WHERE a.ENCELADUS_INFO_DATE = 'Reporting Date'</t>
  </si>
  <si>
    <t>risks_principal_risk_l3_value</t>
  </si>
  <si>
    <t>The specific risk within a broader category or type associated with a particular action or task.</t>
  </si>
  <si>
    <t>risk_category_specific_risk</t>
  </si>
  <si>
    <t>SELECT b.risk_category_specific_risk
FROM orms_issue_management_action as a
LEFT JOIN (
  SELECT name, accountable_executive_name, accountable_executive, impacted_risk_principal_risk, risk_category_specialist_risk_type, risk_category_specific_risk
  FROM orms_issue_management
  WHERE enceladus_info_date = Reporting Date) as b 
ON (a.issue_name = b.name)
WHERE a.enceladus_info_date = Reporting Date</t>
  </si>
  <si>
    <t xml:space="preserve"> Pulled from orms_issue_management </t>
  </si>
  <si>
    <t>Classification/Detailed explanation of the Sub_Risk_Type_Assured</t>
  </si>
  <si>
    <t>standard_level_risk</t>
  </si>
  <si>
    <t>fcat_highbond_risks_d_s</t>
  </si>
  <si>
    <t>risks_risk_l4_value</t>
  </si>
  <si>
    <r>
      <rPr>
        <b/>
        <sz val="11"/>
        <color rgb="FF5B9BD5"/>
        <rFont val="Calibri"/>
        <family val="2"/>
      </rPr>
      <t xml:space="preserve">SELECT </t>
    </r>
    <r>
      <rPr>
        <sz val="11"/>
        <color rgb="FF000000"/>
        <rFont val="Calibri"/>
        <family val="2"/>
      </rPr>
      <t xml:space="preserve">d.risks_risk_l4_value as Standard_Level_Risk
</t>
    </r>
    <r>
      <rPr>
        <b/>
        <sz val="11"/>
        <color rgb="FF5B9BD5"/>
        <rFont val="Calibri"/>
        <family val="2"/>
      </rPr>
      <t>FROM</t>
    </r>
    <r>
      <rPr>
        <sz val="11"/>
        <color rgb="FF000000"/>
        <rFont val="Calibri"/>
        <family val="2"/>
      </rPr>
      <t xml:space="preserve"> fcat_highbond_actions_d_s </t>
    </r>
    <r>
      <rPr>
        <sz val="11"/>
        <color rgb="FF5B9BD5"/>
        <rFont val="Calibri"/>
        <family val="2"/>
      </rPr>
      <t>AS</t>
    </r>
    <r>
      <rPr>
        <sz val="11"/>
        <color rgb="FF000000"/>
        <rFont val="Calibri"/>
        <family val="2"/>
      </rPr>
      <t xml:space="preserve"> a
</t>
    </r>
    <r>
      <rPr>
        <b/>
        <sz val="11"/>
        <color rgb="FF5B9BD5"/>
        <rFont val="Calibri"/>
        <family val="2"/>
      </rPr>
      <t>LEFT JOIN</t>
    </r>
    <r>
      <rPr>
        <sz val="11"/>
        <color rgb="FF000000"/>
        <rFont val="Calibri"/>
        <family val="2"/>
      </rPr>
      <t xml:space="preserve"> (
    </t>
    </r>
    <r>
      <rPr>
        <b/>
        <sz val="11"/>
        <color rgb="FF5B9BD5"/>
        <rFont val="Calibri"/>
        <family val="2"/>
      </rPr>
      <t>SELECT</t>
    </r>
    <r>
      <rPr>
        <sz val="11"/>
        <color rgb="FF000000"/>
        <rFont val="Calibri"/>
        <family val="2"/>
      </rPr>
      <t xml:space="preserve"> issues_id, issues_project_id
    </t>
    </r>
    <r>
      <rPr>
        <b/>
        <sz val="11"/>
        <color rgb="FF5B9BD5"/>
        <rFont val="Calibri"/>
        <family val="2"/>
      </rPr>
      <t>FROM</t>
    </r>
    <r>
      <rPr>
        <sz val="11"/>
        <color rgb="FF000000"/>
        <rFont val="Calibri"/>
        <family val="2"/>
      </rPr>
      <t xml:space="preserve"> fcat_highbond_issues_d_s
    </t>
    </r>
    <r>
      <rPr>
        <b/>
        <sz val="11"/>
        <color rgb="FF5B9BD5"/>
        <rFont val="Calibri"/>
        <family val="2"/>
      </rPr>
      <t>WHERE</t>
    </r>
    <r>
      <rPr>
        <sz val="11"/>
        <color rgb="FF000000"/>
        <rFont val="Calibri"/>
        <family val="2"/>
      </rPr>
      <t xml:space="preserve"> ENCELADUS_INFO_DATE = </t>
    </r>
    <r>
      <rPr>
        <i/>
        <sz val="11"/>
        <color rgb="FF5B9BD5"/>
        <rFont val="Calibri"/>
        <family val="2"/>
      </rPr>
      <t xml:space="preserve">Reporting Dates
</t>
    </r>
    <r>
      <rPr>
        <sz val="11"/>
        <color rgb="FF000000"/>
        <rFont val="Calibri"/>
        <family val="2"/>
      </rPr>
      <t xml:space="preserve">) </t>
    </r>
    <r>
      <rPr>
        <sz val="11"/>
        <color rgb="FF5B9BD5"/>
        <rFont val="Calibri"/>
        <family val="2"/>
      </rPr>
      <t>AS</t>
    </r>
    <r>
      <rPr>
        <sz val="11"/>
        <color rgb="FF000000"/>
        <rFont val="Calibri"/>
        <family val="2"/>
      </rPr>
      <t xml:space="preserve"> b </t>
    </r>
    <r>
      <rPr>
        <sz val="11"/>
        <color rgb="FF5B9BD5"/>
        <rFont val="Calibri"/>
        <family val="2"/>
      </rPr>
      <t>ON</t>
    </r>
    <r>
      <rPr>
        <sz val="11"/>
        <color rgb="FF000000"/>
        <rFont val="Calibri"/>
        <family val="2"/>
      </rPr>
      <t xml:space="preserve"> (a.actions_issue_id = b.issues_id)
</t>
    </r>
    <r>
      <rPr>
        <b/>
        <sz val="11"/>
        <color rgb="FF5B9BD5"/>
        <rFont val="Calibri"/>
        <family val="2"/>
      </rPr>
      <t>LEFT JOIN</t>
    </r>
    <r>
      <rPr>
        <sz val="11"/>
        <color rgb="FF000000"/>
        <rFont val="Calibri"/>
        <family val="2"/>
      </rPr>
      <t xml:space="preserve"> (
    </t>
    </r>
    <r>
      <rPr>
        <b/>
        <sz val="11"/>
        <color rgb="FF5B9BD5"/>
        <rFont val="Calibri"/>
        <family val="2"/>
      </rPr>
      <t>SELECT</t>
    </r>
    <r>
      <rPr>
        <sz val="11"/>
        <color rgb="FF000000"/>
        <rFont val="Calibri"/>
        <family val="2"/>
      </rPr>
      <t xml:space="preserve"> objectives_project_id, objectives_objective_id
    </t>
    </r>
    <r>
      <rPr>
        <b/>
        <sz val="11"/>
        <color rgb="FF5B9BD5"/>
        <rFont val="Calibri"/>
        <family val="2"/>
      </rPr>
      <t>FROM</t>
    </r>
    <r>
      <rPr>
        <sz val="11"/>
        <color rgb="FF000000"/>
        <rFont val="Calibri"/>
        <family val="2"/>
      </rPr>
      <t xml:space="preserve"> fcat_highbond_objectives_d_s
    </t>
    </r>
    <r>
      <rPr>
        <b/>
        <sz val="11"/>
        <color rgb="FF5B9BD5"/>
        <rFont val="Calibri"/>
        <family val="2"/>
      </rPr>
      <t>WHERE</t>
    </r>
    <r>
      <rPr>
        <sz val="11"/>
        <color rgb="FF000000"/>
        <rFont val="Calibri"/>
        <family val="2"/>
      </rPr>
      <t xml:space="preserve"> ENCELADUS_INFO_DATE = </t>
    </r>
    <r>
      <rPr>
        <i/>
        <sz val="11"/>
        <color rgb="FF5B9BD5"/>
        <rFont val="Calibri"/>
        <family val="2"/>
      </rPr>
      <t xml:space="preserve">Reporting Dates
</t>
    </r>
    <r>
      <rPr>
        <sz val="11"/>
        <color rgb="FF000000"/>
        <rFont val="Calibri"/>
        <family val="2"/>
      </rPr>
      <t xml:space="preserve">) </t>
    </r>
    <r>
      <rPr>
        <sz val="11"/>
        <color rgb="FF5B9BD5"/>
        <rFont val="Calibri"/>
        <family val="2"/>
      </rPr>
      <t>AS</t>
    </r>
    <r>
      <rPr>
        <sz val="11"/>
        <color rgb="FF000000"/>
        <rFont val="Calibri"/>
        <family val="2"/>
      </rPr>
      <t xml:space="preserve"> c </t>
    </r>
    <r>
      <rPr>
        <sz val="11"/>
        <color rgb="FF5B9BD5"/>
        <rFont val="Calibri"/>
        <family val="2"/>
      </rPr>
      <t xml:space="preserve">ON </t>
    </r>
    <r>
      <rPr>
        <sz val="11"/>
        <color rgb="FF000000"/>
        <rFont val="Calibri"/>
        <family val="2"/>
      </rPr>
      <t xml:space="preserve">(b.issues_project_id = c.objectives_project_id)
</t>
    </r>
    <r>
      <rPr>
        <b/>
        <sz val="11"/>
        <color rgb="FF5B9BD5"/>
        <rFont val="Calibri"/>
        <family val="2"/>
      </rPr>
      <t>LEFT JOIN</t>
    </r>
    <r>
      <rPr>
        <sz val="11"/>
        <color rgb="FF000000"/>
        <rFont val="Calibri"/>
        <family val="2"/>
      </rPr>
      <t xml:space="preserve"> (
    </t>
    </r>
    <r>
      <rPr>
        <b/>
        <sz val="11"/>
        <color rgb="FF5B9BD5"/>
        <rFont val="Calibri"/>
        <family val="2"/>
      </rPr>
      <t>SELECT</t>
    </r>
    <r>
      <rPr>
        <sz val="11"/>
        <color rgb="FF000000"/>
        <rFont val="Calibri"/>
        <family val="2"/>
      </rPr>
      <t xml:space="preserve"> risks_objective_id, risks_id, risks_process_area_business_area_value, risks_principal_risk_l3_value, risks_risk_l4_value
   </t>
    </r>
    <r>
      <rPr>
        <b/>
        <sz val="11"/>
        <color rgb="FF5B9BD5"/>
        <rFont val="Calibri"/>
        <family val="2"/>
      </rPr>
      <t xml:space="preserve"> FROM</t>
    </r>
    <r>
      <rPr>
        <sz val="11"/>
        <color rgb="FF000000"/>
        <rFont val="Calibri"/>
        <family val="2"/>
      </rPr>
      <t xml:space="preserve"> fcat_highbond_risks_d_s
    </t>
    </r>
    <r>
      <rPr>
        <b/>
        <sz val="11"/>
        <color rgb="FF5B9BD5"/>
        <rFont val="Calibri"/>
        <family val="2"/>
      </rPr>
      <t>WHERE</t>
    </r>
    <r>
      <rPr>
        <sz val="11"/>
        <color rgb="FF000000"/>
        <rFont val="Calibri"/>
        <family val="2"/>
      </rPr>
      <t xml:space="preserve"> ENCELADUS_INFO_DATE = </t>
    </r>
    <r>
      <rPr>
        <i/>
        <sz val="11"/>
        <color rgb="FF5B9BD5"/>
        <rFont val="Calibri"/>
        <family val="2"/>
      </rPr>
      <t xml:space="preserve">Reporting Dates
</t>
    </r>
    <r>
      <rPr>
        <sz val="11"/>
        <color rgb="FF000000"/>
        <rFont val="Calibri"/>
        <family val="2"/>
      </rPr>
      <t xml:space="preserve">) </t>
    </r>
    <r>
      <rPr>
        <sz val="11"/>
        <color rgb="FF5B9BD5"/>
        <rFont val="Calibri"/>
        <family val="2"/>
      </rPr>
      <t>AS</t>
    </r>
    <r>
      <rPr>
        <sz val="11"/>
        <color rgb="FF000000"/>
        <rFont val="Calibri"/>
        <family val="2"/>
      </rPr>
      <t xml:space="preserve"> d </t>
    </r>
    <r>
      <rPr>
        <sz val="11"/>
        <color rgb="FF5B9BD5"/>
        <rFont val="Calibri"/>
        <family val="2"/>
      </rPr>
      <t>ON</t>
    </r>
    <r>
      <rPr>
        <sz val="11"/>
        <color rgb="FF000000"/>
        <rFont val="Calibri"/>
        <family val="2"/>
      </rPr>
      <t xml:space="preserve"> (c.objectives_objective_id = d.risks_objective_id)
</t>
    </r>
    <r>
      <rPr>
        <b/>
        <sz val="11"/>
        <color rgb="FF5B9BD5"/>
        <rFont val="Calibri"/>
        <family val="2"/>
      </rPr>
      <t>WHERE</t>
    </r>
    <r>
      <rPr>
        <sz val="11"/>
        <color rgb="FF000000"/>
        <rFont val="Calibri"/>
        <family val="2"/>
      </rPr>
      <t xml:space="preserve"> a.enceladus_info_date = </t>
    </r>
    <r>
      <rPr>
        <i/>
        <sz val="11"/>
        <color rgb="FF5B9BD5"/>
        <rFont val="Calibri"/>
        <family val="2"/>
      </rPr>
      <t>Reporting Dates</t>
    </r>
    <r>
      <rPr>
        <sz val="11"/>
        <color rgb="FF000000"/>
        <rFont val="Calibri"/>
        <family val="2"/>
      </rPr>
      <t>;</t>
    </r>
  </si>
  <si>
    <t>Get from risks table</t>
  </si>
  <si>
    <t>actions_revised_target_date_value</t>
  </si>
  <si>
    <t>Indicates the extended due date for the action</t>
  </si>
  <si>
    <t>ia_actions_action_revised_completion_date_value</t>
  </si>
  <si>
    <t>Extended due date</t>
  </si>
  <si>
    <r>
      <rPr>
        <b/>
        <sz val="11"/>
        <color rgb="FF569CD6"/>
        <rFont val="Calibri"/>
        <family val="2"/>
      </rPr>
      <t>CASE</t>
    </r>
    <r>
      <rPr>
        <b/>
        <sz val="11"/>
        <color rgb="FFCCCCCC"/>
        <rFont val="Calibri"/>
        <family val="2"/>
      </rPr>
      <t xml:space="preserve"> </t>
    </r>
    <r>
      <rPr>
        <b/>
        <sz val="11"/>
        <color rgb="FF569CD6"/>
        <rFont val="Calibri"/>
        <family val="2"/>
      </rPr>
      <t>WHEN</t>
    </r>
    <r>
      <rPr>
        <sz val="11"/>
        <color rgb="FFCCCCCC"/>
        <rFont val="Calibri"/>
        <family val="2"/>
      </rPr>
      <t xml:space="preserve"> </t>
    </r>
    <r>
      <rPr>
        <sz val="11"/>
        <color rgb="FF000000"/>
        <rFont val="Calibri"/>
        <family val="2"/>
      </rPr>
      <t>a.actions_completed_date &gt; a.actions_due_date</t>
    </r>
    <r>
      <rPr>
        <sz val="11"/>
        <color rgb="FFCCCCCC"/>
        <rFont val="Calibri"/>
        <family val="2"/>
      </rPr>
      <t xml:space="preserve"> </t>
    </r>
    <r>
      <rPr>
        <b/>
        <sz val="11"/>
        <color rgb="FF569CD6"/>
        <rFont val="Calibri"/>
        <family val="2"/>
      </rPr>
      <t>THEN</t>
    </r>
    <r>
      <rPr>
        <sz val="11"/>
        <color rgb="FFCCCCCC"/>
        <rFont val="Calibri"/>
        <family val="2"/>
      </rPr>
      <t xml:space="preserve"> </t>
    </r>
    <r>
      <rPr>
        <sz val="11"/>
        <color rgb="FF000000"/>
        <rFont val="Calibri"/>
        <family val="2"/>
      </rPr>
      <t>a.actions_completed_date</t>
    </r>
    <r>
      <rPr>
        <sz val="11"/>
        <color rgb="FFCCCCCC"/>
        <rFont val="Calibri"/>
        <family val="2"/>
      </rPr>
      <t xml:space="preserve"> </t>
    </r>
    <r>
      <rPr>
        <b/>
        <sz val="11"/>
        <color rgb="FF569CD6"/>
        <rFont val="Calibri"/>
        <family val="2"/>
      </rPr>
      <t>ELSE</t>
    </r>
    <r>
      <rPr>
        <b/>
        <sz val="11"/>
        <color rgb="FFCCCCCC"/>
        <rFont val="Calibri"/>
        <family val="2"/>
      </rPr>
      <t xml:space="preserve"> </t>
    </r>
    <r>
      <rPr>
        <b/>
        <sz val="11"/>
        <color rgb="FF569CD6"/>
        <rFont val="Calibri"/>
        <family val="2"/>
      </rPr>
      <t>NULL</t>
    </r>
    <r>
      <rPr>
        <b/>
        <sz val="11"/>
        <color rgb="FFCCCCCC"/>
        <rFont val="Calibri"/>
        <family val="2"/>
      </rPr>
      <t xml:space="preserve"> </t>
    </r>
  </si>
  <si>
    <t xml:space="preserve">CASE WHEN action_due_date &gt; original_due_date THEN action_due_date ELSE NULL </t>
  </si>
  <si>
    <t xml:space="preserve">Derived </t>
  </si>
  <si>
    <t>mt_highbond_risks_d_s</t>
  </si>
  <si>
    <t>risks_process_business_review_area_value</t>
  </si>
  <si>
    <t>Identifies the Business Unit for each Action</t>
  </si>
  <si>
    <r>
      <rPr>
        <b/>
        <sz val="11"/>
        <color rgb="FF5B9BD5"/>
        <rFont val="Calibri"/>
        <family val="2"/>
        <scheme val="minor"/>
      </rPr>
      <t>SELECT</t>
    </r>
    <r>
      <rPr>
        <sz val="11"/>
        <color rgb="FF000000"/>
        <rFont val="Calibri"/>
        <family val="2"/>
        <scheme val="minor"/>
      </rPr>
      <t xml:space="preserve"> d.risks_process_business_review_area_value </t>
    </r>
    <r>
      <rPr>
        <sz val="11"/>
        <color rgb="FF5B9BD5"/>
        <rFont val="Calibri"/>
        <family val="2"/>
        <scheme val="minor"/>
      </rPr>
      <t>as</t>
    </r>
    <r>
      <rPr>
        <sz val="11"/>
        <color rgb="FF000000"/>
        <rFont val="Calibri"/>
        <family val="2"/>
        <scheme val="minor"/>
      </rPr>
      <t xml:space="preserve"> Business_Unit
</t>
    </r>
    <r>
      <rPr>
        <b/>
        <sz val="11"/>
        <color rgb="FF5B9BD5"/>
        <rFont val="Calibri"/>
        <family val="2"/>
        <scheme val="minor"/>
      </rPr>
      <t>FROM</t>
    </r>
    <r>
      <rPr>
        <sz val="11"/>
        <color rgb="FF000000"/>
        <rFont val="Calibri"/>
        <family val="2"/>
        <scheme val="minor"/>
      </rPr>
      <t xml:space="preserve"> mt_highbond_actions_d_s</t>
    </r>
    <r>
      <rPr>
        <sz val="11"/>
        <color rgb="FF5B9BD5"/>
        <rFont val="Calibri"/>
        <family val="2"/>
        <scheme val="minor"/>
      </rPr>
      <t xml:space="preserve"> as</t>
    </r>
    <r>
      <rPr>
        <sz val="11"/>
        <color rgb="FF000000"/>
        <rFont val="Calibri"/>
        <family val="2"/>
        <scheme val="minor"/>
      </rPr>
      <t xml:space="preserve"> a
</t>
    </r>
    <r>
      <rPr>
        <b/>
        <sz val="11"/>
        <color rgb="FF5B9BD5"/>
        <rFont val="Calibri"/>
        <family val="2"/>
        <scheme val="minor"/>
      </rPr>
      <t>LEFT JOIN</t>
    </r>
    <r>
      <rPr>
        <sz val="11"/>
        <color rgb="FF000000"/>
        <rFont val="Calibri"/>
        <family val="2"/>
        <scheme val="minor"/>
      </rPr>
      <t xml:space="preserve"> (
  </t>
    </r>
    <r>
      <rPr>
        <b/>
        <sz val="11"/>
        <color rgb="FF5B9BD5"/>
        <rFont val="Calibri"/>
        <family val="2"/>
        <scheme val="minor"/>
      </rPr>
      <t>SELECT</t>
    </r>
    <r>
      <rPr>
        <sz val="11"/>
        <color rgb="FF000000"/>
        <rFont val="Calibri"/>
        <family val="2"/>
        <scheme val="minor"/>
      </rPr>
      <t xml:space="preserve"> issues_id, issues_project_id
  </t>
    </r>
    <r>
      <rPr>
        <b/>
        <sz val="11"/>
        <color rgb="FF5B9BD5"/>
        <rFont val="Calibri"/>
        <family val="2"/>
        <scheme val="minor"/>
      </rPr>
      <t>FROM</t>
    </r>
    <r>
      <rPr>
        <sz val="11"/>
        <color rgb="FF000000"/>
        <rFont val="Calibri"/>
        <family val="2"/>
        <scheme val="minor"/>
      </rPr>
      <t xml:space="preserve"> mt_highbond_issues_d_s
  </t>
    </r>
    <r>
      <rPr>
        <b/>
        <sz val="11"/>
        <color rgb="FF5B9BD5"/>
        <rFont val="Calibri"/>
        <family val="2"/>
        <scheme val="minor"/>
      </rPr>
      <t>WHERE</t>
    </r>
    <r>
      <rPr>
        <sz val="11"/>
        <color rgb="FF000000"/>
        <rFont val="Calibri"/>
        <family val="2"/>
        <scheme val="minor"/>
      </rPr>
      <t xml:space="preserve"> enceladus_info_date = </t>
    </r>
    <r>
      <rPr>
        <i/>
        <sz val="11"/>
        <color rgb="FF5B9BD5"/>
        <rFont val="Calibri"/>
        <family val="2"/>
        <scheme val="minor"/>
      </rPr>
      <t xml:space="preserve">Reporting Date
</t>
    </r>
    <r>
      <rPr>
        <sz val="11"/>
        <color rgb="FF000000"/>
        <rFont val="Calibri"/>
        <family val="2"/>
        <scheme val="minor"/>
      </rPr>
      <t xml:space="preserve">  ) </t>
    </r>
    <r>
      <rPr>
        <sz val="11"/>
        <color rgb="FF5B9BD5"/>
        <rFont val="Calibri"/>
        <family val="2"/>
        <scheme val="minor"/>
      </rPr>
      <t>as</t>
    </r>
    <r>
      <rPr>
        <sz val="11"/>
        <color rgb="FF000000"/>
        <rFont val="Calibri"/>
        <family val="2"/>
        <scheme val="minor"/>
      </rPr>
      <t xml:space="preserve"> b</t>
    </r>
    <r>
      <rPr>
        <sz val="11"/>
        <color rgb="FF5B9BD5"/>
        <rFont val="Calibri"/>
        <family val="2"/>
        <scheme val="minor"/>
      </rPr>
      <t xml:space="preserve"> ON</t>
    </r>
    <r>
      <rPr>
        <sz val="11"/>
        <color rgb="FF000000"/>
        <rFont val="Calibri"/>
        <family val="2"/>
        <scheme val="minor"/>
      </rPr>
      <t xml:space="preserve"> (a.actions_issue_id = b.issues_id)
</t>
    </r>
    <r>
      <rPr>
        <b/>
        <sz val="11"/>
        <color rgb="FF5B9BD5"/>
        <rFont val="Calibri"/>
        <family val="2"/>
        <scheme val="minor"/>
      </rPr>
      <t>LEFT JOIN</t>
    </r>
    <r>
      <rPr>
        <sz val="11"/>
        <color rgb="FF000000"/>
        <rFont val="Calibri"/>
        <family val="2"/>
        <scheme val="minor"/>
      </rPr>
      <t xml:space="preserve"> (
  </t>
    </r>
    <r>
      <rPr>
        <b/>
        <sz val="11"/>
        <color rgb="FF5B9BD5"/>
        <rFont val="Calibri"/>
        <family val="2"/>
        <scheme val="minor"/>
      </rPr>
      <t>SELECT</t>
    </r>
    <r>
      <rPr>
        <sz val="11"/>
        <color rgb="FF000000"/>
        <rFont val="Calibri"/>
        <family val="2"/>
        <scheme val="minor"/>
      </rPr>
      <t xml:space="preserve"> objectives_project_id,  objectives_objective_id
  </t>
    </r>
    <r>
      <rPr>
        <b/>
        <sz val="11"/>
        <color rgb="FF5B9BD5"/>
        <rFont val="Calibri"/>
        <family val="2"/>
        <scheme val="minor"/>
      </rPr>
      <t>FROM</t>
    </r>
    <r>
      <rPr>
        <sz val="11"/>
        <color rgb="FF000000"/>
        <rFont val="Calibri"/>
        <family val="2"/>
        <scheme val="minor"/>
      </rPr>
      <t xml:space="preserve"> mt_highbond_objectives_d_s
  </t>
    </r>
    <r>
      <rPr>
        <b/>
        <sz val="11"/>
        <color rgb="FF5B9BD5"/>
        <rFont val="Calibri"/>
        <family val="2"/>
        <scheme val="minor"/>
      </rPr>
      <t>WHERE</t>
    </r>
    <r>
      <rPr>
        <sz val="11"/>
        <color rgb="FF000000"/>
        <rFont val="Calibri"/>
        <family val="2"/>
        <scheme val="minor"/>
      </rPr>
      <t xml:space="preserve"> enceladus_info_date = </t>
    </r>
    <r>
      <rPr>
        <i/>
        <sz val="11"/>
        <color rgb="FF5B9BD5"/>
        <rFont val="Calibri"/>
        <family val="2"/>
        <scheme val="minor"/>
      </rPr>
      <t xml:space="preserve">Reporting Date
</t>
    </r>
    <r>
      <rPr>
        <sz val="11"/>
        <color rgb="FF000000"/>
        <rFont val="Calibri"/>
        <family val="2"/>
        <scheme val="minor"/>
      </rPr>
      <t xml:space="preserve">  ) </t>
    </r>
    <r>
      <rPr>
        <sz val="11"/>
        <color rgb="FF5B9BD5"/>
        <rFont val="Calibri"/>
        <family val="2"/>
        <scheme val="minor"/>
      </rPr>
      <t>as</t>
    </r>
    <r>
      <rPr>
        <sz val="11"/>
        <color rgb="FF000000"/>
        <rFont val="Calibri"/>
        <family val="2"/>
        <scheme val="minor"/>
      </rPr>
      <t xml:space="preserve"> c </t>
    </r>
    <r>
      <rPr>
        <sz val="11"/>
        <color rgb="FF5B9BD5"/>
        <rFont val="Calibri"/>
        <family val="2"/>
        <scheme val="minor"/>
      </rPr>
      <t>ON</t>
    </r>
    <r>
      <rPr>
        <sz val="11"/>
        <color rgb="FF000000"/>
        <rFont val="Calibri"/>
        <family val="2"/>
        <scheme val="minor"/>
      </rPr>
      <t xml:space="preserve"> (b.issues_project_id = c.objectives_project_id)
</t>
    </r>
    <r>
      <rPr>
        <b/>
        <sz val="11"/>
        <color rgb="FF5B9BD5"/>
        <rFont val="Calibri"/>
        <family val="2"/>
        <scheme val="minor"/>
      </rPr>
      <t>LEFT JOIN</t>
    </r>
    <r>
      <rPr>
        <sz val="11"/>
        <color rgb="FF000000"/>
        <rFont val="Calibri"/>
        <family val="2"/>
        <scheme val="minor"/>
      </rPr>
      <t xml:space="preserve"> (
  </t>
    </r>
    <r>
      <rPr>
        <b/>
        <sz val="11"/>
        <color rgb="FF5B9BD5"/>
        <rFont val="Calibri"/>
        <family val="2"/>
        <scheme val="minor"/>
      </rPr>
      <t>SELECT</t>
    </r>
    <r>
      <rPr>
        <sz val="11"/>
        <color rgb="FF000000"/>
        <rFont val="Calibri"/>
        <family val="2"/>
        <scheme val="minor"/>
      </rPr>
      <t xml:space="preserve"> risks_objective_id, risks_process_business_review_area_value, risks_principal_risk_choices_level1, risks_sub_risk_choices_level2
  </t>
    </r>
    <r>
      <rPr>
        <b/>
        <sz val="11"/>
        <color rgb="FF5B9BD5"/>
        <rFont val="Calibri"/>
        <family val="2"/>
        <scheme val="minor"/>
      </rPr>
      <t>FROM</t>
    </r>
    <r>
      <rPr>
        <sz val="11"/>
        <color rgb="FF000000"/>
        <rFont val="Calibri"/>
        <family val="2"/>
        <scheme val="minor"/>
      </rPr>
      <t xml:space="preserve"> mt_highbond_risks_d_s
  </t>
    </r>
    <r>
      <rPr>
        <b/>
        <sz val="11"/>
        <color rgb="FF5B9BD5"/>
        <rFont val="Calibri"/>
        <family val="2"/>
        <scheme val="minor"/>
      </rPr>
      <t>WHERE</t>
    </r>
    <r>
      <rPr>
        <sz val="11"/>
        <color rgb="FF000000"/>
        <rFont val="Calibri"/>
        <family val="2"/>
        <scheme val="minor"/>
      </rPr>
      <t xml:space="preserve"> enceladus_info_date =</t>
    </r>
    <r>
      <rPr>
        <i/>
        <sz val="11"/>
        <color rgb="FF5B9BD5"/>
        <rFont val="Calibri"/>
        <family val="2"/>
        <scheme val="minor"/>
      </rPr>
      <t xml:space="preserve">Reporting Date
</t>
    </r>
    <r>
      <rPr>
        <sz val="11"/>
        <color rgb="FF000000"/>
        <rFont val="Calibri"/>
        <family val="2"/>
        <scheme val="minor"/>
      </rPr>
      <t xml:space="preserve">  ) </t>
    </r>
    <r>
      <rPr>
        <sz val="11"/>
        <color rgb="FF5B9BD5"/>
        <rFont val="Calibri"/>
        <family val="2"/>
        <scheme val="minor"/>
      </rPr>
      <t>as</t>
    </r>
    <r>
      <rPr>
        <sz val="11"/>
        <color rgb="FF000000"/>
        <rFont val="Calibri"/>
        <family val="2"/>
        <scheme val="minor"/>
      </rPr>
      <t xml:space="preserve"> d </t>
    </r>
    <r>
      <rPr>
        <sz val="11"/>
        <color rgb="FF5B9BD5"/>
        <rFont val="Calibri"/>
        <family val="2"/>
        <scheme val="minor"/>
      </rPr>
      <t>ON</t>
    </r>
    <r>
      <rPr>
        <sz val="11"/>
        <color rgb="FF000000"/>
        <rFont val="Calibri"/>
        <family val="2"/>
        <scheme val="minor"/>
      </rPr>
      <t xml:space="preserve"> (c.objectives_objective_id = d.risks_objective_id)
</t>
    </r>
    <r>
      <rPr>
        <b/>
        <sz val="11"/>
        <color rgb="FF5B9BD5"/>
        <rFont val="Calibri"/>
        <family val="2"/>
        <scheme val="minor"/>
      </rPr>
      <t>WHERE</t>
    </r>
    <r>
      <rPr>
        <sz val="11"/>
        <color rgb="FF000000"/>
        <rFont val="Calibri"/>
        <family val="2"/>
        <scheme val="minor"/>
      </rPr>
      <t xml:space="preserve"> a.enceladus_info_date =</t>
    </r>
    <r>
      <rPr>
        <i/>
        <sz val="11"/>
        <color rgb="FF000000"/>
        <rFont val="Calibri"/>
        <family val="2"/>
        <scheme val="minor"/>
      </rPr>
      <t xml:space="preserve"> </t>
    </r>
    <r>
      <rPr>
        <i/>
        <sz val="11"/>
        <color rgb="FF5B9BD5"/>
        <rFont val="Calibri"/>
        <family val="2"/>
        <scheme val="minor"/>
      </rPr>
      <t>Reporting Date</t>
    </r>
  </si>
  <si>
    <t>business_unit</t>
  </si>
  <si>
    <t xml:space="preserve"> Get from risks table</t>
  </si>
  <si>
    <t>ia_findings_responsible_business_function_value</t>
  </si>
  <si>
    <t>business unit for the action</t>
  </si>
  <si>
    <t>SELECT  
b.ia_findings_responsible_business_function_value as Business_Unit
FROM ia_actions AS a 
LEFT JOIN (
    SELECT ia_findings_issue_id , ia_findings_issue_responsible_executive_name_title , 
  ia_findings_impacted_risk_value, 
  ia_findings_secondary_risk_value, ia_findings_responsible_business_function_value   
    FROM ia_findings  
    WHERE ENCELADUS_INFO_DATE = 'Reporting Date'
) AS b
ON (a.ia_actions_issue_id = b.ia_findings_issue_id)
WHERE a.ENCELADUS_INFO_DATE = 'Reporting Date'</t>
  </si>
  <si>
    <t>risks_process_area_business_area_value</t>
  </si>
  <si>
    <r>
      <rPr>
        <b/>
        <sz val="11"/>
        <color rgb="FF5B9BD5"/>
        <rFont val="Calibri"/>
        <family val="2"/>
      </rPr>
      <t xml:space="preserve">SELECT </t>
    </r>
    <r>
      <rPr>
        <sz val="11"/>
        <color rgb="FF000000"/>
        <rFont val="Calibri"/>
        <family val="2"/>
      </rPr>
      <t xml:space="preserve">d.risks_process_area_business_area_value as Business_Unit
</t>
    </r>
    <r>
      <rPr>
        <b/>
        <sz val="11"/>
        <color rgb="FF5B9BD5"/>
        <rFont val="Calibri"/>
        <family val="2"/>
      </rPr>
      <t>FROM</t>
    </r>
    <r>
      <rPr>
        <sz val="11"/>
        <color rgb="FF000000"/>
        <rFont val="Calibri"/>
        <family val="2"/>
      </rPr>
      <t xml:space="preserve"> fcat_highbond_actions_d_s </t>
    </r>
    <r>
      <rPr>
        <sz val="11"/>
        <color rgb="FF5B9BD5"/>
        <rFont val="Calibri"/>
        <family val="2"/>
      </rPr>
      <t>AS</t>
    </r>
    <r>
      <rPr>
        <sz val="11"/>
        <color rgb="FF000000"/>
        <rFont val="Calibri"/>
        <family val="2"/>
      </rPr>
      <t xml:space="preserve"> a
</t>
    </r>
    <r>
      <rPr>
        <b/>
        <sz val="11"/>
        <color rgb="FF5B9BD5"/>
        <rFont val="Calibri"/>
        <family val="2"/>
      </rPr>
      <t>LEFT JOIN</t>
    </r>
    <r>
      <rPr>
        <sz val="11"/>
        <color rgb="FF000000"/>
        <rFont val="Calibri"/>
        <family val="2"/>
      </rPr>
      <t xml:space="preserve"> (
    </t>
    </r>
    <r>
      <rPr>
        <b/>
        <sz val="11"/>
        <color rgb="FF5B9BD5"/>
        <rFont val="Calibri"/>
        <family val="2"/>
      </rPr>
      <t>SELECT</t>
    </r>
    <r>
      <rPr>
        <sz val="11"/>
        <color rgb="FF000000"/>
        <rFont val="Calibri"/>
        <family val="2"/>
      </rPr>
      <t xml:space="preserve"> issues_id, issues_project_id
    </t>
    </r>
    <r>
      <rPr>
        <b/>
        <sz val="11"/>
        <color rgb="FF5B9BD5"/>
        <rFont val="Calibri"/>
        <family val="2"/>
      </rPr>
      <t>FROM</t>
    </r>
    <r>
      <rPr>
        <sz val="11"/>
        <color rgb="FF000000"/>
        <rFont val="Calibri"/>
        <family val="2"/>
      </rPr>
      <t xml:space="preserve"> fcat_highbond_issues_d_s
    </t>
    </r>
    <r>
      <rPr>
        <b/>
        <sz val="11"/>
        <color rgb="FF5B9BD5"/>
        <rFont val="Calibri"/>
        <family val="2"/>
      </rPr>
      <t>WHERE</t>
    </r>
    <r>
      <rPr>
        <sz val="11"/>
        <color rgb="FF000000"/>
        <rFont val="Calibri"/>
        <family val="2"/>
      </rPr>
      <t xml:space="preserve"> ENCELADUS_INFO_DATE = </t>
    </r>
    <r>
      <rPr>
        <i/>
        <sz val="11"/>
        <color rgb="FF5B9BD5"/>
        <rFont val="Calibri"/>
        <family val="2"/>
      </rPr>
      <t xml:space="preserve">Reporting Date
</t>
    </r>
    <r>
      <rPr>
        <sz val="11"/>
        <color rgb="FF000000"/>
        <rFont val="Calibri"/>
        <family val="2"/>
      </rPr>
      <t xml:space="preserve">) </t>
    </r>
    <r>
      <rPr>
        <sz val="11"/>
        <color rgb="FF5B9BD5"/>
        <rFont val="Calibri"/>
        <family val="2"/>
      </rPr>
      <t>AS</t>
    </r>
    <r>
      <rPr>
        <sz val="11"/>
        <color rgb="FF000000"/>
        <rFont val="Calibri"/>
        <family val="2"/>
      </rPr>
      <t xml:space="preserve"> b </t>
    </r>
    <r>
      <rPr>
        <sz val="11"/>
        <color rgb="FF5B9BD5"/>
        <rFont val="Calibri"/>
        <family val="2"/>
      </rPr>
      <t>ON</t>
    </r>
    <r>
      <rPr>
        <sz val="11"/>
        <color rgb="FF000000"/>
        <rFont val="Calibri"/>
        <family val="2"/>
      </rPr>
      <t xml:space="preserve"> (a.actions_issue_id = b.issues_id)
</t>
    </r>
    <r>
      <rPr>
        <b/>
        <sz val="11"/>
        <color rgb="FF5B9BD5"/>
        <rFont val="Calibri"/>
        <family val="2"/>
      </rPr>
      <t>LEFT JOIN</t>
    </r>
    <r>
      <rPr>
        <sz val="11"/>
        <color rgb="FF000000"/>
        <rFont val="Calibri"/>
        <family val="2"/>
      </rPr>
      <t xml:space="preserve"> (
    </t>
    </r>
    <r>
      <rPr>
        <b/>
        <sz val="11"/>
        <color rgb="FF5B9BD5"/>
        <rFont val="Calibri"/>
        <family val="2"/>
      </rPr>
      <t>SELECT</t>
    </r>
    <r>
      <rPr>
        <sz val="11"/>
        <color rgb="FF000000"/>
        <rFont val="Calibri"/>
        <family val="2"/>
      </rPr>
      <t xml:space="preserve"> objectives_project_id, objectives_objective_id
    </t>
    </r>
    <r>
      <rPr>
        <b/>
        <sz val="11"/>
        <color rgb="FF5B9BD5"/>
        <rFont val="Calibri"/>
        <family val="2"/>
      </rPr>
      <t>FROM</t>
    </r>
    <r>
      <rPr>
        <sz val="11"/>
        <color rgb="FF000000"/>
        <rFont val="Calibri"/>
        <family val="2"/>
      </rPr>
      <t xml:space="preserve"> fcat_highbond_objectives_d_s
    </t>
    </r>
    <r>
      <rPr>
        <b/>
        <sz val="11"/>
        <color rgb="FF5B9BD5"/>
        <rFont val="Calibri"/>
        <family val="2"/>
      </rPr>
      <t>WHERE</t>
    </r>
    <r>
      <rPr>
        <sz val="11"/>
        <color rgb="FF000000"/>
        <rFont val="Calibri"/>
        <family val="2"/>
      </rPr>
      <t xml:space="preserve"> ENCELADUS_INFO_DATE = </t>
    </r>
    <r>
      <rPr>
        <i/>
        <sz val="11"/>
        <color rgb="FF5B9BD5"/>
        <rFont val="Calibri"/>
        <family val="2"/>
      </rPr>
      <t xml:space="preserve">Reporting Date
</t>
    </r>
    <r>
      <rPr>
        <sz val="11"/>
        <color rgb="FF000000"/>
        <rFont val="Calibri"/>
        <family val="2"/>
      </rPr>
      <t xml:space="preserve">) </t>
    </r>
    <r>
      <rPr>
        <sz val="11"/>
        <color rgb="FF5B9BD5"/>
        <rFont val="Calibri"/>
        <family val="2"/>
      </rPr>
      <t>AS</t>
    </r>
    <r>
      <rPr>
        <sz val="11"/>
        <color rgb="FF000000"/>
        <rFont val="Calibri"/>
        <family val="2"/>
      </rPr>
      <t xml:space="preserve"> c </t>
    </r>
    <r>
      <rPr>
        <sz val="11"/>
        <color rgb="FF5B9BD5"/>
        <rFont val="Calibri"/>
        <family val="2"/>
      </rPr>
      <t xml:space="preserve">ON </t>
    </r>
    <r>
      <rPr>
        <sz val="11"/>
        <color rgb="FF000000"/>
        <rFont val="Calibri"/>
        <family val="2"/>
      </rPr>
      <t xml:space="preserve">(b.issues_project_id = c.objectives_project_id)
</t>
    </r>
    <r>
      <rPr>
        <b/>
        <sz val="11"/>
        <color rgb="FF5B9BD5"/>
        <rFont val="Calibri"/>
        <family val="2"/>
      </rPr>
      <t>LEFT JOIN</t>
    </r>
    <r>
      <rPr>
        <sz val="11"/>
        <color rgb="FF000000"/>
        <rFont val="Calibri"/>
        <family val="2"/>
      </rPr>
      <t xml:space="preserve"> (
    </t>
    </r>
    <r>
      <rPr>
        <b/>
        <sz val="11"/>
        <color rgb="FF5B9BD5"/>
        <rFont val="Calibri"/>
        <family val="2"/>
      </rPr>
      <t>SELECT</t>
    </r>
    <r>
      <rPr>
        <sz val="11"/>
        <color rgb="FF000000"/>
        <rFont val="Calibri"/>
        <family val="2"/>
      </rPr>
      <t xml:space="preserve"> risks_objective_id, risks_id, risks_process_area_business_area_value, risks_principal_risk_l3_value, risks_risk_l4_value
   </t>
    </r>
    <r>
      <rPr>
        <b/>
        <sz val="11"/>
        <color rgb="FF5B9BD5"/>
        <rFont val="Calibri"/>
        <family val="2"/>
      </rPr>
      <t xml:space="preserve"> FROM</t>
    </r>
    <r>
      <rPr>
        <sz val="11"/>
        <color rgb="FF000000"/>
        <rFont val="Calibri"/>
        <family val="2"/>
      </rPr>
      <t xml:space="preserve"> fcat_highbond_risks_d_s
    </t>
    </r>
    <r>
      <rPr>
        <b/>
        <sz val="11"/>
        <color rgb="FF5B9BD5"/>
        <rFont val="Calibri"/>
        <family val="2"/>
      </rPr>
      <t>WHERE</t>
    </r>
    <r>
      <rPr>
        <sz val="11"/>
        <color rgb="FF000000"/>
        <rFont val="Calibri"/>
        <family val="2"/>
      </rPr>
      <t xml:space="preserve"> ENCELADUS_INFO_DATE = </t>
    </r>
    <r>
      <rPr>
        <i/>
        <sz val="11"/>
        <color rgb="FF5B9BD5"/>
        <rFont val="Calibri"/>
        <family val="2"/>
      </rPr>
      <t xml:space="preserve">Reporting Date
</t>
    </r>
    <r>
      <rPr>
        <sz val="11"/>
        <color rgb="FF000000"/>
        <rFont val="Calibri"/>
        <family val="2"/>
      </rPr>
      <t xml:space="preserve">) </t>
    </r>
    <r>
      <rPr>
        <sz val="11"/>
        <color rgb="FF5B9BD5"/>
        <rFont val="Calibri"/>
        <family val="2"/>
      </rPr>
      <t>AS</t>
    </r>
    <r>
      <rPr>
        <sz val="11"/>
        <color rgb="FF000000"/>
        <rFont val="Calibri"/>
        <family val="2"/>
      </rPr>
      <t xml:space="preserve"> d </t>
    </r>
    <r>
      <rPr>
        <sz val="11"/>
        <color rgb="FF5B9BD5"/>
        <rFont val="Calibri"/>
        <family val="2"/>
      </rPr>
      <t>ON</t>
    </r>
    <r>
      <rPr>
        <sz val="11"/>
        <color rgb="FF000000"/>
        <rFont val="Calibri"/>
        <family val="2"/>
      </rPr>
      <t xml:space="preserve"> (c.objectives_objective_id = d.risks_objective_id)
</t>
    </r>
    <r>
      <rPr>
        <b/>
        <sz val="11"/>
        <color rgb="FF5B9BD5"/>
        <rFont val="Calibri"/>
        <family val="2"/>
      </rPr>
      <t>WHERE</t>
    </r>
    <r>
      <rPr>
        <sz val="11"/>
        <color rgb="FF000000"/>
        <rFont val="Calibri"/>
        <family val="2"/>
      </rPr>
      <t xml:space="preserve"> a.enceladus_info_date = </t>
    </r>
    <r>
      <rPr>
        <i/>
        <sz val="11"/>
        <color rgb="FF5B9BD5"/>
        <rFont val="Calibri"/>
        <family val="2"/>
      </rPr>
      <t>Reporting Date</t>
    </r>
    <r>
      <rPr>
        <sz val="11"/>
        <color rgb="FF000000"/>
        <rFont val="Calibri"/>
        <family val="2"/>
      </rPr>
      <t>;</t>
    </r>
  </si>
  <si>
    <t xml:space="preserve">Yes </t>
  </si>
  <si>
    <t>Functional area within an organization responsible for specific operations or activities.</t>
  </si>
  <si>
    <t xml:space="preserve">Remove tabs for Parent Path table and reference transformation document in the transform column </t>
  </si>
  <si>
    <t>Derived from Parent_Path field</t>
  </si>
  <si>
    <t xml:space="preserve">Entity undergoing Assurance </t>
  </si>
  <si>
    <t xml:space="preserve">Remove tabs for parent path table and reference transformation document in the transform column </t>
  </si>
  <si>
    <t>entity_being_ assured</t>
  </si>
  <si>
    <t>actions_owner_user_id</t>
  </si>
  <si>
    <t>Unique Identifier of the Actions Owner</t>
  </si>
  <si>
    <t>ia_actions_owner_user_id</t>
  </si>
  <si>
    <t>unique identifier for actions owner</t>
  </si>
  <si>
    <t>The directory or folder path leading to a specific location or object within a hierarchical structure.</t>
  </si>
  <si>
    <t>parent_path</t>
  </si>
  <si>
    <t>Parent_Path</t>
  </si>
  <si>
    <t>Actions Writeback Minimum Required Field</t>
  </si>
  <si>
    <t>The types or categories of objects that serve as parents within a hierarchical structure.</t>
  </si>
  <si>
    <t>parent_object_types</t>
  </si>
  <si>
    <t>Parent_Object_Types</t>
  </si>
  <si>
    <t>Objects or entities that serve as parents within a hierarchical structure, typically containing or governing other related objects.</t>
  </si>
  <si>
    <t>parent_objects</t>
  </si>
  <si>
    <t>Parent_Objects</t>
  </si>
  <si>
    <t>join [pcm_dwbs].name = [pcm_dwbs_remediation_action].[Parent Objects]</t>
  </si>
  <si>
    <t>The count of how many times the date associated with an action or task has been modified or updated.</t>
  </si>
  <si>
    <t>number_of_date_changes</t>
  </si>
  <si>
    <t>The count of how many times a particular issue or task has been reopened after being closed previously.</t>
  </si>
  <si>
    <t>number_of_times_reopened</t>
  </si>
  <si>
    <t>status_status</t>
  </si>
  <si>
    <t>Actions_Type</t>
  </si>
  <si>
    <t>Internal Audit</t>
  </si>
  <si>
    <t>Target Gap Analysis</t>
  </si>
  <si>
    <t>Target STTM</t>
  </si>
  <si>
    <t>Action_Type</t>
  </si>
  <si>
    <t>Title</t>
  </si>
  <si>
    <t>Assurance_Review_Title</t>
  </si>
  <si>
    <t>Found</t>
  </si>
  <si>
    <t>Action_Due_Date</t>
  </si>
  <si>
    <t>Status_Status</t>
  </si>
  <si>
    <t>Linked_Issue_Requiring_Closure</t>
  </si>
  <si>
    <t>Actions_Owner_User_ID</t>
  </si>
  <si>
    <t>Actions_Owner</t>
  </si>
  <si>
    <t>Accountable_Executive</t>
  </si>
  <si>
    <t>Due_Date_Extended</t>
  </si>
  <si>
    <t>Action_Owner</t>
  </si>
  <si>
    <t xml:space="preserve">Actions_Owner </t>
  </si>
  <si>
    <t>Impacted_Risk_Principal</t>
  </si>
  <si>
    <t>Business_Unit</t>
  </si>
  <si>
    <t>Sub_Risk_Type_Assured</t>
  </si>
  <si>
    <t>Action_Agreed_With_Action_Owners</t>
  </si>
  <si>
    <t> Derived</t>
  </si>
  <si>
    <t>Standard_Level_Risk</t>
  </si>
  <si>
    <t>Entity_being_ Assured</t>
  </si>
  <si>
    <t>Issue_Name</t>
  </si>
  <si>
    <t xml:space="preserve">Business_Unit </t>
  </si>
  <si>
    <t>Target</t>
  </si>
  <si>
    <t>Extract</t>
  </si>
  <si>
    <t>Additional_comments</t>
  </si>
  <si>
    <t>actions_status</t>
  </si>
  <si>
    <t>status</t>
  </si>
  <si>
    <t>Status</t>
  </si>
  <si>
    <t>Workflow_comments</t>
  </si>
  <si>
    <t>Action_Due_Date*</t>
  </si>
  <si>
    <t>start_date</t>
  </si>
  <si>
    <t>due_date_extended (extended_due_date_approved)</t>
  </si>
  <si>
    <t>Remedial_action</t>
  </si>
  <si>
    <t>Last_Modified_By</t>
  </si>
  <si>
    <t>Last_Modified_By_</t>
  </si>
  <si>
    <t>Can we Join with Issues? (Issue ID 1..*)</t>
  </si>
  <si>
    <t>Last_Modified_By_Name</t>
  </si>
  <si>
    <t>risk_category_specialist_risk_type</t>
  </si>
  <si>
    <t>Entity Being Assured</t>
  </si>
  <si>
    <t>created_by</t>
  </si>
  <si>
    <t>created_by_name</t>
  </si>
  <si>
    <t>additional_description</t>
  </si>
  <si>
    <t>issue_owner_for_approval</t>
  </si>
  <si>
    <t>action_co-ordinator</t>
  </si>
  <si>
    <t>action_co-ordinator_name</t>
  </si>
  <si>
    <t>percent_complete</t>
  </si>
  <si>
    <t>action_closure_rationale</t>
  </si>
  <si>
    <t>action_requested_due_date_validation</t>
  </si>
  <si>
    <t>action_validator</t>
  </si>
  <si>
    <t>action_validator_name</t>
  </si>
  <si>
    <t>assurance_provider_closure_assurance</t>
  </si>
  <si>
    <t>control_embedment_date</t>
  </si>
  <si>
    <t>control_implementation_date</t>
  </si>
  <si>
    <t>date_change_rationale</t>
  </si>
  <si>
    <t>delivery_status</t>
  </si>
  <si>
    <t>delivery_status_commentary</t>
  </si>
  <si>
    <t>expected_reopen_closure_date_validation</t>
  </si>
  <si>
    <t>mandatory_assurance_required</t>
  </si>
  <si>
    <t>off_system_assurance_comment</t>
  </si>
  <si>
    <t>off_system_assurance_result</t>
  </si>
  <si>
    <t>remediation_category</t>
  </si>
  <si>
    <t>in_milestone_conversion</t>
  </si>
  <si>
    <t>risk_step_down_action</t>
  </si>
  <si>
    <t>tactical_or_strategic_action</t>
  </si>
  <si>
    <t>validation_date</t>
  </si>
  <si>
    <t>validation_description</t>
  </si>
  <si>
    <t>latest_assurance_result</t>
  </si>
  <si>
    <t>latest_assurance_result_commentary</t>
  </si>
  <si>
    <t>assurance_provider_reference_number</t>
  </si>
  <si>
    <t>reopen_approval_comment</t>
  </si>
  <si>
    <t>reopen_request_motivation</t>
  </si>
  <si>
    <t>closed_by</t>
  </si>
  <si>
    <t>closed_by_name</t>
  </si>
  <si>
    <t>closing_comments</t>
  </si>
  <si>
    <t>date_rejected</t>
  </si>
  <si>
    <t>date_reviewed</t>
  </si>
  <si>
    <t>stage</t>
  </si>
  <si>
    <t>rejected_by</t>
  </si>
  <si>
    <t>rejected_by_name</t>
  </si>
  <si>
    <t>rejection_comments</t>
  </si>
  <si>
    <t>reopened_by</t>
  </si>
  <si>
    <t>reopened_by_name</t>
  </si>
  <si>
    <t>reopen_review_history</t>
  </si>
  <si>
    <t>review_comments</t>
  </si>
  <si>
    <t>reviewed_by</t>
  </si>
  <si>
    <t>reviewed_by_name</t>
  </si>
  <si>
    <t>validated_by</t>
  </si>
  <si>
    <t>validated_by_name</t>
  </si>
  <si>
    <t>validation_comments</t>
  </si>
  <si>
    <t>errcol</t>
  </si>
  <si>
    <t>enceladus_info_date</t>
  </si>
  <si>
    <t>enceladus_info_version</t>
  </si>
  <si>
    <t>/ABSA Group Limited/Africa Region Operations/Seychelles/Enterprise Functions/Risk/Operational Risk</t>
  </si>
  <si>
    <t>Business Entities</t>
  </si>
  <si>
    <t>Operational Risk</t>
  </si>
  <si>
    <t>Action_1781_Issue_2181</t>
  </si>
  <si>
    <t>AB0189H</t>
  </si>
  <si>
    <t>Stephane Tirant</t>
  </si>
  <si>
    <t>Closed</t>
  </si>
  <si>
    <t>Action Requiring Closure</t>
  </si>
  <si>
    <t>Not Overdue</t>
  </si>
  <si>
    <t>Completed</t>
  </si>
  <si>
    <t>action completed</t>
  </si>
  <si>
    <t>Issue_2181</t>
  </si>
  <si>
    <t>Process and procedure</t>
  </si>
  <si>
    <t>Tactical</t>
  </si>
  <si>
    <t>1986/003934/06</t>
  </si>
  <si>
    <t>[]</t>
  </si>
  <si>
    <t>Action_1770_Issue_2168</t>
  </si>
  <si>
    <t>Action completed</t>
  </si>
  <si>
    <t>Issue_2168</t>
  </si>
  <si>
    <t>Technology</t>
  </si>
  <si>
    <t>/ABSA Group Limited/Africa Region Operations/Seychelles/Enterprise Functions/Risk/Credit Underwriting</t>
  </si>
  <si>
    <t>Credit Underwriting</t>
  </si>
  <si>
    <t>Action_1769_Issue_2167</t>
  </si>
  <si>
    <t>Review the content of mandate letter and update. Provide awareness.</t>
  </si>
  <si>
    <t>ABLQ015</t>
  </si>
  <si>
    <t>Lindsey Quatre</t>
  </si>
  <si>
    <t>Michel Morel</t>
  </si>
  <si>
    <t>Action to remediate root cause is completed</t>
  </si>
  <si>
    <t>Issue_2167</t>
  </si>
  <si>
    <t>Remediation of Discretionary Limit Assignment</t>
  </si>
  <si>
    <t>UW12</t>
  </si>
  <si>
    <t>/ABSA Group Limited/South Africa/South Africa/Enterprise Functions/Group Risk/Operational Risk</t>
  </si>
  <si>
    <t>Action_1768_Issue_2166</t>
  </si>
  <si>
    <t>test</t>
  </si>
  <si>
    <t>ABKMA18</t>
  </si>
  <si>
    <t>Kelebogile Tladi</t>
  </si>
  <si>
    <t>Cancelled</t>
  </si>
  <si>
    <t>Issue_2166</t>
  </si>
  <si>
    <t>Action_1767_Issue_2164</t>
  </si>
  <si>
    <t>Draft</t>
  </si>
  <si>
    <t>Issue_2164</t>
  </si>
  <si>
    <t>Action_1766_Issue_2164</t>
  </si>
  <si>
    <t>Open</t>
  </si>
  <si>
    <t>Milestone</t>
  </si>
  <si>
    <t>delivery</t>
  </si>
  <si>
    <t>In Conversion</t>
  </si>
  <si>
    <t>In Progress</t>
  </si>
  <si>
    <t>Action_1765_Issue_2163</t>
  </si>
  <si>
    <t>Issue_2163</t>
  </si>
  <si>
    <t>action requiring closure title</t>
  </si>
  <si>
    <t>Action_1764_Issue_2163</t>
  </si>
  <si>
    <t>milestone description</t>
  </si>
  <si>
    <t>delivery status</t>
  </si>
  <si>
    <t>milestone title</t>
  </si>
  <si>
    <t>AB12</t>
  </si>
  <si>
    <t>Action_1763_Issue_2162</t>
  </si>
  <si>
    <t>Action requiring closure trial</t>
  </si>
  <si>
    <t>Issue_2162</t>
  </si>
  <si>
    <t>Action requiring closure</t>
  </si>
  <si>
    <t>Action_1762_Issue_2162</t>
  </si>
  <si>
    <t>milestone action trial</t>
  </si>
  <si>
    <t>progress</t>
  </si>
  <si>
    <t>/ABSA Group Limited/South Africa/South Africa/Enterprise Functions/Engineering Services</t>
  </si>
  <si>
    <t>Engineering Services</t>
  </si>
  <si>
    <t>Action_1749_Issue_2154</t>
  </si>
  <si>
    <t>Testing</t>
  </si>
  <si>
    <t>ABDR354</t>
  </si>
  <si>
    <t>Daniel Ralesigo</t>
  </si>
  <si>
    <t>Issue_2154</t>
  </si>
  <si>
    <t>Strategic</t>
  </si>
  <si>
    <t>Testing_Action Plan</t>
  </si>
  <si>
    <t>/ABSA Group Limited/South Africa/South Africa/Corporate and Investment Bank/Support Functions/Post Trade Services Team/Treasury/Offshore Bonds PTS</t>
  </si>
  <si>
    <t>Offshore Bonds PTS</t>
  </si>
  <si>
    <t>Action_1748_Issue_2149</t>
  </si>
  <si>
    <t>1) Reiterate the requirement that data in the spreadsheet must be copy / pasted to the face of the email, such that the 2x sources match without exception (Actioned by Mangement on 17th January)  2) Amend the headings on the face of the email to avoid any ambiguity about reporting of Open Allegements vs Outstanding Allocations (Actioned by Mangement on 17th January)  3) Add a daily control to the management checklist to confirm that data in the spreadsheet matches that on face of the email (Actioned by Mangement on 19th January)</t>
  </si>
  <si>
    <t>ABTMAN3</t>
  </si>
  <si>
    <t>Tinyiko Mashimbyi</t>
  </si>
  <si>
    <t>Richard Gwilt, Craig Hind</t>
  </si>
  <si>
    <t>On Track</t>
  </si>
  <si>
    <t>Issue_2149</t>
  </si>
  <si>
    <t>Daily exception reporting and escalation process</t>
  </si>
  <si>
    <t>/ABSA Group Limited/South Africa/South Africa/Retail and Business Banking/Physical Channels</t>
  </si>
  <si>
    <t>Physical Channels</t>
  </si>
  <si>
    <t>Action_1747_Issue_8062</t>
  </si>
  <si>
    <t>â€¢ Physical Channels (PC) People Function will conduct a review of the talent management processes within PC and build a framework around ensuring that the BU can best leverage off the existing talent management process.  The revised talent management framework should be designed in a manner that the volume of requisitions are minimised as well as reducing time to hire.  â€¢ A key process that is being reviewed is the existing promotion standard to support the framework. â€¢ Weekly Sales Vacancy Monitoring sessions are being held with Regions around the current status on long outstanding Sales Vacancies (i.e. Vacancies exceeding 50 days).  The purpose of these sessions is to monitor, track and collectively solution where there are bottlenecks relating to these vacancies.</t>
  </si>
  <si>
    <t>ABBMAHK</t>
  </si>
  <si>
    <t>Busisiwe Mvelase</t>
  </si>
  <si>
    <t>Glynn Bezuidenhout</t>
  </si>
  <si>
    <t>Resourcing</t>
  </si>
  <si>
    <t>Review of Physical Channels Talent Management Framework</t>
  </si>
  <si>
    <t>Action_1746_Issue_8062</t>
  </si>
  <si>
    <t>One of the contributing factors to the high volumes of vacancies is attributed to the timelines associated with the Risk Assessment.    â€¢ The screening Standard has been reviewed, specifically relating to the MIE (Risk Assessment) process.  The updated Standard will be published once socialisation with the People Function has occurred.</t>
  </si>
  <si>
    <t>Jody Lynn Blake: Group Talent Acquisition Lead</t>
  </si>
  <si>
    <t>People Screening Standard Review (Employee Screening Process)</t>
  </si>
  <si>
    <t>Action_6846_Issue_8062</t>
  </si>
  <si>
    <t>â€¢ Although resources have been onboarded to fill the vacancies in the Talent Acquisitions team, it must be noted that some resources were appointed in fixed term contracts and as a result continue to be a flight risks. A proposal is being submitted to the Everyday Banking (EB) Chief People Officer to recommend / request for the cluster to convert these fixed contract roles into permanent roles.</t>
  </si>
  <si>
    <t>Vuyile Mbatha</t>
  </si>
  <si>
    <t>Issue_8062</t>
  </si>
  <si>
    <t>1. Capacity Constraints Talent Acquisition Departm</t>
  </si>
  <si>
    <t>/ABSA Group Limited/Africa Region Operations/Zambia/Enterprise Functions/Chief Operating Office/Consumer Ops</t>
  </si>
  <si>
    <t>Consumer Ops</t>
  </si>
  <si>
    <t>Action_1724_Issue_2114</t>
  </si>
  <si>
    <t>Cash shortage</t>
  </si>
  <si>
    <t>ABVN274</t>
  </si>
  <si>
    <t>Victor Njovu</t>
  </si>
  <si>
    <t>Overdue</t>
  </si>
  <si>
    <t>Chansa Kasengele</t>
  </si>
  <si>
    <t>Pass</t>
  </si>
  <si>
    <t>Issue needs to be extended</t>
  </si>
  <si>
    <t>Issue_2114</t>
  </si>
  <si>
    <t>Cash Shortage</t>
  </si>
  <si>
    <t>In Extension</t>
  </si>
  <si>
    <t>/ABSA Group Limited/South Africa/South Africa/Enterprise Functions/Compliance/Financial Crime/FC ABC</t>
  </si>
  <si>
    <t>FC ABC</t>
  </si>
  <si>
    <t>Action_1723_Issue_2113</t>
  </si>
  <si>
    <t>Test post Milestone</t>
  </si>
  <si>
    <t>ABCK684</t>
  </si>
  <si>
    <t>Cleopatra Kgoputso</t>
  </si>
  <si>
    <t>Nelly Miya</t>
  </si>
  <si>
    <t>Issue_2113</t>
  </si>
  <si>
    <t>Action_1722_Issue_2113</t>
  </si>
  <si>
    <t>Test - Action Cognos</t>
  </si>
  <si>
    <t>Action Cognos GRC Test</t>
  </si>
  <si>
    <t>/ABSA Group Limited/South Africa/South Africa/Enterprise Functions/People Function/People Experience/HR Shared Services/ARO Payroll</t>
  </si>
  <si>
    <t>ARO Payroll</t>
  </si>
  <si>
    <t>Action_1666_Issue_2045</t>
  </si>
  <si>
    <t>Testin g</t>
  </si>
  <si>
    <t>ABAJ459</t>
  </si>
  <si>
    <t>Aneesta Jootun</t>
  </si>
  <si>
    <t>Aneesta</t>
  </si>
  <si>
    <t>Issue_2045</t>
  </si>
  <si>
    <t>Action_1665_Issue_2044</t>
  </si>
  <si>
    <t>aneesta jootun</t>
  </si>
  <si>
    <t>Issue_2044</t>
  </si>
  <si>
    <t>/ABSA Group Limited/Legal Entities/AB Finco 1 (RF) Limited</t>
  </si>
  <si>
    <t>AB Finco 1 (RF) Limited</t>
  </si>
  <si>
    <t>Action_1664_Issue_2043</t>
  </si>
  <si>
    <t>kt</t>
  </si>
  <si>
    <t>Issue_2043</t>
  </si>
  <si>
    <t>Action_1663_Issue_2042</t>
  </si>
  <si>
    <t>aneesta</t>
  </si>
  <si>
    <t>Issue_2042</t>
  </si>
  <si>
    <t>/ABSA Group Limited/South Africa/South Africa/Enterprise Functions/Compliance/CIB Compliance/CIB Compliance Markets</t>
  </si>
  <si>
    <t>CIB Compliance Markets</t>
  </si>
  <si>
    <t>Action_1661_Issue_2041</t>
  </si>
  <si>
    <t>Issue_2041</t>
  </si>
  <si>
    <t>Action_1646_Issue_2024</t>
  </si>
  <si>
    <t>te</t>
  </si>
  <si>
    <t>Issue_2024</t>
  </si>
  <si>
    <t>Organisational Design</t>
  </si>
  <si>
    <t>COMPLETION APPROVED | 2022-10-12  |  ABEN088: approve</t>
  </si>
  <si>
    <t>Action_1645_Issue_2024</t>
  </si>
  <si>
    <t>Action_1644_Issue_2024</t>
  </si>
  <si>
    <t>Frameworks, Policies and Standard</t>
  </si>
  <si>
    <t>Action_1643_Issue_2023</t>
  </si>
  <si>
    <t>Issue_2023</t>
  </si>
  <si>
    <t>Action_1642_Issue_2023</t>
  </si>
  <si>
    <t>Action_1641_Issue_2021</t>
  </si>
  <si>
    <t>KT</t>
  </si>
  <si>
    <t>Issue_2021</t>
  </si>
  <si>
    <t>/ABSA Group Limited/South Africa/South Africa/Retail and Business Banking/Physical Channels/Physical Channels HO/Physical Channels Sales</t>
  </si>
  <si>
    <t>Physical Channels Sales</t>
  </si>
  <si>
    <t>Action_1635_Issue_2012</t>
  </si>
  <si>
    <t>AC Management will for the duration of the Exit Plan:Ensure that Operational Committee meetings minutes and packs are maintained and easily retrievable when required.</t>
  </si>
  <si>
    <t>Kuveshen Moodley, Manager: Device and Placement Alternative Channels</t>
  </si>
  <si>
    <t>Governance</t>
  </si>
  <si>
    <t>3. Operational Committee meetings</t>
  </si>
  <si>
    <t>/ABSA Group Limited/South Africa/South Africa/Retail and Business Banking/Physical Channels/Physical Channels HO/PC Chief Information Officer</t>
  </si>
  <si>
    <t>PC Chief Information Officer</t>
  </si>
  <si>
    <t>Action_1634_Issue_2011</t>
  </si>
  <si>
    <t>AC Management will for the duration of the Exit Plan, obtain a weekly report of all decommissioned ATMs from ATM Solutions and:On a monthly basis perform a sample-based independent physical inspection, representative of the population, to confirm that the Absa branding was removed from decommissioned ATMs.Request ATM Solutions to send pictures of the decommissioned ATMs and relevant signage at the premises to confirm that the Absa branding was removed.Â </t>
  </si>
  <si>
    <t>1. Independent validation of Absa branding removal from the Automated Teller Machine (ATM)</t>
  </si>
  <si>
    <t>/ABSA Group Limited/South Africa/South Africa/Retail and Business Banking/Customer Value Management/Digital Channels/Change Enablement</t>
  </si>
  <si>
    <t>Change Enablement</t>
  </si>
  <si>
    <t>Action_1633_Issue_2010</t>
  </si>
  <si>
    <t>AC Management will for the duration of the Exit Plan:Send a weekly report to the Base 24 Technology team to verify whether transactions have occurred post the ATM decommission date. Where transactions are noted, these will be sent to ATM solutions to investigate and resolve.Validate the monthly reports of decommissioned ATMs and report the number of decommissioned ATMs to the Operational meeting where sign-off will be obtained.Â </t>
  </si>
  <si>
    <t>Monitoring of decommissioned ATMs</t>
  </si>
  <si>
    <t>/ABSA Group Limited/South Africa/South Africa/Retail and Business Banking/Physical Channels/Physical Channels HO/Physical Channels Strategic Initiatives</t>
  </si>
  <si>
    <t>Physical Channels Strategic Initiatives</t>
  </si>
  <si>
    <t>Action_1632_Issue_2013</t>
  </si>
  <si>
    <t>Management will:Â Upon completion of the 2022 annual Africa Access Recertification Campaign, complete a once off validation process with the RBB Salesforce team to confirm that all Physical Channels users identified for deactivation, have been deactivated. Â </t>
  </si>
  <si>
    <t>Minette Botha, PC Technology Lead</t>
  </si>
  <si>
    <t>Salesforce user access management</t>
  </si>
  <si>
    <t>Action_1631_Issue_2012</t>
  </si>
  <si>
    <t>Management will:* Document and minute Design (post front-end UI design review) and Release (post production implementation) reviews including corrective actions;* Track corrective actions from the reviews at the Kilimanjaro Weekly Working Committee meeting;</t>
  </si>
  <si>
    <t>Ansu Grobler, Lead Technical Delivery</t>
  </si>
  <si>
    <t>Release reviews</t>
  </si>
  <si>
    <t>Action_1630_Issue_2011</t>
  </si>
  <si>
    <t>Management will:Business Case* Update Business Case with end date and ensure that the date aligns to the PlanEx end date.*Â Obtained Accountable Executive and Change Control approval on PlanEx for the date extension to March 2023.*Â Update Business Case and show the CTA (Life To Date plus CTA 2022) as per the high level roadmap per quarter and obtain SteerCo approval. Any changes to the approved Roadmap during the life cycle that impacts the CTA will be reflected in an updated Business Case and CTA for final SteerCo approval of the updates required.Â Â * Document the detailed Q1 and Q2 Project Plan on Online Project with support from the RBB Centre PMO to align to the overall roadmap and obtain SteerCo approval;* Update financial and non-financial Benefits on PlanEx as approved by SteerCo;* Load and Attest to the project resources on PlanEx on a monthly basis;Â * Capture the benefits on Planex, which will automatically calculate the return on investment, as the payback period and net presen</t>
  </si>
  <si>
    <t>Programme Business Case and Roadmap</t>
  </si>
  <si>
    <t>Action_1629_Issue_2010</t>
  </si>
  <si>
    <t>The following actions were committed to by Management:Review and update the Service Level Agreement (SLA) in the Contract with NCR (contract due for renewal in January 2022) the ATM software vendor, to incorporate the standards of service pertaining to 1) new Vendor performance tracking for incident resolution of all categories of ATM Software Incidents and 2) application of penalties where service levels are not met. Note: The bank penalises the vendor by applying a Service Credit, which is a price adjustment to reflect a reduced level of service received from a Supplier.Extract ATM software related incidents from the Service Now (SNOW) system on a quarterly basis, in preparation for the quarterly Service Level Agreement (SLA) meeting with the NCR ATM software vendor.Review the incident report extracted from SNOW, showing the following incident related attributes: incident SLA definitions, start and stop time, response time, resolution time, elapsed time, paused time, SLA breach statu</t>
  </si>
  <si>
    <t>Martie Van Heerden - Lead Technology Partner: Alternative Physical Channels</t>
  </si>
  <si>
    <t>Unreliable source of incident management data to track vendor performance</t>
  </si>
  <si>
    <t>/ABSA Group Limited/South Africa/South Africa/Corporate and Investment Bank/Support Functions/Post Trade Services Team/Equities/ABSA Capital Securities PTS</t>
  </si>
  <si>
    <t>ABSA Capital Securities PTS</t>
  </si>
  <si>
    <t>Action_1607_Issue_2005</t>
  </si>
  <si>
    <t>ABBV156</t>
  </si>
  <si>
    <t>Bramaranad Vura</t>
  </si>
  <si>
    <t>Issue_2005</t>
  </si>
  <si>
    <t>Action_1606_Issue_2004</t>
  </si>
  <si>
    <t>Test</t>
  </si>
  <si>
    <t>TEst1</t>
  </si>
  <si>
    <t>Issue_2004</t>
  </si>
  <si>
    <t>Action 1606</t>
  </si>
  <si>
    <t>Action_1604_Issue_2003</t>
  </si>
  <si>
    <t>AB017Q5</t>
  </si>
  <si>
    <t>Vijaya Padala</t>
  </si>
  <si>
    <t>Issue_2003</t>
  </si>
  <si>
    <t>Test2</t>
  </si>
  <si>
    <t>COMPLETION APPROVED | 2022-09-14  |  ABBV156: test</t>
  </si>
  <si>
    <t>Action_1603_Issue_2003</t>
  </si>
  <si>
    <t>Action_1601_Issue_2001</t>
  </si>
  <si>
    <t>Test1</t>
  </si>
  <si>
    <t>TEst</t>
  </si>
  <si>
    <t>Issue_2001</t>
  </si>
  <si>
    <t>Action_1583_Issue_1990</t>
  </si>
  <si>
    <t>ABTE002</t>
  </si>
  <si>
    <t>Teresa Booyens</t>
  </si>
  <si>
    <t>Issue_1990</t>
  </si>
  <si>
    <t>UAT Test Scen 2 TB</t>
  </si>
  <si>
    <t>Action_1582_Issue_1989</t>
  </si>
  <si>
    <t>tesr</t>
  </si>
  <si>
    <t>Issue_1989</t>
  </si>
  <si>
    <t>Action_1581_Issue_1989</t>
  </si>
  <si>
    <t>Action_1580_Issue_1988</t>
  </si>
  <si>
    <t>Issue_1988</t>
  </si>
  <si>
    <t>Test IAM Scen 2</t>
  </si>
  <si>
    <t>Action_1579_Issue_1987</t>
  </si>
  <si>
    <t>UAT02092022</t>
  </si>
  <si>
    <t>Kele</t>
  </si>
  <si>
    <t>Issue_1987</t>
  </si>
  <si>
    <t>Action_1578_Issue_1987</t>
  </si>
  <si>
    <t>/ABSA Group Limited/Africa Region Operations/Zambia/Corporate and Investment Banking/Support Functions/Wholesale Credit Risk</t>
  </si>
  <si>
    <t>Wholesale Credit Risk</t>
  </si>
  <si>
    <t>Action_1577_Issue_1986</t>
  </si>
  <si>
    <t>train</t>
  </si>
  <si>
    <t>ABCC571</t>
  </si>
  <si>
    <t>Charles Chansa</t>
  </si>
  <si>
    <t>Charles</t>
  </si>
  <si>
    <t>Issue_1986</t>
  </si>
  <si>
    <t>Action_1576_Issue_1985</t>
  </si>
  <si>
    <t>Test UAT01092022</t>
  </si>
  <si>
    <t>Issue_1985</t>
  </si>
  <si>
    <t>Test UAT01092022Test UAT01092022</t>
  </si>
  <si>
    <t>Action_1575_Issue_1985</t>
  </si>
  <si>
    <t>Action_1574_Issue_1983</t>
  </si>
  <si>
    <t>Issue_1983</t>
  </si>
  <si>
    <t>IAM Test Action TB</t>
  </si>
  <si>
    <t>In Completion and Closure</t>
  </si>
  <si>
    <t>Reopened</t>
  </si>
  <si>
    <t>/ABSA Group Limited/Africa Region Operations/Zambia/Corporate and Investment Banking/Support Functions/Operational Risk</t>
  </si>
  <si>
    <t>Action_1572_Issue_1981</t>
  </si>
  <si>
    <t>conm</t>
  </si>
  <si>
    <t>charles</t>
  </si>
  <si>
    <t>Issue_1981</t>
  </si>
  <si>
    <t>con</t>
  </si>
  <si>
    <t>Action_1571_Issue_1980</t>
  </si>
  <si>
    <t>UAT Test 01092022</t>
  </si>
  <si>
    <t>Issue_1980</t>
  </si>
  <si>
    <t>Action_1570_Issue_1979</t>
  </si>
  <si>
    <t>completed</t>
  </si>
  <si>
    <t>Issue_1979</t>
  </si>
  <si>
    <t>Conf</t>
  </si>
  <si>
    <t>/ABSA Group Limited/South Africa/South Africa/Enterprise Functions/Group Finance/Group Procurement</t>
  </si>
  <si>
    <t>Group Procurement</t>
  </si>
  <si>
    <t>Action_1567_Issue_1977</t>
  </si>
  <si>
    <t>By milestone due date, management will engage with the RSAM team in identifying a permanent solution whereby: The system should have built in identifier and trigger the annual Accountable Executive assessment approval when applicable for the medium and high risk rated suppliers.  Management to establish turnaround times for the supplier assessment completion after handover to contract management</t>
  </si>
  <si>
    <t>ABRK518</t>
  </si>
  <si>
    <t>Rajvinder Kaur</t>
  </si>
  <si>
    <t>Vusi Fele</t>
  </si>
  <si>
    <t>RSAM Supplier Risk Assessment Completion and Approval</t>
  </si>
  <si>
    <t>Action_1566_Issue_1976</t>
  </si>
  <si>
    <t>TRAINING WILL BE PROVIDED TO THE COLLEAGUES TO ENSURE AWARENESS AND COMPETENCE AROUND UPLOADING OF THE DOCUMENTS ON Â¢OUPA.</t>
  </si>
  <si>
    <t>Tshiamo Makoloane</t>
  </si>
  <si>
    <t>Training</t>
  </si>
  <si>
    <t>Coupa system training</t>
  </si>
  <si>
    <t>Action_1565_Issue_1976</t>
  </si>
  <si>
    <t>PROCUREMENT TEAM WILL: INVESTIGATE THE POSSIBILITY OF THE MIA BEING A MANDATORY FIELD ON THE COUPA SYSTEM and PROVIDE ACTIONS AND TIMELINES TO REMEDIATE THE RISK BASED ON THE ABOVE INVESTIGATION</t>
  </si>
  <si>
    <t>Mandatory field investionga</t>
  </si>
  <si>
    <t>Action_1564_Issue_1975</t>
  </si>
  <si>
    <t>"CONTROL : ""SUPPLIER MANAGER HAS TO CONFIRM COMPLIANCE THROUGH ATTESTATION"". WILL BE MOVED FROM A PRE-CONTRACTING CONTROL TO A POST CONTRACTING CONTROL ON THE CPA DOCUMENT AS WELL AS ON THE RELATED STANDARDS TO ALIGN TO THE PROCESS."</t>
  </si>
  <si>
    <t>CPA alignment</t>
  </si>
  <si>
    <t>Action_1563_Issue_1975</t>
  </si>
  <si>
    <t>IDENTIFICATION OF lICENSES AND OTHER REGULATORY REQUIREMENTS IS TO BE DONE BY bUSINESS aREA aCCOUNTABLE eXECUTIVE AND OR sUBJECT mATTER eXPECT AS THEY ARE THE SOURCE OF THE SERVICE AND sOURCING MANAGER MUST VALIDATE THE IDENTIFICATION HAS BEEN DONE.</t>
  </si>
  <si>
    <t>Licences and regulatory requiements indentification</t>
  </si>
  <si>
    <t>Action_1562_Issue_1975</t>
  </si>
  <si>
    <t>UPDATE THE WORDING OF THE CONTROL ( OUTSOURCING REQUIREMENTS - lICENSES AND OTHER REGULATORY REQUIREMENTS) TO ENSURE THAT THE REQUIREMENTS AS WELL AS THE PERFORMANCE OF THE CONTROL IS CLEAR AND NOT SUBJECT TO INTERPRETATION.</t>
  </si>
  <si>
    <t>Control design improvement</t>
  </si>
  <si>
    <t>Action_1561_Issue_1974</t>
  </si>
  <si>
    <t>TRAINING WILL BE PROVIDED TO THE COLLEAGUES POST COMPLETION OF THE UPDATES TO THE GROUP PROCUREMENT POLICY AND STANDARDS TO ENSURE AWARENESS AND COMPLIANCE.</t>
  </si>
  <si>
    <t>Action_1560_Issue_1974</t>
  </si>
  <si>
    <t>THE GROUP PROCUREMENT TEAM TO UPDATE THE WORDING OF THE CONTROL TO ENSURE THAT THE REQUIREMENTS AS WELL AS THE PERFORMANCE OF THE CONTROL IS CLEAR AND NOT SUBJECT TO INTERPRETATIONS.</t>
  </si>
  <si>
    <t>Wording Update</t>
  </si>
  <si>
    <t>Action_1559_Issue_1973</t>
  </si>
  <si>
    <t>A REFRESHER TRAINING TO BE PROVIDED TO ENSURE THAT SOURCING MANAGERS ARE AWARE OF THE EXPECTATIONS</t>
  </si>
  <si>
    <t>Refresher training</t>
  </si>
  <si>
    <t>Action_1558_Issue_1973</t>
  </si>
  <si>
    <t>GROUP PROCUREMENT TEAM TO COMPLETE RE-SEGMENTATION PROJECT AND ENSURE THAT RISK ASSESSMENTS (SEGMENTATIONS) AND MIAs ARE IN PLACE FOR ALL CONTRACTED SUPPLIERS.</t>
  </si>
  <si>
    <t>Re-segmentation Project</t>
  </si>
  <si>
    <t>/ABSA Group Limited/South Africa/South Africa/Retail and Business Banking/Everyday Banking</t>
  </si>
  <si>
    <t>Everyday Banking</t>
  </si>
  <si>
    <t>Action_1546_Issue_1966</t>
  </si>
  <si>
    <t>Multiple test 3</t>
  </si>
  <si>
    <t>ABEM679</t>
  </si>
  <si>
    <t>Ethan Minnaar</t>
  </si>
  <si>
    <t>Daniel.Ralesigo@absa.africa</t>
  </si>
  <si>
    <t>Issue_1966</t>
  </si>
  <si>
    <t>Action_1545_Issue_1966</t>
  </si>
  <si>
    <t>Multi test 2</t>
  </si>
  <si>
    <t>Cheryl-Lyn.Gordon@absa.africa</t>
  </si>
  <si>
    <t>Action_1531_Issue_1941</t>
  </si>
  <si>
    <t>Test UAT 24082022Test UAT 24082022</t>
  </si>
  <si>
    <t>kele</t>
  </si>
  <si>
    <t>/ABSA Group Limited</t>
  </si>
  <si>
    <t>ABSA Group Limited</t>
  </si>
  <si>
    <t>Action_1530_Issue_1940</t>
  </si>
  <si>
    <t>Test ITG 2</t>
  </si>
  <si>
    <t>Test ITG</t>
  </si>
  <si>
    <t>Issue_1940</t>
  </si>
  <si>
    <t>Action_1529_Issue_1940</t>
  </si>
  <si>
    <t>Action_1528_Issue_1939</t>
  </si>
  <si>
    <t>Test UAT 24082022</t>
  </si>
  <si>
    <t>Issue_1939</t>
  </si>
  <si>
    <t>/ABSA Group Limited/Africa Region Operations/ARO Centre/Corporate and Investment Banking/Investment Bank/Global Markets</t>
  </si>
  <si>
    <t>Global Markets</t>
  </si>
  <si>
    <t>Action_1527_Issue_1936</t>
  </si>
  <si>
    <t>A maker-checker process to be implemented for the validation of the calculations to determine if the relevant 5% threshold has been breached prior to the execution of each transactions</t>
  </si>
  <si>
    <t>Diya Jaggessur</t>
  </si>
  <si>
    <t>Monitoring</t>
  </si>
  <si>
    <t>Implementation of maker-checker process</t>
  </si>
  <si>
    <t>Action_1526_Issue_1936</t>
  </si>
  <si>
    <t>The Head of Markets to engage with the Regulator to provide further context/background/clarification on the current practice by ABML in the event of an early redemption as opposed to the requirement stipulated in its letter.</t>
  </si>
  <si>
    <t>Vishal Joyram</t>
  </si>
  <si>
    <t>Communication</t>
  </si>
  <si>
    <t>Engagement with the Regulator</t>
  </si>
  <si>
    <t>Action_1525_Issue_1936</t>
  </si>
  <si>
    <t>Action_1524_Issue_1936</t>
  </si>
  <si>
    <t>/ABSA Group Limited/Africa Region Operations/Mauritius/Enterprise Functions/Finance</t>
  </si>
  <si>
    <t>Finance</t>
  </si>
  <si>
    <t>Action_1523_Issue_1894</t>
  </si>
  <si>
    <t>/ABSA Group Limited/Africa Region Operations/Mauritius</t>
  </si>
  <si>
    <t>Mauritius</t>
  </si>
  <si>
    <t>Action_1522_Issue_1840</t>
  </si>
  <si>
    <t>Action_1521_Issue_1840</t>
  </si>
  <si>
    <t>Action_1520_Issue_1840</t>
  </si>
  <si>
    <t>Ensure that Register of Register of all material (see below) forecast income/expenditure, split by currency and settlement period are set up and establish.   â€¢ The register required CFOâ€™s approval before submission to Treasury.   â€¢ The Frequency of the submission shall be on a Bi-Annual basis at a minimum.  â€¢ Materiality shall be considered during the annual MTP process.  Initial income/expenditure forecast submissions which should at a minimum cover the next 18 months budgeting cycle (per MTP).  â€¢ In event of non-consideration for implementing the FXBB Standard a DWB shall be raised as appropriate and sign off sought from the CRO and PRO from ARO.</t>
  </si>
  <si>
    <t>Vincent vellin</t>
  </si>
  <si>
    <t>Action 1</t>
  </si>
  <si>
    <t>Action_1519_Issue_1840</t>
  </si>
  <si>
    <t>Set up the terms of reference of the FTP Committee with an agenda and approval from the relevant committee members for implementation and embedment  Determine the level of core members for formalisation of the FTP Committee  Assess the responsibility of core members with sufficient check and challenge implemented and accountabilities of core members clearly define   Matters requiring escalation are channelled to treasury committee with a cover page for decision making.</t>
  </si>
  <si>
    <t>Action_1518_Issue_1840</t>
  </si>
  <si>
    <t>ABML Head of Functions do not always maintain evidence of the agreed allocation driver used in the cost allocation of services or final approval on the Service Catalogue 2020 billed by Absa Group Limited (AGL) to Absa Bank (Mauritius) Limited (ABML). Specifically, IA sampled 23 services provided by AGL from the Service Catalogue 2020 amounting to MUR258m(ZAR86m) representing 38% of the total recharges of MUR678m (ZAR226m) and identified the following exceptions: â€¢ In 13 cases (56%) for services amounting to MUR141m (ZAR47m) received from AGL, the Heads of Functions (service recipient) for Technology, Legal, Compliance, People, Marketing, Corporate Investment Banking (CIB), Chief Operating Office (COO) could not provide relevant evidence to support the agreed allocation driver used in the costsâ€™ recharges allocated to ABML. However, the ABML finalised Service Catalogue 2020 maintained by service provider (AGL) includes the drivers used to determine the allocation of costs to ABML. â€¢ In 7 cases (30%) for services amounting to MUR84m (ZAR28m), the Heads of functions (Legal, COO, Technology, CIB and Retail &amp; Business Banking) could not evidence their final approval of recharge costs applicable to their functions from the Service Catalogue 2020. However, Finance Director and ABML Board subsequently approved the cost recharges within the Service Catalogue in August 2020. â€¢ Management did not perform an assessment for services received by Finance Management in Q4 2020 at the quarterly service quality meeting (a meeting to discuss the quality of services received from Group).</t>
  </si>
  <si>
    <t>Bibi Nabeela Rusmaully</t>
  </si>
  <si>
    <t>Action_1517_Issue_1840</t>
  </si>
  <si>
    <t>. a REVIEW OF THE FULL LIST OF INWARDS AND OUTWARDS TRANSACTIONS (BASED ON LIST PROVIDED BY THE PAYMENTS TEAM) FOR THE PERIOD JUNE 2020 TO dECEMBER 2020, SHOWED THAT: O iNWARD AND OUTWARD TRANSACTIONS FOR 5 customers classified as eMoney Service Businessf have not BEEN REPORTED TO THE bom. rOOT CAUSE: . rESPONSIBILITY AND ACCOUNTABILITY OF DATA TO BE PROVIDED FOR THE RETURN TO BE SUBMITTED TO THE bom NOT DEFINED eFFECT: . nON-ADHERENCE TO THE REGULATORY REQUIREMENTS IN TERMS OF INACCURATE OR INCOMPLETE FOREIGN CURRENCY REPORTING MAY LEAD TO SANCTIONS FROM THE REGULATOR AND REPUTATION DAMAGE. â€˜ONTEXT: aS PER DEFINITION FROM THE bom:  ffALUE OF MONEY TRANSFER SENT RELATE TO ACTIVITIES INVOLVING TRANSFERS OF FUNDS FROM mAURITIUS BY MONEY OR VALUE TRANSFER SERVICE PROVIDER. â€¢ ffALUE OF MONEY TRANSFER RECEIVED RELATE TO ACTIVITIES INVOLVING TRANSFERS OF FUND FROM ABROAD TO THE DOMESTIC MONEY OR VALUE TRANSFER SERVICE PROVIDER. HOWEVER, THE EXACT TYPE OF TRANSACTIONS TO BE REPORTED HAVE NOT BEEN COMMUNICATED TO THE PAYMENT tEAM WHO IS RESPONSIBLE TO RETRIEVE THE RELEVANT DATA FOR REPORTING. The full list of customers classified as â€˜Money Service Businessâ€™ is also not provided to Payments team for data retrieval.</t>
  </si>
  <si>
    <t>Pravin Latchmoodoo</t>
  </si>
  <si>
    <t>Reporting</t>
  </si>
  <si>
    <t>/ABSA Group Limited/Africa Region Operations/Mauritius/Enterprise Functions/Finance/Financial Controller</t>
  </si>
  <si>
    <t>Financial Controller</t>
  </si>
  <si>
    <t>Action_1516_Issue_1928</t>
  </si>
  <si>
    <t>Total deposits held by Global business licence holders as disclosed in the monthly behavioural mismatch return was different from the amount disclosed in the monthly balance sheet as at 30 June 2020, on account of different mapping criteria used to determine the GBC deposits in respect of the monthly Balance Sheet (BLS100) and the Liquidity reporting.</t>
  </si>
  <si>
    <t>Action_1515_Issue_1928</t>
  </si>
  <si>
    <t>"According to section 19 of the Guideline on Corporate Governance, ""The Board will set out the criteria for measuring the CEO's performance in achieving the approved corporate objectives. Such performance review shall be conducted annually"".   There was no evidence of any formal annual review conducted on the CEOâ€™s performance by the board, as required under the above section of the Guideline."</t>
  </si>
  <si>
    <t>Nafeez Mohit</t>
  </si>
  <si>
    <t>/ABSA Group Limited/Africa Region Operations/Mauritius/Retail and Business Banking/Retail Banking/Product &amp; Customer Segments</t>
  </si>
  <si>
    <t>Product &amp; Customer Segments</t>
  </si>
  <si>
    <t>Action_1514_Issue_1926</t>
  </si>
  <si>
    <t>We noted the following issues during financial statements close process (FSCP) which resulted in delays in the finalisation of the financial statements: â€¢ ECL related data quality issues which impacted the FSCP  â€¢ inadequate and timely review of the financial statements â€¢ inefficiencies as multiple versions (more than fifteen) of the financial statements were provided for our review considering that there were no major changes in accounting policies in FY20.  â€¢ There was no proper planning for significant disclosures such as loans and advances to customers, ECL and credit risk.The risks are as follows: 1. Errors in the disclosures may go undetected due to lack of review or last-minute updates being made.  2. Delays in signing off the financial statements and integrated reporting.  The Bank should consider the following: 1. Identify, investigate and seek improvements on processes and activities contributing to delays in reporting as well as related data quality issues. 2. Ensure regular reconciliation of significant disclosures, particularly related to credit risk and expected credit losses, are performed.  3. Management should perform a timely and detailed review of the disclosure workings and their subsequent inputs in the draft financial statements.  4. The finance team should proactively ensure that the financial statements and related disclosures are accurate and complete prior to submission.</t>
  </si>
  <si>
    <t>Action_1513_Issue_1926</t>
  </si>
  <si>
    <t>(b)- The bank should ensure appropriate controls are in place prior to automation for regulatory returns.</t>
  </si>
  <si>
    <t>Data and Analytics</t>
  </si>
  <si>
    <t>Action 2</t>
  </si>
  <si>
    <t>Action_1512_Issue_1926</t>
  </si>
  <si>
    <t>(a)-  The bank should set up a Central Data  Repository (CDR) and automate the process.</t>
  </si>
  <si>
    <t>Action_1511_Issue_1926</t>
  </si>
  <si>
    <t>4. Liabilities team to provide missing evidence and ensure adequate filing of same through proper referencing henceforth</t>
  </si>
  <si>
    <t>Shaffiq Amide</t>
  </si>
  <si>
    <t>Action RB 8</t>
  </si>
  <si>
    <t>Action_1510_Issue_1926</t>
  </si>
  <si>
    <t>3. Liabilities Team to put a monitoring system in place to ensure proper follow up on monitoring of monthly entries raised for accrual of interest.</t>
  </si>
  <si>
    <t>Action RB 7</t>
  </si>
  <si>
    <t>/ABSA Group Limited/Africa Region Operations/Mauritius/Retail and Business Banking/Retail Banking/Branch Network &amp; Sales</t>
  </si>
  <si>
    <t>Branch Network &amp; Sales</t>
  </si>
  <si>
    <t>Action_1509_Issue_1925</t>
  </si>
  <si>
    <t>2. Liabilities Team to put a monitoring system in place to ensure proper follow up on FTP refund to business.</t>
  </si>
  <si>
    <t>Action RB 5</t>
  </si>
  <si>
    <t>/ABSA Group Limited/Africa Region Operations/Mauritius/Retail and Business Banking/Retail Banking/Cards</t>
  </si>
  <si>
    <t>Cards</t>
  </si>
  <si>
    <t>Action_1508_Issue_1924</t>
  </si>
  <si>
    <t>1. Liabilities Team to put a monitoring system in place to ensure proper follow up of change in customer interest.</t>
  </si>
  <si>
    <t>Action RB 4</t>
  </si>
  <si>
    <t>/ABSA Group Limited/Africa Region Operations/Mauritius/Retail and Business Banking/Business Banking/Commercial Banking</t>
  </si>
  <si>
    <t>Commercial Banking</t>
  </si>
  <si>
    <t>Action_1507_Issue_1921</t>
  </si>
  <si>
    <t>Liabilities team to provide missing evidence and ensure adequate filing of same through proper referencing henceforth. ïƒ˜ As per the control description â€˜1) Campaign Plan drawn and signed off with Sales and distribution, and Head of Retail.â€™ Plan was signed off by the Retail Director ïƒ˜ For the HR approval, as written in our control description â€˜as applicableâ€™. As the campaign was not a staff one, HR approval would not be warranted.</t>
  </si>
  <si>
    <t>Action RB 3</t>
  </si>
  <si>
    <t>Action_1506_Issue_1921</t>
  </si>
  <si>
    <t>Cluster Manager or delegate will engage with Physical Security Team Leader who will in turn engage with Brinks to ensure that they duly send to Absa all servicing reports following any servicing/maintenance performed and due on CCTV, Burglar Alarm and Fire Alarm, in line with the agreement. Physical Security Team will be the central point of contact for these reports.</t>
  </si>
  <si>
    <t>Nathalie Sin-Chan</t>
  </si>
  <si>
    <t>Action RB 2</t>
  </si>
  <si>
    <t>Action_1505_Issue_1921</t>
  </si>
  <si>
    <t>Milestone plan converted to action plan to 15th July 2021, further extension required to 30th Nov 2021 given dependency on Cyber Source to remedy. 09/11/2021 - extension sought and agrred wit Retail Director on basis that Centre Card, Tech and CyberSource teams working on same for all countries.</t>
  </si>
  <si>
    <t>Jean Noel Samy</t>
  </si>
  <si>
    <t>Action RB 1</t>
  </si>
  <si>
    <t>/ABSA Group Limited/Africa Region Operations/Mauritius/Enterprise Functions/Risk/BBS</t>
  </si>
  <si>
    <t>BBS</t>
  </si>
  <si>
    <t>Action_1504_Issue_1915</t>
  </si>
  <si>
    <t>Management to remedy the two clients where discrepancies have been observed. Management will carry out a refresher training on the review processof Micro Finance Institutiuons MFI</t>
  </si>
  <si>
    <t>Roshan Juggoo</t>
  </si>
  <si>
    <t>remedy the issue identified and provide a refresher training</t>
  </si>
  <si>
    <t>Action_1503_Issue_1915</t>
  </si>
  <si>
    <t>Management will carry out a refreher training for all staff involved in the on-boarding process.</t>
  </si>
  <si>
    <t>refresher training to be conducted</t>
  </si>
  <si>
    <t>Action_1502_Issue_1915</t>
  </si>
  <si>
    <t>Ensure and demonstrate that proceed for invoice discounted are credited on collection accounts accordingly with immediate effect on issue of this report. NB: the completion date is to verify embedment wrt future transactions. 2. Raise awareness with the team to ensure close monitoring of collection account and debtors proceed.</t>
  </si>
  <si>
    <t>ensure proceed be credited on collection account</t>
  </si>
  <si>
    <t>Action_1501_Issue_1915</t>
  </si>
  <si>
    <t>(i) Raise awareness of team members via training to re-emphasize process / policy requirements  (ii) Implement functional mandate within BS&amp;CR including discretion authority where limit has expired/review in process.</t>
  </si>
  <si>
    <t>Dean Vythelingum</t>
  </si>
  <si>
    <t>Action_1500_Issue_1915</t>
  </si>
  <si>
    <t>Reassess the number of file allocation per case manager to ensure there is adequate oversight, monitoring and control, and reviews completed on a timely basis</t>
  </si>
  <si>
    <t>Action_1499_Issue_1915</t>
  </si>
  <si>
    <t>(i) Ensure the Procedure manual is reviewed and updated as it date back to 2016 and some of the requirements may be obsolete. (ii) Updated Procedure Manual to be shared with all team members for full adherence.</t>
  </si>
  <si>
    <t>/ABSA Group Limited/Africa Region Operations/Mauritius/Enterprise Functions/Risk/Wholesale Credit Risk</t>
  </si>
  <si>
    <t>Action_1498_Issue_1899</t>
  </si>
  <si>
    <t>Management to liaise with Finance team to assess the way forward from a regulatory perspective regarding discrepancy noted above</t>
  </si>
  <si>
    <t>Laura Wong</t>
  </si>
  <si>
    <t>Action_1497_Issue_1899</t>
  </si>
  <si>
    <t>Management to revise the process to ensure that all credit exposures are systematically reflected under the correct bucket including the ones with no outstanding amount and ensure that the requirements of the BOM are met when submitting the returns.</t>
  </si>
  <si>
    <t>Action_1496_Issue_1899</t>
  </si>
  <si>
    <t>Management to review the maker checker process to ensure that an accurate return is submitted to the BOM   Management to liaise with Finance team to assess the way forward from a regulatory perspective regarding discrepancies noted above</t>
  </si>
  <si>
    <t>/ABSA Group Limited/Africa Region Operations/Mauritius/Enterprise Functions/Risk/Retail Credit Risk</t>
  </si>
  <si>
    <t>Retail Credit Risk</t>
  </si>
  <si>
    <t>Action_1495_Issue_1908</t>
  </si>
  <si>
    <t>Action Plan 1: Mauritius Retail Credit Standard Customization Governance  ABML Retail Credit Management will:  â€¢ Perform a gap analysis between the Mauritius Retail Credit Standard and the ARO Retail Credit Standard and raise required DWBs where deviations exist.  â€¢ Review existing DWB application forms and approvals to ensure alignment with the Management of DWB Standard.  â€¢ Review the Credit Change Log, and Post Implementation Review requirements and ensure adherence to the revised  requirements. â€¢ Separate the Lending Framework and  Credit Acceptance Parameters from the  Mauritius Standard.  â€¢ The below are to be addressed as part of  the H1 2021 Management Control  Approach Audit Action Plan 2 of Issue 1: o Ensure the standard is published in the  approved Absa Framework Document  (AFD) as required by the Absa Policy  Code</t>
  </si>
  <si>
    <t>Rajiv Jankee</t>
  </si>
  <si>
    <t>Action_1494_Issue_1908</t>
  </si>
  <si>
    <t>The Model Owner will ensure that:  â€¢ During the Post Implementation Review of the Pan Africa Application Scorecard, the requirements of the Model Implementation Standard are complied with.  â€¢ Model implementation documentation is uploaded and signed off by: Model Owner, Model Developer, Process Owner, Model Deployment Steward, Head of Implementation within the BU/Implementation Expert within the BU, and MGC.</t>
  </si>
  <si>
    <t>Action_1493_Issue_1899</t>
  </si>
  <si>
    <t>Action_1492_Issue_1908</t>
  </si>
  <si>
    <t>Action_1491_Issue_1908</t>
  </si>
  <si>
    <t>Action_1490_Issue_1908</t>
  </si>
  <si>
    <t>â€¢ Due to the dependencies and complexity, ABML Retail Credit will engage with relevant stakeholders to establish a plan to address the sustainability issues (related to the credit workflow management process) noted by Internal Audit.  â€¢ Investigate and apply for a dispensation for the â€˜stressed interest rate factorâ€™ in the DSR calculation in compliance with the Management of DWB Standard</t>
  </si>
  <si>
    <t>Action_1489_Issue_1908</t>
  </si>
  <si>
    <t>DWB to be requested on Interest Stress factor for Mortgages and Unsecured which currently is being calculated but not incorporated into the DSR final decision.    Goverance around DWB standards needs to be closed out (templates inaccurately captured, proper approval required for deviations portfolio monitoring and employee payslips requiring employee number).</t>
  </si>
  <si>
    <t>/ABSA Group Limited/Africa Region Operations/Mauritius/Enterprise Functions/Risk</t>
  </si>
  <si>
    <t>Risk</t>
  </si>
  <si>
    <t>Action_1488_Issue_1900</t>
  </si>
  <si>
    <t>ABML shall revise its current process to ensure that:  1. Application of the risk weight of 35% is subject to all conditions specified in the Guideline on Standardised Approach to Credit risk having been met;  2. Necessary enhancement are brought to its systems to cater for the data limitations specified in its response</t>
  </si>
  <si>
    <t>Action_1487_Issue_1900</t>
  </si>
  <si>
    <t>ABML shall provide the Bank with updates on a the following frequency with regard to repayment received/ provisions raised or write off of this account:  1. First update by 31 December 2021 2. Second update by 31 March 2022</t>
  </si>
  <si>
    <t>Action_1486_Issue_1899</t>
  </si>
  <si>
    <t>Internal limits to cater for exposures on banks through guarantees, co-acceptances etc. issued by the latter or through placements, as required by paragraph 6 of the Guideline on Credit Concentration Risk shall be developed by ABML and proposed to the Board for approval.</t>
  </si>
  <si>
    <t>Shireen Beebeejaun</t>
  </si>
  <si>
    <t>Action_1485_Issue_1899</t>
  </si>
  <si>
    <t>"Management shall update its Concentration of Risk Policy to reflect the relevant definitions of ""Large Exposures"" in line with the Guidelines on Credit Concentration Risk."</t>
  </si>
  <si>
    <t>Action_1484_Issue_1900</t>
  </si>
  <si>
    <t>ABML will update its existing process for approval received from the RemGov through circularisation or other sources, to be duly  uploaded on its credit system for complete credit documentation in line with paragraph 22 of the Guideline on Credit Risk Management.</t>
  </si>
  <si>
    <t>Greg Youell</t>
  </si>
  <si>
    <t>Action_1483_Issue_1900</t>
  </si>
  <si>
    <t>ABML will define within its existing process the requriement for the credit assessment for related parties to include an analysis on the pricing to establish that facilities are granted at â€˜armâ€™s lengthâ€™ in line with the Guideline on Related Party Transactions.</t>
  </si>
  <si>
    <t>Action_1482_Issue_1900</t>
  </si>
  <si>
    <t>Management shall implement an internal rating system for individual credits as stipulated under paragraph 6(h) of the Guideline on Credit Risk Management</t>
  </si>
  <si>
    <t>Action_1481_Issue_1900</t>
  </si>
  <si>
    <t>By Milestone Date, Management shall:  1. Engage with Bank of Mauritius on current ABML methodology on computation and reporting of NDPD;  2. Discuss and reach an agreed approach with the Bank of Mauritius for computation and reporting of NDPD;  3. Engage with related stakeholders and Technology Team for feasibility of required changes;  4. Communicate to the Central Bank the outcome of the above engagement and way forward, as will be applicable.</t>
  </si>
  <si>
    <t>Action_1480_Issue_1899</t>
  </si>
  <si>
    <t>Annual review of credit risk policies not carried out , with Board approval for significant changes brought in.</t>
  </si>
  <si>
    <t>/ABSA Group Limited/Africa Region Operations/Mauritius/Enterprise Functions/Risk/Market &amp; Treasury Risk</t>
  </si>
  <si>
    <t>Market &amp; Treasury Risk</t>
  </si>
  <si>
    <t>Action_1479_Issue_1896</t>
  </si>
  <si>
    <t>A process shall be implemented for an annual independent assessment carried out by the in-country CRO to be submitted to the Group CRO in line with Section 10 of the Stress testing framework of the bank.</t>
  </si>
  <si>
    <t>Emma Lam Po Tang</t>
  </si>
  <si>
    <t>Action_1478_Issue_1896</t>
  </si>
  <si>
    <t>Management shall include the following factors in future Stress testing exercises:  1. Off Balance Sheet Exposures 2. Legal Risk  3. Climate Change and  4. Environmental Risk</t>
  </si>
  <si>
    <t>Action_1477_Issue_1896</t>
  </si>
  <si>
    <t>/ABSA Group Limited/Africa Region Operations/Mauritius/Corporate and Investment Banking/Support Functions/Corporate</t>
  </si>
  <si>
    <t>Corporate</t>
  </si>
  <si>
    <t>Action_1476_Issue_1811</t>
  </si>
  <si>
    <t>Management notes the finding. Differences noted are below 1%. Absa has a RAFDA policy with a tolerable threshold for differences of 1% of total assets and liabilities. Absa do attempt to align the risk and data source as much as possible to ensure the differences (RAFDAs) are as small as possible.</t>
  </si>
  <si>
    <t>Action_1475_Issue_1811</t>
  </si>
  <si>
    <t>The Finance team shall ensure there is an improved process in place to reduce the delays and inconsistencies arising from data quality issues. The Credit Risk team will ensure that they produce the ECL disclosures on a regular frequency to be agreed with Finance and reconciled with the Financial Statements numbers. The Chief Credit Officer will review the Credit Risk disclosures prior to submission to Finance and the Deputy Finance Director or Financial Controller will review the reconciliation of the disclosures with the Financial Statements The Finance team will ensure that all numbers are validated by each relevant stakeholders and are complete/accurate prior to submitting to EY</t>
  </si>
  <si>
    <t>Darren Li Shing Fong</t>
  </si>
  <si>
    <t>Action_1474_Issue_1811</t>
  </si>
  <si>
    <t>Management shall put in place a monitoring &amp; tracking system to ensure that applicable approvals received via Credit Committees or on emails are ratified promptly by Coverage team; timeline to be set as applicable. The tracker update will be an agenda item in the monthly RRCC, thus ensuring SLOD oversight</t>
  </si>
  <si>
    <t>Satish Mussai</t>
  </si>
  <si>
    <t>/ABSA Group Limited/Africa Region Operations/Mauritius/Corporate and Investment Banking/Support Functions/Client Centricity/Client Coverage</t>
  </si>
  <si>
    <t>Client Coverage</t>
  </si>
  <si>
    <t>Action_1473_Issue_1809</t>
  </si>
  <si>
    <t>Given current system limitation, Management will enhance the review process of U103 report by CCM team to ensure that effects relating to technical arrears, grace periods, loan moratoriums and last credit days which does not relate to loan repayments are taken into consideration in the review. Applicable maker/checker controls to be embedded., including relevant SLOD oversight.</t>
  </si>
  <si>
    <t>Aslam Taher</t>
  </si>
  <si>
    <t>Action_1472_Issue_1809</t>
  </si>
  <si>
    <t>To conduct independent conformance on risk events to assess whether issues and actions are logged by FLOD on Open Pages</t>
  </si>
  <si>
    <t>Vinay Bachoomun</t>
  </si>
  <si>
    <t>/ABSA Group Limited/Africa Region Operations/Mauritius/Corporate and Investment Banking/Support Functions/Wholesale Credit Risk</t>
  </si>
  <si>
    <t>Action_1471_Issue_1807</t>
  </si>
  <si>
    <t>To ensure that FLOD uploads all issues on Open Pages once Issues Management Module is activated on Open Pages</t>
  </si>
  <si>
    <t>Action_1470_Issue_1807</t>
  </si>
  <si>
    <t>Management notes the finding. Differences noted are below 1%. Absa has a RAFDA policy with a tolerable threshold for differences of 1% of total assets and liabilities.     This was implemented to ensure that the risk sections are not continually adjusted for late entries processed to the financial returns.    Absa do attempt to align the risk and data source as much as possible to ensure the differences (RAFDAs) are as small as possible</t>
  </si>
  <si>
    <t>Action_1469_Issue_1840</t>
  </si>
  <si>
    <t>Milestone â€“ Engagement with stakeholders to agree actions for screening of domestic transactions.  BOM Guidelines to be communicated to all employees. TFS Awareness for all staffs. To include MI on TFS for board paper. Seek further clarification with BOM. Status: Matter was raised with the Central Bank again in the course of the Trilateral meeting where they indicated their understanding of the issue, but in view of the FAFT listing, they were unable to consider any changes to the legislation. Further discussions are to be held. Â </t>
  </si>
  <si>
    <t>Yoshinee Parasuraman</t>
  </si>
  <si>
    <t>Self Identified</t>
  </si>
  <si>
    <t>Action_1468_Issue_1840</t>
  </si>
  <si>
    <t>No alerts are being generated on NetReveal for Credit Card with credit balances. Tech team at Group level are investigating. A risk event has been raised at AGL level and the action are as follows: Actions already taken: â€˜â€™Change CHG0157123 was implemented to add the credit card limit to the accounts feed file. This will allow for the conditions of the ABSA15 rule to be considered for alerting.â€  Additional action to be taken: A retrospective fix will be applied given that the credit card limit was not incorporated on the system since inception. Status: Technical issue noted during the testing by the Function Tech Team. A Change request is in progress and will be applied with the roll out of Version 8 for NetReveal scheduled for Q1 2022. December Status: In the interim, a tactical solution has been adopted for the monitoring of credit cards with positive balance. A script has been designed and tested â€“ the script is used for the generation of alerts for credit cards with positive balance. The first batch of alerts is being reviewed in accordance with the Transaction Monitoring and Reporting Procedure.</t>
  </si>
  <si>
    <t>Action_1467_Issue_1840</t>
  </si>
  <si>
    <t>The use of the London Interbank Offered Rate (LIBOR) as a reference rate for pricing and hedging financial instruments will be discontinued after 2021/2023 and this will have an impact on financial institutions. There was no evidence that a review had been carried out by the compliance function to identify compliance risks, if any, that the bank may face in transitioning to a new benchmark.  The Compliance function, as the second line of defence, should carry out an independent review to identify compliance related risks, if any.</t>
  </si>
  <si>
    <t>Pamela Dusoruth</t>
  </si>
  <si>
    <t>Combined Assurance</t>
  </si>
  <si>
    <t>Central Bank of Mauritius - Regular On-Site Examination 2020</t>
  </si>
  <si>
    <t>/ABSA Group Limited/Africa Region Operations/Mauritius/Enterprise Functions/Chief Operating Office/Consumer Ops</t>
  </si>
  <si>
    <t>Action_1466_Issue_1820</t>
  </si>
  <si>
    <t>Underwriters to ensure than mail sent to branch for credit decision is copied to folders. Credit manual will be shared  with Underwriters</t>
  </si>
  <si>
    <t>Vitish Dooboree</t>
  </si>
  <si>
    <t>Action_1465_Issue_1820</t>
  </si>
  <si>
    <t>1. Mail to be sent to Credit underwriters to ensure MCIB are not more than 15 days. Credit manual will shared with Underwriters</t>
  </si>
  <si>
    <t>Action_1464_Issue_1820</t>
  </si>
  <si>
    <t>1) Credit Underwriting clerks will upload file to record management folder within 30 days.</t>
  </si>
  <si>
    <t>Action_1463_Issue_1820</t>
  </si>
  <si>
    <t>Credit underwriting clerks to ensure all acknowledgement has been received for all approved facilities. Credit manual will be shared  with Team</t>
  </si>
  <si>
    <t>Action_1462_Issue_1820</t>
  </si>
  <si>
    <t>1) OD Checklist to be updated with an aide memoire  to ensure checks are being performed. 2) Credit underwriting clerk will check for  Related party transaction + EWL list + Top 100 list +  Dedupe check and update checklist.</t>
  </si>
  <si>
    <t>/ABSA Group Limited/Africa Region Operations/Mauritius/Enterprise Functions/Chief Operating Office/Commercial Ops</t>
  </si>
  <si>
    <t>Commercial Ops</t>
  </si>
  <si>
    <t>Action_1461_Issue_1819</t>
  </si>
  <si>
    <t>By the due date, Management will review the Capacity Planning of the VPC department to ensure sufficient resources are available to meet the business requirements.  Action Owner</t>
  </si>
  <si>
    <t>Sailesh Ghoorah</t>
  </si>
  <si>
    <t>Action_1460_Issue_1819</t>
  </si>
  <si>
    <t>By the due date, Management will:   1. Review the Service Level Agreement to ensure the document is fit for purpose.  2. The revised agreement will be signed off by both the â€˜Customerâ€™ and the â€˜Service Providerâ€™ as stipulated in the document.</t>
  </si>
  <si>
    <t>/ABSA Group Limited/Africa Region Operations/Mauritius/Enterprise Functions/Chief Operating Office/CSO</t>
  </si>
  <si>
    <t>CSO</t>
  </si>
  <si>
    <t>Action_1459_Issue_1817</t>
  </si>
  <si>
    <t>Physical Security Team will engage with the Supplier for a timeline to submit the renewed certificates of the 17 security guards.</t>
  </si>
  <si>
    <t>Manoj Soorjee,</t>
  </si>
  <si>
    <t>Action_1458_Issue_1817</t>
  </si>
  <si>
    <t>Physical Security Team will liaise with CRES Team to repair the faulty magnetic lock at the entrance to the generatorâ€™s area.</t>
  </si>
  <si>
    <t>Manoj Soorjee</t>
  </si>
  <si>
    <t>Action_1457_Issue_1819</t>
  </si>
  <si>
    <t>Management will put in place relevant MI to track for  breaches in SLA/UCP. Root Causes of breaches, if any, will  be determined and remedial actions, where required, will be  put in place.</t>
  </si>
  <si>
    <t>Steve Lim-Ah-Tock</t>
  </si>
  <si>
    <t>Action_1456_Issue_1819</t>
  </si>
  <si>
    <t>Management will document and enforce the process on  reversal of liabilities within the IMEX system, on a timely  basis, after release and successful processing of payment  within the system.</t>
  </si>
  <si>
    <t>/ABSA Group Limited/Africa Region Operations/Mauritius/Enterprise Functions/Chief Operating Office/Fraud Management</t>
  </si>
  <si>
    <t>Fraud Management</t>
  </si>
  <si>
    <t>Action_1455_Issue_1846</t>
  </si>
  <si>
    <t>Action plan agreed is as below (to be completed by 17th September 2021 and evidenced in a closure pack): â€¢ Agree with ARO Fraud Team on all fraud controls applicable from the Fraud policies and standards. â€¢ Embed applicable Fraud controls in the respective Businesses/ Departments CPAs/RACI â€¢ Embed applicable Fraud controls in the Fraud CPA/ RACI</t>
  </si>
  <si>
    <t>Action_1454_Issue_1819</t>
  </si>
  <si>
    <t>1. Management will ensure that the correct information is being captured on the XBRL template prior to submission to Liabilities Operations team for the XBRL reporting. 2. The procedure manual to be updated to reflect the process such that a there is a consistent approach in submission of funds through XBRL.</t>
  </si>
  <si>
    <t>Jean-Jacques LamalÃ©tie</t>
  </si>
  <si>
    <t>Action_1453_Issue_1819</t>
  </si>
  <si>
    <t>Management will: 1. Ensure that the Banking Act 2004, Section 59 (1) is adhered at all times. This should be demonstrated through the forthcoming abandoned funds process</t>
  </si>
  <si>
    <t>Steve Limahtock</t>
  </si>
  <si>
    <t>Action_1452_Issue_1819</t>
  </si>
  <si>
    <t>Revise/Document the end to end abandoned funds process (including Claim Process), while ensuring relevant controls are in place to mitigate risk of non adherence to a Court Order.</t>
  </si>
  <si>
    <t>DInesh Seetul</t>
  </si>
  <si>
    <t>/ABSA Group Limited/Africa Region Operations/Mauritius/Enterprise Functions/Chief Operating Office/Technology</t>
  </si>
  <si>
    <t>Action_1451_Issue_1854</t>
  </si>
  <si>
    <t>Milestone Plan: The IT Team will liaise with the central technology team to discuss and assess the risk and if needed, they will come up with a plan to disable the use of SMBv1 on all endpoints.</t>
  </si>
  <si>
    <t>Christophe Grenade</t>
  </si>
  <si>
    <t>Action_1450_Issue_1854</t>
  </si>
  <si>
    <t>Milestone Plan: The IT Team will liaise with the central technology team to see feasibility of implementing the suggested changes</t>
  </si>
  <si>
    <t>Yasmeen Mowla</t>
  </si>
  <si>
    <t>Action_1449_Issue_1817</t>
  </si>
  <si>
    <t>Milestone Plan: IRM Team will investigate with the Vendor of the XBRL software to resolve the identified issue</t>
  </si>
  <si>
    <t>Action_1448_Issue_1817</t>
  </si>
  <si>
    <t>Jairaj Jhurry</t>
  </si>
  <si>
    <t>Action_1447_Issue_1854</t>
  </si>
  <si>
    <t>Milestone Plan: The IT Team will liaise with the central technology team to see feasibility of removing information about the back-end software</t>
  </si>
  <si>
    <t>Action_1446_Issue_1854</t>
  </si>
  <si>
    <t>Milestone Plan: The IT Team will engage with the firewall team and come up with a plan to remediate the identified risks</t>
  </si>
  <si>
    <t>Action_1445_Issue_1854</t>
  </si>
  <si>
    <t>Milestone Plan: The IT Team will come up with a plan to perform an assessment of all unused web application services</t>
  </si>
  <si>
    <t>Action_1444_Issue_1854</t>
  </si>
  <si>
    <t>Milestone Plan: The IT Team will liaise with the central technology team to see feasibility of removing the software versions on HTTP response headers</t>
  </si>
  <si>
    <t>Action_1443_Issue_1817</t>
  </si>
  <si>
    <t>Milestone Plan: IRM Team will discuss with the Vendor of the XBRL software to review the session identifier used</t>
  </si>
  <si>
    <t>Action_1442_Issue_1817</t>
  </si>
  <si>
    <t>Milestone Plan: IRM Team will investigate with the Vendor the possibility of the XBRL software to enforce encryption when passwords are returned in response of the web application</t>
  </si>
  <si>
    <t>Action_1441_Issue_1854</t>
  </si>
  <si>
    <t>Milestone Plan: The IT Team will liaise with the central technology team to see feasibility of re-configurating the TLS on the identified hosts  Milestone Due Date: 2021/10/15    Milestone Owner: Yasmeen Mowla (Head of Technology Infrastructure)  Accountable Executive: Kevin Sumputh (Chief Security Officer)</t>
  </si>
  <si>
    <t>Action_1440_Issue_1817</t>
  </si>
  <si>
    <t>Milestone plan: IRM Team will discuss with the Vendor of the XBRL software on implementing one user session.</t>
  </si>
  <si>
    <t>Action_1439_Issue_1854</t>
  </si>
  <si>
    <t>Milestone plan: IT Team will review the list of affected hosts and then cope up with a plan to migrate to HTTPS or TLS.  Incase this cannot be achieved, applicable DWBs will be raised.</t>
  </si>
  <si>
    <t>Action_1438_Issue_1817</t>
  </si>
  <si>
    <t>Milestone plan: IRM Team will investigate with the Vendor of the XBRL software if it is possible to implement the Absa strong password policy on XBRL.</t>
  </si>
  <si>
    <t>Action_1437_Issue_1854</t>
  </si>
  <si>
    <t>Milestone plan: IT Team will review and assess the hosts containing the outdated software and will provide a plan for the replacement/upgrade of the software.  Where this is not possible, necessary DWBs will be raised.</t>
  </si>
  <si>
    <t>Action_1436_Issue_1854</t>
  </si>
  <si>
    <t>Milestone plan: The IT Team will provide a plan to replace these unsupported databases hosts and web servers.  In case replacement cannot be achieved, DWBs will be raised.</t>
  </si>
  <si>
    <t>Action_1435_Issue_1854</t>
  </si>
  <si>
    <t>Milestone Plan: The IT Team will liaise with the Vendor to see feasibility of disabling the JDWP.  In case this cannot be achived, mitigating controls on permissions will be reviewed on the applicable servers.</t>
  </si>
  <si>
    <t>/ABSA Group Limited/Africa Region Operations/Mauritius/Enterprise Functions/Chief Operating Office/CRES</t>
  </si>
  <si>
    <t>CRES</t>
  </si>
  <si>
    <t>Action_1434_Issue_1853</t>
  </si>
  <si>
    <t>Management will: 1. For all further DCF submissions, CRES will fill in the specific fields as per the above management comments. 2. Management will document the evidence on existence of a monthly validation of data, which is conducted to ensure completeness and accuracy of information.</t>
  </si>
  <si>
    <t>Action_1433_Issue_1817</t>
  </si>
  <si>
    <t>â€¢ Action 2: (i): Documentation and implementation of a monthly snap check process, to be conducted by People Managers.   Due Date 15th May 2021.</t>
  </si>
  <si>
    <t>Denis Sit Yee</t>
  </si>
  <si>
    <t>Action_1432_Issue_1820</t>
  </si>
  <si>
    <t>Management will ensure: 1. Work with the COO Governance and Control team to complete a review of the newly embedded process of daily monitoring of the cycle reports for Schemes and confirm operating effectiveness. 2. Ensure a direct debit process is in place for all schemes. Action Owner: Mukesh Ramrucha, Head of Consumer Operations Due Date: 15th April 2021 Responsible Executive: Ajay Beegun, COO</t>
  </si>
  <si>
    <t>Action_1431_Issue_1846</t>
  </si>
  <si>
    <t>Management Action 1.1.19: Ensure the following is performed in 2020:   â€¢  Identification of a full and upto-date list of all employees across the Bank who are entitled to MBL by virtue of their role. The current population of colleagues currently taking MBL must be reviewed for any employee who is not entitled to MBL anymore.    â€¢ The new and updated list must be reviewed on a periodic basis to ensure it caters for new joiners and changes in roles.   â€¢  Establish processes, such that on a periodic basis, the following is ascertained:  (i) Whether colleagues who are entitled to MBL have actually taken such leave  (ii) Whether the above colleagues have in fact not undertaken any normal business activities during the MBL period.    â€¢ Role clarity concerning ownership and execution of the above duties and responsibilities to be resolved by management.</t>
  </si>
  <si>
    <t>Action 3</t>
  </si>
  <si>
    <t>Action_1430_Issue_1846</t>
  </si>
  <si>
    <t>Management Actions 1.1.6  â€¢  Perform a full and fresh review of the existing ID&amp;V process ensuring it is robust and minimise the risk of fraud attempts  â€¢  Assess compliance with applicable regulatory requirements, if any  â€¢  Obtain sign-off of the refreshed ID&amp;V controls vis-Ã -vis Group Fraud Risk</t>
  </si>
  <si>
    <t>Jean-Jacques lamaletie</t>
  </si>
  <si>
    <t>Action_1429_Issue_1846</t>
  </si>
  <si>
    <t>Management Actions 1.1.2  â€¢ Fraud Threat Assessments should be performed annually, on a timely basis in Q2, as required by the Policy   â€¢ Outputs of the assessment performed must be fed into the MTP process and Fraud Strategy.</t>
  </si>
  <si>
    <t>Action_1428_Issue_1819</t>
  </si>
  <si>
    <t>1. Full review of the  Disbursment Loan process to address gaps identified and conduct refresher training for same. This will include defining the format that RMs should use to submit these payment instructions.   As an immediate tactical action , by 30/12/21 , to embed the use of an MT202 template which will be sent by Coverage team to Payments to ensure that the wiring details are clear and avoiding any mis-interpretation.</t>
  </si>
  <si>
    <t>Action_1427_Issue_1846</t>
  </si>
  <si>
    <t>3.2. Put a process in place to identify employees who do not have access to LMS and establish a plan to deliver face to face fraud training to these employees</t>
  </si>
  <si>
    <t>Action_1426_Issue_1846</t>
  </si>
  <si>
    <t>3.1. Conduct a face to face fraud awareness training to ABML employees who were not assigned the LMS fraud training.</t>
  </si>
  <si>
    <t>Action_1425_Issue_1846</t>
  </si>
  <si>
    <t>2.2. Publish the fraud risk management standard to ABML-ALL to socialise the standard to all stakeholders.</t>
  </si>
  <si>
    <t>Action_1424_Issue_1846</t>
  </si>
  <si>
    <t>2.1. Obtain Head of Function approval for the in-country roll out of the Fraud Risk Management standard.</t>
  </si>
  <si>
    <t>Action_1423_Issue_1846</t>
  </si>
  <si>
    <t>1.3. By milestone date, the in-country Fraud Team will liaise with IT team to determine if the â€˜pendingâ€™ and â€˜activeâ€™ alerts identified in the finding can be closed. The embedment date of the remediation exercise shall be defined and set upon milestone date. In case the alerts mentioned in action 1.3 cannot be closed, the in-country Fraud Team will submit duly signed off risk acceptance form relating to alerts not closed</t>
  </si>
  <si>
    <t>Action_1422_Issue_1846</t>
  </si>
  <si>
    <t>1.2. By action due date, the in-country Fraud Team will implement a process to monitor and update the status of â€˜pendingâ€™ and â€˜activeâ€™ alerts as soon as alerts are investigated and closed, but prior to date on which alerts are purged on the systems</t>
  </si>
  <si>
    <t>Action_1421_Issue_1846</t>
  </si>
  <si>
    <t>1.1. By milestone date, the Card Monitoring Team will determine the action(s) to be taken for timely escalation of identified suspected fraud alerts to in-country Fraud team.</t>
  </si>
  <si>
    <t>Jocelyn Swartz</t>
  </si>
  <si>
    <t>Action_1420_Issue_1820</t>
  </si>
  <si>
    <t>Testing/close issue</t>
  </si>
  <si>
    <t>Deepshika Beeharry</t>
  </si>
  <si>
    <t>Action_1419_Issue_1840</t>
  </si>
  <si>
    <t>Management will ensure that all findings identified during the review are remediated</t>
  </si>
  <si>
    <t>Priya Issur</t>
  </si>
  <si>
    <t>Action_1418_Issue_1840</t>
  </si>
  <si>
    <t>Management will issue a communication to FCO team members to ensure that there is alignment on the definition of DNFBPs as per the FATF requirement for correct reporting for RBS return</t>
  </si>
  <si>
    <t>Action_1417_Issue_1840</t>
  </si>
  <si>
    <t>Management should design a mechanism to ensure that inaccurate data are being addressed for remediation with the relevant businesses.</t>
  </si>
  <si>
    <t>Action_1416_Issue_1840</t>
  </si>
  <si>
    <t>Management should have a robust mechanism in place for check and challenge exercise to ensure accuracy and completeness of data.</t>
  </si>
  <si>
    <t>Action_1415_Issue_1840</t>
  </si>
  <si>
    <t>Management should update the Procedure Manual to include detailed methodology for each reporting table.</t>
  </si>
  <si>
    <t>Action_1414_Issue_1840</t>
  </si>
  <si>
    <t>Management should ensure that the shortcomings are addressed and remedied for the next reporting, Q4.</t>
  </si>
  <si>
    <t>Action_1413_Issue_1840</t>
  </si>
  <si>
    <t>Management should conduct an impact assessment on the discrepancies reported to the Central Bank.</t>
  </si>
  <si>
    <t>Action_1412_Issue_1840</t>
  </si>
  <si>
    <t>1. Review the script and ensure that all New to Bank Customers are identified and tracked on the log for reporting purposes. 2. Ensure that for the reporting period 2021, all additional account holders are included in the log which will be due for reporting in July 2022.</t>
  </si>
  <si>
    <t>Smita Thondrayen</t>
  </si>
  <si>
    <t>Action_1411_Issue_1819</t>
  </si>
  <si>
    <t>A refresher communication will be sent to Front Office to re-iterate the requirement of approvals of  Relationship Managers prior processing within Trade Finance Operations</t>
  </si>
  <si>
    <t>Action_1410_Issue_1819</t>
  </si>
  <si>
    <t>Management will perform a remediation exercise to remediate the stock of customers where approvals are missing.</t>
  </si>
  <si>
    <t>Action_1409_Issue_1819</t>
  </si>
  <si>
    <t>A refresher training to be conducted with the Trade Finance Operations team, highlighting the importance to the adherence of the trade finance related procedure manual and the role and responsibilities of the maker and the checker within the trade finance processes</t>
  </si>
  <si>
    <t>Action_1408_Issue_1819</t>
  </si>
  <si>
    <t>Management will perform a remediation exercise to remediate the stock of customers where the checklist is incomplete, for the testing period.</t>
  </si>
  <si>
    <t>Action_1407_Issue_1820</t>
  </si>
  <si>
    <t>MCIB SLA to be reviewed and sign off (Annual Review)</t>
  </si>
  <si>
    <t>Ushabye Isram</t>
  </si>
  <si>
    <t>Action_1406_Issue_1820</t>
  </si>
  <si>
    <t>In view that reconciliation department is already overviewing reconciliation of suspense accounts, LPC to review UN007 on a weekly basis and manual to be updated with frequency</t>
  </si>
  <si>
    <t>Jayprakash Ramrucha</t>
  </si>
  <si>
    <t>Action_1405_Issue_1820</t>
  </si>
  <si>
    <t>Files which have been disbursed will be sent to Records Management and review of the Records Management SLA , which is an SLA across retail operations</t>
  </si>
  <si>
    <t>Action_1404_Issue_1820</t>
  </si>
  <si>
    <t>Action_1403_Issue_1820</t>
  </si>
  <si>
    <t>Credit underwriter to provide a screenshot on checklist as evidence that limit has been input on system</t>
  </si>
  <si>
    <t>Action_1402_Issue_1820</t>
  </si>
  <si>
    <t>1. Credit underwriter to ensure mail is sent to BM/RM to advise credit decision 2. Mail to be copied to folder as evidence</t>
  </si>
  <si>
    <t>Action_1401_Issue_1820</t>
  </si>
  <si>
    <t>1. Record management process shall be reviewed and Credit Manual to be updated. 2.Credit Underwriting clerks will upload file to record management folder within 2 working days post approval.</t>
  </si>
  <si>
    <t>Action_1400_Issue_1820</t>
  </si>
  <si>
    <t>Action_1399_Issue_1819</t>
  </si>
  <si>
    <t>Management Action 4.1 Management will: review the current CPA in place to ensure that the following processes are included: (i) Direct Debit Cancellation (ii) Direct Debit Transfer (iii) Direct Debit Agreements</t>
  </si>
  <si>
    <t>Action_1398_Issue_1819</t>
  </si>
  <si>
    <t>Management Action 3.2 Management will: a.Amend the procedure manual to include the monitoring requirements for direct debit fees. b.Include a snap check control to verify the existing direct debit system against BRAINS to verify any changes in customer segment to ensure completeness and accuracy of direct debit fees charged.</t>
  </si>
  <si>
    <t>Action_1397_Issue_1819</t>
  </si>
  <si>
    <t>Management Action 3.1 By milestone date, Management will: a.Review the direct debit database to ensure that the appropriate direct debit charges are being applied to both direct debit claimants and customers in accordance with the prevailing Bankâ€™s tariff guides. b.Define an action plan in relation to the charges which have been wrongly applied.</t>
  </si>
  <si>
    <t>Action_1396_Issue_1819</t>
  </si>
  <si>
    <t>Management Action 2.1 By the milestone date, Management will liaise with the Legal team for further guidance on how to proceed with the highlighted issues and provide a remedial action plan based on legal advice.</t>
  </si>
  <si>
    <t>Action_1395_Issue_1819</t>
  </si>
  <si>
    <t>Management Action 1.1 Management will set up a remediation plan for all Direct Debit Procedural Agreements held with the Direct Debit Claimants to address the discrepancies highlighted and ensure adherence to the current operating processes.</t>
  </si>
  <si>
    <t>Action_1394_Issue_1817</t>
  </si>
  <si>
    <t>Revocation of secondary system accesses for all Mauritius leavers, inclusive of the audit sample. By the due date, in-country IRM Team will: 1. Demonstrate embedment of the monthly monitoring to be conducted as from end of September 2021, by the IAM team. 2. Together with the Provisioning Team and IAM Team, have secondary system accesses deleted for all leavers.</t>
  </si>
  <si>
    <t>Jairaj Jhurry,</t>
  </si>
  <si>
    <t>Action_1393_Issue_1817</t>
  </si>
  <si>
    <t>ARO Compliance &amp; Data Privacy will review the amended cookie policy and the final content will depend on the technical assessment done by the local and ARO Technology teams.</t>
  </si>
  <si>
    <t>Kevin Sumputh</t>
  </si>
  <si>
    <t>Action_1392_Issue_1817</t>
  </si>
  <si>
    <t>Implementation of the Cookie Policy including the Cookie banner</t>
  </si>
  <si>
    <t>/ABSA Group Limited/Africa Region Operations/Mauritius/Treasury/Support Functions/Post Trade Services Treasury</t>
  </si>
  <si>
    <t>Post Trade Services Treasury</t>
  </si>
  <si>
    <t>Action_1391_Issue_1816</t>
  </si>
  <si>
    <t>1. Identify the root cause of the differences between the two positions namely FIM500 &amp; FIM600 XBRL returns and liaise with relevant stakeholders for appropriate remediation. 2. Implement a process in connection to the reconciliation to be performed between FIM500 and FIM600 XBRL returns to ensure completeness and accuracy, prior reporting of the positions to the Central Bank.</t>
  </si>
  <si>
    <t>Vikram Daby</t>
  </si>
  <si>
    <t>Action_1390_Issue_1820</t>
  </si>
  <si>
    <t>ABML Management will: â€¢ Implement EUDA Standard control requirements as per sections 2.2.7 (Change Management) and 2.2.8 (Documentation Requirements including Data Quality Controls) for the EUDAs used in the credit assessment process (i.e., Feeder Mortgages, Unsecured Tracker, Cards Tracker, and Mortgage Tracker). â€¢ Enhance the existing Retail Operations Procedure Manual to include the process for the preparation and calculation of manual underwriting key risk metrics reported to the PQR committee to ensure replication by an independent party.</t>
  </si>
  <si>
    <t>Mukesh Ramrucha</t>
  </si>
  <si>
    <t>Action_1389_Issue_1820</t>
  </si>
  <si>
    <t>ABML Management will: â€¢ Due to the dependencies and complexity, ABML Retail Operations will engage with Retail Business and Information Technology and review the Book of Work process to establish a plan to address the sustainability issues (related to the credit workflow management process) noted by Internal Audit.</t>
  </si>
  <si>
    <t>Action_1388_Issue_1819</t>
  </si>
  <si>
    <t>4.1. Management to liaise with Payments team to review the process for compiling the  FIM0900 return and ensure that the following are included therein: â€¢ Type of transactions qualified as â€˜money value transfersâ€™ for reporting purposes â€¢ Responsibility and accountability of both Finance and Payment teams for submission  of report  4.2. Management to determine who will be responsible to provide the updated list of  Money Service Business to Payment Team</t>
  </si>
  <si>
    <t>Action_1387_Issue_1817</t>
  </si>
  <si>
    <t>Refresh the RACI document for Physical Security to correctly reflect all the identified risk and risk ratings in line with the Risk and Control Self-Assessment Policy, the Process Management Risk Policy and the Risk and Issue Classification Standard, as applicable.</t>
  </si>
  <si>
    <t>Audie Dauguenette,</t>
  </si>
  <si>
    <t>Action_1386_Issue_1817</t>
  </si>
  <si>
    <t>The time bound process of archiving bundled accounts  is reviewed to ensure design effectiveness. â€¢ The backlog of accounts is being cleared and attested  as closed.</t>
  </si>
  <si>
    <t>Action_1385_Issue_1816</t>
  </si>
  <si>
    <t>2.1. Management should establish a policy for pledging of assets in line with the requirements  of principle 8, paragraph 24 of the BOM guideline on Liquidity Risk Management 2.2. Following completion of milestone action, Management should further establish the  relevant procedures and processes for the execution and monitoring of the said Policy,  including but limited to the following processes: â€¢ Pledging of securities held with the BOM â€¢ Management of collaterals for onshore and offshore securities with other financial  institutions â€¢ Reporting of and reconciling the collaterised securities as per Front Arena to BOM  reporting (FIM 1200) â€¢ Reconciliation of US securities as per Euroclear (clearing) system against Front Arena  record</t>
  </si>
  <si>
    <t>Emma Lam Po   Tang</t>
  </si>
  <si>
    <t>/ABSA Group Limited/Africa Region Operations/Mauritius/Enterprise Functions/Chief Operating Office/Procuremnt</t>
  </si>
  <si>
    <t>Procuremnt</t>
  </si>
  <si>
    <t>Action_1384_Issue_1815</t>
  </si>
  <si>
    <t>Management will ensure that the vacancy for the procurement help desk assistant will be completed by 15.4.2022</t>
  </si>
  <si>
    <t>Raghu Subramaniam</t>
  </si>
  <si>
    <t>Action_1383_Issue_1811</t>
  </si>
  <si>
    <t>1.1. MANAGEMENT TO DOCUMENT A PROCESS WHEREBY THE CIRCUMSTANCES WHERE A SITE VISIT IS WARRANTED IS DEFINED TAKING INTO CONSIDERATION THE SIZE AND TYPE OF CROSS BORDER EXPOSURE for deals sanctioned in â€˜non-presenceâ€™ countries and syndicated Lending</t>
  </si>
  <si>
    <t>1. Â¢ONDITIONS REQUIRED FOR SITE VISIT TO BE PERFORMED IS NOT DEFINED</t>
  </si>
  <si>
    <t>Action_1382_Issue_1811</t>
  </si>
  <si>
    <t>3.2 MANAGEMENT WILL CARRY OUT A REFRESHER TRAINING ON BOTH THE ON-BOARDING AND REVIEW PROCESS OF MICRO FINANCE INSTITUTIONS (MFI) WITH THE ASSISTANCE OF THE FÂ¢Â¢ TEAM.</t>
  </si>
  <si>
    <t>Ansooya Woodun</t>
  </si>
  <si>
    <t>3.iDENTIFICATION OF mICRO FINANCE iNSTITUTIONS (mFiS)</t>
  </si>
  <si>
    <t>Action_1381_Issue_1811</t>
  </si>
  <si>
    <t>3.1 MANAGEMENT SHOULD ENSURE THAT: I. THE 2 CUSTOMERS IDENTIFIED WILL NEED TO BE RE-CATEGORISED FROM STANDARD RISK TO HIGH RISK AND ENHANCED dUE dILIGENCE TO BE COMPLETED IN LINE WITH THE AML SPECIAL Â¢USTOMER TYPE STANDARD. II. THE LIST OF mFiS SHOULD BE UPDATED TO INCLUDE THE 2 CUSTOMERS IN ORDER TO REFLECT AN ACCURATE LIST.</t>
  </si>
  <si>
    <t>Action_1380_Issue_1811</t>
  </si>
  <si>
    <t>Management will: 1. Implement a process to ensure that credit rating used in our RWA computation is verified on a periodic basis to capture any movement. 2. A database be maintained for counterparties which are rated by external credit agencies to include: â€¢ Counterparty name â€¢ Credit Rating â€¢ Credit Rating Agency Name â€¢ Risk Weight</t>
  </si>
  <si>
    <t>1.0 No Periodic review on Credit Rating of counterparties</t>
  </si>
  <si>
    <t>Action_1379_Issue_1811</t>
  </si>
  <si>
    <t>Review the RACI in line with the ABSA Group Risk Management Framework with 2LOD check and challenge â€¢ Ensure that risks as defined in the ERMF are considered and assessed for the Custody business; â€¢ Reference supporting RACIs and hand-ins and hand-offs; â€¢ Complete an inherent risk assessment in line with the RCSA and RICM; â€¢ Clearly articulate control descriptions and ensure that control characteristics are captured; and â€¢ Include applicable Risk teams in the check and challenge process and obtain relevant signoffs from 1LOD and 2LOD.</t>
  </si>
  <si>
    <t>Yanish Ramdenee</t>
  </si>
  <si>
    <t>Incomplete documentation and assessment of risks and controls in the Custody RACI</t>
  </si>
  <si>
    <t>Action_1378_Issue_1809</t>
  </si>
  <si>
    <t>MANAGEMENT WILL ENSURE THAT A REFRESHER TRAINING IS CONDUCTED.</t>
  </si>
  <si>
    <t>Vikram Ramdaursingh</t>
  </si>
  <si>
    <t>4. FINDING tITLE: iNADEQUATE ADDITIONAL SANCTIONS CHECK FOR CUSTOMERS LINKED TO NARROWLY RESTRICTED COUNTRIES AT ONBOARDING STAGE</t>
  </si>
  <si>
    <t>Action_1377_Issue_1809</t>
  </si>
  <si>
    <t>MANAGEMENT SHOULD ENSURE THAT THERE IS ADEQUATE CONTROL IN PLACE FOR THE VERIFICATION CHECKS TO BE COMPLETED.</t>
  </si>
  <si>
    <t>3. FINDING tITLE: iNADEQUATE ADDITIONAL SANCTIONS CHECK FOR CUSTOMERS LINKED TO NARROWLY RESTRICTED COUNTRIES AT ONBOARDING STAGE</t>
  </si>
  <si>
    <t>Action_1376_Issue_1809</t>
  </si>
  <si>
    <t>MANAGEMENT WILL ENSURE THAT ALL FINDINGS IDENTIFIED DURING THE REVIEW ARE REMEDIATED.</t>
  </si>
  <si>
    <t>2. FINDING tITLE: iNADEQUATE ADDITIONAL SANCTIONS CHECK FOR CUSTOMERS LINKED TO NARROWLY RESTRICTED COUNTRIES AT ONBOARDING STAGE</t>
  </si>
  <si>
    <t>Action_1375_Issue_1809</t>
  </si>
  <si>
    <t>MANAGEMENT WILL ENSURE THAT ALL FINDINGS IDENTIFIED DURING THE REVIEW ARE FULLY REMEDIATED.</t>
  </si>
  <si>
    <t>Yaz Etwaroo</t>
  </si>
  <si>
    <t>1. FINDING tITLE: iNADEQUATE ADDITIONAL SANCTIONS CHECK ON OUTWARD REMITTANCES TO NARROWLY RESTRICTED COUNTRIES</t>
  </si>
  <si>
    <t>Action_1374_Issue_1807</t>
  </si>
  <si>
    <t>1(ii)  Data Quality issues</t>
  </si>
  <si>
    <t>Action_1373_Issue_1807</t>
  </si>
  <si>
    <t>1(i) Data Quality issues</t>
  </si>
  <si>
    <t>/ABSA Group Limited/Africa Region Operations/Botswana/Retail and Business Banking/Retail Banking/Retail Lending</t>
  </si>
  <si>
    <t>Retail Lending</t>
  </si>
  <si>
    <t>Action_1062_Issue_1282</t>
  </si>
  <si>
    <t>acti</t>
  </si>
  <si>
    <t>ABNB581</t>
  </si>
  <si>
    <t>Nkgoa Baleki</t>
  </si>
  <si>
    <t>basimane m</t>
  </si>
  <si>
    <t>Issue_1282</t>
  </si>
  <si>
    <t>action</t>
  </si>
  <si>
    <t>/ABSA Group Limited/Legal Entities/A2X Proprietary Limited</t>
  </si>
  <si>
    <t>A2X Proprietary Limited</t>
  </si>
  <si>
    <t>Action_1043_Issue_1262</t>
  </si>
  <si>
    <t>Ashwin.Prabhakar13</t>
  </si>
  <si>
    <t>Ashwin Prabhakar</t>
  </si>
  <si>
    <t>Issue_1262</t>
  </si>
  <si>
    <t>/ABSA Group Limited/Principal Risks/Resilience Risk</t>
  </si>
  <si>
    <t>Resilience Risk</t>
  </si>
  <si>
    <t>Action_1041_Issue_1261</t>
  </si>
  <si>
    <t>ABNP321</t>
  </si>
  <si>
    <t>Natalie Pieterse</t>
  </si>
  <si>
    <t>Debbie Dickson</t>
  </si>
  <si>
    <t>All actions are completed</t>
  </si>
  <si>
    <t>Issue_1261</t>
  </si>
  <si>
    <t>Action_1021_Issue_1201</t>
  </si>
  <si>
    <t>qwe</t>
  </si>
  <si>
    <t>ABPH255</t>
  </si>
  <si>
    <t>Phillip Hajiphilippou</t>
  </si>
  <si>
    <t>Issue_1201</t>
  </si>
  <si>
    <t>we</t>
  </si>
  <si>
    <t>wer</t>
  </si>
  <si>
    <t>/ABSA Group Limited/South Africa/South Africa/Corporate and Investment Bank/Support Functions/Post Trade Services Team/Prime and Passive/SBL PTS</t>
  </si>
  <si>
    <t>SBL PTS</t>
  </si>
  <si>
    <t>Action_1004_Issue_1165</t>
  </si>
  <si>
    <t>1) To ensure that the reconciliation will reach its intended audience on a daily basis, the preparer of the Reconciliation will include all the recipients from the initial e-mail, thus ensuring all stakeholders are automatically included at the review and approval step of the process (effective 3 June 2022).  2) The process of Review and Approval of the Reconciliation will be reinforced with the team against their daily checklist (effective 3 June 2022).</t>
  </si>
  <si>
    <t>ABMBAA8</t>
  </si>
  <si>
    <t>Moipone Baholo</t>
  </si>
  <si>
    <t>Gasant and Jennitha Jugnath</t>
  </si>
  <si>
    <t>Issue_1165</t>
  </si>
  <si>
    <t>Remediate Concerns noted - Cash Fee Reconciliation</t>
  </si>
  <si>
    <t>Action_1003_Issue_1166</t>
  </si>
  <si>
    <t>1) Management will ensure that screenshots of SSI details on Front Arena for both external payments and Journals are provided with each manual payment instruction.  2) Management will ensure strict adherence to the process which requires the preparer to prepare the manual instruction only and for the authorizer to take and attach the screenshots of the SSI from Front Arena to the body of the email during the approval step.</t>
  </si>
  <si>
    <t>Gasant Thulsie and Jennitha Jugnath</t>
  </si>
  <si>
    <t>Issue_1166</t>
  </si>
  <si>
    <t>Payment Requests-Accuracy and Authorisation - SBL</t>
  </si>
  <si>
    <t>Action_1001_Issue_1168</t>
  </si>
  <si>
    <t>Issue_1168</t>
  </si>
  <si>
    <t>Action_1000_Issue_1164</t>
  </si>
  <si>
    <t>test action</t>
  </si>
  <si>
    <t>Alex Redl</t>
  </si>
  <si>
    <t>Issue_1164</t>
  </si>
  <si>
    <t>Action_999_Issue_1162</t>
  </si>
  <si>
    <t>Issue_1162</t>
  </si>
  <si>
    <t>Action_998_Issue_763</t>
  </si>
  <si>
    <t>Action_997_Issue_762</t>
  </si>
  <si>
    <t>Action_996_Issue_762</t>
  </si>
  <si>
    <t>Action_995_Issue_761</t>
  </si>
  <si>
    <t>Action_994_Issue_761</t>
  </si>
  <si>
    <t>Action_993_Issue_761</t>
  </si>
  <si>
    <t>Action_992_Issue_760</t>
  </si>
  <si>
    <t>Action_991_Issue_760</t>
  </si>
  <si>
    <t>/ABSA Group Limited/South Africa/South Africa/Enterprise Functions/Group Finance/Chief Operating Office</t>
  </si>
  <si>
    <t>Chief Operating Office</t>
  </si>
  <si>
    <t>Action_990_Issue_759</t>
  </si>
  <si>
    <t>Action_989_Issue_759</t>
  </si>
  <si>
    <t>/ABSA Group Limited/Legal Entities/1900 Summerstrand Share Block Proprietary Limited</t>
  </si>
  <si>
    <t>1900 Summerstrand Share Block Proprietary Limited</t>
  </si>
  <si>
    <t>Action_978_Issue_1151</t>
  </si>
  <si>
    <t>Management will implement</t>
  </si>
  <si>
    <t>ABSD280</t>
  </si>
  <si>
    <t>Sibongile Kewane</t>
  </si>
  <si>
    <t>Lihle Mbatha</t>
  </si>
  <si>
    <t>Issue_1151</t>
  </si>
  <si>
    <t>UAT - Term of reference Action plan 2</t>
  </si>
  <si>
    <t>Action_977_Issue_1151</t>
  </si>
  <si>
    <t>UAT- Term of Reference Action plan</t>
  </si>
  <si>
    <t>/ABSA Group Limited/Africa Region Operations/Botswana/Enterprise Functions/Chief Operating Office</t>
  </si>
  <si>
    <t>Action_976_Issue_1149</t>
  </si>
  <si>
    <t>ACtion 2</t>
  </si>
  <si>
    <t>d</t>
  </si>
  <si>
    <t>Issue_1149</t>
  </si>
  <si>
    <t>Completion Assurance</t>
  </si>
  <si>
    <t>Pending Completion Assurance</t>
  </si>
  <si>
    <t>Action_974_Issue_1149</t>
  </si>
  <si>
    <t>Action @ NKB scenario 3</t>
  </si>
  <si>
    <t>nkgoa baleki</t>
  </si>
  <si>
    <t>Done</t>
  </si>
  <si>
    <t>Action_972_Issue_1148</t>
  </si>
  <si>
    <t>ABEN088</t>
  </si>
  <si>
    <t>Elaine Padayachee</t>
  </si>
  <si>
    <t>Elaine Padaychee</t>
  </si>
  <si>
    <t>Issue_1148</t>
  </si>
  <si>
    <t>test-13 May_ EP</t>
  </si>
  <si>
    <t>COMPLETION APPROVED | 2022-05-13  |  ABKMA18: A</t>
  </si>
  <si>
    <t>Action_971_Issue_1148</t>
  </si>
  <si>
    <t>Test 13 May 2022</t>
  </si>
  <si>
    <t>Action_970_Issue_1148</t>
  </si>
  <si>
    <t>test- 13 May 2022</t>
  </si>
  <si>
    <t>/ABSA Group Limited/South Africa/South Africa/Retail and Business Banking/Relationship Banking</t>
  </si>
  <si>
    <t>Relationship Banking</t>
  </si>
  <si>
    <t>Action_969_Issue_1147</t>
  </si>
  <si>
    <t>Issue_1147</t>
  </si>
  <si>
    <t>test 13 May 2022</t>
  </si>
  <si>
    <t>Action_968_Issue_1147</t>
  </si>
  <si>
    <t>/ABSA Group Limited/Africa Region Operations/Botswana/Retail and Business Banking/Business Banking</t>
  </si>
  <si>
    <t>Business Banking</t>
  </si>
  <si>
    <t>Action_966_Issue_1145</t>
  </si>
  <si>
    <t>collate evidence and ensure that issue closure pack is submitted for sign-off by accountable executives</t>
  </si>
  <si>
    <t>ABTB420</t>
  </si>
  <si>
    <t>Tshepiso Bahumi</t>
  </si>
  <si>
    <t>One kgosiemang</t>
  </si>
  <si>
    <t>Issue_1145</t>
  </si>
  <si>
    <t>Issue  closure pack</t>
  </si>
  <si>
    <t>sampled transactions passed; affected customers were refunded</t>
  </si>
  <si>
    <t>COMPLETION APPROVED | 2022-05-13  |  AB0197R: approve</t>
  </si>
  <si>
    <t>/ABSA Group Limited/Africa Region Operations/Botswana/Enterprise Functions/Risk/Operational risk</t>
  </si>
  <si>
    <t>Operational risk</t>
  </si>
  <si>
    <t>Action_965_Issue_1146</t>
  </si>
  <si>
    <t>The action is on track</t>
  </si>
  <si>
    <t>AB0197R</t>
  </si>
  <si>
    <t>One Kgosiemang</t>
  </si>
  <si>
    <t>Action delivered</t>
  </si>
  <si>
    <t>Issue_1146</t>
  </si>
  <si>
    <t>Conversion action</t>
  </si>
  <si>
    <t>pass</t>
  </si>
  <si>
    <t>COMPLETION APPROVED | 2022-05-13  |  ABTB420: approve</t>
  </si>
  <si>
    <t>Action_963_Issue_1145</t>
  </si>
  <si>
    <t>Raise awareness to ensure that customers are aware of probable fraud activities</t>
  </si>
  <si>
    <t>milestone conversion</t>
  </si>
  <si>
    <t>Customer engagement</t>
  </si>
  <si>
    <t>Action_964_Issue_1146</t>
  </si>
  <si>
    <t>Action for issue closure</t>
  </si>
  <si>
    <t>Action delivery has been completed</t>
  </si>
  <si>
    <t>Action 2 for issue 3</t>
  </si>
  <si>
    <t>Action_962_Issue_1146</t>
  </si>
  <si>
    <t>Action to close on issue</t>
  </si>
  <si>
    <t>Delivery status commentary</t>
  </si>
  <si>
    <t>Action for issue 3</t>
  </si>
  <si>
    <t>Action_961_Issue_1145</t>
  </si>
  <si>
    <t>Post investigations, affected customers should be reimbursed</t>
  </si>
  <si>
    <t>Remediation yet to commence</t>
  </si>
  <si>
    <t>Refund affected customers</t>
  </si>
  <si>
    <t>Action_960_Issue_1141</t>
  </si>
  <si>
    <t>The Branch Manager will immediately re-iterate to the Branch staff the enhanced authentication process to ensure that a clear and legible copy of the customerâ€™s identification document is available on the Enterprise Content Manager (ECM) system prior to performing maintenance transactions for existing customers. Minutes of this discussion will be signed by all staff members and filed as evidence.  The Branch Manager will also perform weekly checks on all Electronic Payments (EPS) transactions reflecting on the MBRFR1 listing to confirm that a clear and legible copy of the identity document is available on the Enterprise Content Manager (ECM) system. The MBRFR1 listing will be signed off as confirmation of the checks performed.  Where anomalies are noted, corrective actions will be monitored until embedment has taken place and evidence of these checks will be retained</t>
  </si>
  <si>
    <t>ABSS790</t>
  </si>
  <si>
    <t>Sophie Tshabalala</t>
  </si>
  <si>
    <t>Marius Alberts</t>
  </si>
  <si>
    <t>Issue_1141</t>
  </si>
  <si>
    <t>Customer Authentication</t>
  </si>
  <si>
    <t>RBT/MenlynMaine/GautengNorth/06</t>
  </si>
  <si>
    <t>Action_958_Issue_1143</t>
  </si>
  <si>
    <t>ABYA069</t>
  </si>
  <si>
    <t>Yasin Ahmed</t>
  </si>
  <si>
    <t>yasin</t>
  </si>
  <si>
    <t>Issue_1143</t>
  </si>
  <si>
    <t>testqq2</t>
  </si>
  <si>
    <t>Action_957_Issue_1141</t>
  </si>
  <si>
    <t>The Branch Manager will revisit the operator card profile of the Consultant: Branch Operations and Risk to ensure that the profile is aligned to the published Standard Operator Card Profiles for Branch Network. The outcome of this check will be recorded on the Absa 2560 form and signed as evidence of the check performed.  The Branch Manager will immediately revisit all staff operator card profile to ensure that the limits allocated are updated and aligned to the Branch Paper Mandate. The outcome of this check will be recorded on the Absa 2560 form and signed as evidence of the check performed  The Branch Manager will perform bi-weekly checks on the User Profile Changes (USRQ CHGS) listing to determine where changes are made to the operator card profiles and that these functions are in line with the published Standard Operator Card Profiles for Branch Network. The outcome of these checks will be recorded on the on the USRQ CHGS listings and signed as evidence of the check performed</t>
  </si>
  <si>
    <t>Allocation of Profile, Limits &amp; Authority Levels</t>
  </si>
  <si>
    <t>RBT/MenlynMaine/GautengNorth/05</t>
  </si>
  <si>
    <t>Action_956_Issue_1141</t>
  </si>
  <si>
    <t>The Regional Manager will ensure that the Branch Manager / Supervisor rectifies and updates the FAIS Supervision Contract (Absa 3455) for the Junior Sales Consultant under supervision.</t>
  </si>
  <si>
    <t>FAIS Supervision Process</t>
  </si>
  <si>
    <t>Action_955_Issue_1141</t>
  </si>
  <si>
    <t>The Branch Manager will immediately identify a suitable back up to perform the daily checking of the Foreign Exchange End of Day Listings and ensure that the staff member receives the required training and coaching. The training and coaching discussions will be recorded and retained on file for record purposes.  The Branch Manager will perform weekly spot checks on the Foreign Exchange End of Day listings to ensure that they have been actioned and signed off on a daily basis. The Forex End of Day Procedures Checklist (Absa 4371) will be signed off as evidence of the checks performed</t>
  </si>
  <si>
    <t>RIB Transaction Monitoring</t>
  </si>
  <si>
    <t>RBT/MenlynMaine/GautengNorth/03</t>
  </si>
  <si>
    <t>Action_954_Issue_1143</t>
  </si>
  <si>
    <t>aaggg</t>
  </si>
  <si>
    <t>Action_952_Issue_1141</t>
  </si>
  <si>
    <t>Treasury Float, Cash in Transit &amp; Teller General Ledger (GL) Balancing</t>
  </si>
  <si>
    <t>Marius</t>
  </si>
  <si>
    <t>General Ledger (GL) Balancing</t>
  </si>
  <si>
    <t>RBT/MenlynMaine/GautengNorth2</t>
  </si>
  <si>
    <t>Action_953_Issue_1143</t>
  </si>
  <si>
    <t>testtt</t>
  </si>
  <si>
    <t>Action_951_Issue_1141</t>
  </si>
  <si>
    <t>Valid Account Opening Documentation for Personal loans, Balance Transfer and Student Loans</t>
  </si>
  <si>
    <t>Valid Account Opening Documentation</t>
  </si>
  <si>
    <t>RBT/MenlynMaine/GautengNorth/01</t>
  </si>
  <si>
    <t>Action_950_Issue_1139</t>
  </si>
  <si>
    <t>At Risk</t>
  </si>
  <si>
    <t>Issue_1139</t>
  </si>
  <si>
    <t>Action_949_Issue_1140</t>
  </si>
  <si>
    <t>yasin ahmed</t>
  </si>
  <si>
    <t>Issue_1140</t>
  </si>
  <si>
    <t>test123</t>
  </si>
  <si>
    <t>Action_948_Issue_1140</t>
  </si>
  <si>
    <t>test Scenario 2</t>
  </si>
  <si>
    <t>Action_947_Issue_1138</t>
  </si>
  <si>
    <t>Profiles not checked against procedure document</t>
  </si>
  <si>
    <t>Issue ready for closure</t>
  </si>
  <si>
    <t>Issue_1138</t>
  </si>
  <si>
    <t>GN- Menlyn Maine/ Profile management</t>
  </si>
  <si>
    <t>Action_946_Issue_1134</t>
  </si>
  <si>
    <t>Issue_1134</t>
  </si>
  <si>
    <t>YA Test Scenario 1</t>
  </si>
  <si>
    <t>/ABSA Group Limited/South Africa/South Africa/Enterprise Functions/Group Finance/Treasury/Treasury Asset Liability Management</t>
  </si>
  <si>
    <t>Treasury Asset Liability Management</t>
  </si>
  <si>
    <t>Action_945_Issue_1121</t>
  </si>
  <si>
    <t>Complaints are not limited to â€˜retailâ€™ Customers. Complaints can come from all potential, existing or former  Customers, clients or counterparties. The process by which we deal with Complaints may vary across different  businesses, however, we have an obligation to ensure that we treat all Complainants fairly.</t>
  </si>
  <si>
    <t>ABTMAXT</t>
  </si>
  <si>
    <t>Thato Mabale</t>
  </si>
  <si>
    <t>Tamara</t>
  </si>
  <si>
    <t>done</t>
  </si>
  <si>
    <t>Issue_1121</t>
  </si>
  <si>
    <t>Complaints handling</t>
  </si>
  <si>
    <t>Closure Assurance</t>
  </si>
  <si>
    <t>Pending Closure Assurance</t>
  </si>
  <si>
    <t>COMPLETION APPROVED | 2022-05-16  |  ABKMA18: Approved</t>
  </si>
  <si>
    <t>/ABSA Group Limited/Africa Region Operations/Botswana/Enterprise Functions/Chief Operating Office/Change Intergration</t>
  </si>
  <si>
    <t>Change Intergration</t>
  </si>
  <si>
    <t>Action_944_Issue_1131</t>
  </si>
  <si>
    <t>c</t>
  </si>
  <si>
    <t>Issue_1131</t>
  </si>
  <si>
    <t>Action_943_Issue_1131</t>
  </si>
  <si>
    <t>Scenario 2 Action</t>
  </si>
  <si>
    <t>Convert</t>
  </si>
  <si>
    <t>Action_942_Issue_1130</t>
  </si>
  <si>
    <t>UAT scenario 2</t>
  </si>
  <si>
    <t>AB012A3</t>
  </si>
  <si>
    <t>Megan Aucamp</t>
  </si>
  <si>
    <t>Milestone conversion scenario</t>
  </si>
  <si>
    <t>Issue_1130</t>
  </si>
  <si>
    <t>/ABSA Group Limited/Africa Region Operations/Botswana/Retail and Business Banking/Retail Banking/Affluent Segment</t>
  </si>
  <si>
    <t>Affluent Segment</t>
  </si>
  <si>
    <t>Action_941_Issue_1127</t>
  </si>
  <si>
    <t>Complete issue closure pack and share with accountable executives for sign-off</t>
  </si>
  <si>
    <t>Issue_1127</t>
  </si>
  <si>
    <t>Issue closure pack</t>
  </si>
  <si>
    <t>Action_940_Issue_1126</t>
  </si>
  <si>
    <t>Second action to close issue</t>
  </si>
  <si>
    <t>Action on track</t>
  </si>
  <si>
    <t>Issue_1126</t>
  </si>
  <si>
    <t>Action number 2</t>
  </si>
  <si>
    <t>/ABSA Group Limited/South Africa/South Africa/Enterprise Functions/Group Risk/Business Risk</t>
  </si>
  <si>
    <t>Business Risk</t>
  </si>
  <si>
    <t>Action_939_Issue_1129</t>
  </si>
  <si>
    <t>UAT test 1</t>
  </si>
  <si>
    <t>Megan AUcamp</t>
  </si>
  <si>
    <t>UAT Test</t>
  </si>
  <si>
    <t>Issue_1129</t>
  </si>
  <si>
    <t>Action_938_Issue_1127</t>
  </si>
  <si>
    <t>Issue out communication to the affected customers in the form of apology letters</t>
  </si>
  <si>
    <t>n/a</t>
  </si>
  <si>
    <t>Action_936_Issue_1126</t>
  </si>
  <si>
    <t>Actions for issue 2, action required for closure</t>
  </si>
  <si>
    <t>one kgosiemang</t>
  </si>
  <si>
    <t>Action for issue 2</t>
  </si>
  <si>
    <t>Action_935_Issue_1125</t>
  </si>
  <si>
    <t>Issue out communication to affected customers in the form of apology letters</t>
  </si>
  <si>
    <t>Issue_1125</t>
  </si>
  <si>
    <t>Action_934_Issue_1121</t>
  </si>
  <si>
    <t>We have a few trades whose Nominal values are coming through from source in JPY instead of Rands, overstating the Balance Sheet</t>
  </si>
  <si>
    <t>JPY trades coming through in Yen insted of Rands</t>
  </si>
  <si>
    <t>COMPLETION APPROVED | 2022-05-18  |  ABKMA18: Approved</t>
  </si>
  <si>
    <t>Action_933_Issue_1121</t>
  </si>
  <si>
    <t>Interest rate attribute in pre-conformance RTFM data 100% null for September data.</t>
  </si>
  <si>
    <t>RTFM - Missing Interest Rate</t>
  </si>
  <si>
    <t>Action_932_Issue_1121</t>
  </si>
  <si>
    <t>Remediated</t>
  </si>
  <si>
    <t>Action_931_Issue_1120</t>
  </si>
  <si>
    <t>Issue_1120</t>
  </si>
  <si>
    <t>/ABSA Group Limited/South Africa/South Africa/Enterprise Functions/Group Finance/Treasury/Treasury Funding and Liquidity Management</t>
  </si>
  <si>
    <t>Treasury Funding and Liquidity Management</t>
  </si>
  <si>
    <t>Action_930_Issue_1117</t>
  </si>
  <si>
    <t>Treasury risk data (Cons) does not reconcile back to Analyst.</t>
  </si>
  <si>
    <t>Complete</t>
  </si>
  <si>
    <t>Issue_1117</t>
  </si>
  <si>
    <t>Treasury risk data not reconciled to Analyst</t>
  </si>
  <si>
    <t>Action_929_Issue_1117</t>
  </si>
  <si>
    <t>Action_927_Issue_1114</t>
  </si>
  <si>
    <t>Issue_1114</t>
  </si>
  <si>
    <t>Action_926_Issue_1114</t>
  </si>
  <si>
    <t>Action_924_Issue_1108</t>
  </si>
  <si>
    <t>Remediate the Data Quality Issues</t>
  </si>
  <si>
    <t>Issue_1108</t>
  </si>
  <si>
    <t>Remediation of the DQ Monthly</t>
  </si>
  <si>
    <t>/ABSA Group Limited/Africa Region Operations/Botswana/Enterprise Functions/Compliance/Financial Crime</t>
  </si>
  <si>
    <t>Action_925_Issue_1111</t>
  </si>
  <si>
    <t>Ensure that the non-compliant accounts are remediated before the next review</t>
  </si>
  <si>
    <t>"""not recoverable"" note that  an expected closure date will need to be provided."</t>
  </si>
  <si>
    <t>Issue_1111</t>
  </si>
  <si>
    <t>Accounts remediation</t>
  </si>
  <si>
    <t>N/A</t>
  </si>
  <si>
    <t>Action_923_Issue_1103</t>
  </si>
  <si>
    <t>This action will be executed to address the issue</t>
  </si>
  <si>
    <t>Action at risk</t>
  </si>
  <si>
    <t>Issue_1103</t>
  </si>
  <si>
    <t>Action for issue</t>
  </si>
  <si>
    <t>Action_922_Issue_1107</t>
  </si>
  <si>
    <t>ACtion NBK</t>
  </si>
  <si>
    <t>At risk due to ABC</t>
  </si>
  <si>
    <t>Issue_1107</t>
  </si>
  <si>
    <t>Action NKB</t>
  </si>
  <si>
    <t>/ABSA Group Limited/South Africa/South Africa/Retail and Business Banking/Customer Value Management</t>
  </si>
  <si>
    <t>Customer Value Management</t>
  </si>
  <si>
    <t>Action_921_Issue_1109</t>
  </si>
  <si>
    <t>ABCM840</t>
  </si>
  <si>
    <t>Charne De Villiers</t>
  </si>
  <si>
    <t>Issue_1109</t>
  </si>
  <si>
    <t>/ABSA Group Limited/South Africa/South Africa/Corporate and Investment Bank/Support Functions/Post Trade Services Team/Structured Trading/OTC Collateral Management PTS</t>
  </si>
  <si>
    <t>OTC Collateral Management PTS</t>
  </si>
  <si>
    <t>Action_916_Issue_1085</t>
  </si>
  <si>
    <t>Implement checklist</t>
  </si>
  <si>
    <t>Jennitha Jugnath</t>
  </si>
  <si>
    <t>Issue_1085</t>
  </si>
  <si>
    <t>COLLPTS231MAR2022 Concerns noted- Control testing</t>
  </si>
  <si>
    <t>Action_915_Issue_1084</t>
  </si>
  <si>
    <t>Implement a balance reconciliation between Front Arena (Africa) and APEX to ensure that the balances are aligned, and any discrepancies can be identified, investigated and resolved timely.</t>
  </si>
  <si>
    <t>Issue_1084</t>
  </si>
  <si>
    <t>Implement reconciliation between FA Africa &amp; APEX</t>
  </si>
  <si>
    <t>Action_914_Issue_1083</t>
  </si>
  <si>
    <t>Engage ARO in-country PTS Teams to ensure the Apex Margin notice is utilised directly from the Apex system and no manual updates or amendments are made by the in-country PTS ARO teams.</t>
  </si>
  <si>
    <t>Issue_1083</t>
  </si>
  <si>
    <t>Ensure correct use of Apex Margin Notice</t>
  </si>
  <si>
    <t>Action_912_Issue_1083</t>
  </si>
  <si>
    <t>Action_908_Issue_1083</t>
  </si>
  <si>
    <t>Within the Collateral Management team, Implement an End of Day report that will create awareness with all relevant ARO stakeholders of all ARO disputed margin calls or margin calls not responded to. The EOD Report will reflect all margin calls generated for the day and the status of the margin calls, i.e. fully agreed, partially agreed, disputed, no response.</t>
  </si>
  <si>
    <t>End of Day reporting for Margin Calls</t>
  </si>
  <si>
    <t>Action_907_Issue_1083</t>
  </si>
  <si>
    <t>Roll out training to all relevant ARO countries (Ghana, Mauritius, Kenya, Zambia, Botswana, Uganda, Mozambique, Tanzania ) on collateral margining processes, including updated new  procedure manual.</t>
  </si>
  <si>
    <t>Action_906_Issue_1083</t>
  </si>
  <si>
    <t>Update PTS Collateral procedure manual and circulate this to all relevant ARO countries. The procedure manual will also be referred to in the Collateral training with relevant ARO countries.</t>
  </si>
  <si>
    <t>PTS Procedure Manual</t>
  </si>
  <si>
    <t>Action_904_Issue_1082</t>
  </si>
  <si>
    <t>complete</t>
  </si>
  <si>
    <t>Issue_1082</t>
  </si>
  <si>
    <t>Action_903_Issue_1082</t>
  </si>
  <si>
    <t>â€¢ Within the Collateral Management team, Implement an End of Day report that will create awareness with all relevant ARO stakeholders of all ARO disputed margin calls or margin calls not responded to. The EOD Report will reflect all margin calls generated for the day and the status of the margin calls, i.e. fully agreed, partially agreed, disputed, no response.</t>
  </si>
  <si>
    <t>Action_902_Issue_1082</t>
  </si>
  <si>
    <t>â€¢ Roll out training to all relevant ARO countries (Ghana, Mauritius, Kenya, Zambia, Botswana, Uganda, Mozambique, Tanzania ) on collateral margining processes, including updated new  procedure manual.</t>
  </si>
  <si>
    <t>Action_901_Issue_1082</t>
  </si>
  <si>
    <t>Action_881_Issue_1062</t>
  </si>
  <si>
    <t>Test Test Test Test Test Test Test Test  Test Test Test Test Test Test Test Test</t>
  </si>
  <si>
    <t>Completed Test Test Test Test Test Test Test Test  Test Test Test Test Test Test Test Test  Test Test Test Test Test Test Test Test</t>
  </si>
  <si>
    <t>Issue_1062</t>
  </si>
  <si>
    <t>Test Test Test Test Test Test Test Test</t>
  </si>
  <si>
    <t xml:space="preserve">Test Test Test Test Test Test Test Test </t>
  </si>
  <si>
    <t>/ABSA Group Limited/South Africa/South Africa/Retail and Business Banking/Relationship Banking/Product/Cash Management</t>
  </si>
  <si>
    <t>Cash Management</t>
  </si>
  <si>
    <t>Action_861_Issue_1044</t>
  </si>
  <si>
    <t>The Absa RBB compliance team should ensure that the use of cloud computing by G4S is approved by the Absa Group Cloud Committee. Going forward, G4S should ensure that the cloud services comply with the Absa Data Privacy standard and the Absa Information Security Policy.</t>
  </si>
  <si>
    <t>ABES591</t>
  </si>
  <si>
    <t>Elmarie Malgas</t>
  </si>
  <si>
    <t>Johannes Binnekade</t>
  </si>
  <si>
    <t>Issue_1044</t>
  </si>
  <si>
    <t>Information and Cyber Security</t>
  </si>
  <si>
    <t>/ABSA Group Limited/South Africa/South Africa/Corporate and Investment Bank/Support Functions/Front Office</t>
  </si>
  <si>
    <t>Front Office</t>
  </si>
  <si>
    <t>Action_858_Issue_1033</t>
  </si>
  <si>
    <t>Dealer mandates to be updated to align to the margins being charged</t>
  </si>
  <si>
    <t>ABWS317</t>
  </si>
  <si>
    <t>Waseela Hiebner</t>
  </si>
  <si>
    <t>Paul Fenwick</t>
  </si>
  <si>
    <t>Issue_1033</t>
  </si>
  <si>
    <t>Update dealer mandates</t>
  </si>
  <si>
    <t>Action_857_Issue_1033</t>
  </si>
  <si>
    <t>Dealer mandates to be updated, to align to the margins being charged.</t>
  </si>
  <si>
    <t>/ABSA Group Limited/South Africa/South Africa/Corporate and Investment Bank/Transactional Banking/Cash Management/Servicing/Wholesale Client Service Centre - Portfolio Generic</t>
  </si>
  <si>
    <t>Wholesale Client Service Centre - Portfolio Generic</t>
  </si>
  <si>
    <t>Action_856_Issue_603</t>
  </si>
  <si>
    <t>Digital onboarding will  perform a detailed analysis of the QA backlog and table a detailed action plan to remediate the backlog issue. In addition the current QA sample size will be revised to achievable levels.</t>
  </si>
  <si>
    <t>ABAS940</t>
  </si>
  <si>
    <t>Aldrich Shuma</t>
  </si>
  <si>
    <t>Sifiso Ngwenya</t>
  </si>
  <si>
    <t>Issue_603</t>
  </si>
  <si>
    <t>QA Backlog remediation plan</t>
  </si>
  <si>
    <t>Action_855_Issue_572</t>
  </si>
  <si>
    <t>Digital Incubation will engage the risk team to conduct front to Back assessment and obtain sign off from the business unit head.</t>
  </si>
  <si>
    <t>Sue Nicholson</t>
  </si>
  <si>
    <t>Issue_572</t>
  </si>
  <si>
    <t>Conduct front to back assessment</t>
  </si>
  <si>
    <t>Action_854_Issue_602</t>
  </si>
  <si>
    <t>BU to engage the BA and ensure that process maps are updated and signed off by business and Internal Controls.  Updated process maps to be socialized with the consultants and stored on Share Drive for consultants to refer to.</t>
  </si>
  <si>
    <t>Issue_602</t>
  </si>
  <si>
    <t>Update process Maps</t>
  </si>
  <si>
    <t>/ABSA Group Limited/South Africa/South Africa/Enterprise Functions/Engineering Services/Chief Information Office</t>
  </si>
  <si>
    <t>Chief Information Office</t>
  </si>
  <si>
    <t>Action_853_Issue_1026</t>
  </si>
  <si>
    <t>Perform the de-provisioning phase for users based on their â€˜date last usedâ€™ (phased approach)</t>
  </si>
  <si>
    <t>ABDB033</t>
  </si>
  <si>
    <t>Diane Delmage</t>
  </si>
  <si>
    <t>Harvey Naidoo</t>
  </si>
  <si>
    <t>Issue_1026</t>
  </si>
  <si>
    <t>Perform de-provisioning phase</t>
  </si>
  <si>
    <t>Action_852_Issue_1026</t>
  </si>
  <si>
    <t>Deactivate dormant groups based on the â€˜date last usedâ€™ (phased approach)</t>
  </si>
  <si>
    <t>Deactivation of dormant groups</t>
  </si>
  <si>
    <t>Action_851_Issue_1026</t>
  </si>
  <si>
    <t>Commence with the handover phase post ownership agreement reached</t>
  </si>
  <si>
    <t>Handover phase post ownership agreement</t>
  </si>
  <si>
    <t>Action_850_Issue_1026</t>
  </si>
  <si>
    <t>Perform recertification process for groups</t>
  </si>
  <si>
    <t>Recertification process for groups</t>
  </si>
  <si>
    <t>Action_849_Issue_1026</t>
  </si>
  <si>
    <t>Identify dormant groups that could be terminated</t>
  </si>
  <si>
    <t>Consolidate all known groups</t>
  </si>
  <si>
    <t>Action_848_Issue_1023</t>
  </si>
  <si>
    <t>Implement automated notification on the application for changes promoted and if and when occurred</t>
  </si>
  <si>
    <t>Issue_1023</t>
  </si>
  <si>
    <t>Automated control notification</t>
  </si>
  <si>
    <t>/ABSA Group Limited/South Africa/South Africa/Retail and Business Banking/Relationship Banking/Product/Specialised Lending Solutions &amp; CAF</t>
  </si>
  <si>
    <t>Specialised Lending Solutions &amp; CAF</t>
  </si>
  <si>
    <t>Action_847_Issue_1024</t>
  </si>
  <si>
    <t>Credit Risk to implement the CAF LGD model for use in the process of pricing of CAF flow deals.</t>
  </si>
  <si>
    <t>ABBMA48</t>
  </si>
  <si>
    <t>Thabani Mafuleka</t>
  </si>
  <si>
    <t>Cyril Madiba: Manager Commercial Asset Finance (CAF) â€“ CIB Segment</t>
  </si>
  <si>
    <t>Issue_1024</t>
  </si>
  <si>
    <t>Development of a CAF LGD model</t>
  </si>
  <si>
    <t>Action_846_Issue_573</t>
  </si>
  <si>
    <t>"""Digital Incubation team to undergo refresher training on onboarding and Maker/Checker processes, as well as highlighting the effect from a client experience perspective if onboarding is not performed accurately Onboarding Analysts to ensure full instruction is executed correctly and encouraged to reach out to IBS to clarify where info is missing. Onboarding Analysts to ensure full onboarding process is completed prior to confirming same with Requestor/IBS."""</t>
  </si>
  <si>
    <t>Issue_573</t>
  </si>
  <si>
    <t>Refresher training on the onboarding process</t>
  </si>
  <si>
    <t>/ABSA Group Limited/Africa Region Operations/Seychelles/Enterprise Functions/People Function</t>
  </si>
  <si>
    <t>People Function</t>
  </si>
  <si>
    <t>Action_845_Issue_1021</t>
  </si>
  <si>
    <t>People Business Partner to notify People Experience team within 24hrs once the  resignation, Termination  or end of contract has been signed off by People Managers   People Experience to ensure email notification is sent within 7 days of People Manager sign off</t>
  </si>
  <si>
    <t>ABNL310</t>
  </si>
  <si>
    <t>Nella Lafleur</t>
  </si>
  <si>
    <t>Valerie Busetto</t>
  </si>
  <si>
    <t>Issue_1021</t>
  </si>
  <si>
    <t>Offboarding</t>
  </si>
  <si>
    <t>Action_844_Issue_568</t>
  </si>
  <si>
    <t>BU to engage the BA and ensure that process maps are updated and signed off by business and Internal Controls.  Updated process maps to be socialized with the consultants and stored on the departments MS teams group for consultants to refer to.</t>
  </si>
  <si>
    <t>Issue_568</t>
  </si>
  <si>
    <t>Process Maps updates</t>
  </si>
  <si>
    <t>Action_843_Issue_1021</t>
  </si>
  <si>
    <t>Email notification was not  sent  within 7 days of Resignation, Termination, and end of Contract to relevant stakeholders.  This activity is conducted by People Experience Team</t>
  </si>
  <si>
    <t>/ABSA Group Limited/South Africa/South Africa/Retail and Business Banking/Life SA/Absa Life</t>
  </si>
  <si>
    <t>Absa Life</t>
  </si>
  <si>
    <t>Action_842_Issue_1006</t>
  </si>
  <si>
    <t>Management will ensure that minutes are kept in a central depository</t>
  </si>
  <si>
    <t>ABCP569</t>
  </si>
  <si>
    <t>Clinton Pretorius</t>
  </si>
  <si>
    <t>Mohsin Daya</t>
  </si>
  <si>
    <t>Issue_1006</t>
  </si>
  <si>
    <t>Documenting and storing minutes</t>
  </si>
  <si>
    <t>/ABSA Group Limited/South Africa/South Africa/Corporate and Investment Bank/International/United Kingdom/Absa Securities UK</t>
  </si>
  <si>
    <t>Absa Securities UK</t>
  </si>
  <si>
    <t>Action_841_Issue_279</t>
  </si>
  <si>
    <t>New to Bank &amp; ASUK Parent procedure guides to be updated with details of HR discounting &amp; approval steps. New to Bank &amp; ASUK Parent procedure guides to be updated with details of PEP discounting &amp; approval steps. New to Bank &amp; ASUK Parent procedure guides to be updated with details of adverse media discounting &amp; approval steps. New to Bank &amp; ASUK Parent procedure guides to be updated with details of approved 3rd parties.</t>
  </si>
  <si>
    <t>ABCA262</t>
  </si>
  <si>
    <t>Clare Anderson</t>
  </si>
  <si>
    <t>Eckard Conradie/Dimple Chetty</t>
  </si>
  <si>
    <t>Issue_279</t>
  </si>
  <si>
    <t>Customer Due Diligence</t>
  </si>
  <si>
    <t>Action_840_Issue_279</t>
  </si>
  <si>
    <t>Review document retrieval guidelines and update process where applicable. Update CIB CDD Supporting document with clear distinction of the two risk ratings performed 'New to Bank procedure guide to be updated with risk rating for AM as control assessment vs risk rating for primary entity.</t>
  </si>
  <si>
    <t>Customer Risk Assessment</t>
  </si>
  <si>
    <t>Action_839_Issue_279</t>
  </si>
  <si>
    <t>Include UBO residence and nationality as one of the factors used when calculating the jurisdiction risk score associated with a specific client.</t>
  </si>
  <si>
    <t>Eckard Conradie</t>
  </si>
  <si>
    <t>Submitted awaiting validation. New to Bank Procedures: 2.1.1.3 Perform Customer Acceptance Sanctions Screening (CASA), step 4. The risk rating is already included in the retrieval file, and is system generated therefore no explanation to justify risk rating is required. ASUK Parent Procedures: 4. Perform CASA Screening, step 4. The risk rating is already included in the retrieval file, and is either low risk (approved by FCC) for initial stock population, or for any new parent onboardings either generated by the manual risk rating template, or SF system generated therefore no explanation to justify risk rating is required.</t>
  </si>
  <si>
    <t>Action_838_Issue_279</t>
  </si>
  <si>
    <t>Action_837_Issue_279</t>
  </si>
  <si>
    <t>The general rule which assigns UK clients a low risk rating should be removed in order to enhance ASUKâ€™s risk-based approach to CRAs. A greater weighting may be applied to the service provided to the client when calculating a clientâ€™s risk score, however, it should not automatically result in the client receiving a low risk rating.</t>
  </si>
  <si>
    <t>All risk ratings have been completed and must be vetted by MLRO and communicated to front office.</t>
  </si>
  <si>
    <t>/ABSA Group Limited/South Africa/South Africa/Retail and Business Banking/Customer Value Management/Advanced Analytics and Insights</t>
  </si>
  <si>
    <t>Advanced Analytics and Insights</t>
  </si>
  <si>
    <t>Action_836_Issue_1018</t>
  </si>
  <si>
    <t>A meeting was held on 22 February with Compliance and Learning Solutions to highlight the issue. The Learning Solutions team will investigate possible strategic solutions with the help of the staff member. The tactical solution that was implemented is that the staff member is placed on the training exclusion list.</t>
  </si>
  <si>
    <t>ABSMADJ</t>
  </si>
  <si>
    <t>Selebaleng Mocheko</t>
  </si>
  <si>
    <t>Gavin Cope</t>
  </si>
  <si>
    <t>February: A meeting was held on 22 February with Compliance and Learning Solutions to highlight the issue. The Learning Solutions team will investigate possible strategic solutions with the help of the staff member. The tactical solution that was implemented is that the staff member is placed on the training exclusion list.</t>
  </si>
  <si>
    <t>Issue_1018</t>
  </si>
  <si>
    <t>eLearning accessibility Issue</t>
  </si>
  <si>
    <t>Action_835_Issue_1017</t>
  </si>
  <si>
    <t>â€¢ The Branch Manager will revisit all the staff operator card profiles to ensure that profiles are aligned to role profiles and to the Standard Card Profile for Branch Network and Relationship Banking.  The Acceptance of Responsibility for Operator Card (Absa 2560) form will be signed as confirmation of the checks performed. â€¢ The Branch Manager will confirm that effective six-monthly profile checks are performed on all staff operator card profiles listed on the branch User Operator Card Enquiry (USRQ OPER).  The outcome of these checks will be recorded on the Acceptance of Responsibility for Operator Card (Absa 2560). â€¢ The Branch Manager will ensure that the requests to update the domicile branch of six staff members transferred from another branch and one staff member transferred to another business unit are submitted.  The request to be monitored daily and the USRQ OPER enquiry to be signed as confirmation that all updates have been actioned.</t>
  </si>
  <si>
    <t>ABAS727</t>
  </si>
  <si>
    <t>Angelique Van Der Scholtz</t>
  </si>
  <si>
    <t>Yadhir Baijnath (Regional Manager)</t>
  </si>
  <si>
    <t>Issue_1017</t>
  </si>
  <si>
    <t>Allocation of Profiles, Limits &amp; Authority Levels</t>
  </si>
  <si>
    <t>Action_834_Issue_1016</t>
  </si>
  <si>
    <t>â€¢ The Branch Manager will revisit the operator card profiles of the staff mandated to perform the checking of the Foreign Exchange End of day listings to ensure that all FOREX related functions and limits are removed and that the official is independent.  The Acceptance of Responsibility for Operator Card (Absa 2560) will be signed by the Branch Manager as evidence of the review performed. â€¢ The Branch Manager will perform weekly checks on the Foreign Exchange End of Day listings the listings are actioned by an independent official with no FOREX cash withdrawal limits on their operator card profiles. The Forex End of Day Procedure Checklist (ABSA 4371) will be signed as evidence of the check performed.</t>
  </si>
  <si>
    <t>Issue_1016</t>
  </si>
  <si>
    <t>Action_833_Issue_1014</t>
  </si>
  <si>
    <t>â€¢ The Branch Manager will perform weekly spot checks on the Treasury Float and Cash in Transit (CIT) balancing to ensure that the daily independent checks are performed by the same independent mandated official.  â€¢ This will be evidenced on the Treasury Float (Absa 1373) and General Ledger Daily Reconciliation Sheet (Absa 4484) for CIT and all related documents.</t>
  </si>
  <si>
    <t>Issue_1014</t>
  </si>
  <si>
    <t>Treasury Float, CIT &amp; Teller GL Balancing</t>
  </si>
  <si>
    <t>/ABSA Group Limited/South Africa/South Africa/Retail and Business Banking/Customer Value Management/Customer Care</t>
  </si>
  <si>
    <t>Customer Care</t>
  </si>
  <si>
    <t>Action_832_Issue_1010</t>
  </si>
  <si>
    <t>A member of the Customer Care team relocated to Malta in October 2021 and no evidence has been provided that the international remote working requirements have been followed.</t>
  </si>
  <si>
    <t>Gerret Oosthuizen</t>
  </si>
  <si>
    <t>Issue_1010</t>
  </si>
  <si>
    <t>International remote working arrangements</t>
  </si>
  <si>
    <t>Action_831_Issue_1012</t>
  </si>
  <si>
    <t>â€¢ The Branch Manager will immediately re-iterate the ATM Cash Count process with all officials performing cash counts.  Minutes of the discussion will be signed by the cash counting officials and retained as evidence. The Branch Manager will perform effective monthly checks on the Automated Teller Machine (ATM) cash counts to ensure that the cash count official has recorded the details of the cash count correctly for all cash removed and that all cash is counted.  Furthermore, that all relevant supporting documents for any discrepancies are attached to the cash count documentation and retained on file.  The Cash Count Registers (Absa 2483) and documentation will be signed as evidence of the checks performed.</t>
  </si>
  <si>
    <t>Issue_1012</t>
  </si>
  <si>
    <t>ATM Surprise Cash Counts (GBRU &amp; CAD)</t>
  </si>
  <si>
    <t>Action_829_Issue_1011</t>
  </si>
  <si>
    <t>â€¢ The Branch Manager will perform weekly checks on the ATM End of Day balancing listings to ensure that the Absa Detail Enquiry (JNQD) is extracted after the removal of deposit from the ATM.  Where anomalies are noted, that these are investigated and the reasons for the difference and outcome of the investigation is annotated on the listing.  The JNQD enquiry will be signed as evidence of the checks performed. â€¢ Where anomalies are noted, corrective actions will be monitored until embedment has taken place and evidence of these checks will be retained.</t>
  </si>
  <si>
    <t>Issue_1011</t>
  </si>
  <si>
    <t>ATM Balancing</t>
  </si>
  <si>
    <t>Action_828_Issue_1009</t>
  </si>
  <si>
    <t>â€¢ The Branch Manager will immediately re-iterate to the Branch staff the enhanced authentication process to ensure that a clear and legible copy of the customers identification document are available on ECM prior to perform the onboarding of the Savings and Investment account. Minutes will be signed by all staff members and filed as evidence that the process was discussed. The Branch Manager will perform weekly checks on all Savings &amp; Investment applications onboarded as per the Sales Performance Management System (SPMS) report to confirm that a clear, legible, and valid copy of the identity document is available on the Enterprise Content Manager (ECM) system.  The SPMS report will be signed as confirmation of the checks performed.</t>
  </si>
  <si>
    <t>Issue_1009</t>
  </si>
  <si>
    <t>Savings and Investment - Customer Authentication</t>
  </si>
  <si>
    <t>Action_827_Issue_668</t>
  </si>
  <si>
    <t>â€¢ The Branch Manager will immediately re-iterate to all Sales staff the end-to-end process to follow when onboarding Unsecured Lending products to ensure that all information of the customer is fully updated on the Customer Information File (CIF) as per contract and all documents are available for retrieval on Enterprise Content Manager (ECM).  Minutes of the meeting will be retained for record purposes. â€¢ The Branch Manager will perform weekly checks on all Personal loans applications onboarded as per the Sales Performance Management System (SPMS) report to confirm that all supporting documents, i.e. Preâ€“Agreement and Quotation, Income and Expenditure, Marriage Declarations and once off payments are available on the Enterprise Content Manager (ECM) system and confirm the CIF is updated correctly.  The SPMS report will be signed as confirmation of the checks performed.</t>
  </si>
  <si>
    <t>Issue_668</t>
  </si>
  <si>
    <t>Savings and Investments Customer Authentication</t>
  </si>
  <si>
    <t>DurbanNorth Issue _668</t>
  </si>
  <si>
    <t>Action_826_Issue_735</t>
  </si>
  <si>
    <t>Resolve customer complaints through refunding the customers the value that was not received.</t>
  </si>
  <si>
    <t>Petrus Van Breda</t>
  </si>
  <si>
    <t>All of the customers were recharged successfully and the complaints have been dealt with and closed. This risk can be closed.</t>
  </si>
  <si>
    <t>Issue_735</t>
  </si>
  <si>
    <t>Resolve Customer Complaints</t>
  </si>
  <si>
    <t>/ABSA Group Limited/Africa Region Operations/Tanzania (NBC)/Corporate and Investment Banking</t>
  </si>
  <si>
    <t>Corporate and Investment Banking</t>
  </si>
  <si>
    <t>Action_825_Issue_5</t>
  </si>
  <si>
    <t>Draft a letter to BOT requesting a waiver from charging provision for LC facilities offered to OILCOM, ATN and VIVO</t>
  </si>
  <si>
    <t>ABPL265</t>
  </si>
  <si>
    <t>Patrick Luyobya</t>
  </si>
  <si>
    <t>Anita Kiwelu</t>
  </si>
  <si>
    <t>the action is successfully close</t>
  </si>
  <si>
    <t>Issue_5</t>
  </si>
  <si>
    <t>Letter tothe regulator BoT</t>
  </si>
  <si>
    <t>/ABSA Group Limited/South Africa/South Africa/Retail and Business Banking</t>
  </si>
  <si>
    <t>Retail and Business Banking</t>
  </si>
  <si>
    <t>Action_823_Issue_1003</t>
  </si>
  <si>
    <t>Tactical assessment of 3rd party landscape has been completed and Deloitte has been contracted to provide best practice recommendations for RBB management to consider at the milestone date.</t>
  </si>
  <si>
    <t>ABAC575</t>
  </si>
  <si>
    <t>Andrea Chetty</t>
  </si>
  <si>
    <t>Peet Viviers</t>
  </si>
  <si>
    <t>Issue_1003</t>
  </si>
  <si>
    <t>RBB Cyber and Information Security Risk</t>
  </si>
  <si>
    <t>Action_821_Issue_563</t>
  </si>
  <si>
    <t>Michael Wessels</t>
  </si>
  <si>
    <t>Issue_563</t>
  </si>
  <si>
    <t>/ABSA Group Limited/South Africa/South Africa/Retail and Business Banking/Everyday Banking/Savings and Investments (EB)</t>
  </si>
  <si>
    <t>Savings and Investments (EB)</t>
  </si>
  <si>
    <t>Action_807_Issue_536</t>
  </si>
  <si>
    <t>Management will:  Implement monthly manual journals monitoring to identify manual journals processed without updating the annual contributions that should be regarded as contributions and withdrawals. The users will need to update the tax-free system with the journal entries so that it is considered when the annual contribution limit is validated. Communicate with customers who are impacted to create awareness and apply corrections where applicable.</t>
  </si>
  <si>
    <t>ABPM615</t>
  </si>
  <si>
    <t>Pharane Mojapelo</t>
  </si>
  <si>
    <t>Teboho Nkopane</t>
  </si>
  <si>
    <t>Issue_536</t>
  </si>
  <si>
    <t>Annual Contribution monitoring of Journals</t>
  </si>
  <si>
    <t>Action_806_Issue_536</t>
  </si>
  <si>
    <t>Management will:  Develop customer communication plan prior to over contribution and immediately after over contribution. Client communication to cover information: The tax implications of over contributions. The tax implications if they have already over contributed. Communication informing customers that contributions made via EFTâ€™s, stop orders, and interbank transfers at the end of tax year may only reflect in the new tax year. Implement the communication plan where types of communication are being considered are SMSs and emailers to cover existing customers.Â  SMSs, Emailers and Welcome Letters are being considered for new Tax Free customers. Management will performÂ and sign-off User Acceptance Testing (UAT) for the communication types being considered where they will be automated through systems.Â  Approvals for the changes will be obtained from compliance and legal.</t>
  </si>
  <si>
    <t>Communication plan Annual &amp; Lifetime</t>
  </si>
  <si>
    <t>Action_804_Issue_468</t>
  </si>
  <si>
    <t>Savings and Investment Management will: Engage with the Tax Operations Team to ensure the governance of appropriate approval for any variation in submissions is strictly followed CFO and Head of Savings and Investment must sign off before submission. This process will be formalized and communicated to relevant stakeholders to improve compliance.</t>
  </si>
  <si>
    <t>ICP was completed and send to IA on 30 March 2022</t>
  </si>
  <si>
    <t>Issue_468</t>
  </si>
  <si>
    <t>Governance Process</t>
  </si>
  <si>
    <t>Action_803_Issue_468</t>
  </si>
  <si>
    <t>Savings and Investment Management will:  Run a data update onto the core systems to ensure that all the historic contribution, transfer ins, and withdrawal amounts have been updated and that the core systems match the SARS validation inputs.</t>
  </si>
  <si>
    <t>Enhancing the core systems data</t>
  </si>
  <si>
    <t>/ABSA Group Limited/South Africa/South Africa/Enterprise Functions/Engineering Services/Chief Technology Office</t>
  </si>
  <si>
    <t>Chief Technology Office</t>
  </si>
  <si>
    <t>Action_802_Issue_22</t>
  </si>
  <si>
    <t>Provide a plan with associated target dates on how OTV will be decommissioned in the old legacy GEN4 DMZ network.</t>
  </si>
  <si>
    <t>Aashik Ichharam</t>
  </si>
  <si>
    <t>Issue_22</t>
  </si>
  <si>
    <t>Plan OTV decommissioning in legacy DMZ</t>
  </si>
  <si>
    <t>Action_801_Issue_19</t>
  </si>
  <si>
    <t>Provide the plan and associated target dates of how and when OTV will be decommissioned in the legacy GEN4 trusted network environment.</t>
  </si>
  <si>
    <t>Prince Hadebe</t>
  </si>
  <si>
    <t>Issue_19</t>
  </si>
  <si>
    <t>Plan decommission of the OTV in legacy environment</t>
  </si>
  <si>
    <t>Action_799_Issue_971</t>
  </si>
  <si>
    <t>Liaise with FSSA and reiterate the AOR policy in terms of the zero balance accounts requirements to ensure adherence to the policy. Ensure that zero balance accounts are included in the monthly validation procedure to ensure that CVAP principles are met.FSSA was already engaged on the AOR policy to ensure adherence to the policy.Monthly validation will be done to ensure CVAP principles are met from October 2022 onwards.</t>
  </si>
  <si>
    <t>Issue closed</t>
  </si>
  <si>
    <t>Management Assurance-AOR</t>
  </si>
  <si>
    <t>Action_798_Issue_970</t>
  </si>
  <si>
    <t>A Disaster recovery test needs to be conducted.</t>
  </si>
  <si>
    <t>Group Supplier Assurance-Resilience</t>
  </si>
  <si>
    <t>Action_796_Issue_968</t>
  </si>
  <si>
    <t>A adequately documented and approved Group General Information Security Policy is in place which outlines the minimum Access Management controls such as granting of access, amendment of access, removal of access as well as review of access. Supplier needs to provide proof of vulnerability assessments conducted. Proof to be obtained on Cyber Security Training conducted. Absa Cloud committee needs to approve the use of Cloud by the Supplier</t>
  </si>
  <si>
    <t>open</t>
  </si>
  <si>
    <t>Group Supplier Assurance-Cyber Security</t>
  </si>
  <si>
    <t>Action_797_Issue_969</t>
  </si>
  <si>
    <t>Supplier needs to get Data Privacy Policy in place</t>
  </si>
  <si>
    <t>Group Supplier Assurance-Data Privacy</t>
  </si>
  <si>
    <t>/ABSA Group Limited/Africa Region Operations/Tanzania (NBC)/Corporate and Investment Banking/Investment Bank - CIB</t>
  </si>
  <si>
    <t>Investment Bank - CIB</t>
  </si>
  <si>
    <t>Action_790_Issue_958</t>
  </si>
  <si>
    <t>Head of Governance and Compliance will engage with CIB and BB relationship managers to design an end-to-end process that will best suit complying with the requirement of regulation 29 of Financial Consumer Protection Regulations, 2019, which requires financial service provider: - To issue written declaration to borrowing customers indicating the full settlement of their financial obligation. - To cause the property that is subject of collateral of a credit facility be discharged and handed over to the consumer within thirty days from the date of full settlement of the obligation.  By Due Date Business will avail evidence of the embedment of the process in issuing written declaration to customers and cause the property to be discharged within 30 days.</t>
  </si>
  <si>
    <t>/ABSA Group Limited/Africa Region Operations/Tanzania (NBC)/Retail and Business Banking/Retail Banking</t>
  </si>
  <si>
    <t>Retail Banking</t>
  </si>
  <si>
    <t>Action_791_Issue_959</t>
  </si>
  <si>
    <t>Head of Insurance to prepare a plan for  principal officer and all specified persons to attend all mandatory training session and then share with Learning &amp; Development Manager to ensure that attendance as per plan. The plan should take into account available training budget and number of training session available from providing institution.  CONVERSION By Due date the following will be completed; 1. Obtian Head of Human Resources approval on final training budget for quarterly training sessions. 2. Training will be conducted on September 2021.   With the above plan and approval we propose the milestone to be converted to a due date and closed on 17th February 2022.</t>
  </si>
  <si>
    <t>Abel Kaseko</t>
  </si>
  <si>
    <t>/ABSA Group Limited/Africa Region Operations/Tanzania (NBC)/Enterprise Functions/Chief Operating Office/Technology</t>
  </si>
  <si>
    <t>Action_789_Issue_957</t>
  </si>
  <si>
    <t>Complete replacement of obsolete network devises (Routers and Switches)</t>
  </si>
  <si>
    <t>Jerry Shuma</t>
  </si>
  <si>
    <t>Action_788_Issue_956</t>
  </si>
  <si>
    <t>Provide update on Security Patches Management, and Vulnerabilities remediation for the Data center Servers with Linux OS.</t>
  </si>
  <si>
    <t>/ABSA Group Limited/Africa Region Operations/Tanzania (NBC)/Enterprise Functions/Chief Operating Office/CRES</t>
  </si>
  <si>
    <t>Action_787_Issue_955</t>
  </si>
  <si>
    <t>Country Security &amp; OHS Manager to update the NBC Healthy and  Safety Standard with frequency to which H&amp;S Committees are  supposed to meet (at least one in three months) ï‚§ Then schedule a calendar invite to every NBC workplace Safety and  Health Committee members to conduct meeting and a share  minutes with his office.</t>
  </si>
  <si>
    <t>Gugu Gugu</t>
  </si>
  <si>
    <t>Policy rule changes</t>
  </si>
  <si>
    <t>/ABSA Group Limited/Africa Region Operations/Tanzania (NBC)/Enterprise Functions/Chief Operating Office/Payments</t>
  </si>
  <si>
    <t>Payments</t>
  </si>
  <si>
    <t>Action_786_Issue_954</t>
  </si>
  <si>
    <t>Head of Consumer Payment will organize for refresher training to his  payment team on the requirement of circular 6000 to ensure the team is  sufficiently equipped with knowledge in identifying appropriate  supporting documentation required and filed in supporting a given cross  border transaction including transaction relating to foreign loan  repayments</t>
  </si>
  <si>
    <t>Dauson Chonjo</t>
  </si>
  <si>
    <t>Action_785_Issue_954</t>
  </si>
  <si>
    <t>Head of Consumer Payment will amend Payment Operation Support  Procedure Manual to include availing of reports on weekly basis of foreign  loan repayments to Finance to ensure close monitoring of foreign debt  servicing and compliance to reporting requirement.</t>
  </si>
  <si>
    <t>Action_784_Issue_953</t>
  </si>
  <si>
    <t>Training will be conducted to Business Development Manages which will also covers loan processes requirements</t>
  </si>
  <si>
    <t>Arnold Mhally/Abel Kaseko</t>
  </si>
  <si>
    <t>Action_783_Issue_952</t>
  </si>
  <si>
    <t>1. Customer Experience will continue to remind the branches on the accuracy of capturing of complaints in the system. 2. Perform Quality assurance and communicate results across the network and sensitize the thematic issues</t>
  </si>
  <si>
    <t>Head of Clusters- Retail Banking</t>
  </si>
  <si>
    <t>Action_781_Issue_950</t>
  </si>
  <si>
    <t>Country security and OHS Manager will arrange session to sensitize branches on the importance of testing alarm and obtaining feedback.</t>
  </si>
  <si>
    <t>Action_782_Issue_951</t>
  </si>
  <si>
    <t>Branch Management should liaise with IRM at head office to ensure IRM champion get required training when the newly appointed champion.</t>
  </si>
  <si>
    <t>Action_779_Issue_948</t>
  </si>
  <si>
    <t>2. All FDR should be well documented and tracked to avoid unnecessary inconvenience to customers</t>
  </si>
  <si>
    <t>Action_780_Issue_949</t>
  </si>
  <si>
    <t>1. Management should check for possibility to automate charges related to balance enquiry over the counter. 2. Branch management should ensure reconciliation for manual collected charges are done to ensure charges are properly collected timely.</t>
  </si>
  <si>
    <t>Action_778_Issue_948</t>
  </si>
  <si>
    <t>1. Management should organize training for staff dealing with FDR.</t>
  </si>
  <si>
    <t>Action_777_Issue_947</t>
  </si>
  <si>
    <t>Management will be sending biweekly reminders to branches to ensure transfer documents are collected from customers.</t>
  </si>
  <si>
    <t>Action_776_Issue_946</t>
  </si>
  <si>
    <t>Retail Management will train branches on the best way to be within limit so that the excess cash can be utilized for investment purpose.</t>
  </si>
  <si>
    <t>Action_774_Issue_944</t>
  </si>
  <si>
    <t>Head of Islamic Banking and MSME will present to SAC members compiled scenarios/reasons that leads to overdrawn accounts and explain to SAC members mitigation controls available to ensure that either remediation on the overdrawn accounts is done within specified period of time or the debit balance will be reversed from the account and obtain their guidance on whether that practice is Shariâ€™ah compliant.</t>
  </si>
  <si>
    <t>Raymond Urassa/Arnold Mhally</t>
  </si>
  <si>
    <t>Action_775_Issue_945</t>
  </si>
  <si>
    <t>1. Branch Management should make monthly checks on the card/cheque book issuing register. 2. Branch Management should update/ do maintenance for signature which seems to have difference between FCC and the register.</t>
  </si>
  <si>
    <t>Action_773_Issue_944</t>
  </si>
  <si>
    <t>1. Head of Islamic Banking and MSME will review product manuals of all La-Riba accounts products to ascertain they are well documented in terms of prohibition of interest.  2. There after prepare and share a business request with Application  and Support team for proper configuration and products setup in  the system according to the requirement of the manual.</t>
  </si>
  <si>
    <t>Action_772_Issue_943</t>
  </si>
  <si>
    <t>Head of Islamic Banking and MSME will review the La-Riba fixed deposit terms and condition to confirm there are appropriate according to the reviewed and approved manual and share the same with branches both in English and Swahili for easy use by branches. i) Head of Islamic Banking MSME will sensitize on the importance of providing the customer with La-Riba fixed Deposit terms and condition to customers and ensure customers sign on the terms and conditions. ii) On the due date M&amp;T will perform a validation test to check if all La Riba fixed deposit that were renewed or opened after communication and sensitization of terms and conditions that customer were actually issued with the terms for them to sign.</t>
  </si>
  <si>
    <t>Action_771_Issue_943</t>
  </si>
  <si>
    <t>Head of Islamic Banking and MSME will review La Riba Fixed Deposit Product cum Procedure Manual to remove all material content that do not reflect actual activity been performed at branches.  i) This includes content in manual that talks about agreeing with customer profit sharing ration (e.g. 70:30) with customer rather of profit rates (e.g. 2.1%).  ii) The manual will then obtain SAC approval on the changes made.</t>
  </si>
  <si>
    <t>Raymond Urassa</t>
  </si>
  <si>
    <t>Action_770_Issue_942</t>
  </si>
  <si>
    <t>2. Head of Operational banking will do an assessment of all La-Riba facilities disbursed From April â€“ October using the designed checklist in action 3.1 above and have branches remediate all documentation discrepancies noted including the use of recoding tools for electronic confirmation.</t>
  </si>
  <si>
    <t>Arnold Mhally</t>
  </si>
  <si>
    <t>Action_768_Issue_940</t>
  </si>
  <si>
    <t>Implement upgrade on Debt Manager (DM) to automate pre delinquency worklist.</t>
  </si>
  <si>
    <t>Samson Mwandu</t>
  </si>
  <si>
    <t>/ABSA Group Limited/Africa Region Operations/Tanzania (NBC)/Enterprise Functions/Compliance/Financial Crime</t>
  </si>
  <si>
    <t>Action_769_Issue_941</t>
  </si>
  <si>
    <t>. Head of Operational Risk will design a monthly monitoring control for La-Riba Facilities disbursed during the given month which will assist in highlighting common and repetitive mistakes and share across the branch network for the purpose of lesson to be learnt to and from other branches.  Updating the existing Islamic loan checklist to include post disbursement requirements that will be used by checker to ensure all the documents or requirements have been met before month end.</t>
  </si>
  <si>
    <t>/ABSA Group Limited/Africa Region Operations/Tanzania (NBC)/Enterprise Functions/Credit/Retail Credit</t>
  </si>
  <si>
    <t>Retail Credit</t>
  </si>
  <si>
    <t>Action_765_Issue_937</t>
  </si>
  <si>
    <t>Work on charge off and WO processes</t>
  </si>
  <si>
    <t>Action_766_Issue_938</t>
  </si>
  <si>
    <t>Establish a standarized TAT template for monitoring TAT in BB&amp;CIB.</t>
  </si>
  <si>
    <t>Gamali Mongi</t>
  </si>
  <si>
    <t>Action_767_Issue_939</t>
  </si>
  <si>
    <t>I. Reminder communication to all customers with effected payment and promise to submit the document will be done via official SMS/email/calls(Under recorded line). II. Payment Operations team will continue to share the tracker with status to all branches on bi weekly basis. III. The pending collected documents will be discussed in the monthly risk &amp; control meeting as a means of escalations. IV. We will endeavor to remdiate the finding , however due to existing challeges we will have engagement with BOT to present our approach, upon alignement with BOT , we will then implement the agreed actions.</t>
  </si>
  <si>
    <t>Arnold Mhally,  Dauson Chonjo</t>
  </si>
  <si>
    <t>Action_763_Issue_935</t>
  </si>
  <si>
    <t>Complete and adopt a Write Off process</t>
  </si>
  <si>
    <t>Action_764_Issue_936</t>
  </si>
  <si>
    <t>Ensure recoveries reconciliation occurs on monthly basis and evidence is maintaned.</t>
  </si>
  <si>
    <t>Action_761_Issue_933</t>
  </si>
  <si>
    <t>C&amp;R to develop incentive plan  norder to have a clear model of rewarding best performers in the team.</t>
  </si>
  <si>
    <t>Action_762_Issue_934</t>
  </si>
  <si>
    <t>Develop Charge Off process  and Write Off process</t>
  </si>
  <si>
    <t>Action_759_Issue_931</t>
  </si>
  <si>
    <t>Random check on all call monitoring calls must be in place to ensure all the controls and standards are met as well as adherence to the code of conduct.</t>
  </si>
  <si>
    <t>Action_760_Issue_932</t>
  </si>
  <si>
    <t>Develop Skip Trace checklist</t>
  </si>
  <si>
    <t>Action_758_Issue_930</t>
  </si>
  <si>
    <t>Equip MI personael to start tracking on roll rates</t>
  </si>
  <si>
    <t>Action_757_Issue_929</t>
  </si>
  <si>
    <t>Put a mechanism inplace to ensure team leaders review un-worked accounts.</t>
  </si>
  <si>
    <t>Action_755_Issue_927</t>
  </si>
  <si>
    <t>Ensure there is signed off reconciliation sheet/report</t>
  </si>
  <si>
    <t>Action_756_Issue_928</t>
  </si>
  <si>
    <t>Update the current C&amp;R processes to incorporate the new changes in DM pro</t>
  </si>
  <si>
    <t>/ABSA Group Limited/Africa Region Operations/Tanzania (NBC)/Enterprise Functions/Chief Operating Office/Governance &amp; Control</t>
  </si>
  <si>
    <t>Governance &amp; Control</t>
  </si>
  <si>
    <t>Action_754_Issue_926</t>
  </si>
  <si>
    <t>To review and re-design Kawe D.R site data center by Consultant/Engineer</t>
  </si>
  <si>
    <t>Philipina Moshi</t>
  </si>
  <si>
    <t>Action_753_Issue_925</t>
  </si>
  <si>
    <t>Fraud Operations team will review the rules of the fraud alerts/suspicious transactions reports so that the exceptions reports capture the most susceptible transactions only. Once this is done, then embedment will be tested in terms of review and documentation of outcomes and rationale of decisions made.</t>
  </si>
  <si>
    <t>Herbert Liwali</t>
  </si>
  <si>
    <t>Action_750_Issue_922</t>
  </si>
  <si>
    <t>. Improve Merchantsâ€™ and Customer experience Address technological challenges in the day to day POS operations. This will be addressed once the new vendor will be onboarded</t>
  </si>
  <si>
    <t>Godfrey Mwanyika, Stivin Kangoma</t>
  </si>
  <si>
    <t>/ABSA Group Limited/Africa Region Operations/Tanzania (NBC)/Corporate and Investment Banking/Investment Bank - BB</t>
  </si>
  <si>
    <t>Investment Bank - BB</t>
  </si>
  <si>
    <t>Action_751_Issue_923</t>
  </si>
  <si>
    <t>Acquire a new vendor Complete the acquisition process of a new vendor who will address the reported operational issues on the existing vendor.</t>
  </si>
  <si>
    <t>Stivin Kangoma, Godfrey Mwanyika</t>
  </si>
  <si>
    <t>Action_752_Issue_924</t>
  </si>
  <si>
    <t>Implement an online  fraud solution (Device and Session Monitoring and Internal Fraud Monitoring capability)</t>
  </si>
  <si>
    <t>Action_749_Issue_921</t>
  </si>
  <si>
    <t>Automation of Reconciliation Process Automate reconciliation process to improve efficiency and accuracy</t>
  </si>
  <si>
    <t>Stivin Kangoma</t>
  </si>
  <si>
    <t>Action_748_Issue_920</t>
  </si>
  <si>
    <t>Fix the material cracks in the UDSM branch premises.</t>
  </si>
  <si>
    <t>Action_747_Issue_919</t>
  </si>
  <si>
    <t>1. Ensure Business and IT have signed off the RPOs and RTOs 2. Data Back Up Testing assurance. 3. Plan for failover testing at DR site.</t>
  </si>
  <si>
    <t>Action_746_Issue_918</t>
  </si>
  <si>
    <t>The proposed solution for which dispensation is asked for is a technical solution due to tight times of commitments made by NBC to the Government of Tanzania to ensure message exchanges for Sybrin Branch GePG solution and POS GePG solution which are authenticated and secured. The Strategic solution is to use DataPower middleware as a consolidated systems for all message exchanges between GePG and all NBC payment channels. The strategic solution will address the risk as only DataPower will have the key pair.</t>
  </si>
  <si>
    <t>Josephat Kinyondo</t>
  </si>
  <si>
    <t>/ABSA Group Limited/Africa Region Operations/Tanzania (NBC)/Enterprise Functions/People Function</t>
  </si>
  <si>
    <t>Action_744_Issue_916</t>
  </si>
  <si>
    <t>Management will review its process on receivables management to align it with regulation 23&amp; 24 of The Banking and Financial Institutions Act ( Management of Risk Asset Regulation).</t>
  </si>
  <si>
    <t>Veronica Kanyama</t>
  </si>
  <si>
    <t>/ABSA Group Limited/Africa Region Operations/Tanzania (NBC)/Enterprise Functions/Finance/Planning &amp; Reporting</t>
  </si>
  <si>
    <t>Planning &amp; Reporting</t>
  </si>
  <si>
    <t>Action_745_Issue_917</t>
  </si>
  <si>
    <t>Implement Relocation of the Primary Data centre from SA to country</t>
  </si>
  <si>
    <t>Action_742_Issue_914</t>
  </si>
  <si>
    <t>As a milestone HR, Risk, Legal and Forensic investigation will discuss and agree on investigation report information to be shared with alleged staff. Once agreed the same will be accommodated in the DCG standard.</t>
  </si>
  <si>
    <t>Sweetbert Mapolu</t>
  </si>
  <si>
    <t>Action_743_Issue_915</t>
  </si>
  <si>
    <t>Ensure staff appointed to chair disciplinary  hearings received an up to date training well in advance before they do so. Embedment will be tested for a period of one year to before closure.</t>
  </si>
  <si>
    <t>Action_740_Issue_913</t>
  </si>
  <si>
    <t>.  Implement a system fix to ensure Agency Banking Transactions flex reports have unique identifies to enable effective reconciliation.</t>
  </si>
  <si>
    <t>Action_741_Issue_913</t>
  </si>
  <si>
    <t>Review the Disciplinary,  Capability and Grievances Standard to ensure it is current</t>
  </si>
  <si>
    <t>/ABSA Group Limited/Africa Region Operations/Tanzania (NBC)/Enterprise Functions/Credit</t>
  </si>
  <si>
    <t>Credit</t>
  </si>
  <si>
    <t>Action_739_Issue_912</t>
  </si>
  <si>
    <t>i) Identify the key challenges contributing to incomplete correspondence from BOT.  ii) Determine the most feasible engagement model with BOT to ensure that all NRR are addressed to NBC management for implementation or action.  iii) Commit to timelines by which the engagement model will be embedded.</t>
  </si>
  <si>
    <t>Hassan Hassan &amp; Nelson Moshi</t>
  </si>
  <si>
    <t>Action_738_Issue_911</t>
  </si>
  <si>
    <t>Head of Retail Credit, Head of Risk Control Unit and Head of Governance and Compliance CIB will prepare a comprehensive process that will be used to address CRB complaints to ensure proper oversight. The process will outline responsibilities of who will be receiving, logging in BOC system for RBB and Sales Force for CIB, resolving and closing the complaint in the system.  Milestone is converted to due date of 18th February 2022 where by on due date business will avail evidence of the embedment of the process in resolving CRB complaints to ensure process is adhered to.</t>
  </si>
  <si>
    <t>Abdul Mbuyu, Grace Mponji &amp; Said Ibwe</t>
  </si>
  <si>
    <t>Action_736_Issue_910</t>
  </si>
  <si>
    <t>Perform post-disbursement fraud checks to a sample of loan facilities to ensure all disbursed scheme loans are appropriately approved and processed in line with lending rules and fraud risk management standards.</t>
  </si>
  <si>
    <t>Action_737_Issue_911</t>
  </si>
  <si>
    <t>Head of Product and Sales will design an end to end process on how to comply with the requirement of issuing written declaration to Retail customers indicating the full settlement of their financial obligation.  Milestone is converted to a due date of 15th February 2022 where by on due date Head of Product and Sales on monthly basis will share the list of customers and contact details whose loan have matured to marketing team subsequently followed by marketing team sending SMS notification to the shared list of customers.</t>
  </si>
  <si>
    <t>Action_734_Issue_908</t>
  </si>
  <si>
    <t>Complete Condor &amp; LTI contract reviews as well as Complete the CFA</t>
  </si>
  <si>
    <t>/ABSA Group Limited/Africa Region Operations/Tanzania (NBC)</t>
  </si>
  <si>
    <t>Tanzania (NBC)</t>
  </si>
  <si>
    <t>Action_733_Issue_907</t>
  </si>
  <si>
    <t>Implement the primary data centre relocation from SA to Country as per BOT regulatory requirement</t>
  </si>
  <si>
    <t>Action_735_Issue_909</t>
  </si>
  <si>
    <t>Bureau Screening of Management /Shareholders of newly on boarded Schemes.</t>
  </si>
  <si>
    <t>Abdul Mbuyu &amp; Arnold Mhally</t>
  </si>
  <si>
    <t>/ABSA Group Limited/Africa Region Operations/Tanzania (NBC)/Retail and Business Banking/Retail Banking/Retail Control &amp; Governance</t>
  </si>
  <si>
    <t>Retail Control &amp; Governance</t>
  </si>
  <si>
    <t>Action_731_Issue_905</t>
  </si>
  <si>
    <t>Management has acknowledged the identified gaps and currently there is an ongoing Data Quality remediation project, which will address the said gaps.</t>
  </si>
  <si>
    <t>Action_732_Issue_906</t>
  </si>
  <si>
    <t>Line managers to ensure there is appropriate leave planning in their respective units that will enable staff take block leave (10 days) during a calandar year. All business areas where the concern was highlighted need to demonstrate that this has been implemented by the due date</t>
  </si>
  <si>
    <t>Herbert Liwali  Arnold Mhally  Said Ibwe</t>
  </si>
  <si>
    <t>/ABSA Group Limited/Africa Region Operations/Tanzania (NBC)/Retail and Business Banking/Retail Banking/Product &amp; Sales</t>
  </si>
  <si>
    <t>Product &amp; Sales</t>
  </si>
  <si>
    <t>Action_729_Issue_904</t>
  </si>
  <si>
    <t>Management will review the account opening terms and condition and remove the dormancy charges to align with Regulation 24 of Bank of Tanzania(Financial Consumer Protection) Regulations, 2019</t>
  </si>
  <si>
    <t>Action_730_Issue_904</t>
  </si>
  <si>
    <t>Management has reviewed our system and confirmed that it configured to perform duplicate check at the time of customer creation and alert users for possible duplicates. However, periodic review will be performed to ensure such cases are identified and corrected, including the 36 cases.</t>
  </si>
  <si>
    <t>Action_728_Issue_904</t>
  </si>
  <si>
    <t>Management will remediate this  by ensuring  all the documents for identified accounts by BOT are in place and accessible.</t>
  </si>
  <si>
    <t>Action_727_Issue_904</t>
  </si>
  <si>
    <t>Management will undertake the review of the available MI monitoring dormant accounts to establish the root cause of the problem and derive mechanism that will provide accurate reporting on dormant account.</t>
  </si>
  <si>
    <t>Action_726_Issue_903</t>
  </si>
  <si>
    <t>Management will review the Branch Operational Manual to consider all the channels of communication to used to communicate with customers and retained for future references.  Also, management will sensitize branch management on the importance of contacting customers in using the updated communication channels as per the reviewed Branch Operational Manua</t>
  </si>
  <si>
    <t>Action_725_Issue_902</t>
  </si>
  <si>
    <t>NBC Internal Audit will: Perform the NBC Independent Review of Risk Management audit as per the 2021 audit plan approved by the NBC Board .Submit the final audit report for the NBC Independent Review of Risk Management to BOT.</t>
  </si>
  <si>
    <t>Joseph Temu</t>
  </si>
  <si>
    <t>Action_723_Issue_901</t>
  </si>
  <si>
    <t>Management will investigate   lack of involvement of ICT staff in such activities, and  review the technical capabilities of the ICT staff involved in setting up password parameter, and recommend for the correct actions to be taken.</t>
  </si>
  <si>
    <t>Action_724_Issue_901</t>
  </si>
  <si>
    <t>Management will put down three years strategic plan to comply with NBC Physical Security Policy and BOT Physical security regulations,2014. once the plan is developed its implimentation will be tarcked as proejct and the issue will be closed. The closure of the issue will backed up by a strong prooject traction.</t>
  </si>
  <si>
    <t>/ABSA Group Limited/Africa Region Operations/Tanzania (NBC)/Retail and Business Banking/Retail Banking/Digital &amp; Alternative Channels</t>
  </si>
  <si>
    <t>Digital &amp; Alternative Channels</t>
  </si>
  <si>
    <t>Action_720_Issue_898</t>
  </si>
  <si>
    <t>Management will review its Fraud Strategy to ensure that the key aspects of the fraud is contained.</t>
  </si>
  <si>
    <t>Florence Mtenga</t>
  </si>
  <si>
    <t>Action_721_Issue_898</t>
  </si>
  <si>
    <t>Management has remediated the Sybrin  data base replication issue, and there is an ongoing daily error logging monitoring mechanism in place. Issue closure pack is being finalized to close out the observation.</t>
  </si>
  <si>
    <t>/ABSA Group Limited/Africa Region Operations/Tanzania (NBC)/Enterprise Functions/Risk/Operational risk</t>
  </si>
  <si>
    <t>Action_722_Issue_899</t>
  </si>
  <si>
    <t>Management will review all systems to confirm password paramater setup in each of the system if it is in alignment to the policy requirements.</t>
  </si>
  <si>
    <t>Action_719_Issue_897</t>
  </si>
  <si>
    <t>Reconciliation will be done by custodians and checked by an independent checker  to ensure segreagation of duties is effectively exercised</t>
  </si>
  <si>
    <t>Action_718_Issue_896</t>
  </si>
  <si>
    <t>Management have taken note of the BOT finding, we will continue to create awareness on the need to comply with the requirements of the Branch Operations Manual.</t>
  </si>
  <si>
    <t>Action_717_Issue_895</t>
  </si>
  <si>
    <t>Management will review all the acces requests granted vs the submitted access requests to establish the root cuase of the gaps and advsie a proper controll mechanism to avoid re-occurrence.</t>
  </si>
  <si>
    <t>/ABSA Group Limited/Africa Region Operations/Tanzania (NBC)/Enterprise Functions/Risk/Wholesale Credit Risk</t>
  </si>
  <si>
    <t>Action_716_Issue_894</t>
  </si>
  <si>
    <t>Management will engage independent firm to review the new service charges to be included into the new contract. The independent firm will also perform bechmaking.  Once the actions above are completed we will seek Board approval.</t>
  </si>
  <si>
    <t>Action_714_Issue_894</t>
  </si>
  <si>
    <t>Management will change  the Credit underwritting standard on the security coverage ( accounting for FSV instead of MV).</t>
  </si>
  <si>
    <t>Deogratias Kawishe &amp; Gregory Simtitu</t>
  </si>
  <si>
    <t>Action_715_Issue_894</t>
  </si>
  <si>
    <t>Management will document the existing back up set up design as well as process and procedures and include it within the Technology Blue Book .   Management will conduct a successful back up restoration test</t>
  </si>
  <si>
    <t>Veronica &amp; Josephat Kinyond</t>
  </si>
  <si>
    <t>Action_713_Issue_893</t>
  </si>
  <si>
    <t>Management will  review the collateral covarage value in order to align with market best practice as recommended by Cetral Bank.</t>
  </si>
  <si>
    <t>Action_712_Issue_893</t>
  </si>
  <si>
    <t>Management write  a letter to BOT explaining the nature of purported breach and bank's measures taken to remediate partially secured position.</t>
  </si>
  <si>
    <t>Action_711_Issue_892</t>
  </si>
  <si>
    <t>The difference was due to the fact that Loans (Monthly paying loans) file submitted to BOT from Credit reported Principal Balance only while EDI Submission from finance considered Outstanding balance that had some adjustments made on Staff Loan fair value and Accrued Interests.   Reconciliation of the difference has been done and the amount of difference - i.e.  Tzs 975.57 Million was due to staff loan balances being reported at fair valiue of EDI and accrued interest. Closure evidences will be prepared for independent validation before the issue is declared as closed officially..</t>
  </si>
  <si>
    <t>David Minja</t>
  </si>
  <si>
    <t>Action_710_Issue_891</t>
  </si>
  <si>
    <t>Management will conduct  enhanced training to  MI analysts on the usage of systems ( EMDW/ CHADOOP ) in order to equip them to be able to extract reports with all required loan information. This is because the  observations in the report was centered on a single data base where all loan information in terms of the limit, balances, expiry dates etc can be extracted. ï‚§ EDMS â€“ Document image archiving system; cannot be intergradet with other BI systems â€“ which are text and numerical based configured. ï‚§ CCRS, Flexi information can be extracted from EMDW; which is a single data warehouse that Loan reports, limits and balances etc can be extracted. This is possible after the training to our people on the use of EMDW. .  ï‚§ Therefore, enhanced training will be conducted for MI analyst on the usage of EMDW/ CHADOOP systems to equip them to be able to extract reports with all required loan information.</t>
  </si>
  <si>
    <t>Action_707_Issue_889</t>
  </si>
  <si>
    <t>Management will review its reporting templates that feeds into the ALCO pack to ensure that liquidity deck report is included as part of ALCO monthly meeting. This will be done in complaicne with section 2.2 of the NBC Liquidity Risk Control Framework.</t>
  </si>
  <si>
    <t>Adam Kiluvya</t>
  </si>
  <si>
    <t>/ABSA Group Limited/Africa Region Operations/Tanzania (NBC)/Treasury</t>
  </si>
  <si>
    <t>Treasury</t>
  </si>
  <si>
    <t>Action_709_Issue_890</t>
  </si>
  <si>
    <t>Management will review the 11 accounts that were found to have KYC gaps and ensure that approapriate KYC information is obtained prior to closure of the issue.  The remainder of the population will be reviewed and refreshed as per policy requirements.</t>
  </si>
  <si>
    <t>Arnold Mhally &amp; Said Ibwe</t>
  </si>
  <si>
    <t>Action_708_Issue_889</t>
  </si>
  <si>
    <t>Management has established a project to migreate all key applications (including Flexcube Corporate and Host Data Base) to Tanzania, this is work in progress.</t>
  </si>
  <si>
    <t>Action_706_Issue_888</t>
  </si>
  <si>
    <t>Complete Talent profiles for Successors detailing personal development items.</t>
  </si>
  <si>
    <t>Bernard Mshana</t>
  </si>
  <si>
    <t>Action_705_Issue_887</t>
  </si>
  <si>
    <t>Management will review its proces on recievable management to align it with regulation 23&amp; 24 of The Banking and Financial Institutions Act ( Management of Risk Asset Regulation).</t>
  </si>
  <si>
    <t>Fanuel Jenga</t>
  </si>
  <si>
    <t>Action_703_Issue_886</t>
  </si>
  <si>
    <t>NBC Internal Audit will obtain clarification from BOT on the expected actions to remediate the issue raised. Based on the above clarification, NBC Internal Audit will document appropriate actions with clear timelines on the actions to be taken to comply with BOT expectations.</t>
  </si>
  <si>
    <t>Action_704_Issue_886</t>
  </si>
  <si>
    <t>The loan repayments were re-aligned with the cash flows; liquidation was not considered at the time on the basis that repayment capacity was still evident, hence the option for repayments re-alignment with the cash flows. Re-alignment has been agreed and finalized, repayments have continued to flow accordingly.  The Issue closure evidences will be prepared for independent validation before the action is declared as closed or not</t>
  </si>
  <si>
    <t>Stewart Mujungu</t>
  </si>
  <si>
    <t>/ABSA Group Limited/Africa Region Operations/Tanzania (NBC)/Retail and Business Banking/Retail Banking/Customer Network</t>
  </si>
  <si>
    <t>Customer Network</t>
  </si>
  <si>
    <t>Action_700_Issue_885</t>
  </si>
  <si>
    <t>Head of Consumer &amp; Payment Operation and Head of Branch network with assistance from Head of Business Advisory will design a program to conduct a refresher training on requirements of BOT Regulation Circular No. 6000/DEM/EX.REG/58 Dated 24th September, 1998 (or any other prevailing BOT guideline at the time) on supporting documents for TT to payment team and Branch network. During refresher branches and payment teams will be reminded on ensuring adherence to fund transfer procedures including proper filling of fund transfer application forms , and ensuring that documents are properly stamped and signed by signatories before processing</t>
  </si>
  <si>
    <t>Action_702_Issue_886</t>
  </si>
  <si>
    <t>Head of Retail Operational Risk and Head of Branch network will be following up the collection of pending TT documents as per tracker sent by Head of Consumer &amp; Payment Operation and provide the status  updates on the progress of documents collection during monthly  retail risk and control forum.</t>
  </si>
  <si>
    <t>Action_701_Issue_885</t>
  </si>
  <si>
    <t>Head of Consumer &amp; Payment Operation will  revive the diary (tracker) to log Telegraphic Transfer cases with pending shipping document then share the status with branches copying in retail operational risk team on bi-weekly basis; this diary (tracker) will be used as a basis for branches to remind customers to bring in the pending documents. In addition Head of Consumer &amp; Payment Operation and Head of Branch network, will explore how best to automate tracking of the pending TT documents</t>
  </si>
  <si>
    <t>/ABSA Group Limited/Africa Region Operations/Seychelles/Enterprise Functions/Chief Operating Office/IT</t>
  </si>
  <si>
    <t>IT</t>
  </si>
  <si>
    <t>Action_699_Issue_884</t>
  </si>
  <si>
    <t>NBC Management will perfom Quality Assurance check to complaints logged in the system to ensure  accuracy,timely resolveing of the complaint as per SLA.For those one which exceed SLA, Top Management are made aware for follow up and remediation</t>
  </si>
  <si>
    <t>Action_698_Issue_883</t>
  </si>
  <si>
    <t>NBC Management will conduct training to all customer services champion to refresh them on the customer compliants managment process.</t>
  </si>
  <si>
    <t>Action_697_Issue_882</t>
  </si>
  <si>
    <t>Management will review the incident and problem management processes to ensure that all incidents are timely resolved and closed.</t>
  </si>
  <si>
    <t>Action_696_Issue_881</t>
  </si>
  <si>
    <t>Management will review the end to end AV compliance status across the bank, and remediate all devices found to be non compliant.</t>
  </si>
  <si>
    <t>Action_694_Issue_881</t>
  </si>
  <si>
    <t>Root cause analysis will be performed to know the reason for these overdrawn balances there after appropriate action will be taken including write off of those which are long outstanding and no possibility of recovery.</t>
  </si>
  <si>
    <t>Action_695_Issue_881</t>
  </si>
  <si>
    <t>Following outcomes of annual Salary Survey:Management will  1. Demonstrate the sytem guidelines of Salary ranges applicable for each job grade necessary for pay decision process   2. Demonstrate the additional governance to system related to Pay decisions to adress potential biasness to Senior Management/CMC appointments  3. Extract remunaration Policy to demonstrate key guidelines related to pay policy of the bank</t>
  </si>
  <si>
    <t>Action_693_Issue_880</t>
  </si>
  <si>
    <t>We will also conduct aging analysis on the overdrawn accounts so that appropriate classification can be assigned in accordance with regulation 8 (1) of The Banking and Financial Institutions - Management of Risk Asset.</t>
  </si>
  <si>
    <t>Action_692_Issue_880</t>
  </si>
  <si>
    <t>Management will review its approach on overdrawn accounts to include aligning the approach with the Management of Risk Asset Regulation -2014 in which we will compute days past due on the overdrawn account.</t>
  </si>
  <si>
    <t>Action_691_Issue_880</t>
  </si>
  <si>
    <t>NBC Management will  ensure Agency banking staff at HQ have been given access to CRB system to enable screening of the Agent before/during on boarding process.All the existing Agents will be screened and the update will be shared in Retail Risk Governance Forums for the backlog</t>
  </si>
  <si>
    <t>Gaudence Shawa</t>
  </si>
  <si>
    <t>Action_690_Issue_879</t>
  </si>
  <si>
    <t>During examination, BoT examiners were provided with a report which was prepared mannually and therefore computation of grace period was also done manually. However, core banking system has the capability of computing grace period automatically. System extract for customers with formal approved grace period will  be provided  as a supporting evidences confirming system capability, example Dangote and Taifa Gas. The Issue closure evidences will be prepared for independent validation before the action is declared as closed or not</t>
  </si>
  <si>
    <t>David Minja &amp; Grace Mponji</t>
  </si>
  <si>
    <t>Action_689_Issue_878</t>
  </si>
  <si>
    <t>Management will review its credit policy to incorporate guidance on grace period that are applicable on various types of credit facilities.</t>
  </si>
  <si>
    <t>Action_687_Issue_878</t>
  </si>
  <si>
    <t>This will also involve a review of SLA between creditcenter and credit at NBC to cleary indicate that the role of the center is technical support.</t>
  </si>
  <si>
    <t>Action_688_Issue_878</t>
  </si>
  <si>
    <t>Management have reviewed the Wholesale Credit policy and that days past due commence once an obligor has breached an advised limit, has been advised a limit smaller than the current outstanding balance, or has drawn an exposure without authorisation.Furthermore a facility shall be deemed past due under the following circumstances: i. If the customerâ€™s account has been inactive for sixty days or more. ii. The customerâ€™s borrowing tenure has expired; iii. Deposits are insufficient to cover interest calculated and due for the period; iv. A bill has been dishonoured due to insufficient funds; or  v. A bill or account is not paid on due date  All other facilities: days past due commence from the date the payment was due</t>
  </si>
  <si>
    <t>Action_684_Issue_876</t>
  </si>
  <si>
    <t>Management  will write to BOT to seek guidance on the interpretation of the applicable provisions on this issue and the way forward. The appropriate actions will be taken according to BOTâ€™s guidance to be received.</t>
  </si>
  <si>
    <t>Desmond Malyi</t>
  </si>
  <si>
    <t>Action_685_Issue_876</t>
  </si>
  <si>
    <t>Head of Credit and Managing Director mandates are provided by the Board of Directors. ABSA provide technical credit expertise and support only. Board has delegated its mandate to the Managing Director and Director of credit.  The Issue closure evidences will be prepared for independent validation before the action is declared as closed or not</t>
  </si>
  <si>
    <t>/ABSA Group Limited/Africa Region Operations/Tanzania (NBC)/Enterprise Functions/Legal</t>
  </si>
  <si>
    <t>Legal</t>
  </si>
  <si>
    <t>Action_686_Issue_877</t>
  </si>
  <si>
    <t>Management will review the credit approval process to clearly indicate the role of center in the credit approval process. Also managemenet will amend BLC ToR to allow engagement with ABSA for technical support  and sharing best practices.</t>
  </si>
  <si>
    <t>Action_683_Issue_876</t>
  </si>
  <si>
    <t>Management will review its Contingency Funding Plan in order to distinguish between the reports required during crisis and those that are Business as Usual as well a reviewing teh required frequency for each report. Management will also review the existing liquidity reports to ensure that they cover cash outflow , funding ratios , wholsale maturity profile , top ten depositors , interbank funding ratios and estimated survial horizon.</t>
  </si>
  <si>
    <t>Adam Kiluvya &amp;  Henry Lesika</t>
  </si>
  <si>
    <t>Action_682_Issue_875</t>
  </si>
  <si>
    <t>Management will review its Early warning indicators and limits to incorporate distuingshen between limit and trigger and the escalation matrix in case of breach or excess.</t>
  </si>
  <si>
    <t>Action_681_Issue_874</t>
  </si>
  <si>
    <t>Management will prepare addendum that describe all types limits and triggers along with escalation levels  Management will Create, Deposit Concentration risks register that will be reported to ALCO on monthly basis.</t>
  </si>
  <si>
    <t>Action_680_Issue_874</t>
  </si>
  <si>
    <t>The difference was resulted by overdrafts balances that included interest in suspense. As such OD Accounts contributed to increase in provision of about TZS 740m due to computation done on outstanding balances. The other element that created a material difference was accounts with interest in suspense being in USD of which they were not converted into TZS equivalent and thus causing a difference of TZS 1 Bn. The remaining difference of TZS 934 billion is related to charges. Despite the errors mentioned above, overall the bank has been adequately providing as per BoT requirements.  We have also introduced monthly reconciliation between finance and credit . The Issue closure evidences will be prepared for independent validation before the action is declared as closed or not.</t>
  </si>
  <si>
    <t>David Minja &amp; Amina Daniel</t>
  </si>
  <si>
    <t>Action_678_Issue_872</t>
  </si>
  <si>
    <t>Management will align the NBC Strategy Policy with the NBC New Product Approval Policy.</t>
  </si>
  <si>
    <t>Msafiri Shayo</t>
  </si>
  <si>
    <t>Action_679_Issue_873</t>
  </si>
  <si>
    <t>Management will review the credit approval process to have credit approval be done by NBC Management and baord. In this case ABSA will provide technical support / Assistant prior to the final approval by the board. As such we will review our internal documents to reflect so.</t>
  </si>
  <si>
    <t>Action_677_Issue_872</t>
  </si>
  <si>
    <t>Management will design an escalation matrix upo when the branch cash limit is breached.</t>
  </si>
  <si>
    <t>Action_675_Issue_871</t>
  </si>
  <si>
    <t>Management will review its Dormant Account activation strategy in which The Customer Life Cycle Management wil continue to provide oversight over the dormant account. We will review our approach in dormant account activation process to simplification of the process this may include but not binded to centralization, closure of dormant account, and development of KPI.</t>
  </si>
  <si>
    <t>Action_676_Issue_871</t>
  </si>
  <si>
    <t>Management will review its documents on counterparty credit limit setting to ensure that there is a clear guide in setting a new counterpart limit.</t>
  </si>
  <si>
    <t>Action_674_Issue_871</t>
  </si>
  <si>
    <t>Business to remediate all identified accounts by BOT and ensure all the activation documents are in place and updated information are propely captured in the banking core system.</t>
  </si>
  <si>
    <t>Action_673_Issue_871</t>
  </si>
  <si>
    <t>Business to remediate this  by ensuring  all the documents for identified accounts by BOT are in place and accessible.</t>
  </si>
  <si>
    <t>/ABSA Group Limited/Africa Region Operations/Tanzania (NBC)/Retail and Business Banking/Business Banking/Commercial Business</t>
  </si>
  <si>
    <t>Commercial Business</t>
  </si>
  <si>
    <t>Action_672_Issue_870</t>
  </si>
  <si>
    <t>Review, confirm and remediate with current KYC information for the identified customers in BOT review.</t>
  </si>
  <si>
    <t>/ABSA Group Limited/Africa Region Operations/Tanzania (NBC)/Enterprise Functions/Chief Operating Office</t>
  </si>
  <si>
    <t>Action_671_Issue_869</t>
  </si>
  <si>
    <t>NBC Management will conduct awereness training to sensitise adherence to the Agent onboarding process accross the branch network including companies documentations.</t>
  </si>
  <si>
    <t>Action_670_Issue_869</t>
  </si>
  <si>
    <t>Management will undertake a review of the customer KYC information to find a best way to have the information managed in line with the BOT recomendation.  Along with this we will undertake an analysis to find a best way to merge files upon customer updation  of information</t>
  </si>
  <si>
    <t>Arnold Mhally, Herbert Liwali &amp; Said Ibwe</t>
  </si>
  <si>
    <t>/ABSA Group Limited/Africa Region Operations/Tanzania (NBC)/Enterprise Functions/Compliance</t>
  </si>
  <si>
    <t>Action_669_Issue_868</t>
  </si>
  <si>
    <t>1.2 Quartely issue atleast one awareness communication/broadcast covering covering  KYC &amp; AML issues  and reporting of suspicious transactions to all branches.</t>
  </si>
  <si>
    <t>Tasiana Massimba</t>
  </si>
  <si>
    <t>Action_667_Issue_867</t>
  </si>
  <si>
    <t>Management has ensured that;  â— Branch Managers and Customer Service Supervisors only approve opening of accounts on Flexcube when all customer information is captured accurately and completely. â— Update PDs for Branch Supervisors and Managers to specifically include above action; and  â— NBC Compliance conformance testing results will be used a measurement of staffâ€™s performance and adherence to Group policy.  Consequence management will be followed for Branch Managers and Customer Service Supervisors who continue to approve the opening of accounts where customer information is not accurate and complete on Flexcube.  â— Centralization of account opening process with centralized team to ensure good quality of captured data. â— Implementation of Sybrin system workflow. â— Implementation of BOC/IBOC account opening workflow for individual accounts. â— Implementation of NIDA portal. â— Monthly sample testing of newly on boarded customers by business risk and governance teams.</t>
  </si>
  <si>
    <t>Action_668_Issue_868</t>
  </si>
  <si>
    <t>1.1 Once quartely conduct interactive refresher training covering  KYC &amp; AML issues  and reporting of suspicious transactions to all branches.</t>
  </si>
  <si>
    <t>Action_666_Issue_866</t>
  </si>
  <si>
    <t>Remediate Money Service Business accounts to include a consideration of whether the MSB uses Agents. This will be remediated as part of the countries refresh plan.</t>
  </si>
  <si>
    <t>Said Ibwe</t>
  </si>
  <si>
    <t>Action_665_Issue_865</t>
  </si>
  <si>
    <t>Retail Management will restrict transactions by putting no debit to Chanua.Pure save,Malengo fasta and malengo save but allowing viewing of balances to these accounts using BIR.</t>
  </si>
  <si>
    <t>Dorothea Mabonye</t>
  </si>
  <si>
    <t>Action_663_Issue_863</t>
  </si>
  <si>
    <t>Align amortization of facility fees with IFRS 9 implementation</t>
  </si>
  <si>
    <t>Amina Daniel</t>
  </si>
  <si>
    <t>Action_664_Issue_864</t>
  </si>
  <si>
    <t>Management will investigate for a root cause of this behavior and seek a feasible permanent resolution. Once a permanent fix has been obtained, it will be implemented into the system.</t>
  </si>
  <si>
    <t>/ABSA Group Limited/Africa Region Operations/Tanzania (NBC)/Enterprise Functions/Finance/Tax</t>
  </si>
  <si>
    <t>Tax</t>
  </si>
  <si>
    <t>Action_661_Issue_862</t>
  </si>
  <si>
    <t>ii) Credit will send to technology system enhancement request document with the details above by 24th December 2021.</t>
  </si>
  <si>
    <t>Stanley Luoga  Abdul Mbuyu</t>
  </si>
  <si>
    <t>Action_662_Issue_862</t>
  </si>
  <si>
    <t>iii) After completion of the required system enhancement in (i), finance will request access to Charge-off system for updating disallowed write-offs after a conclusion of each TRA audit and checking if reasonable steps have actually been captured in the system, before approving any write-offs. TBA</t>
  </si>
  <si>
    <t>Action_660_Issue_862</t>
  </si>
  <si>
    <t>i) Technology to enhance charge off System to address the above and be able accommodate all the information required for TRA audit purposes. At minimum the system should allow the following Â­ Capturing of all reasonable steps taken by the bank before write-off for against each customer. Â­ Capturing of disallowed write off ( amount and date) Â­ Explore the possibility of integrating flexcube and Charge-off system so that recoveries made directly through G/L auto populates onto charge-off system. Â­ To produce system report with completed information required for TRA with the following details.</t>
  </si>
  <si>
    <t>Action_527_Issue_763</t>
  </si>
  <si>
    <t>Action_526_Issue_762</t>
  </si>
  <si>
    <t>Action_525_Issue_762</t>
  </si>
  <si>
    <t>Action_524_Issue_761</t>
  </si>
  <si>
    <t>Action_523_Issue_761</t>
  </si>
  <si>
    <t>Action_522_Issue_761</t>
  </si>
  <si>
    <t>Action_521_Issue_760</t>
  </si>
  <si>
    <t>Action_520_Issue_760</t>
  </si>
  <si>
    <t>Action_518_Issue_759</t>
  </si>
  <si>
    <t>Action_519_Issue_759</t>
  </si>
  <si>
    <t>/ABSA Group Limited/Africa Region Operations/Botswana/Corporate and Investment Banking/Support Functions/STCF Middle Office/Structured Trade</t>
  </si>
  <si>
    <t>Structured Trade</t>
  </si>
  <si>
    <t>Action_507_Issue_736</t>
  </si>
  <si>
    <t>The Team to open ring-fenced accounts by 31 March 2022</t>
  </si>
  <si>
    <t>ABMMCZA</t>
  </si>
  <si>
    <t>Mmopiemang Moatshe</t>
  </si>
  <si>
    <t>Blessed Ntenedzi</t>
  </si>
  <si>
    <t>Issue_736</t>
  </si>
  <si>
    <t>Opening collection accounts</t>
  </si>
  <si>
    <t>/ABSA Group Limited/South Africa/South Africa/Corporate and Investment Bank/Transactional Banking/Trading and Working Capital/Trade and Working Capital - Domestic Short Term Finance/Open Account Short Term Finance/Receivables Finance</t>
  </si>
  <si>
    <t>Receivables Finance</t>
  </si>
  <si>
    <t>Action_506_Issue_291</t>
  </si>
  <si>
    <t>Client contracts older than 180 days will be escalated to Credit/Sales and the contract will be closed. Client contracts under 180 days will be escalated to Credit/Sales on a 30-day frequency and closed upon reaching the 180-day mark.</t>
  </si>
  <si>
    <t>ABAN582</t>
  </si>
  <si>
    <t>Nisha Naiken</t>
  </si>
  <si>
    <t>Ovizikhungo Sicwetsha &amp; Randy Mavunda</t>
  </si>
  <si>
    <t>Issue_291</t>
  </si>
  <si>
    <t>Action Plan Title Closure of client contracts</t>
  </si>
  <si>
    <t>Action_505_Issue_447</t>
  </si>
  <si>
    <t>1. Notice deposits - Contact all 3 customers and migrate (via category change) to better yielding option on Notice Select and Interest calculation for account earning zero interest since 2014. 2. Demand accounts - Write off 43 accounts that are below R50 to the value R901 accounts to the Unclaimed Funds account and Cross-Sell TruSave and Call Account (on ABS) to customers with balances above R50.</t>
  </si>
  <si>
    <t>Nompi Magida</t>
  </si>
  <si>
    <t>Issue_447</t>
  </si>
  <si>
    <t>Customer Migration</t>
  </si>
  <si>
    <t>/ABSA Group Limited/South Africa/South Africa/Corporate and Investment Bank/Support Functions/Transactional Bank Risk and Control/Trade and Working Capital Risk and Control</t>
  </si>
  <si>
    <t>Trade and Working Capital Risk and Control</t>
  </si>
  <si>
    <t>Action_504_Issue_286</t>
  </si>
  <si>
    <t>Post the feedback received form the IVU team in that the Monitoring and Control (RAT) Scorecard is not a Model and that it is indeed a EUDA, the Monitoring and Control team will ensure that the Scorecard adheres to the requirements of the EUDA standard.</t>
  </si>
  <si>
    <t>Ignatius Retief</t>
  </si>
  <si>
    <t>Issue_286</t>
  </si>
  <si>
    <t>Monitor/ Control Scorecard to be treated as a EUDA</t>
  </si>
  <si>
    <t>/ABSA Group Limited/South Africa/South Africa/Retail and Business Banking/Relationship Banking/Product/Commercial Payments/Commercial Acquiring</t>
  </si>
  <si>
    <t>Commercial Acquiring</t>
  </si>
  <si>
    <t>Action_502_Issue_727</t>
  </si>
  <si>
    <t>Obtain remediation plan from Bolt Submit to PASA and schemes</t>
  </si>
  <si>
    <t>ABTMAKV</t>
  </si>
  <si>
    <t>Tinyiko Minyuku</t>
  </si>
  <si>
    <t>Nqabomzi  Besman</t>
  </si>
  <si>
    <t>Issue_727</t>
  </si>
  <si>
    <t>Bolt's  non compliance on acquiring Scheme rules</t>
  </si>
  <si>
    <t>/ABSA Group Limited/South Africa/South Africa/Corporate and Investment Bank/Support Functions/Legal</t>
  </si>
  <si>
    <t>Action_501_Issue_740</t>
  </si>
  <si>
    <t>Regulators have stipulated that 31 December 2021 will be the last date on which IBOR reference rates can be used to determine interest rates in financing agreements and 30 June 2023 for certain USD rates. Failure to repaper our back book with expiration dates extending beyond the published deadlines may impact our ability to recover payments linked to IBOR in those contracts. Legal is advising on appropriate language for inclusion in our new agreements going forward and the repapering of existing agreements.  We are currently working towards transitioning from the â€œsoft fallback languageâ€ adopted in December 2020 to â€œhardwiredâ€ fallback language.</t>
  </si>
  <si>
    <t>ABSMAPB</t>
  </si>
  <si>
    <t>Thabang Makhudu</t>
  </si>
  <si>
    <t>Aruna Dukhi &amp; Masego Mosetlhi</t>
  </si>
  <si>
    <t>Issue_740</t>
  </si>
  <si>
    <t>Project Dragonfire - Benchmark reform</t>
  </si>
  <si>
    <t>/ABSA Group Limited/South Africa/South Africa/Corporate and Investment Bank/Support Functions/Legal/Transaction Administration</t>
  </si>
  <si>
    <t>Transaction Administration</t>
  </si>
  <si>
    <t>Action_500_Issue_738</t>
  </si>
  <si>
    <t>Training is underway to ensure that the wider team has an in-depth understanding of documentation requirements for each non-standard transaction, thus alleviating concentration of corporate memory of specific transactions in the hands of a select few</t>
  </si>
  <si>
    <t>Corne Nel</t>
  </si>
  <si>
    <t>There was a key person dependency and other staff members needed to be upskilled. There was no additional cost required as the training was done in-hose on the job training.</t>
  </si>
  <si>
    <t>Issue_738</t>
  </si>
  <si>
    <t>Provide training to wider team</t>
  </si>
  <si>
    <t>/ABSA Group Limited/South Africa/South Africa/Enterprise Functions/Engineering Services/Converged Security Office</t>
  </si>
  <si>
    <t>Converged Security Office</t>
  </si>
  <si>
    <t>Action_499_Issue_739</t>
  </si>
  <si>
    <t>Define remediation plans to bring the risk into acceptable levels</t>
  </si>
  <si>
    <t>ABCG293</t>
  </si>
  <si>
    <t>Cheryl-Lyn Knight</t>
  </si>
  <si>
    <t>Cheryl-lyn Knight</t>
  </si>
  <si>
    <t>Issue_739</t>
  </si>
  <si>
    <t>Define remediation plans</t>
  </si>
  <si>
    <t>Action_498_Issue_210</t>
  </si>
  <si>
    <t>Subsequent to the issue, management has increased stuff capacity to attend to crypto issues. Furthermore, management has ensured that there is sufficient backup and additional custodians to attend to crypto key generation.</t>
  </si>
  <si>
    <t>Desmond de la Porte</t>
  </si>
  <si>
    <t>Issue_210</t>
  </si>
  <si>
    <t>Capacity planning</t>
  </si>
  <si>
    <t>Action_497_Issue_737</t>
  </si>
  <si>
    <t>Understanding As-Is architecture Understand strategy for non-customer and 3rd party directories</t>
  </si>
  <si>
    <t>Paul Barnard</t>
  </si>
  <si>
    <t>Issue_737</t>
  </si>
  <si>
    <t>Cloud Enablement Proxy</t>
  </si>
  <si>
    <t>Action_496_Issue_737</t>
  </si>
  <si>
    <t>Configure the change and required certificates Log change and configuration into Prod Mainframe and RACF investigation to understand risk posture Configure the changes and required certificates Log change and configuration into Prod (Mainframe &amp; RACF)</t>
  </si>
  <si>
    <t>LDAP migration to LDAPS</t>
  </si>
  <si>
    <t>Action_495_Issue_737</t>
  </si>
  <si>
    <t>Upgrades to Java v1.8 and SHA-2 Certificates: SS code enhancement Build Backward compatibility environment â€“ New Java version Socialisation &amp; Communication Build &amp; Test â€“ Dev Environment - Java Code v1.8 upgrade - Integrate with SHA-2 and HTTPS</t>
  </si>
  <si>
    <t>Upgrades to Java v1.8 and SHA-2 Certificates</t>
  </si>
  <si>
    <t>/ABSA Group Limited/South Africa/South Africa/Corporate and Investment Bank/Investment Bank/Global Markets/Global Markets</t>
  </si>
  <si>
    <t>Action_494_Issue_734</t>
  </si>
  <si>
    <t>Review current Bloomberg block trade rules in order to reduce the amount of manual intervention when booking trades which fail into the risk management system.  Item has been added to the book of work and will be prioritized accordingly - CFPH-561</t>
  </si>
  <si>
    <t>ABASAH6</t>
  </si>
  <si>
    <t>Aashik Singh</t>
  </si>
  <si>
    <t>Nila Singh</t>
  </si>
  <si>
    <t>Issue_734</t>
  </si>
  <si>
    <t>Bloomberg Block trade functionality</t>
  </si>
  <si>
    <t>Issue_734_Delayed booking of FX Outright forward</t>
  </si>
  <si>
    <t>/ABSA Group Limited/Africa Region Operations/ARO Centre/Retail and Business Banking/RBB Segments</t>
  </si>
  <si>
    <t>RBB Segments</t>
  </si>
  <si>
    <t>Action_493_Issue_666</t>
  </si>
  <si>
    <t>Discuss Hybrid Methodology with Head of Group Change and get agreement on way forward. Outcome of above will determine: What governance is required if Hybrid methodology is used and discuss Changes to PlanEx that are required (including all the mandatory controls). If Hybrid methodology not allowed, action plans in place for all these types of Projects to follow Agile or Waterfall.  Request PlanEx enhancements (this could be a minor or major changes that can only be determined after investigations. Create Milestone Conversion Plan.</t>
  </si>
  <si>
    <t>ABJW483</t>
  </si>
  <si>
    <t>Julia De Wet</t>
  </si>
  <si>
    <t>abjw483</t>
  </si>
  <si>
    <t>Issue_666</t>
  </si>
  <si>
    <t>Facilitate discussion with Group Head of Change</t>
  </si>
  <si>
    <t>/ABSA Group Limited/South Africa/South Africa/Retail and Business Banking/Customer Value Management/CIO (CVM)</t>
  </si>
  <si>
    <t>CIO (CVM)</t>
  </si>
  <si>
    <t>Action_492_Issue_732</t>
  </si>
  <si>
    <t>Engage the central teams to improve the OLA uptime to at least 99%, in order to improve the customer digital experience.</t>
  </si>
  <si>
    <t>ABCMA94</t>
  </si>
  <si>
    <t>Caroline Manyeruke</t>
  </si>
  <si>
    <t>Clyde Oldham</t>
  </si>
  <si>
    <t>Issue_732</t>
  </si>
  <si>
    <t>Engage ITO</t>
  </si>
  <si>
    <t>/ABSA Group Limited/South Africa/South Africa/Corporate and Investment Bank/Transactional Banking/Cash Management/Servicing</t>
  </si>
  <si>
    <t>Servicing</t>
  </si>
  <si>
    <t>Action_491_Issue_729</t>
  </si>
  <si>
    <t>Business will be undertaking coaching and process reiteration to the team in order to mitigate the issue.</t>
  </si>
  <si>
    <t>Calpunia Sauls</t>
  </si>
  <si>
    <t>Issue_729</t>
  </si>
  <si>
    <t>Coaching and process reiteration</t>
  </si>
  <si>
    <t>Action_488_Issue_730</t>
  </si>
  <si>
    <t>The 1LOD team will conduct a CPA refresh for 2022 to address all of the identified quality gaps.</t>
  </si>
  <si>
    <t>CVM 1LOD</t>
  </si>
  <si>
    <t>Issue_730</t>
  </si>
  <si>
    <t>CPA Refresh 2022</t>
  </si>
  <si>
    <t>Action_487_Issue_728</t>
  </si>
  <si>
    <t>Notify merchants and request remediation plans to be shared with VISA. Monitor merchant performance for three months</t>
  </si>
  <si>
    <t>Nqabomzi Besman</t>
  </si>
  <si>
    <t>Issue_728</t>
  </si>
  <si>
    <t>Peach Payment monitoring</t>
  </si>
  <si>
    <t>/ABSA Group Limited/South Africa/South Africa/Retail and Business Banking/Relationship Banking/Product/Commercial Payments/Commercial Issuing</t>
  </si>
  <si>
    <t>Commercial Issuing</t>
  </si>
  <si>
    <t>Action_486_Issue_724</t>
  </si>
  <si>
    <t>There is a drive to move the Third Parties from 3D-1 Secure to 3D-2 Secure. Corporate Key Account Managers to communicate with clients.</t>
  </si>
  <si>
    <t>Issue_724</t>
  </si>
  <si>
    <t>Chargebacks 3D Secure</t>
  </si>
  <si>
    <t>/ABSA Group Limited/South Africa/South Africa/Retail and Business Banking/Everyday Banking/Sales and Service enablement (EB)/Fraud Solutions (EB)</t>
  </si>
  <si>
    <t>Fraud Solutions (EB)</t>
  </si>
  <si>
    <t>Action_485_Issue_721</t>
  </si>
  <si>
    <t>3. Reconciliation between transactions written-off and transactions tagged in Falcon. Each write off has to have an associated tagged transaction in Falcon.</t>
  </si>
  <si>
    <t>ABKS473</t>
  </si>
  <si>
    <t>Karishma Singh</t>
  </si>
  <si>
    <t>Mpho Ditse</t>
  </si>
  <si>
    <t>Issue_721</t>
  </si>
  <si>
    <t>Decision engine alert tagging - Action 3</t>
  </si>
  <si>
    <t>Action_484_Issue_721</t>
  </si>
  <si>
    <t>2. Monthly assurance to be performed by Fraud Solutions to ensure transactions and applications are accurately tagged.</t>
  </si>
  <si>
    <t>Decision engine alert tagging - Action 2</t>
  </si>
  <si>
    <t>Action_483_Issue_721</t>
  </si>
  <si>
    <t>1. All confirmed fraudulent transactions (Falcon) and applications (Instinct) need to be tagged in the relevant fraud tool. All transactions in Falcon (branch, digital and card) that have a tracked rule against the transaction as in Case Manager need to be tagged. Instinct investigation outcome to be tagged with a more accurate outcome.</t>
  </si>
  <si>
    <t>Decision engine alert tagging - Action 1</t>
  </si>
  <si>
    <t>Action_482_Issue_704</t>
  </si>
  <si>
    <t>Identify all unsupported Windows servers per business unit. 2. Business units provide remediation plans and timelines to decommission or upgrade to the supported Windows server version.</t>
  </si>
  <si>
    <t>Issue_704</t>
  </si>
  <si>
    <t>Upgrade Unsupported Windows Servers</t>
  </si>
  <si>
    <t>Action_481_Issue_703</t>
  </si>
  <si>
    <t>1. Identify all unsupported Linux servers per business unit. 2. Business units provide remediation plans and timelines to upgrade or decommission impacted servers.</t>
  </si>
  <si>
    <t>Issue_703</t>
  </si>
  <si>
    <t>Linux Servers Upgrade</t>
  </si>
  <si>
    <t>Action_480_Issue_702</t>
  </si>
  <si>
    <t>1. Identify unsupported AIX servers per business unit. 2. Business units to provide action plans to upgrade to a supported version or decommission the servers.</t>
  </si>
  <si>
    <t>Issue_702</t>
  </si>
  <si>
    <t>Upgrade AIX Servers</t>
  </si>
  <si>
    <t>Action_478_Issue_700</t>
  </si>
  <si>
    <t>1. Identity all applications dependent on Dotnet. 2. All Impacted applications from various business units in the bank should be upgraded to the supported DotNet version.</t>
  </si>
  <si>
    <t>Issue_700</t>
  </si>
  <si>
    <t>Upgrade DotNet Version</t>
  </si>
  <si>
    <t>/ABSA Group Limited/South Africa/South Africa/Product Solutions Cluster/Homeloans</t>
  </si>
  <si>
    <t>Homeloans</t>
  </si>
  <si>
    <t>Action_476_Issue_701</t>
  </si>
  <si>
    <t>Adding a trading as name field on EOML and allow for automatic screening to be done</t>
  </si>
  <si>
    <t>ABGV066</t>
  </si>
  <si>
    <t>Gerda De Lange</t>
  </si>
  <si>
    <t>Amelia Bouwer</t>
  </si>
  <si>
    <t>Issue_701</t>
  </si>
  <si>
    <t>EOML Trading As Name Field</t>
  </si>
  <si>
    <t>Action_475_Issue_697</t>
  </si>
  <si>
    <t>1. ARO 46 servers to be upgraded to a supported version. 2. CIB 27 servers to be upgraded to a supported version. 3.  Group Services 1 server to be upgraded to a supported version. 4. Platform and Engineering 2 servers to be upgraded to a supported version.</t>
  </si>
  <si>
    <t>Issue_697</t>
  </si>
  <si>
    <t>AIX HMC Code</t>
  </si>
  <si>
    <t>Action_473_Issue_635</t>
  </si>
  <si>
    <t>Two main streams of remediation has been identified being the Cyber Resilience program and the Network Segmentation Projects that will be addressing the risk associated.</t>
  </si>
  <si>
    <t>Issue_635</t>
  </si>
  <si>
    <t>To define the strategic remediation plans</t>
  </si>
  <si>
    <t>/ABSA Group Limited/South Africa/South Africa/Corporate and Investment Bank/Support Functions/Traded Market Risk</t>
  </si>
  <si>
    <t>Traded Market Risk</t>
  </si>
  <si>
    <t>Action_471_Issue_689</t>
  </si>
  <si>
    <t>The configuration should be changed in ASE after an impact test is performed to the scenario application in UAT, to ascertain materiality.  Currently mitigating controls includes the review of VaR and sVaR and the investigation and resolution of threshold breaches and movements.</t>
  </si>
  <si>
    <t>ABKG264</t>
  </si>
  <si>
    <t>Kaylen Green</t>
  </si>
  <si>
    <t>Loredana Renzi</t>
  </si>
  <si>
    <t>Issue_689</t>
  </si>
  <si>
    <t>ASE Configuration</t>
  </si>
  <si>
    <t>/ABSA Group Limited/Africa Region Operations/Tanzania (NBC)/Enterprise Functions/Chief Operating Office/Projects &amp; Change</t>
  </si>
  <si>
    <t>Projects &amp; Change</t>
  </si>
  <si>
    <t>Action_469_Issue_688</t>
  </si>
  <si>
    <t>â€¢ Negotiation with GePG for service restoration and extension of timelines up to 30th April 2022 â€¢ Distribution of POS machine to serve Branch GePG payments â€¢ Fast track the new solution (Centralized GePG Platform) to ensure implementation is within the newly added timelines by GePG by 15th April 2022</t>
  </si>
  <si>
    <t>ABASAF7</t>
  </si>
  <si>
    <t>Adam Sheshe</t>
  </si>
  <si>
    <t>Josephat kinyondo</t>
  </si>
  <si>
    <t>Issue_688</t>
  </si>
  <si>
    <t>Deployment of new GPEG API</t>
  </si>
  <si>
    <t>Action_470_Issue_683</t>
  </si>
  <si>
    <t>Coaching session with the Originating Consultant as well as the Peer reviewer. QA will check the TFG sweeping when actioned by Originating consultant and Peer reviewer in question until the 10th of January  2021</t>
  </si>
  <si>
    <t>Cal Sauls</t>
  </si>
  <si>
    <t>Issue_683</t>
  </si>
  <si>
    <t>Coaching to be conducted with consultants</t>
  </si>
  <si>
    <t>/ABSA Group Limited/South Africa/South Africa/Retail and Business Banking/Customer Value Management/Rewards</t>
  </si>
  <si>
    <t>Rewards</t>
  </si>
  <si>
    <t>Action_468_Issue_682</t>
  </si>
  <si>
    <t>January: All Acquisition leads files for MSA were rerouted to another supplier (i.e. PLP) to ensure business continuity. No further work has been allocated to MSA since November 2021. MSA and the Absa IT team are currently working on resolving the automated tunnel configuration issues. Further reconciliation investigations were performed by Absa IT and only a total of 889 customers were found to be impacted by the issue. Guidance has been sought from Compliance on how to deal with the impacted customers going forward.  February SMS messages approved by Legal &amp; Compliance were sent to all impacted customers on the . No customer complaints have been received to date in relation to the messages sent. The Supplier Relationship Management team has been engaged to ensure contractual obligations are met from both parties in relation to the pended work allocation. The resolution of the Tunnel configuration issues is scheduled for deployment on 6-7 March.</t>
  </si>
  <si>
    <t>ABAP659</t>
  </si>
  <si>
    <t>Atang Pelesa</t>
  </si>
  <si>
    <t>Duran Johnston</t>
  </si>
  <si>
    <t>Issue_682</t>
  </si>
  <si>
    <t>Market South Africa(MSA) Issue Remediation</t>
  </si>
  <si>
    <t>Action_465_Issue_668</t>
  </si>
  <si>
    <t>Eddie Steyn</t>
  </si>
  <si>
    <t>Account Opening for Personal loans</t>
  </si>
  <si>
    <t>Action_464_Issue_666</t>
  </si>
  <si>
    <t>julia de wet</t>
  </si>
  <si>
    <t>Milestone Plan</t>
  </si>
  <si>
    <t>Action_463_Issue_664</t>
  </si>
  <si>
    <t>Deposit within BBI 19 to be moved to another BBI line</t>
  </si>
  <si>
    <t>ABET264</t>
  </si>
  <si>
    <t>Pravin Latchmudoo</t>
  </si>
  <si>
    <t>Deposit within BBI 19 to be moved to another BBI</t>
  </si>
  <si>
    <t>Action_462_Issue_662</t>
  </si>
  <si>
    <t>BCX must by the milestone date deliver a strategic plan with committed dates of successful execution for Absa approval.</t>
  </si>
  <si>
    <t>Nolan Waldhausen</t>
  </si>
  <si>
    <t>Issue_662</t>
  </si>
  <si>
    <t>BCX Strategic Remediation for Waltloo Resilience</t>
  </si>
  <si>
    <t>/ABSA Group Limited/Africa Region Operations/Seychelles/Enterprise Functions/Chief Operating Office/CRES &amp; Shared Services</t>
  </si>
  <si>
    <t>CRES &amp; Shared Services</t>
  </si>
  <si>
    <t>Action_452_Issue_628</t>
  </si>
  <si>
    <t>To obtain approval to communicate the re-instatement of the process as agreed by Finance and COO. To share the form in Communication</t>
  </si>
  <si>
    <t>ABAD478</t>
  </si>
  <si>
    <t>Angele Delcy Â Â Â Â Â </t>
  </si>
  <si>
    <t>Angele Delcy</t>
  </si>
  <si>
    <t>Issue_628</t>
  </si>
  <si>
    <t>Communication to Business</t>
  </si>
  <si>
    <t>Action_451_Issue_628</t>
  </si>
  <si>
    <t>The form will be updated to reflect the absa brand.</t>
  </si>
  <si>
    <t>Review of Asset movement form</t>
  </si>
  <si>
    <t>Action_449_Issue_302</t>
  </si>
  <si>
    <t>Available Systems are not sufficiently designed to monitor and enforce compulsory training completion.  The Absa e-learning system has not been enhanced sufficiently to ensure that all staff have completed all the required missions for the required Mandate Assessment Training. This has resulted in staff obtaining Completion Certificates without completing all the required missions. Furthermore, the Mandate Assessment training is not automatically assigned for new staff appointed after the bulk training registration. These concerns have also been highlighted during the MA assignments performed during 2021. As a result, staff without the required knowledge and skills may be allocated mandates and override levels which may result in fraud, customer distress and subsequent financial losses.</t>
  </si>
  <si>
    <t>Prenola Govender</t>
  </si>
  <si>
    <t>Issue_302</t>
  </si>
  <si>
    <t>designed for compulsory training completion</t>
  </si>
  <si>
    <t>PC-CPA 10/05 Branch Management and Administration</t>
  </si>
  <si>
    <t>/ABSA Group Limited/Africa Region Operations/Ghana/Enterprise Functions/Risk/Wholesale Credit Risk</t>
  </si>
  <si>
    <t>Action_448_Issue_421</t>
  </si>
  <si>
    <t>It came to light following identification that  some accounts that had overdrawn balances were not picked up in the Daily Excess Report circulated by the Finance MI team. These reports are expected to be reviewed on a daily basis by the FLOD and reports submitted to Credit  for sanction. The missing data thus poses a risk to the Bank as some of these overdrawn position may be missed and thus required actions not taken</t>
  </si>
  <si>
    <t>ABKS542</t>
  </si>
  <si>
    <t>Kwame Som</t>
  </si>
  <si>
    <t>Kwamena</t>
  </si>
  <si>
    <t>Issue_421</t>
  </si>
  <si>
    <t>Missing Data From Data Hub Impacting Excess</t>
  </si>
  <si>
    <t>Action_447_Issue_468</t>
  </si>
  <si>
    <t>Savings and Investment Management will: Collaborate with other business areas to review the current validation design and operational effectiveness.</t>
  </si>
  <si>
    <t>ICP was completed and send to IA on 30 March 2022.</t>
  </si>
  <si>
    <t>Annual SARS Data Validation</t>
  </si>
  <si>
    <t>Action_444_Issue_615</t>
  </si>
  <si>
    <t>Strategic: â€¢ Procurement enabling team to provide the guidance towards the on-boarding requirements to RBB Business Units for consistency in the on-boarding of existing and new Third parties and Suppliers. â€¢ All BUs to identify responsible and accountable team/individuals to drive the on-boarding of their existing and new Third Parties and Suppliers onto Coupa Risk Assess. â€¢ All BUs to identify and continuously update the suppliers and third parties that have a data privacy impact. â€¢ Each Business Unit to develop a completed transition plan for the commencement of the on boarding of the third parties and suppliers from tactical to strategic solution.</t>
  </si>
  <si>
    <t>ABDMA39</t>
  </si>
  <si>
    <t>Dineo Motingoa</t>
  </si>
  <si>
    <t>Somayya Ebrahim</t>
  </si>
  <si>
    <t>Issue_615</t>
  </si>
  <si>
    <t>Strategic - Enhance Supplier Onboarding</t>
  </si>
  <si>
    <t>Action_443_Issue_615</t>
  </si>
  <si>
    <t>Tactical:  â€¢ All BUs impacted by the issue will review and ensure completeness and accuracy of their Third Party and Supplier lists. â€¢ All BUs to identify and continuously update the suppliers and third parties that have a data privacy impact. â€¢ All BUs impacted by the issue will create a Sharepoint or Sharedrive to host the Third Party and Supplier lists of agreements/contracts. All BUs to ensure access controls on the Sharepoint or Sharedrive which will host the lists of agreements/contracts. Each list to clearly show which of the third parties have data privacy requirements.</t>
  </si>
  <si>
    <t>Review and Maintain Accurate Supplier Lists</t>
  </si>
  <si>
    <t>/ABSA Group Limited/South Africa/South Africa/Corporate and Investment Bank/Support Functions/Client Centricity</t>
  </si>
  <si>
    <t>Client Centricity</t>
  </si>
  <si>
    <t>Action_442_Issue_613</t>
  </si>
  <si>
    <t>Once guideline reviews are completed and opinion is obtained, Compliance together with Business will update all relevant material and documents Process Document, Circulars published, update of Guidelines to be incorporated into the current SharePoint site. 2. Training to be deployed on Absa Learning Portal (Annual Review and Attestations &amp; Workshops for CIB impacted employees. 3. Update policy document with travel desk changes and access to updated policy and standards which will help minimize conduct risk. 4. Salesforce Enhancement to the Call report Indicator to track Cross Border Activity has been added to the User Story Backlog which will will help monitor ongoing reach in activities. 5. Deploy Brand Office to CIB Users and create a Toolbar for the Compliance team to store cross border related documents.</t>
  </si>
  <si>
    <t>ABMMB85</t>
  </si>
  <si>
    <t>Maureen Mabelane</t>
  </si>
  <si>
    <t>Logan Pillay</t>
  </si>
  <si>
    <t>Issue_613</t>
  </si>
  <si>
    <t>Remediation of Cross Border Issue</t>
  </si>
  <si>
    <t>2LOD</t>
  </si>
  <si>
    <t>/ABSA Group Limited/South Africa/South Africa/Corporate and Investment Bank/Transactional Banking/Cash Management/Transactional Services/Domestic Collections - Portfolio Generic</t>
  </si>
  <si>
    <t>Domestic Collections - Portfolio Generic</t>
  </si>
  <si>
    <t>Action_441_Issue_612</t>
  </si>
  <si>
    <t>1. Identify List of Clients to add alerting for failures for the SFTP transfers (see excel document below).  2. Confirmation of Group Email alerting to be added go ahead pending from support Groups (see word document).  a. host.team@absa.co.za b. channelspecialist@absa.africa 3. Identify List of Tasks in TransferZone for Clients that we need to add failure alerting  a. Mark All tasks that does not have the alerting notification added to the watch list on TransferZone. b. Edit and update Groups for alerting and update subject and body fields for the tasks. c. Verify and Group added for alerting and remove task from Watch List.  4. Provide feedback to Support group when all Tasks have notification alert enabled.  5. Provide Screen Print of Alerting Enabled for a task as proof.  6. Audit owner to collate and submit for closure.</t>
  </si>
  <si>
    <t>ABRM066</t>
  </si>
  <si>
    <t>Rachma Mowlana</t>
  </si>
  <si>
    <t>Ernest Chikoto</t>
  </si>
  <si>
    <t>Issue_612</t>
  </si>
  <si>
    <t>Incident Alert &amp; Monitor not enabled Debicheck</t>
  </si>
  <si>
    <t>Action_440_Issue_448</t>
  </si>
  <si>
    <t>A decision was taken to Write off balances below R100,  Engage customers with a balance between R100 â€“ R499.99 via SMs. and Contact customers  with balances above R500k via Voice</t>
  </si>
  <si>
    <t>Mildred Nkhwashu</t>
  </si>
  <si>
    <t>Issue_448</t>
  </si>
  <si>
    <t>Write off and customer engagement</t>
  </si>
  <si>
    <t>Action_437_Issue_604</t>
  </si>
  <si>
    <t>A DWB (Waiver) is currently documented to respond to the control deficiency that was raised by Internal Audit.</t>
  </si>
  <si>
    <t>AB016H3</t>
  </si>
  <si>
    <t>Sibusiso Mahlangu</t>
  </si>
  <si>
    <t>Themba Khumalo</t>
  </si>
  <si>
    <t>Issue_604</t>
  </si>
  <si>
    <t>DWB (Waiver)</t>
  </si>
  <si>
    <t>AU73637</t>
  </si>
  <si>
    <t>Action_436_Issue_598</t>
  </si>
  <si>
    <t>As Everyday Banking (EB) Technology we have an existing process in place to track our Patching level and progress on a monthly basis with the different technical system owner, the EB Tech Risk officer and EB CIO.  We have extended this meeting to also review and track progress on the outstanding actions from the vulnerability assessments and penetration testing exercise.  The process is embedded and now also forms part on the agenda for Everyday Banking Technology, Cyber Risk and Operations. Furthermore there is monthly check in meetings between the application owners, RCO and the CSO team to discuss guidance on remediating vulnerabilities. The key focus is to priorities vulnerabilities that are old than 90 days.</t>
  </si>
  <si>
    <t>Issue_598</t>
  </si>
  <si>
    <t>Embedment of tracking and remediation process</t>
  </si>
  <si>
    <t>/ABSA Group Limited/South Africa/South Africa/Retail and Business Banking/Everyday Banking/Credit Risk (EB)</t>
  </si>
  <si>
    <t>Credit Risk (EB)</t>
  </si>
  <si>
    <t>Action_435_Issue_599</t>
  </si>
  <si>
    <t>Management will: â€¢ Implement an exceptions report to ensure that the strategy pool identification number aligns with NID/Cycle.  â€¢ Exceptionâ€™s report will be reported and tracked monthly in Credit Risk Forum (CRF) and exceptions will be escalated accordingly.</t>
  </si>
  <si>
    <t>ABRG137</t>
  </si>
  <si>
    <t>Rebecca Gouws</t>
  </si>
  <si>
    <t>Rilinde Ramudzuli</t>
  </si>
  <si>
    <t>Action has been closed on 08/03/2022 by Internal Audit.</t>
  </si>
  <si>
    <t>Issue_599</t>
  </si>
  <si>
    <t>Triad pool ID and NID/Cycle alignment</t>
  </si>
  <si>
    <t xml:space="preserve">Issue closed by Internal Audit on 08/03/2022. </t>
  </si>
  <si>
    <t>COMPLETION APPROVED | 2022-03-22  |  ABFV061: Approved</t>
  </si>
  <si>
    <t>Action_434_Issue_596</t>
  </si>
  <si>
    <t>Currently the system allows for the overtime to be backdated as far as 6 months backwards. The system also does not have build in control to ensure that overtime captured by employees is not more than the minimum contractual working hours</t>
  </si>
  <si>
    <t>A case is being raised for Workday Integration team to implement the changes</t>
  </si>
  <si>
    <t>Issue_596</t>
  </si>
  <si>
    <t>Lock down of overtime hours in Workday</t>
  </si>
  <si>
    <t>Action_433_Issue_199</t>
  </si>
  <si>
    <t>Implement system block to prevent Branch Users from using remaining High Risk RB Functions on BDP/BTP.  â€¢ Phase 1:  Provide IT with the list of (x1145) Transaction Codes to identify how many Users within Physical Channels â€“ A279 are still utilising these functions.  â€¢ Phase 2:  All identified Transaction Codes where Physical Channels â€“ A279 are being utilised to investigate the reasoning for using these functions.  â€¢ Phase 3:  All Transaction Codes identified where Physical Channels â€“ A279 are not utilising to be SBU excluded on the various systems. â€¢ Phase 3.1: User Acceptance Testing (UAT) to be conducted on the various systems to ensure SBU exclusion prior to excluding these functionalities in Production.  â€¢ Phase 3.2: Once successful UAT has been conducted, these Transaction Codes may be SBU excluded and communicated to frontline.</t>
  </si>
  <si>
    <t>ABAK400</t>
  </si>
  <si>
    <t>Amelda Van Der Merwe</t>
  </si>
  <si>
    <t>Issue_199</t>
  </si>
  <si>
    <t>Block remaining High Risk RB Functions on BDP/BTP</t>
  </si>
  <si>
    <t>PC-CPA 00/19</t>
  </si>
  <si>
    <t>Action_432_Issue_198</t>
  </si>
  <si>
    <t>Implement system block to prevent Branch Users from Issuing Cards to (un-embossed) and Maintaining CIB Customer Portfolios.  BRD provided to PC Technology Team.</t>
  </si>
  <si>
    <t>Issue_198</t>
  </si>
  <si>
    <t>Block remaining High Risk CIB Functions on BDP</t>
  </si>
  <si>
    <t>PC-CPA 00/20</t>
  </si>
  <si>
    <t>Action_431_Issue_316</t>
  </si>
  <si>
    <t>After conducting an investigation a need was identified to update the Manage Financial Advisory and Intermediary Services (FAIS ) Compliance Procedure document, to include:  o FAIS Centre of Excellence to update the process steps to include roles, responsibilities and expectations realting to tmonitoring the Honesty, Integrity and Good Standing (HIGS) Attestations. o A requirement, Line Manager to confirm that all staff have completed the HIGS attestation o Update the Physical Channels Manage Financial Advisory and Intermediary Services (FAIS) procedure doc  NB: The Group Manage Financial Advisory and Intermediary Services Compliance procedure document is the primary dependency, as it is the procedural level articulation of the process steps</t>
  </si>
  <si>
    <t>ABDN003</t>
  </si>
  <si>
    <t>Daleen Van Niekerk</t>
  </si>
  <si>
    <t>Rui Carrajola</t>
  </si>
  <si>
    <t>Issue_316</t>
  </si>
  <si>
    <t>Update the (FAIS ) Compliance Procedure document</t>
  </si>
  <si>
    <t>PC-CPA 01/25</t>
  </si>
  <si>
    <t>Action_430_Issue_315</t>
  </si>
  <si>
    <t>After conducting, an investigation a need was identified to update the Sales Standards (Sales Supporting Doc) for Branch Network  procedural document with specific actioning requirements: o Include roles, responsibilities and expectations relating to the monitoring of the non-completion of the Product Specific Training, which will include FAIS, products sold. o A report will be extracted to provide evidence that Physical Channels FAIS Representatives: o Have completed the product specific training before selling any products or o Representatives that have not yet completed their product specific training, are flagged and monitored until they complete it within 30 days  o Representatives that have not yet completed their product specific training and are selling/engaging, are flagged and escalated in order to be removed (not allowed to engage/sell) until such time they have completed their product specific training.</t>
  </si>
  <si>
    <t>Issue_315</t>
  </si>
  <si>
    <t>Update the Sales Standards (Sales Supporting Doc)</t>
  </si>
  <si>
    <t xml:space="preserve">PC-CPA 01/24 </t>
  </si>
  <si>
    <t>Action_429_Issue_313</t>
  </si>
  <si>
    <t>Action   After conducting an investigation a need was identified to update the Manage Financial Advisory and Intermediary Services (FAIS) Compliance Procedure Physical Channels with specific report actioning requirements for the Key Individual  â€¢ Update the Physical Channels Manage Financial Advisory and Intermediary Services FAIS Compliance Procedural to include: o Update the process steps, to include roles,  responsibilities and expectations relating to the completion of the Key Individual Quarterly Attestation   NB: The Group Manage Financial Advisory and Intermediary Services (FAIS)Compliance procedure document is the primary dependency, as it is the procedural level articulation of the process steps</t>
  </si>
  <si>
    <t>Issue_313</t>
  </si>
  <si>
    <t>Update the Manage FAIS compliance procedures</t>
  </si>
  <si>
    <t xml:space="preserve">PC-CPA 01/23 </t>
  </si>
  <si>
    <t>Action_428_Issue_312</t>
  </si>
  <si>
    <t>Action  â€¢ The Manage Sales Process Procedural Document will be updated to include clear roles and responsibilities and expectations relating the monitoring of the completion of the Sales Attestations. â€¢ Learning and Development in the process of integrating all attestations (including the Sales Attestations) on LMS with triggers to remind colleagues to complete attestation before deadline. â€¢ A weekly report to be generated by Learning and Development will be disseminated to Line-Manager for monitoring of the completion of the sales attestations.</t>
  </si>
  <si>
    <t>Gareth Vallentyn</t>
  </si>
  <si>
    <t>Issue_312</t>
  </si>
  <si>
    <t>Procedure doc with specific report  actioning</t>
  </si>
  <si>
    <t xml:space="preserve">PC-CPA 01/22 </t>
  </si>
  <si>
    <t>Action_427_Issue_592</t>
  </si>
  <si>
    <t>A solution has been developed to restrict write-access in the Limits and Mandate module to authosrised users. Testing is to resume following the group-wide change freeze</t>
  </si>
  <si>
    <t>AB010LK</t>
  </si>
  <si>
    <t>Sinaylin Theron</t>
  </si>
  <si>
    <t>Pfano Marole</t>
  </si>
  <si>
    <t>Issue_592</t>
  </si>
  <si>
    <t>Mandate and limits system restrictions</t>
  </si>
  <si>
    <t>Action_426_Issue_591</t>
  </si>
  <si>
    <t>An ARO-wide Sales Credit Policy is to be drafted to guide the allocation of margins between the Sales and Trading desk, in alignment to prevailing guidelines at AGL level, as may be applicable.Â </t>
  </si>
  <si>
    <t>Issue_591</t>
  </si>
  <si>
    <t>Draft Sales credit policy</t>
  </si>
  <si>
    <t>Action_425_Issue_311</t>
  </si>
  <si>
    <t>Action 1  â€¢ The Manage Sales Process Procedural Document will be updated to clearly articulate the actioning and monitoring of the Coaching Red Flag report. â€¢ The analysis of the Coaching Red Flag report to be included in the Weekly and Monthly Reflection Meetings as part of the Siyakhula Way.</t>
  </si>
  <si>
    <t>Issue_311</t>
  </si>
  <si>
    <t>Procedure doc - specific actioning requirements</t>
  </si>
  <si>
    <t xml:space="preserve">PC-CPA 01/21 </t>
  </si>
  <si>
    <t>Action_424_Issue_582</t>
  </si>
  <si>
    <t>ABML942</t>
  </si>
  <si>
    <t>Mmatlala Lipholo</t>
  </si>
  <si>
    <t>Nahlah Davids</t>
  </si>
  <si>
    <t>Issue_582</t>
  </si>
  <si>
    <t>Quality review of client static data</t>
  </si>
  <si>
    <t>1LOD</t>
  </si>
  <si>
    <t>/ABSA Group Limited/South Africa/South Africa/Retail and Business Banking/Relationship Banking/Product/Specialised Lending Solutions &amp; AVMS</t>
  </si>
  <si>
    <t>Specialised Lending Solutions &amp; AVMS</t>
  </si>
  <si>
    <t>Action_422_Issue_590</t>
  </si>
  <si>
    <t>Absa Group Limited has sent a notification letter to the Information Regulator, which covers the progress made to ensure compliance with the Act as well as the remainder of the remediation activities that are underway which relate to Third Party contract remediation, and over retention of records and data. Feedback is awaited on the notification letter</t>
  </si>
  <si>
    <t>Andisiwe Nikelo - Head AVMS</t>
  </si>
  <si>
    <t>Issue_590</t>
  </si>
  <si>
    <t>Protection of Personal Information Act (POPI)</t>
  </si>
  <si>
    <t>/ABSA Group Limited/South Africa/South Africa/Corporate and Investment Bank/Support Functions/Client Onboarding</t>
  </si>
  <si>
    <t>Client Onboarding</t>
  </si>
  <si>
    <t>Action_420_Issue_587</t>
  </si>
  <si>
    <t>1 Identify all funds which have active trades and are not fully FICA compliant 2 On-Board all funds identified within approved period of 3 months 3 due date 31 November 2021</t>
  </si>
  <si>
    <t>ABNI012</t>
  </si>
  <si>
    <t>Narina Butler</t>
  </si>
  <si>
    <t>Sarah Elstob</t>
  </si>
  <si>
    <t>Issue_587</t>
  </si>
  <si>
    <t>On-Board all funds identified</t>
  </si>
  <si>
    <t>Action_419_Issue_306</t>
  </si>
  <si>
    <t>Update Procedural requirements Update the Branch Mandate Assessment â€“ Job Aid Procedure with the pre-checks  that must be conducted by the Branch Manager/ Regional Manager: Physical  Channels prior to approving Userâ€™s that can be given a Manager level system profile</t>
  </si>
  <si>
    <t>ICP pack and evidence attached. Issue identified has been sufficiently evidenced and can be closed</t>
  </si>
  <si>
    <t>Issue_306</t>
  </si>
  <si>
    <t>PC-CPA 10 Branch Management &amp; Administration</t>
  </si>
  <si>
    <t>Action_418_Issue_585</t>
  </si>
  <si>
    <t>TBC</t>
  </si>
  <si>
    <t>Jolene Freeman</t>
  </si>
  <si>
    <t>Issue_585</t>
  </si>
  <si>
    <t>Sanction Screening Alert Backlog</t>
  </si>
  <si>
    <t>Action_416_Issue_578</t>
  </si>
  <si>
    <t>The Plan must address the following: 1. Process to be followed 2. Outline Salesforce development and timelines 3. Define Remediation timelines 4. Define SiDD to be followed 5. SLA between CIB and AT</t>
  </si>
  <si>
    <t>Issue_578</t>
  </si>
  <si>
    <t>Milestone Document plan &amp; address identified Issue</t>
  </si>
  <si>
    <t>Action_412_Issue_309</t>
  </si>
  <si>
    <t>Action 1  â€¢ Learning and Development will integrate all sales attestations on the Absa Learning System â€¢ The Absa Learning System will send out automated reminders to colleagues that have not completed an attestation in calendar year  Action 2 â€¢ The Manage Branch Sales Procedure will be updated and aligned to the integration of sales attestations on the Absa Learning System   Action Owner: Gareth Vallentyn (PC Specialist Segment: Sales)  Action Plan Due Date: 27 July 2022</t>
  </si>
  <si>
    <t>Issue_309</t>
  </si>
  <si>
    <t>Monitor completion of Product Specific training</t>
  </si>
  <si>
    <t>PC-CPA 01/20</t>
  </si>
  <si>
    <t>Action_413_Issue_579</t>
  </si>
  <si>
    <t>The CAF JV agreements are being reviewed to ensure there are no anti-competitive clauses. The agreements are as follows: John Deere Financial JCB Finance Link Finance</t>
  </si>
  <si>
    <t>Sunet van Rensburg, Senior Legal Counsel</t>
  </si>
  <si>
    <t>Issue_579</t>
  </si>
  <si>
    <t>Review of agreements for anti-competitive clauses</t>
  </si>
  <si>
    <t>/ABSA Group Limited/South Africa/South Africa/Retail and Business Banking/Relationship Banking/Product/Specialised Lending Solutions &amp; JOINT VENTURES (MAN)</t>
  </si>
  <si>
    <t>Specialised Lending Solutions &amp; JOINT VENTURES (MAN)</t>
  </si>
  <si>
    <t>Action_410_Issue_574</t>
  </si>
  <si>
    <t>The MFS JV agreement is being reviewed to ensure there are no anti-competitive clauses.</t>
  </si>
  <si>
    <t>Issue_574</t>
  </si>
  <si>
    <t>Action_411_Issue_575</t>
  </si>
  <si>
    <t>Operational Mandate to be amended to include specific mandates for approval of CIF merges and Site code changes â€¢        Refresher Training to be concluded with COB Team to cover CIF merge process â€¢        Training to raise awareness regarding specific instances where duplicate CIFâ€™s are required</t>
  </si>
  <si>
    <t>Issue_575</t>
  </si>
  <si>
    <t>Oerational mandate / Training</t>
  </si>
  <si>
    <t>Action_408_Issue_564</t>
  </si>
  <si>
    <t>a. CIB will address the naming convention on Absa Trustâ€™s accounts by separating the business into  â€¢ Absa Trust in its own rightâ€¢ Absa Trust managing Trust accounts â€¢ Absa trust managing Liquidator accounts. The naming convention on Absa CIF system to reflect the capacity that Absa Trust acts  in respect of the relevant trust, for example, â€œAbsa Trust Ltd as Administrator and Trustee forâ€ with the special name stating â€œXYZ Trustâ€. b. All Trust accounts being managed by Absa Trust (also under separate CIF with unique naming convention) will be opened without any overdraft. In cases where the Trust Deed permits an overdraft facility, a CIB credit procedure is followed, where the underlying Trust credit will be opined on, and required security/agreements/facility letters are put in place with the trust (and signed in terms of the mandates/rules of the trust) before it is made available.. All accounts to have a â€œpayment against available funds onlyâ€ restriction in place. c. Financial Crime to provide a view on reliance that can be placed on on-boarding and/or FICA due diligences that is conducted by Absa Trust in respect of clients that directly contract with Absa Bank Ltd. d. An SLA will be entered into between Absa Trust and Absa CIB to address operational requirements that must be met by both entities. Requests for account opening to CIB and set-up will align with specifications as stipulated in SLA. e. Financial Crime to address on-boarding and FICA requirements relating to these trusts.  An agreement, with change in account opening procedures, training and monitoring of process to take place.  Absa Trust Corporate business accounts  a. Accounts of Absa Trust Limited will be ring-fenced away from functions where it acts in a fiduciary capacity. b. Existing account numbers will be extracted and segregated from the current CIF structure and allocated to a separate CIF to ensure complete segregation. c. A facility letter and overdraft will be allocated to Absa Trust Limited in its own right</t>
  </si>
  <si>
    <t>Issue_564</t>
  </si>
  <si>
    <t>Remediation of Absa Trust Issue</t>
  </si>
  <si>
    <t>Action_409_Issue_570</t>
  </si>
  <si>
    <t>1. Continue the current BAU process of logging incidents and obtain monthly updates on system stability for tracking purposes</t>
  </si>
  <si>
    <t>Ra'eesah Assim</t>
  </si>
  <si>
    <t>Issue_570</t>
  </si>
  <si>
    <t>NetReveal System Remediation</t>
  </si>
  <si>
    <t>/ABSA Group Limited/South Africa/South Africa/Corporate and Investment Bank/Investment Bank/Investment Banking Division</t>
  </si>
  <si>
    <t>Investment Banking Division</t>
  </si>
  <si>
    <t>Action_407_Issue_65</t>
  </si>
  <si>
    <t>A KIs workshop was completed, booked on 09/11/2021 and as part of the CPI refresher in 2022 KIs were added as applicable</t>
  </si>
  <si>
    <t>EXRK118</t>
  </si>
  <si>
    <t>Roza Kapay</t>
  </si>
  <si>
    <t>Issue_65</t>
  </si>
  <si>
    <t>KIs workshop</t>
  </si>
  <si>
    <t>Action_406_Issue_567</t>
  </si>
  <si>
    <t>A decision has been made to terminate ESP and move COB onto Salesforce.  1. Continue the current BAU process of logging incidents and obtain monthly updates on system stability for tracking purposes 2. Track development of salesforce to enable accurate due date forecast for issue closure</t>
  </si>
  <si>
    <t>Richard Pucjlowski</t>
  </si>
  <si>
    <t>Issue_567</t>
  </si>
  <si>
    <t>ESP Migration to Salesforce</t>
  </si>
  <si>
    <t>Action_404_Issue_74</t>
  </si>
  <si>
    <t>Milestone can be closed - MCP Have been submitted</t>
  </si>
  <si>
    <t>Milestone Conversion - MCP have been submitted to Management Assurance</t>
  </si>
  <si>
    <t>Issue_74</t>
  </si>
  <si>
    <t>Milestone Closure - EOML Field</t>
  </si>
  <si>
    <t>Action_403_Issue_557</t>
  </si>
  <si>
    <t>Test and implement new solution  Working with FO and Tech support team to get FA updated with the correct prices  on the specific trades. Once corrected, MTM will be compared with the MTM currently provided by the FO team to ensure that the correct MTM is now fed from FA to Apex. Once comfortable, the solution will be implemented</t>
  </si>
  <si>
    <t>ABLR297</t>
  </si>
  <si>
    <t>Lesedi Riet</t>
  </si>
  <si>
    <t>Issue_557</t>
  </si>
  <si>
    <t>Front Arena fix to correct MTM</t>
  </si>
  <si>
    <t>Action_396_Issue_553</t>
  </si>
  <si>
    <t>Analyze corporate action vendor solutions to identify a â€œbest fitâ€ option.</t>
  </si>
  <si>
    <t>Issue_553</t>
  </si>
  <si>
    <t>Sourcing appropriate corporate action vendor</t>
  </si>
  <si>
    <t>Action_395_Issue_308</t>
  </si>
  <si>
    <t>Action 1 â€¢ Analyse non-activation data for all EB products with the objective of establishing an acceptable threshold. â€¢ Implement monthly monitoring against agreed threshold per Region/Branch. â€¢ Establish require action e.g. actioning non-activation listings when threshold reflects and outside appetite position. â€¢ Update procedures to define revised requirements in respect of non-activated accounts for use when required. â€¢ Embed new requirements across the branch network.</t>
  </si>
  <si>
    <t>Issue_308</t>
  </si>
  <si>
    <t>Update procedures with specific report actioning</t>
  </si>
  <si>
    <t>Action_393_Issue_552</t>
  </si>
  <si>
    <t>We propose revision of Coverage Scorecards, to include risk components, weighted appropriately according to role in order to improve quality of our credit portfolio. Aligning measurement with values and focus on what and how, with poor business onboarded could result in significant change in performance ratings where behaviour had a material impact</t>
  </si>
  <si>
    <t>Stnton Du Plessis</t>
  </si>
  <si>
    <t>Issue_552</t>
  </si>
  <si>
    <t>Revision of Coverage Scorecards</t>
  </si>
  <si>
    <t>Action_392_Issue_549</t>
  </si>
  <si>
    <t>1. Confirm the approach to apply with the relevant impacted business units 2. Perform a deep dive to understand the impact and â€˜change effortâ€™ 3. Compile a high-level plan to implement the recommendations confirmed in the deep dive 4. Confirm the timeframe with the relevant business areas to â€˜remediateâ€™ â€“ to convert the milestone to a defined date</t>
  </si>
  <si>
    <t>Issue_549</t>
  </si>
  <si>
    <t>NFS Risk Action Plan</t>
  </si>
  <si>
    <t>/ABSA Group Limited/South Africa/South Africa/Retail and Business Banking/Relationship Banking/Product/Business Lending Solutions/Local Documentary Products</t>
  </si>
  <si>
    <t>Local Documentary Products</t>
  </si>
  <si>
    <t>Action_390_Issue_545</t>
  </si>
  <si>
    <t>Prioritize on 2022 BoW to effect system enhancement.  Back-end operational process to be invested by Pricing and to ensure changes as per pricing guide are implemented on the system. System to be enhanced to cater for admin processes and record transactions. MI and Systems analyst to discuss how data can be made available on the EDW then to business.</t>
  </si>
  <si>
    <t>Sanele Gumede</t>
  </si>
  <si>
    <t>Issue_545</t>
  </si>
  <si>
    <t>System enhancements</t>
  </si>
  <si>
    <t>/ABSA Group Limited/South Africa/South Africa/Retail and Business Banking/Relationship Banking/Product/Business Lending Solutions/Alternative Lending Solutions</t>
  </si>
  <si>
    <t>Alternative Lending Solutions</t>
  </si>
  <si>
    <t>Action_389_Issue_543</t>
  </si>
  <si>
    <t>Identify which processes can be automated through C1, PowerCurve and CreditLens.</t>
  </si>
  <si>
    <t>Issue_543</t>
  </si>
  <si>
    <t>Identify which processes can be automated</t>
  </si>
  <si>
    <t>Action_388_Issue_297</t>
  </si>
  <si>
    <t>Action 1 Siyakhula coaching templates updated with signature field on the Siyakhula Portal while sales procedure documents updated to allow regions to use alternative templates that are fit for purpose.  Action 2 Sales Standards and Manage Sales Process Procedural Document have been updated with requirement for colleagues to sign and date the relevant coaching discussions</t>
  </si>
  <si>
    <t>Issue_297</t>
  </si>
  <si>
    <t>Update procedure and the coaching templates</t>
  </si>
  <si>
    <t>PC CPA 0/17</t>
  </si>
  <si>
    <t>Action_387_Issue_542</t>
  </si>
  <si>
    <t>Completion of AFD &amp; USAID reports; Update stakeholders. Expedite payments. Expedite SAP payment.  SEFA to revise their invoice to match SAP requirements.</t>
  </si>
  <si>
    <t>Issue_542</t>
  </si>
  <si>
    <t>Expedite payments</t>
  </si>
  <si>
    <t>/ABSA Group Limited/South Africa/South Africa/Corporate and Investment Bank/Support Functions/Front Office/Sales</t>
  </si>
  <si>
    <t>Sales</t>
  </si>
  <si>
    <t>Action_386_Issue_541</t>
  </si>
  <si>
    <t>An incident has been raised in order for FIS to assist with the issue and remediation.</t>
  </si>
  <si>
    <t>Bhavnisha Sarawan</t>
  </si>
  <si>
    <t>Issue_541</t>
  </si>
  <si>
    <t>FIS investigation</t>
  </si>
  <si>
    <t>Issue_541_Trader Mandate Violations reporting issue</t>
  </si>
  <si>
    <t>/ABSA Group Limited/South Africa/South Africa/Corporate and Investment Bank/Transactional Banking/Cash Management/Channel</t>
  </si>
  <si>
    <t>Channel</t>
  </si>
  <si>
    <t>Action_385_Issue_499</t>
  </si>
  <si>
    <t>Meetings have been held with Channel head and Front Office to find a solution to this issue. With the possible decommissioning of C2B, channel validation must be present on the replacement channel. From a tactical perspective, the down-stream controls (real time queue monitoring, prioritization of incoming flows in Indexing queue which must be cleared by each EOD, Client engagement management and distributed workflow) are operating effectively. TRO have not missed any same day value fulfillment on any C2B Payments received. In addition, all incoming flows are flagged on BAPS by means of the create date and value date view built into the queue view.</t>
  </si>
  <si>
    <t>ABLM296</t>
  </si>
  <si>
    <t>Linda Montgomery</t>
  </si>
  <si>
    <t>Issue_499</t>
  </si>
  <si>
    <t>C2B Decom replacment channel to include validation</t>
  </si>
  <si>
    <t>/ABSA Group Limited/South Africa/South Africa/Corporate and Investment Bank/Transactional Banking/Trading and Working Capital/Trade and Working Capital - Domestic Short Term Finance</t>
  </si>
  <si>
    <t>Trade and Working Capital - Domestic Short Term Finance</t>
  </si>
  <si>
    <t>Action_384_Issue_287</t>
  </si>
  <si>
    <t>Rating: Limited There is no process in place to proactively identify or detect duplicate/ discrepant invoices. Not maintaining and checking the list of invoices already funded, the bank may fund the same invoice twice resulting in financial loss to the bank. During the discussion with the Open Account Specialist it was noted that a list of invoices funded are not maintained. The maker references only to the previous invoice received from the supplier. The rationale for the extension is that we have investigated ways in which to manage this risk and are currently not in position to propose a clear action plan in order to address the risk identified. Our initial solution through IMEX did not pan out and accordingly we are now looking into the OCR solution and are busy investigating how this can assist us in managing this risk. OCR is planned to land sometime in February whereafter we can initiate further discussion on how the OCR solution can assist us in identifying duplicate invoices for Trade Loans whether this be done directly or indirectly through the OCR solution. Either way, the extension is supported by all in sundry to allow us time to effectively solution and we find comfort in that this is a limited issue with low risk.</t>
  </si>
  <si>
    <t>Sudeera Harduth/Doreen Fick and Jessica Gounden</t>
  </si>
  <si>
    <t>Issue_287</t>
  </si>
  <si>
    <t>Duplicate/Discrepant Invoices</t>
  </si>
  <si>
    <t>Action_382_Issue_513</t>
  </si>
  <si>
    <t>ARO banks are required in terms of the TMLA to start to pay for the licence from 2023.  In 2020 ABL undertook to the SARB that it would conclude a suitable TMLA with each ARO bank  that ensures that ownership of ABLâ€™s  intellectual property is not exported and that a suitable IP licence fee calculation methodology would be agreed, taking into account the then re-centre-branding and the brand strength of the brand  outside  South Africa. ARO banks are presently considering the TMLA.</t>
  </si>
  <si>
    <t>Tamera Mangena</t>
  </si>
  <si>
    <t>Issue_513</t>
  </si>
  <si>
    <t>Trade Mark Licence Agreement</t>
  </si>
  <si>
    <t>Action_379_Issue_301</t>
  </si>
  <si>
    <t>Action 1  â€¢ The Commercial Awareness site have been updated to align terminology with Siyakhula Principles  â€¢ After investigating and testing the â€˜saveâ€™ function on the Commercial Awareness site, it was found that colleagues are indeed able to save their business plans on the site. This has been confirmed by at least one Branch Manager. Further investigation to be done.</t>
  </si>
  <si>
    <t>Issue_301</t>
  </si>
  <si>
    <t>Update Business Commercial awareness plan document</t>
  </si>
  <si>
    <t>PC-CPA 01/18</t>
  </si>
  <si>
    <t>Action_376_Issue_496</t>
  </si>
  <si>
    <t>From 1 January 2022 new loans will be priced against SOFR,SONIA or Euribor. From 31 December 2021 to 30th June 2023 for certain USD rates and Exceptions will be tracked through Steerco.</t>
  </si>
  <si>
    <t>Aruna Dukhi and Masego Mosetlhi</t>
  </si>
  <si>
    <t>Issue_496</t>
  </si>
  <si>
    <t>Project Dragonfire - Benchmark Reform</t>
  </si>
  <si>
    <t>/ABSA Group Limited/South Africa/South Africa/Product Solutions Cluster/AFS Insurance Group/Insurance ARO/Absa Life Botswana</t>
  </si>
  <si>
    <t>Absa Life Botswana</t>
  </si>
  <si>
    <t>Action_375_Issue_540</t>
  </si>
  <si>
    <t>Customer surveys have to be carried out.</t>
  </si>
  <si>
    <t>ABOT042</t>
  </si>
  <si>
    <t>Oreneile Tshane</t>
  </si>
  <si>
    <t>Thekiso Mothibi</t>
  </si>
  <si>
    <t>Issue_540</t>
  </si>
  <si>
    <t>Action_374_Issue_538</t>
  </si>
  <si>
    <t>Update the application forms</t>
  </si>
  <si>
    <t>Issue_538</t>
  </si>
  <si>
    <t>Action_372_Issue_537</t>
  </si>
  <si>
    <t>Update the Master Policy documents</t>
  </si>
  <si>
    <t>Olebogeng Diboko</t>
  </si>
  <si>
    <t>Issue_537</t>
  </si>
  <si>
    <t>Action_371_Issue_533</t>
  </si>
  <si>
    <t>AVMS Management needs to address the following before the issue can be validated: Document the individual job descriptions, user access profiles, and user access rights on the BI system (including system limits per user profile) to ensure alignment between a userâ€™s job description, user access profile and user access rights that were granted on the system. Further, Management should retain evidence of the documents used to perform the  3-way matching of job profiles to user access profiles and user access rights, when performing user access management and user recertification reviews (including Manager reviews and sign-offs) to allow for independent validation.  Management must revoke the system access rights of employees that have left Absa, or who have changed roles in the bank, on the BI system; and retain evidence of the user access reports that were used to perform user recertification, for independent validation.  Engage the RB Technology Risk Partner to validate that user access management and user recertification controls implemented meet the Absa Group Information and Security requirements.</t>
  </si>
  <si>
    <t>Siphosethu Buthelezi  (Senior Finance Manager)</t>
  </si>
  <si>
    <t>Issue_533</t>
  </si>
  <si>
    <t>Access Management on the BI &amp; User recertification</t>
  </si>
  <si>
    <t>Action_370_Issue_532</t>
  </si>
  <si>
    <t>Annually, the Finance Accountant will raise annual accruals for all outstanding invoices from merchant/suppliers to address the completeness and valuation of accruals.</t>
  </si>
  <si>
    <t>Senior Finance Manager: Siphosethu Buthelezi</t>
  </si>
  <si>
    <t>Issue_532</t>
  </si>
  <si>
    <t>Annual accrual</t>
  </si>
  <si>
    <t>Action_369_Issue_532</t>
  </si>
  <si>
    <t>On a monthly basis, the Creditors Clerk will generate the open authorisation report from Leaseman system to identify and investigate all outstanding invoices.</t>
  </si>
  <si>
    <t>Investigation of outstanding invoices</t>
  </si>
  <si>
    <t>Action_368_Issue_532</t>
  </si>
  <si>
    <t>On an annual basis, the Specialist Product Engineer AVMS Funding Centre will review the data extraction rules. The purpose of the review will be to assess, amongst other things: â€¢ Appropriateness of the data extractions rules; and â€¢ Whether the extraction rules are still fit for purposes.  Thereafter, the Lead Technology will review the work conducted by the Specialist Product Engineer and would provide email sign-off with the evidence of the screenshot of the code reviewed and approved.</t>
  </si>
  <si>
    <t>Vimlan Naidoo (Lead Technology</t>
  </si>
  <si>
    <t>Annual review of data extraction rules</t>
  </si>
  <si>
    <t>Action_367_Issue_532</t>
  </si>
  <si>
    <t>The Icon system will schedule data extractions of the stages 1 and 2, together with the reconciliation report from the Leaseman system on a monthly basis.</t>
  </si>
  <si>
    <t>Automation of the extraction of stage 1, 2</t>
  </si>
  <si>
    <t>Action_366_Issue_532</t>
  </si>
  <si>
    <t>On an annual basis or as and when there is a need, the Lead Technology will review and provide approval/email sign-off of the documented or updated procedure manuals and process maps that would be documented and updated by the Specialist Product Engineer. The procedure manuals and flowcharts will provide the following view: â€¢ Document a flowchart that will provide a view of the process flow for the end-to-end reconciliation process. â€¢ Document an end-to-end process for performing automated monthly creditors reconciliations and data extraction rules for the following: o Data extraction rules for arrears age analysis which is used as the basis for the reconciliation process for Creditorsâ€™ reconciliation. o Data extraction rules for stage 1 opening balances for creditors. o Data extraction rules for stage 2 closing balances for creditors. o  Automating the extraction of the Creditors reports from stage 1 to stage 2 including the extraction of the Creditors reconciliation. â€¢ Incorporate the retention standards into the procedure manuals and align them to the Data and Records Management Risk Policy.</t>
  </si>
  <si>
    <t>Vimlan Naidoo (Lead Technology)</t>
  </si>
  <si>
    <t>Automated Creditors Reconciliations Procedure</t>
  </si>
  <si>
    <t>Action_365_Issue_531</t>
  </si>
  <si>
    <t>On an annual basis, the Specialist Product Engineer AVMS Funding Centre will review the data extraction rules. The purpose of the review will be to assess, amongst other things: 1. Appropriateness of the data extractions rules; and 2. Whether the extraction rules are still fit for purposes.  Thereafter, the Lead Technology will review the work conducted by the Specialist Product Engineer and would provide email sign-off with the evidence of the screenshot of the code reviewed and approved.</t>
  </si>
  <si>
    <t>Vimlan Naidoo â€“ Lead Technology</t>
  </si>
  <si>
    <t>Issue_531</t>
  </si>
  <si>
    <t>Action_364_Issue_531</t>
  </si>
  <si>
    <t>On an annual basis or as and when there is a need, the Lead Technology will review and provide approval/email sign-off of the documented or updated procedure manuals and process maps that would be documented and updated by the Specialist Product Engineer. The procedure manuals and flowcharts will provide the following view: â€¢ Document a flowchart that will provide a view of the process flow for the end-to-end reconciliation process. â€¢ Document an end-to-end process for performing automated monthly creditors reconciliations and data extraction rules for the following: o Data extraction rules for arrears age analysis which is used as the basis for the reconciliation process for Debtorsâ€™ reconciliation.  o Data extraction rules for stage 1 opening balances for debtors. o Data extraction rules for stage 2 billing balances for debtors. o Data extraction rules for stage 3 closing balances for debtors.   o Data extraction rules for the debtorsâ€™ monthly reconciliation.  â€¢ Incorporate the retention standards into the procedure manuals and align them to the Data and Records Management Risk Policy.</t>
  </si>
  <si>
    <t>Automated Debtors Reconciliations Procedure Manual</t>
  </si>
  <si>
    <t>Action_363_Issue_529</t>
  </si>
  <si>
    <t>Issue_529</t>
  </si>
  <si>
    <t>Action_362_Issue_529</t>
  </si>
  <si>
    <t>On an annual basis or as and when there is a need, the Lead Technology will review and provide approval/email sign-off of the documented or updated procedure manuals and process maps that would be documented and updated by the Specialist Product Engineer. The procedure manuals and flowcharts will provide the following view: â€¢ Document a flowchart that will provide a view of the process flow for the end-to-end reconciliation process. â€¢ Document an end-to-end process for performing automated reconciliations, data extraction rules for batch file from Leaseman which will include all records considered, exclusions, as well as data import rules to Navision. â€¢ Document the comparison steps between bank statement downloaded and the Leaseman file.  â€¢ Incorporate the retention standards into the procedure manuals and align them to the Data and Records Management Risk Policy.</t>
  </si>
  <si>
    <t>Automated Bank Reconciliations Procedure Manuals</t>
  </si>
  <si>
    <t>RB_IA_14</t>
  </si>
  <si>
    <t>Action_361_Issue_528</t>
  </si>
  <si>
    <t>Enablement Heads introduced to Fraud teams to ensure training happens with all Coverage frontline as first line of defense</t>
  </si>
  <si>
    <t>Stanton du Plessis</t>
  </si>
  <si>
    <t>Issue_528</t>
  </si>
  <si>
    <t>Enablement Heads introduced to Fraud teams</t>
  </si>
  <si>
    <t>Action_360_Issue_528</t>
  </si>
  <si>
    <t>Improve and automate  Once off Dealer approval process - refer Absa 5240  (resource, budget and prioritization dependency)</t>
  </si>
  <si>
    <t>Jan Buitenhuis</t>
  </si>
  <si>
    <t>Automate once off dealer approval process</t>
  </si>
  <si>
    <t>Action_359_Issue_528</t>
  </si>
  <si>
    <t>System enhanced to mitigate against Fraud Risk (resource, budget and prioritization dependency)</t>
  </si>
  <si>
    <t>Customer One / Credit Lense team</t>
  </si>
  <si>
    <t>System enhanced to mitigate against Fraud Risk</t>
  </si>
  <si>
    <t>Action_358_Issue_528</t>
  </si>
  <si>
    <t>Improve and design scorecards for punitive measure on risk drivers</t>
  </si>
  <si>
    <t>Annamie van de Colf</t>
  </si>
  <si>
    <t>Improve and design scorecards for punitive measure</t>
  </si>
  <si>
    <t>Action_357_Issue_528</t>
  </si>
  <si>
    <t>Attestation pertaining to applications</t>
  </si>
  <si>
    <t>Action_356_Issue_528</t>
  </si>
  <si>
    <t>Randomize queues to reduce risk of internal fraud collusion</t>
  </si>
  <si>
    <t>Internal fraud collusion</t>
  </si>
  <si>
    <t>Action_355_Issue_528</t>
  </si>
  <si>
    <t>Requested that monthly PRC pack includes reference to credit guidelines</t>
  </si>
  <si>
    <t>Katlego Lesito</t>
  </si>
  <si>
    <t>PRC pack includes reference to credit guidelines</t>
  </si>
  <si>
    <t>Action_354_Issue_528</t>
  </si>
  <si>
    <t>Align credit guidelines to include typical Fraud guidance and restrict sanctioning of none vanilla assets in SME - Guidelines socialized with ongoing embedment where we pick up challenges</t>
  </si>
  <si>
    <t>Align credit guidelines</t>
  </si>
  <si>
    <t>Action_353_Issue_528</t>
  </si>
  <si>
    <t>Fraud referral guide drafted and circulated to upskill existing and staff and new joiners</t>
  </si>
  <si>
    <t>Katherine Crail</t>
  </si>
  <si>
    <t>Fraud referral guide</t>
  </si>
  <si>
    <t>Action_352_Issue_528</t>
  </si>
  <si>
    <t>Fraud awareness sessions conducted with All Credit Colleagues in April 2021</t>
  </si>
  <si>
    <t>Fraud awareness sessions conducted Credit</t>
  </si>
  <si>
    <t>Action_351_Issue_528</t>
  </si>
  <si>
    <t>Training in Coverage frontline</t>
  </si>
  <si>
    <t>/ABSA Group Limited/South Africa/South Africa/Retail and Business Banking/Relationship Banking/Product/Business Lending Solutions/Term Loans</t>
  </si>
  <si>
    <t>Term Loans</t>
  </si>
  <si>
    <t>Action_350_Issue_527</t>
  </si>
  <si>
    <t>Enhance the system for the audit certificate interest calculation to take into account accrued credit interest under finance charges when calculating audit certificate interest.</t>
  </si>
  <si>
    <t>Mishack Boshielo (Manager Portfolio Vanilla Lending)</t>
  </si>
  <si>
    <t>Issue_527</t>
  </si>
  <si>
    <t>Audit certificate interest calculation</t>
  </si>
  <si>
    <t>/ABSA Group Limited/South Africa/South Africa/Retail and Business Banking/Relationship Banking/Product/Islamic Banking and Private Banking</t>
  </si>
  <si>
    <t>Islamic Banking and Private Banking</t>
  </si>
  <si>
    <t>Action_349_Issue_475</t>
  </si>
  <si>
    <t>Requests for three critical positions to be replaced have been submitted. We are awaiting a final decision thereon.  Pending a positive decision, we aim to fill the positions by 31 January 2022</t>
  </si>
  <si>
    <t>Nasima Sayeed Mullah (Manager Operations - Islamic Banking)</t>
  </si>
  <si>
    <t>Issue_475</t>
  </si>
  <si>
    <t>Three Critical Positions</t>
  </si>
  <si>
    <t>Action_348_Issue_474</t>
  </si>
  <si>
    <t>Engage Treasury to request appropriate FTP pricing on trades</t>
  </si>
  <si>
    <t>Issue_474</t>
  </si>
  <si>
    <t>Engage Treasury to request appropriate FTP pricing</t>
  </si>
  <si>
    <t>Action_347_Issue_473</t>
  </si>
  <si>
    <t>Outsource critical Treasury functions to Group Treasury</t>
  </si>
  <si>
    <t>Issue_473</t>
  </si>
  <si>
    <t>Outsource critical Treasury functions</t>
  </si>
  <si>
    <t>Action_346_Issue_472</t>
  </si>
  <si>
    <t>AIB will engage CVM and scope out a high-level memorandum of understanding or Service level agreement.  This will include customer contact governance.</t>
  </si>
  <si>
    <t>Issue_472</t>
  </si>
  <si>
    <t>Memorandum of understanding or SLA</t>
  </si>
  <si>
    <t>Action_344_Issue_471</t>
  </si>
  <si>
    <t>Islamic Banking Management will: â€¢ Obtain attestation from Managing Executives (Coverage) that the new requirement for the Term Sheet has been implemented. (Note: MA recommends that the process to be redesigned as the requirement for the term sheet to be obtained manually is not sustainable, efficient and customer centric going forward.) â€¢ Perform a spot check to ensure that the relevant term sheet has been adequately embedded until a sustainable solution has been implemented (Refer below.)</t>
  </si>
  <si>
    <t>Nasima Sayeed-Mullah (Manager Operations: Islamic Banking)</t>
  </si>
  <si>
    <t>Issue_471</t>
  </si>
  <si>
    <t>1. Obtaining and Secure all relevant documentation</t>
  </si>
  <si>
    <t>RB_MA_16</t>
  </si>
  <si>
    <t>/ABSA Group Limited/South Africa/South Africa/Corporate and Investment Bank/Transactional Banking/Cash Management/Absa Investor Services/Global Custody</t>
  </si>
  <si>
    <t>Global Custody</t>
  </si>
  <si>
    <t>Action_343_Issue_526</t>
  </si>
  <si>
    <t>Client unable to settle Global transactions in ZAR negatively impacts the price of the shares as EUR. MT535s from Sub-Custodians must be reconciled (light) to ensure balances with Traded position report is inline</t>
  </si>
  <si>
    <t>AB0069X</t>
  </si>
  <si>
    <t>Marlene Jacobs</t>
  </si>
  <si>
    <t>Mosetsana Mahlafunya</t>
  </si>
  <si>
    <t>Issue_526</t>
  </si>
  <si>
    <t>GC ISIN priced as EUR instead of ZAR</t>
  </si>
  <si>
    <t>Action_342_Issue_525</t>
  </si>
  <si>
    <t>Fee scheduled for sub-custodians not signed off. Incorrect billing due not schedules not being in place or signed off. No legal protection in case of a dispute or default. 30% completed. Delays due to capacity challenges.  A mini project was initiated to review all fee schedules. Scheduled completion date Feb 2022</t>
  </si>
  <si>
    <t>Stakeholders request an extension until May 2022. They are in the process of having meetings with Operations to finalise the client SLAâ€™s which they would like to send to clients as soon possible. Most clients will use the generic SLA which will be easily implemented.  Although the extension request was until end of May, an allowance is given in order to execute for an internal process to be imbedded before formal closure of the issue.</t>
  </si>
  <si>
    <t>Remediation currently in progress to complete the process</t>
  </si>
  <si>
    <t>Issue_525</t>
  </si>
  <si>
    <t>Fee schedules for sub-custodians not signed off.</t>
  </si>
  <si>
    <t>/ABSA Group Limited/South Africa/South Africa/Corporate and Investment Bank/Transactional Banking/Cash Management/Absa Investor Services/Static Data, Billing and Reconciliation</t>
  </si>
  <si>
    <t>Static Data, Billing and Reconciliation</t>
  </si>
  <si>
    <t>Action_341_Issue_524</t>
  </si>
  <si>
    <t>Fee schedules for internal clients are not in place. Incorrect billing due not schedules not being in place or signed off. No legal protection in case of a dispute or default. 30% completed. Delays due to capacity challenges. A mini project was initiated to review all fee schedules. Scheduled completion date Feb 2022.</t>
  </si>
  <si>
    <t>Issue_524</t>
  </si>
  <si>
    <t>Fee schedules for Internal clients not signed-off.</t>
  </si>
  <si>
    <t>/ABSA Group Limited/South Africa/South Africa/Corporate and Investment Bank/Transactional Banking/Cash Management/Absa Investor Services/Trustee</t>
  </si>
  <si>
    <t>Trustee</t>
  </si>
  <si>
    <t>Action_340_Issue_522</t>
  </si>
  <si>
    <t>Trustee Agreements not in place for Trustee Clients. No agreements are in place for Trustee Services. Trustee services to be added to Custody Agreements for all Trustee clients. Pending feedback from legal. Legal capacity challenges. Document completed, pending review by Business.  SLA template completed. SLA's to be sent out to clients in Jan 2022 for review and sign-off. Due date extended to allow for client sign-off.</t>
  </si>
  <si>
    <t>Stakeholders request an extension until May 2022. They are in the process of having meetings with Operations to finalise the client SLAâ€™s which they would like to send to clients as soon possible. Most clients will use the generic SLA which will be easily implemented. Although the extension request was until end of May, an allowance is given in order to execute for an internal process to be imbedded before formal closure of the issue.</t>
  </si>
  <si>
    <t>Issue_522</t>
  </si>
  <si>
    <t>Client Agreements: Trustee Agreements not in place</t>
  </si>
  <si>
    <t>/ABSA Group Limited/South Africa/South Africa/Corporate and Investment Bank/Transactional Banking/Cash Management/Absa Investor Services/Local Custody</t>
  </si>
  <si>
    <t>Local Custody</t>
  </si>
  <si>
    <t>Action_339_Issue_523</t>
  </si>
  <si>
    <t>Not all client SLA's in place Standard document completed. Alignment of client requirements in progress. SLA template completed. SLA's to be sent out to clients in Jan 2022 for review and sign-off. Due date extended to allow for client sign-off.</t>
  </si>
  <si>
    <t>Stakeholders request an extension until May 2022. They are in the process of having meetings with Operations to finalise the client SLAâ€™s which they would like to send to clients as soon possible. Most clients will use the generic SLA which will be easily implemented.</t>
  </si>
  <si>
    <t>Remediation currently in progress</t>
  </si>
  <si>
    <t>Issue_523</t>
  </si>
  <si>
    <t>Client Agreements: Not all SLAs in place</t>
  </si>
  <si>
    <t>Action_338_Issue_521</t>
  </si>
  <si>
    <t>Thanduxolo Mpalala / Gary Beukes</t>
  </si>
  <si>
    <t>Weekly meetings to track the closure progress with the team. Backlog testing in progress and the backfilling review has commenced.</t>
  </si>
  <si>
    <t>Issue_521</t>
  </si>
  <si>
    <t>Time series review</t>
  </si>
  <si>
    <t>Action_337_Issue_520</t>
  </si>
  <si>
    <t>Review of all stress RF and further ensure the review is completed quarterly to ensure the RF are complete and accurate.</t>
  </si>
  <si>
    <t>Thando Mpalala / Gary Beukes</t>
  </si>
  <si>
    <t>Issue_520</t>
  </si>
  <si>
    <t>Stress Risk Factor Review</t>
  </si>
  <si>
    <t>Action_335_Issue_518</t>
  </si>
  <si>
    <t>Manual monthly invoices: Global fees, trustee fees,Minimum fees, Strate MM fees and Strate removal/remat fees are manually captured/copied onto the import excel template. Manual fees are then uploaded onto the client invoice units by the administrator.  All fee invoices are generated on the first workday of every month. ( Debits Provision, Credits Commissions and VAT GL accounts). Invoice values are debited from the clients nominated billing account on the 20th of the month. (Credits Provision).  Any discrepencies queried by the client will be investigated and will be corrected manually.  A reconciliation is done on the GL Accounts to identify any outsanding  payments or failed billing.  An Item At Risk (IAR) will be raised on Consigno with PCG group.</t>
  </si>
  <si>
    <t>Issue_518</t>
  </si>
  <si>
    <t>No audit trail and 4 eye check</t>
  </si>
  <si>
    <t>Action_336_Issue_447</t>
  </si>
  <si>
    <t>All customers with balances R50 and above will be communicated to. The mode of customer comms will be informed of what we have on absa system Should we not receive any feedback after the 20 business days as prescribed by the code of banking practice we will move customer funds to the next best product, ensuring that customers are not negatively impacted Customers with balances above R1k will also receive courtesy call over and above the emailer and/ or sms</t>
  </si>
  <si>
    <t>EXMK371</t>
  </si>
  <si>
    <t>Sharon Kekana</t>
  </si>
  <si>
    <t>Shivani Singh</t>
  </si>
  <si>
    <t>Data to be washed</t>
  </si>
  <si>
    <t>Action_334_Issue_447</t>
  </si>
  <si>
    <t>Legal to review the existing contract to determine if the agreement allows Absa to migrate accounts automatically to better yielding products.</t>
  </si>
  <si>
    <t>Morwesi Mashego</t>
  </si>
  <si>
    <t>Approval to migrate accounts/Cross -Sell</t>
  </si>
  <si>
    <t>Action_332_Issue_445</t>
  </si>
  <si>
    <t>Convert Colleague FAQs to make them Customers FAQs</t>
  </si>
  <si>
    <t>Mildred Nkwashu</t>
  </si>
  <si>
    <t>Issue_445</t>
  </si>
  <si>
    <t>Customers FAQ's</t>
  </si>
  <si>
    <t>Action_333_Issue_452</t>
  </si>
  <si>
    <t>ASE clean-up project in progress.  This will identify and address RF completion issues between DVaR and sVaR to ensure alignment is maintained.</t>
  </si>
  <si>
    <t>Thanduxolo Mpalala /Gary Beukes</t>
  </si>
  <si>
    <t>Review in progress. The team is assessing the materiality of the Risk factors that need to be backfilled into the sVaR period for each desk The credit curve testing is in progress</t>
  </si>
  <si>
    <t>Issue_452</t>
  </si>
  <si>
    <t>Review in progress</t>
  </si>
  <si>
    <t>Time series - sVaR Review</t>
  </si>
  <si>
    <t>/ABSA Group Limited/South Africa/South Africa/Corporate and Investment Bank/Support Functions/Product Control Team</t>
  </si>
  <si>
    <t>Product Control Team</t>
  </si>
  <si>
    <t>Action_331_Issue_517</t>
  </si>
  <si>
    <t>The team is to ensure that the approx. booking register fully reflects the nature and notion of why the trades are approx. booked.</t>
  </si>
  <si>
    <t>AB017T7</t>
  </si>
  <si>
    <t>Preeyesh Patel</t>
  </si>
  <si>
    <t>Xolani Zondi</t>
  </si>
  <si>
    <t>Issue_517</t>
  </si>
  <si>
    <t>Maintenance of approx. booking register</t>
  </si>
  <si>
    <t>Action_330_Issue_516</t>
  </si>
  <si>
    <t>Team to ensure that CAL reports are loaded on T+1 in order to facilitate supervisory reviews.</t>
  </si>
  <si>
    <t>George Lebatlang</t>
  </si>
  <si>
    <t>Issue_516</t>
  </si>
  <si>
    <t>CAL reports timely loaded</t>
  </si>
  <si>
    <t>Action_329_Issue_515</t>
  </si>
  <si>
    <t>Desk to ensure that the Approximate Bookings listing is complete for Deskhead meeting and that trades incorrectly flagged as ABs are escalated for the correction by Front Office in the monthly desk head meeting.  Desk to verify completeness of ABs for CCDSs as well completeness from a valuation point of view (Sigma)</t>
  </si>
  <si>
    <t>Issue_515</t>
  </si>
  <si>
    <t>Maintenance of Approximate Booking listing</t>
  </si>
  <si>
    <t>Action_328_Issue_514</t>
  </si>
  <si>
    <t>CAL trades flagged by Governance should be corrected as a T+1 process.</t>
  </si>
  <si>
    <t>Jan Luus</t>
  </si>
  <si>
    <t>Issue_514</t>
  </si>
  <si>
    <t>Improve PnL and FvF process</t>
  </si>
  <si>
    <t>Action_326_Issue_506</t>
  </si>
  <si>
    <t>Management will engage the SARS external client to plan, agree and execute actions to migrate from the legacy environment onto a supported file transfer solution. This remediation will be performed in collaboration with the Head of Platforms, Mainframe and Utility through the Connect Direct Migration programme. The data file transfers will be decommissioned from the legacy environment.</t>
  </si>
  <si>
    <t>Grant Fendick and Utility Booyzen</t>
  </si>
  <si>
    <t>Issue_506</t>
  </si>
  <si>
    <t>SARS transfer</t>
  </si>
  <si>
    <t>3. Connect Direct unsupported Microsoft 2003 server</t>
  </si>
  <si>
    <t>Action_327_Issue_511</t>
  </si>
  <si>
    <t>Team to ensure that commentary is consistently provided for all Masterbooks when sending out PnL for sign off and that commentary provided is of the required quality i.e., indicates the main drivers of PnL.</t>
  </si>
  <si>
    <t>James Jackson</t>
  </si>
  <si>
    <t>Issue_511</t>
  </si>
  <si>
    <t>Consistent commentary provided for all Masterbooks</t>
  </si>
  <si>
    <t>Action_324_Issue_508</t>
  </si>
  <si>
    <t>Script fee recon process will be documented by March 2022</t>
  </si>
  <si>
    <t>Issue_508</t>
  </si>
  <si>
    <t>Script fee recon process to be documented</t>
  </si>
  <si>
    <t>/ABSA Group Limited/South Africa/South Africa/Corporate and Investment Bank/Transactional Banking/Cash Management/Liquidity/Liquidity - Portfolio Generic</t>
  </si>
  <si>
    <t>Liquidity - Portfolio Generic</t>
  </si>
  <si>
    <t>Action_323_Issue_503</t>
  </si>
  <si>
    <t>The TA department to source all  Interest Calculation Agreements related to Notional Pooling clients &amp; save/store these in terms of the Records Management/Retention Policy.</t>
  </si>
  <si>
    <t>James Stirling</t>
  </si>
  <si>
    <t>Issue_503</t>
  </si>
  <si>
    <t>Source Interest Calculation Agreements</t>
  </si>
  <si>
    <t>Action_321_Issue_426</t>
  </si>
  <si>
    <t>1)Update wording on confirmation notifying clients that costs will be for their own account if they do not meet the GT and FEC contact.</t>
  </si>
  <si>
    <t>Mpume Myeza</t>
  </si>
  <si>
    <t>Issue_426</t>
  </si>
  <si>
    <t>Action Plan</t>
  </si>
  <si>
    <t>Issue_426_Coverfile funding issues</t>
  </si>
  <si>
    <t>/ABSA Group Limited/South Africa/South Africa/Retail and Business Banking/Physical Channels/Branch/Eastern Cape Branch Network</t>
  </si>
  <si>
    <t>Eastern Cape Branch Network</t>
  </si>
  <si>
    <t>Action_320_Issue_497</t>
  </si>
  <si>
    <t>â€¢ The Branch Manager will immediately re-iterate to all Sales staff the End-to-End process to follow when onboarding Credit Lending products to ensure that all documents are available for retrieval on Enterprise Content Manager (ECM).  Minutes will be signed by all staff members and filled as evidence that the process was discussed. â€¢ The Branch Manager will perform weekly checks on all new Credit Cards onboarded as per the Sales Performance Management System (SPMS) report to confirm that all pre-agreement and quotations, Marriage Declaration and Income and Expenditure are available for retrieval on Enterprise Content Manager (ECM).  The outcome of the check will be recorded on the SPMS report as confirmation of the check performed.</t>
  </si>
  <si>
    <t>Zweletu Hlakula (Branch Manager)</t>
  </si>
  <si>
    <t>Issue_497</t>
  </si>
  <si>
    <t>EC/Port St John/01</t>
  </si>
  <si>
    <t>EC/Port St Johns/01</t>
  </si>
  <si>
    <t>Action_317_Issue_488</t>
  </si>
  <si>
    <t>Management will:  Implement a system fix for Tax Free savings and fixed deposit products to prevent a customer from exceeding their lifetime contribution limit of R500k. The system fix will consider validating customer contributions processed as batch transactions. Management will perform and sign-off User Acceptance Testing (UAT).</t>
  </si>
  <si>
    <t>Issue_488</t>
  </si>
  <si>
    <t>Lifetime Contribution validation fix</t>
  </si>
  <si>
    <t>Action_316_Issue_488</t>
  </si>
  <si>
    <t>Management will:  Implement an Annual Contribution system fix to validate that customer contributions do not exceed the annual contribution limit for the Tax Free savings product. This validation will consider all contributions, including amounts of less than R1000 to prevent a breach of the annual contribution limit .Management will performÂ  and sign-off User Acceptance Testing (UAT).Â </t>
  </si>
  <si>
    <t>2. Tax-Free Savings and Fixed Deposit contribution limits</t>
  </si>
  <si>
    <t>Action_315_Issue_488</t>
  </si>
  <si>
    <t>Management will:  Develop customer communication plan prior to over contribution and immediately after over contribution. Client communication to cover information: The tax implications of over contributions. The tax implications if they have already over contributed. Communication informing customers that contributions made via EFTâ€™s, stop orders, and interbank transfers at the end of tax year may only reflect in the new tax year. Implement the communication plan where types of communication are being considered are SMSs and emailers to cover existing customers.Â  SMSs, Emailers and Welcome Letters are being considered for new Tax Free customers. Management will performÂ and sign-off User Acceptance Testing (UAT) for the communication types being considered where they will be automated through systems.Â  Approvals for the changes will be obtained from compliance and legal</t>
  </si>
  <si>
    <t>Action_314_Issue_468</t>
  </si>
  <si>
    <t>1. Savings and investment Management will:  Investigate the root causes of the issues identified and document solutions to be built as capabilities and define commitment of timelines for controls that may need to be built. 2. An Analytics Model will be created for checking and verifying interest amounts on the Tax-Free fixed deposit accounts.  The Pricing Team will run the model on a quarterly basis and the results of the model will be stored on the teams central share folder.  All errors will be fixed on the system and the results of the fixes will also be stored on the shared folder. Once the error level drops to near zero, the model will be discontinued.</t>
  </si>
  <si>
    <t>The ICP was completed and submitted to IA on 30 March 22</t>
  </si>
  <si>
    <t>The ICP was completed and submitted to IA on 30 March 22.</t>
  </si>
  <si>
    <t>System Fix and Model Analytics</t>
  </si>
  <si>
    <t>Management Action 2-Model Analytics</t>
  </si>
  <si>
    <t>Action_313_Issue_489</t>
  </si>
  <si>
    <t>Tactical controls have been implemented on the unsupported Windows 2003server to reduce the risk of the Connect Direct sever being exposed to new and existing securityÂ vulnerabilities that can be exploited by intruders. The risks have been managed until the remediation has been completed which is expected by September 2022.</t>
  </si>
  <si>
    <t>Issue_489</t>
  </si>
  <si>
    <t>Management will engage the SARS external client</t>
  </si>
  <si>
    <t>Action_312_Issue_488</t>
  </si>
  <si>
    <t>Management will:  Implement monthly manual journals monitoring to identify manual journals processed without updating the annual contributions that should be regarded as contributions and withdrawals. The users will need to update the tax free system with the journal entries so that it is considered when the annual contribution limit is validated. Communicate with customers who are impacted to create awareness and apply corrections where applicable.</t>
  </si>
  <si>
    <t>Annual Contribution Validation fix</t>
  </si>
  <si>
    <t>Action_311_Issue_486</t>
  </si>
  <si>
    <t>Communication of this mandate to me made  to  all  non -merchants and  3rd parties. Absa to provide support on Testing.</t>
  </si>
  <si>
    <t>in the process of finalising</t>
  </si>
  <si>
    <t>Issue_486</t>
  </si>
  <si>
    <t>Online Authorization of Refunds ISS 136581- Visa</t>
  </si>
  <si>
    <t>SI0007</t>
  </si>
  <si>
    <t>Action_310_Issue_438</t>
  </si>
  <si>
    <t>Assess risk exposure of the portfolio.  Assess and implement collateral management credit risk controls in-line with Absaâ€™s approved Credit Risk Mitigation Policy.  Incorporate all applicable credit risk controls identified and implemented for collateral management in the Third Party Policy.</t>
  </si>
  <si>
    <t>Issue_438</t>
  </si>
  <si>
    <t>INADEQUATE COLLATERAL MANAGEMENT</t>
  </si>
  <si>
    <t>Action_309_Issue_430</t>
  </si>
  <si>
    <t>â€¢Implement requirements with third parties (Switches and Payment Facilitators) â€¢Building MI</t>
  </si>
  <si>
    <t>ABDG327</t>
  </si>
  <si>
    <t>Dean Gillion</t>
  </si>
  <si>
    <t>Issue_430</t>
  </si>
  <si>
    <t>Third Party Requirements and MI</t>
  </si>
  <si>
    <t>Action_308_Issue_429</t>
  </si>
  <si>
    <t>Absa to present a implementation plan to Mastercard inorder for a waiver to be considered.  Absa IT to implement a solution to build a pre-authorization and settlement process on transaction</t>
  </si>
  <si>
    <t>Issue_429</t>
  </si>
  <si>
    <t>Absa to present a implementation plan</t>
  </si>
  <si>
    <t>Action_307_Issue_438</t>
  </si>
  <si>
    <t>Inadequate Collateral management</t>
  </si>
  <si>
    <t>Action_306_Issue_438</t>
  </si>
  <si>
    <t>Inadequate  Collateral Managementb</t>
  </si>
  <si>
    <t>I_0007</t>
  </si>
  <si>
    <t>Action_305_Issue_437</t>
  </si>
  <si>
    <t>â€¢Provide remediation plan to Visa to investigate CO differences. Provide remediation plan and extension request for PFID and SMID compliance</t>
  </si>
  <si>
    <t>Issue_437</t>
  </si>
  <si>
    <t>Visa Rules Compliance  - Merchant Data Quality</t>
  </si>
  <si>
    <t>SI0018</t>
  </si>
  <si>
    <t>Action_304_Issue_436</t>
  </si>
  <si>
    <t>All work needs to be done by Boxer and their appointed QSA,.  Absa track progress  through quarterly reports submitted by Merchant to PASA. On behalf of the Merchant, Absa will request an extension from PASA to April 2022</t>
  </si>
  <si>
    <t>Issue_436</t>
  </si>
  <si>
    <t>Boxer non-compliant with PCI DSS requirements</t>
  </si>
  <si>
    <t>SI0008</t>
  </si>
  <si>
    <t>Action_303_Issue_435</t>
  </si>
  <si>
    <t>Penalties arise from the inability of Cyber source to route transaction authorizations locally via Bankserv.  R6,4m financial loss due to Cyber source penalties during 2019 and 2020</t>
  </si>
  <si>
    <t>Issue_435</t>
  </si>
  <si>
    <t>Cybersource inability to route transactions</t>
  </si>
  <si>
    <t>SI0005</t>
  </si>
  <si>
    <t>Action_302_Issue_432</t>
  </si>
  <si>
    <t>3. Schemes Mandatory Compliance Changes Management Actions: Refer to Action 1 Issues 3 &amp; 10: Scheme Mandates Communication and Tracking (Combined MCP for 3 &amp; 10) Schemes mandatory compliance changes to be implemented timely Management to adopt more proactive or hands on approach to ensure that important scheme mandates and released articles are timely and effectively communicated to the frontline staff.</t>
  </si>
  <si>
    <t>Issue_432</t>
  </si>
  <si>
    <t>3. Schemes Mandatory Compliance Changes Mgt Action</t>
  </si>
  <si>
    <t>Action_300_Issue_479</t>
  </si>
  <si>
    <t>Obtain approval which switch technology will be used strategically.</t>
  </si>
  <si>
    <t>Uvesh Reddi</t>
  </si>
  <si>
    <t>Issue_479</t>
  </si>
  <si>
    <t>Determine new strategic switch technology</t>
  </si>
  <si>
    <t>/ABSA Group Limited/South Africa/South Africa/Retail and Business Banking/Everyday Banking/Consumer Issuing (EB)</t>
  </si>
  <si>
    <t>Consumer Issuing (EB)</t>
  </si>
  <si>
    <t>Action_301_Issue_483</t>
  </si>
  <si>
    <t>Management have agreed to the following action: For the Avios Group Limited obtain all the due diligence requirements and complete the onboarding on the Introducer as per the Third Party Anti-Bribery and Anti-Corruption Standard. Action owner:  Isaac Sefara (Senior Product Manager) Action due date: 28 February 2022</t>
  </si>
  <si>
    <t>ABGS183</t>
  </si>
  <si>
    <t>Gerrit Snyman</t>
  </si>
  <si>
    <t>Isaac Sefara</t>
  </si>
  <si>
    <t>Awaiting issue validation from FCAT.</t>
  </si>
  <si>
    <t>Issue_483</t>
  </si>
  <si>
    <t>Issue is not overdue, action has been completed, awaiting issue validation</t>
  </si>
  <si>
    <t>Avios group onboarding process</t>
  </si>
  <si>
    <t>All evidence was provided and validated in order to pass validation.</t>
  </si>
  <si>
    <t>Orion 705</t>
  </si>
  <si>
    <t>In Completion Review</t>
  </si>
  <si>
    <t>Pending Completion Review</t>
  </si>
  <si>
    <t>Action_299_Issue_481</t>
  </si>
  <si>
    <t>Management will Participate and monitor in the roll out and implementation of the Incremental Authorisation project</t>
  </si>
  <si>
    <t>Dikeledi Motaung</t>
  </si>
  <si>
    <t>02/03/2022: A business decision has been taken to implement Visa BINS in production in April. MasterCard is unable to accommodate online testing therefore MC has offered to provide support once we go live 10/02/2022: Project schedule has since been moved to April 2022 due to delays in MasterCard testing, MasterCard has indicated that they would need to build testing capabilities before they are in a position to assist with testing, no timelines provided as yet with continuous engagement taking place. Alternative solution is to test with FNB beginning March, should testing be concluded to be effective, change will go into production with strict monitoring scheduled.</t>
  </si>
  <si>
    <t>Issue_481</t>
  </si>
  <si>
    <t>Incremental Authorisations Project implementation</t>
  </si>
  <si>
    <t>Action_298_Issue_482</t>
  </si>
  <si>
    <t>The Head AVMS will allocate Senior Staff members to provide training on the updated AVMS Procedure Document for Administer New Business and Reviews, and on the updated  AVMS Credit Standard to ensure that all impacted stakeholders are familiar with the correct Procedures and Standards when processing facility reallocations. The training will also include the clarification of Roles and Responsibilities between AVMS, Finance, and Credit &amp; Credit Administration staff. Staff members that have attended the training with complete an attention as evidence of attending the training and management will also keep the meeting invite for the training session.</t>
  </si>
  <si>
    <t>Head Lending Products: Banie Classen</t>
  </si>
  <si>
    <t>Issue_482</t>
  </si>
  <si>
    <t>Training on updated Processes and Credit Standards</t>
  </si>
  <si>
    <t>Action_297_Issue_478</t>
  </si>
  <si>
    <t>The Merchant codes along with the client information for CIBâ€™s deferred risk exposures should be loaded onto the ACM system (Algo Credit Management). For Business bank these codes should be loaded onto) CMS (Credit Management System.</t>
  </si>
  <si>
    <t>Esme Bhengu</t>
  </si>
  <si>
    <t>Issue_478</t>
  </si>
  <si>
    <t>Loading merchant codes for CIB on ACM and CMS</t>
  </si>
  <si>
    <t>BMA1</t>
  </si>
  <si>
    <t>Action_296_Issue_477</t>
  </si>
  <si>
    <t>1.4 Management will implement a formalised plan of action with level of detail inclusive of stipulated due dates and status updates for progress. EMV will further address this issue as business move from be three-party model to four-party model.</t>
  </si>
  <si>
    <t>Banie Claasen (Head: Lending Products)</t>
  </si>
  <si>
    <t>Issue_477</t>
  </si>
  <si>
    <t>1. Adherence to Memorandum of Understanding</t>
  </si>
  <si>
    <t>Action_295_Issue_477</t>
  </si>
  <si>
    <t>Management Actions: 1.1 Implement a tracking mechanism of key issues which will include the following: o Due dates with issue status clearly indicating progress of the issues until remedial actions are fulfilled. o Ownership and accountability must be clearly defined. 1.2 Operational risk meetings will be held in a formal manner. Formal Agenda to be aligned with key requirements as per Memorandum of Understanding as well as formalized terms of reference to be approved by relevant parties. 1.3 Management will implement and utilise risk indicators as a management tool to monitor or measure the trends of risks and controls that are essential. Furthermore, threshold limits to be formally tabled, reviewed and approved.</t>
  </si>
  <si>
    <t>Action_293_Issue_431</t>
  </si>
  <si>
    <t>The Merchant codes along with the client information for CIBâ€™s deferred risk exposures should be loaded onto the ACM system (Algo Credit Management). For Business bank these codes should be loaded onto) CMS (Credit Management System. a) Phase one is to establish all of the CIB clients with deferred risk and E-commerce limits which is relationship banked. b) A detailed milestone action plan. This should be put in place to load the information onto both ACM for CIB and CMS for BB. For Business banking this should include a capacity model based on resources. c) A communication should be sent to both portfolios (CIB/BB) Credit Analysts and the Credit sanctioning teams once the data is in the system to ensure that the Credit function is aware that this product is now loaded onto on the system. On 4th /5th July 2017 workshops where held to support the development of an action plan to support CIB / BB with various stakeholders. It was agreed that a number of change management processes and system enhancements are required to remediate both the 44/3589 client groups. Final remediation dates of Q1 2018 for CIB and Q2 2018 for BB has been proposed. New issue raised . As per e-mail on 06/02/2019 Herman to confirm new action Owner. 08/02/2019 .Johan Maree Head : Product Commercial Payments busy sorting out 12/02/2019. Proof of feedback in the OPS email file. 19/02/2019. Ajay received ICP on 25 / 04 but rejected with questions</t>
  </si>
  <si>
    <t>Issue_431</t>
  </si>
  <si>
    <t>Action_292_Issue_476</t>
  </si>
  <si>
    <t>Management will: â€¢ Regarding the differences above R100k. Management will flag these as items at risk in the Consigno attestation system going forward, and not use the account threshold that has been used in the past, to determine materiality â€¢ Regarding the debtorâ€™s reconciliation difference of R1.7m management will continue with the investigation of the difference until end of November after which will make a recommendation to write off should the investigation prove unsuccessful. Write off should therefore take place at the November month end. â€¢ In parallel management will raise the balance as an item at risk, on the Consigno attestation system â€¢ On duplicated transit transactions: It is key to highlight that the reactive controls currently in place were effective as they did identify the issue of duplications. Management will investigate further opportunities to enhance detective controls that will identify duplicates proactively as opposed to the current reactive detective controls. â€¢ On application of EUDA policy: management will implement a control to ensure that once the reconciliations have been signed off as final, these are password locked to prevent any future amendments being made on the reconciliations. The matter has been noted as a housekeeping matter. In future the review will document on the recon, the business reasons for any delay in performing the review of the reconciliations. â€¢ There is currently an adequate document and published process document. The recommendation to simplify this document into a user manual for ease of handover is a good practice. Management will thus take the recommendation on board.</t>
  </si>
  <si>
    <t>Siphosethu Buthelezi (Head of Finance â€“ AVMS) and Noni Mdletshe (AVMS Acting Chief Financial Officer</t>
  </si>
  <si>
    <t>Issue_476</t>
  </si>
  <si>
    <t>Adherence to reconciliation standards</t>
  </si>
  <si>
    <t>Action_290_Issue_434</t>
  </si>
  <si>
    <t>9. Training Program Absa Group Priority: Major No program exists to train employees and third party agents on the Acquirer Policy Framework and policy changes that relates to their roles. Employees solely relies on the checklists provided by management when carrying out their responsibilities. Subsequent to the organisational structure changes the merchant on boarding process was disseminated to coverage and visual channels staffs however it was confirmed that adequate training and necessary frameworks were not provided as supporting tools for the Acquiring Program. Refer to Page 5 of the Global Acquirer Risk Standards A program exists that trains employees and third party agents on the Acquirers risk policies and policy changes.</t>
  </si>
  <si>
    <t>Issue_434</t>
  </si>
  <si>
    <t>RootCause Analysis Scheme Penalties Training Prgrm</t>
  </si>
  <si>
    <t>Action_289_Issue_470</t>
  </si>
  <si>
    <t>Process owner ensures that CPAâ€™s are reviewed and refreshed as and when required when risk events/issues are raised, this is to ensure that risk and controls are updated accordingly, the CPAâ€™s will then be updated on the ORMS system and sent for approval to the Business Owner.</t>
  </si>
  <si>
    <t>Thandi Kabini, Head: Commercial &amp; Asset Finance (CAF)</t>
  </si>
  <si>
    <t>Issue_470</t>
  </si>
  <si>
    <t>Review CPAâ€™s upon risk triggers</t>
  </si>
  <si>
    <t>Action_287_Issue_467</t>
  </si>
  <si>
    <t>Secure stock with suppliers based on Purchase Orders not just on forecasts.</t>
  </si>
  <si>
    <t>ABNB037</t>
  </si>
  <si>
    <t>Nicolene Hitge</t>
  </si>
  <si>
    <t>Abigail Mashaba</t>
  </si>
  <si>
    <t>03/03/2022:  The risk is still limited however suppliers have now requested securing stock based on Purchase Orders not just on forecasts. The lead times are now extended but we are working with the suppliers to determine whatâ€™s best given the current situation.</t>
  </si>
  <si>
    <t>Issue_467</t>
  </si>
  <si>
    <t>Secure stock for 2021</t>
  </si>
  <si>
    <t>Action_286_Issue_466</t>
  </si>
  <si>
    <t>Investigate possibility to allow Falcon to interact real time with Base 24.</t>
  </si>
  <si>
    <t>Kobus Kriek</t>
  </si>
  <si>
    <t>03/03/2022:  Latest feedback is that the project has started. Team busy with requirements gathering and further technical analysis. No timelines defined yet.</t>
  </si>
  <si>
    <t>Issue_466</t>
  </si>
  <si>
    <t>Falcon System Enhancements</t>
  </si>
  <si>
    <t>Action_283_Issue_428</t>
  </si>
  <si>
    <t>Issues 6,7 and (Part 1) of 8: Merchant Monitoring â€“  this is a combined finding addressing all elements relating to Merchant Monitoring and the tools required.  Adequate processes to be developed to closely monitor and establish daily activities for each High-risk merchant and E-commerce merchant.</t>
  </si>
  <si>
    <t>Issue_428</t>
  </si>
  <si>
    <t>7. Monitoring of Ecommerce Merchants MNG Actions</t>
  </si>
  <si>
    <t>Action_281_Issue_463</t>
  </si>
  <si>
    <t>RBB Management with guidance from Group Procurement to implement controls to ensure completeness of suppliers and third parties subject to POPIA requirements and to ensure the correct total number of suppliers and third parties is reported to the data privacy program. The work done as part of Project Kite will be used as well as the Coupa system as the central database</t>
  </si>
  <si>
    <t>ABCG039</t>
  </si>
  <si>
    <t>Candice Van Drimmelen</t>
  </si>
  <si>
    <t>16-03-2022: On track to close the tactical solution which is due 31 March 2022. SharePoint site has been created for Everyday Banking 3rd party Supplier contracts/agreements will be stored.</t>
  </si>
  <si>
    <t>Issue_463</t>
  </si>
  <si>
    <t>This issue is a duplicate issue, Issue 615 is being managed by Somayya Ebrahim Data &amp; Records Management, Privacy &amp; BCM</t>
  </si>
  <si>
    <t>Completeness &amp; reporting of suppliers</t>
  </si>
  <si>
    <t>Action_280_Issue_465</t>
  </si>
  <si>
    <t>SalesForce change for branch to make provision for customer consent to be obtained by the agent.</t>
  </si>
  <si>
    <t>Rewayne Du Plessis</t>
  </si>
  <si>
    <t>11/03/2022:  Go Live Date for the implementation of SaleForce has been confirmed for 31 May 2022.  No further action is required from an Consumer Issuing point of view.</t>
  </si>
  <si>
    <t>Issue_465</t>
  </si>
  <si>
    <t>Implementation of SalesForce</t>
  </si>
  <si>
    <t>Action_279_Issue_462</t>
  </si>
  <si>
    <t>The destruction of cards resumed in November 2021 and action will be logged on the tracker to test the control in Q1,2022 as part of the Combined Assurance Plan.</t>
  </si>
  <si>
    <t>candice van Drimmelen</t>
  </si>
  <si>
    <t>22-3-2022: This control will be tested the last week of March 2022.</t>
  </si>
  <si>
    <t>Issue_462</t>
  </si>
  <si>
    <t>Destruction of cards at Supplier</t>
  </si>
  <si>
    <t>Action_277_Issue_461</t>
  </si>
  <si>
    <t>Milestone 1: A revenue assurance project for EB has been initiated to look at control check points and other exception reports that can be implemented for the card issuing business.  Development will be prioritised on the BoW based on results from milestone 1</t>
  </si>
  <si>
    <t>Silindile Mhlongo</t>
  </si>
  <si>
    <t>22-03-2022: No feedback received from action owner.</t>
  </si>
  <si>
    <t>Issue_461</t>
  </si>
  <si>
    <t>Checkpoint Assessment</t>
  </si>
  <si>
    <t>Action_278_Issue_460</t>
  </si>
  <si>
    <t>The destruction of cards resumed in November 2021 and action will be logged on the tracker to test the control in Q1,2022, as part of the Combined Assurance Plan.</t>
  </si>
  <si>
    <t>Candice van Drimmelen</t>
  </si>
  <si>
    <t>22-03-2022: This control will be tested the last week of March 2022.</t>
  </si>
  <si>
    <t>Issue_460</t>
  </si>
  <si>
    <t>Destruction of cards in branch</t>
  </si>
  <si>
    <t>Card production and delivery report</t>
  </si>
  <si>
    <t>Action_276_Issue_448</t>
  </si>
  <si>
    <t>Concept document and BRD have been drafted and were be tabled at the change forum for system block not to allow/ permit any overrides that will result in negative balances Business requirement documentation  has been concluded,  The project is currently in backlog awaiting prioritization</t>
  </si>
  <si>
    <t>Strategic Solution</t>
  </si>
  <si>
    <t xml:space="preserve">Not applicable </t>
  </si>
  <si>
    <t>Action_275_Issue_458</t>
  </si>
  <si>
    <t>The collection of cards at Branches could not be tested and an action will be logged on the tracker to test the control in Q1 2022.</t>
  </si>
  <si>
    <t>22-3-2022: Testing of this control will only take place the last week of March 2022.</t>
  </si>
  <si>
    <t>Issue_458</t>
  </si>
  <si>
    <t>To test collect of cards at branches</t>
  </si>
  <si>
    <t>Action_274_Issue_456</t>
  </si>
  <si>
    <t>Card to initiate a project that aims to create an automated process to send Debit Order Mandate details using the Card template (Absa 7114) on a secured PDF via email.</t>
  </si>
  <si>
    <t>Graig Mudzimurema</t>
  </si>
  <si>
    <t>22-03-2022: ICP has been completed and has been sent to Accountable Executive for sign-off</t>
  </si>
  <si>
    <t>Issue_456</t>
  </si>
  <si>
    <t>Automated process to send Debit order mandate</t>
  </si>
  <si>
    <t>Action_273_Issue_448</t>
  </si>
  <si>
    <t>1. The business has implemented a control to monitor the Debit balances on daily basis via Exception Report. The same report is sent weekly to the physical channel for execution.</t>
  </si>
  <si>
    <t>Tactical Solution</t>
  </si>
  <si>
    <t>Action_272_Issue_449</t>
  </si>
  <si>
    <t>Interim solution: There are two functions which have these functions and are used by fraud, which are Account block and a Gens Sec that are placed on the court order hold.</t>
  </si>
  <si>
    <t>Yusuf Maiter</t>
  </si>
  <si>
    <t>Issue_449</t>
  </si>
  <si>
    <t>Court Order Hold</t>
  </si>
  <si>
    <t>Action_271_Issue_455</t>
  </si>
  <si>
    <t>In light of the biometric facial recognition introduced, Consumer Issuing will investigate effective ways of ensuring individuals are authenticated during card collection.</t>
  </si>
  <si>
    <t>Bilal Mahommed</t>
  </si>
  <si>
    <t>09-03-2022: Feedback from Bilal: Can we move the date to 30 April â€“ just to make sure thereâ€™s no delays with signing the FOO by end March. Thereâ€™s so much back and forth with these docs. 28-02-2022: Feedback from Bilal: We would like to request an extension, we are currently finalizing the New CCD contract that describes the end to end processes including the new BIO check that is in POC for the last year.  This will provide adequate evidence to demonstrate the  below gap identified in 2019.  See attached, we almost at sign off stage , we are at final review stage.</t>
  </si>
  <si>
    <t>We are currently finalizing the New CCD contract that describes the end to end processes including the new BIO check that is in POC for the last year.   This will provide adequate evidence to demonstrate the  below gap identified in 2019.  See attached, we almost at sign off stage , we are at final review stage.</t>
  </si>
  <si>
    <t>Issue_455</t>
  </si>
  <si>
    <t>Customer authentication by courier</t>
  </si>
  <si>
    <t>Action_269_Issue_446</t>
  </si>
  <si>
    <t>Progress is monitored closely by the Business Solutions team.</t>
  </si>
  <si>
    <t>Issue_446</t>
  </si>
  <si>
    <t>Proactive monitoring of the BCMS update service</t>
  </si>
  <si>
    <t>Action_266_Issue_445</t>
  </si>
  <si>
    <t>Provide CIT Training to frontline  colleagues</t>
  </si>
  <si>
    <t>All colleagues where trained during product launch . As and when we review and amend product collaterals colleagues are informed via circulars. A circular was issued on the 14th of February (124/ 2022) notifying colleagues of recent amendments</t>
  </si>
  <si>
    <t>Completion date was incorrectly captured</t>
  </si>
  <si>
    <t>CIT Training</t>
  </si>
  <si>
    <t>Action_265_Issue_451</t>
  </si>
  <si>
    <t>An EDB Refresh Plan (draft dated 21 Jun'19) was submitted to FCC on 21 June'19 and presented at the EDB Risk Committee 27 June'19. This draft plan will again be reviewed by 30 Sep'19, which will include input from each EDB BU on any changes to their refresh position.</t>
  </si>
  <si>
    <t>Dorah Mogakane</t>
  </si>
  <si>
    <t>This project has been moved out to 31 May 2022.</t>
  </si>
  <si>
    <t>11-02-2022: Communication sent out to customers to visit branches for refresh purposes. The response is good. ATM customer attestation rolled out in Febâ€™22 to allow customers to attest to their information on ATMs. Phase 2 ATM refresh/remediation process to be rolled out end March 2022 to allow customers to view their address information on ATM and attest.</t>
  </si>
  <si>
    <t>Issue_451</t>
  </si>
  <si>
    <t>FIC remediation plan</t>
  </si>
  <si>
    <t>/ABSA Group Limited/South Africa/South Africa/Retail and Business Banking/Everyday Banking/Sales and Service enablement (EB)/Service enablement (EB)</t>
  </si>
  <si>
    <t>Service enablement (EB)</t>
  </si>
  <si>
    <t>Action_264_Issue_441</t>
  </si>
  <si>
    <t>We received a list of merchants to be remediate . this include identifying and verifying the UBO structurers</t>
  </si>
  <si>
    <t>ABLF056</t>
  </si>
  <si>
    <t>Lizelle Fouche</t>
  </si>
  <si>
    <t>Issue_441</t>
  </si>
  <si>
    <t>Merchant Onboarding Remediation Project</t>
  </si>
  <si>
    <t>/ABSA Group Limited/South Africa/South Africa/Retail and Business Banking/Everyday Banking/Transactional Banking (EB)</t>
  </si>
  <si>
    <t>Transactional Banking (EB)</t>
  </si>
  <si>
    <t>Action_262_Issue_356</t>
  </si>
  <si>
    <t>The priority now, but in the short term, which has also been briefed as a requirement as relates to NovoFX into TRO is to prioritize the migration of the NovoFX customers to the Absa Channels rather than NovoFX once the TRO APP is landed.  Theoretically if this APP/platform is not compliant â€“ then a decision will need to be taken shut it down. There are two options: (1) the NovoFX team need to be make it compliant by a certain timeline and then report this to the SARB or (2) the APP/platform is decommissioned until the issue is rectified.   The 5170 Registered customers on NovoFX will be migrated to the main Banking APP. A Migration and Communication plan has been put in place to move all the other users within 2021, 464 to be migrated in April 2022 once the TRO capability is landed. Then the capability for individual customers on NovoFX for SA will then be switched off end of May 2022.</t>
  </si>
  <si>
    <t>ABJMA63</t>
  </si>
  <si>
    <t>Kananelo Lentsoane</t>
  </si>
  <si>
    <t>Maureen Uluma</t>
  </si>
  <si>
    <t>Issue_356</t>
  </si>
  <si>
    <t>SDA monitoring on NovoFX</t>
  </si>
  <si>
    <t>Action_259_Issue_439</t>
  </si>
  <si>
    <t>Fraud Solutions to provide evidence on how the Gross Losses are calculated and that their method is compliant with the Fraud MI Policy.</t>
  </si>
  <si>
    <t>Rahesh Haripersad / Mpho Ditse</t>
  </si>
  <si>
    <t>06/03/2022:  Fraud Solutions has amended their calculation of Gross Fraud Losses. Frans Vorster will request 2LOD (Nirvaan Sukdev) to independently review and provide comfort.</t>
  </si>
  <si>
    <t>Issue_439</t>
  </si>
  <si>
    <t>Investigate the Fraud MI Process</t>
  </si>
  <si>
    <t>/ABSA Group Limited/South Africa/South Africa/Retail and Business Banking/Everyday Banking/Sales and Service enablement (EB)</t>
  </si>
  <si>
    <t>Sales and Service enablement (EB)</t>
  </si>
  <si>
    <t>Action_258_Issue_381</t>
  </si>
  <si>
    <t>On the Merchant onboarding we did not identify the UBO  on the Standalone merchants, and therefore need to do a Full remediation on them</t>
  </si>
  <si>
    <t>Issue_381</t>
  </si>
  <si>
    <t>Merchant Remediation UBO Standalone</t>
  </si>
  <si>
    <t>Action_257_Issue_421</t>
  </si>
  <si>
    <t>1.Incident Report raised and submitted to the Technical team at the Centre to investigate and resolve the missing data from the warehouse. 2.Relationship team, including Credit Analysts duly notified of challenge and  advised to stay close to their portfolios and conduct daily checks on the accounts to identify any excesses for reporting. to the sanctioning point. 3.Risk Event has been raised in ORMS with Incident Number RE_015968 4.The Regulator was duly informed on the potential delay in reporting. 5.Credit Bureau Reports for the affected client who raised the complaint has been corrected and resubmitted to the Credit Reference Bureaus. We have received evidence of the corrections. The Service Excellence team have initiated prompt actions to manage the client in question.. 6.Work is in progress to proactively identify and remediate any other errors identified on the portfolio for other clients. 7.Developing a Validation Document to assist Reviewers in the review process and to ensure the maker/checker process is robust.                8.Data /Limitation issue has been raised with the necessary actions to be reported at the DWG   Forum</t>
  </si>
  <si>
    <t>Kwamena Nunoo</t>
  </si>
  <si>
    <t>Missing Data From Data Warehouse.</t>
  </si>
  <si>
    <t>Action_256_Issue_426</t>
  </si>
  <si>
    <t>1)Update wording on confirmation notifying clients that costs will be for their own account if they do not meet the GT and FEC contact.  2) Discuss funding costs with PCG 3) Sales to educate clients on costing on unutilised deal  4) Socialise costing with clients</t>
  </si>
  <si>
    <t>/ABSA Group Limited/South Africa/South Africa/Corporate and Investment Bank/Support Functions/Technology/Transactional Banking/Trade and Working Capital</t>
  </si>
  <si>
    <t>Trade and Working Capital</t>
  </si>
  <si>
    <t>Action_251_Issue_411</t>
  </si>
  <si>
    <t>During a risk and control assessment workshop facilitated by 1LoD teams, heads, SMEâ€™s, Operational Risk Management (ORM) representatives and other control owners contribute to the Risk and Control refresh process. Same is subsequently signed off by Accountable Executives/Business Head, SRT owners and ORM. 1. During testing, evidence of ORM and/or Fraud sign-off was not sent through as part of evidence collection.</t>
  </si>
  <si>
    <t>Keegan Singh/Ignatius Retief</t>
  </si>
  <si>
    <t>Issue_411</t>
  </si>
  <si>
    <t>Stakeholder sign-off</t>
  </si>
  <si>
    <t>Action_250_Issue_409</t>
  </si>
  <si>
    <t>During the Trade and Working Capital testing it was noted that 3 (three) control descriptions did not align to the walkthroughs. a) Internal Account Reconciliation b) Interest calculation is accurate &amp; complete and c) Repayment reconciliation a) During the walkthroughs the testing team were not able to reconcile the walkthroughs to the control descriptions, furthermore the consultants/control owners responsible for assisting the testing team carry out walkthroughs and supply the evidence could not relate to the documented control description as articulated with the actual â€˜processâ€™ the control was executed.</t>
  </si>
  <si>
    <t>Keegan Singh / Ignatius Retief</t>
  </si>
  <si>
    <t>Action has been implemented in STCF RACI which has moved from TWC RACI - confirmed with Maritsa Nel and ready to be closed from Controls Testing / TWC Risk.</t>
  </si>
  <si>
    <t>Issue_409</t>
  </si>
  <si>
    <t>Accuracy of control description</t>
  </si>
  <si>
    <t>Action_249_Issue_407</t>
  </si>
  <si>
    <t>Conduct Markets BCM Validation once the roll out of the Soft dealer board and the migration to the new WAL site is complete allowing for a period of embedment of 3 months.</t>
  </si>
  <si>
    <t>Sazi Gcaba</t>
  </si>
  <si>
    <t>Issue_407</t>
  </si>
  <si>
    <t>Conduct Markets BCM Validation</t>
  </si>
  <si>
    <t>Issue_407_Delayed BCM Testing</t>
  </si>
  <si>
    <t>Action_248_Issue_407</t>
  </si>
  <si>
    <t>Trading Telephony Zscaler rollout due to be completed by the end of Q1 2022.</t>
  </si>
  <si>
    <t>Trading Telephony Zscaler rollout</t>
  </si>
  <si>
    <t>Action_247_Issue_407</t>
  </si>
  <si>
    <t>The Proof of Concept (POC) for the migration to the new WAL site is to be concluded by the end of Q4 2021.</t>
  </si>
  <si>
    <t>POC to be concluded</t>
  </si>
  <si>
    <t>Action_246_Issue_408</t>
  </si>
  <si>
    <t>Ensure that Operational Level Agreements are put in place with all the relevant stakeholders (Product Houses).</t>
  </si>
  <si>
    <t>Mark Fairon</t>
  </si>
  <si>
    <t>Issue_408</t>
  </si>
  <si>
    <t>Operational Level Agreements (OLAs)</t>
  </si>
  <si>
    <t>Action_245_Issue_406</t>
  </si>
  <si>
    <t>Controls must be implemented to effectively monitor the successful transfer of critical data between environments to ensure that the data remains fit for purpose, i.e. delivered without loss (integration completeness) and in its original state (integration accuracy), without accidental or undesirable modification.</t>
  </si>
  <si>
    <t>Issue_406</t>
  </si>
  <si>
    <t>Data Integration</t>
  </si>
  <si>
    <t>Action_244_Issue_405</t>
  </si>
  <si>
    <t>It was established during the assessment that the Data Analytics: QlikView team does not have a Metadata Catalogue in place. This is a minimum control requirement for the Data Management Policy which impacts on the reporting.   Actions that needed to be completed from a QlikView perspective required resources, for which a budget was not available at the time when the assessment was performed.</t>
  </si>
  <si>
    <t>Issue_405</t>
  </si>
  <si>
    <t>Metadata Management</t>
  </si>
  <si>
    <t>Action_239_Issue_400</t>
  </si>
  <si>
    <t>Portfolio to review and assess adequacy of Standard requirements, relating to application of interest rate stress, to ensure sustainability of Long Term Plan with variable interest rates. Outcome to inform alignment of â€œcalculatorâ€</t>
  </si>
  <si>
    <t>ABBH217</t>
  </si>
  <si>
    <t>Boitumelo Hatla</t>
  </si>
  <si>
    <t>The issue is on track in ensuring that the closure requirements are met within the specified due date.</t>
  </si>
  <si>
    <t>Issue_400</t>
  </si>
  <si>
    <t>LTP interest rate alignment to Calculator</t>
  </si>
  <si>
    <t>/ABSA Group Limited/South Africa/South Africa/Retail and Business Banking/Everyday Banking/Fraud Strategy (EB)</t>
  </si>
  <si>
    <t>Fraud Strategy (EB)</t>
  </si>
  <si>
    <t>Action_240_Issue_399</t>
  </si>
  <si>
    <t>Post Implementation Monitoring of fixes.</t>
  </si>
  <si>
    <t>Kobus Kriek / Frans Vorster</t>
  </si>
  <si>
    <t>11/03/2022:  The change was successfully deployed on Saturday 5th Marâ€™22 at around 20:00. We have monitored daily and the results are in line with expectations. We have seen a large reduction in timed-out transactions and more specifically that the Vodacom transactions are now declining correctly in line with our fraud rules in Falcon.  This is a management self identified issue and no formal ICP will be submitted for closure.</t>
  </si>
  <si>
    <t>Issue_399</t>
  </si>
  <si>
    <t>Post Implementation Monitoring</t>
  </si>
  <si>
    <t>Sufficient evidence that the fix implemented did remediate the issue.</t>
  </si>
  <si>
    <t>Action_238_Issue_399</t>
  </si>
  <si>
    <t>Apply fixes to production environment.</t>
  </si>
  <si>
    <t>Frans Vorster confirmed that the fix was implemented in production over the weekend of 26 February 2022.</t>
  </si>
  <si>
    <t>The action is not overdue as the fix was implemented prior to closure date.  Overdue is indicated as result of assurance timeline.</t>
  </si>
  <si>
    <t>Implementation</t>
  </si>
  <si>
    <t>Fix implemented in production.</t>
  </si>
  <si>
    <t>Action_237_Issue_399</t>
  </si>
  <si>
    <t>Simulation and testing of errors in UAT environment.  Apply and test changes in UAT environment.</t>
  </si>
  <si>
    <t>Fix implemented over the weekend of 26 February 2022.</t>
  </si>
  <si>
    <t>Testing was conducted successfully in UAT.</t>
  </si>
  <si>
    <t>Action_236_Issue_399</t>
  </si>
  <si>
    <t>Development of changes to necessary systems to implement the fixes.</t>
  </si>
  <si>
    <t>Confirmation received from owner that development has been completed.</t>
  </si>
  <si>
    <t>Action is not overdue.  It was closed on the due date.</t>
  </si>
  <si>
    <t>Development</t>
  </si>
  <si>
    <t>Confirmed that development has been completed.</t>
  </si>
  <si>
    <t>Action_235_Issue_399</t>
  </si>
  <si>
    <t>Analysis on errors, code and design of system in order to find the root cause.</t>
  </si>
  <si>
    <t>Kobus Kriek confirmed that the analysis of the errors, code and design of system has been completed and the root cause identified.</t>
  </si>
  <si>
    <t>Action is not overdue.  Is has been finalised and closed as per the due date.</t>
  </si>
  <si>
    <t>Issue Analysis</t>
  </si>
  <si>
    <t>This issue passed due to investigation outcome.</t>
  </si>
  <si>
    <t>/ABSA Group Limited/South Africa/South Africa/Corporate and Investment Bank/Support Functions/Trade Capture Unit</t>
  </si>
  <si>
    <t>Trade Capture Unit</t>
  </si>
  <si>
    <t>Action_234_Issue_307</t>
  </si>
  <si>
    <t>TCU have shared the current MI with TMR and FOR&amp;C, to see if additional controls can be implemented in the trade lifecycle to prevent operational issues. 12 products were identified as not being monitored. TCU have assigned action owners and timelines to include these products in the val group monitoring control. Additional controls are also being investigated.</t>
  </si>
  <si>
    <t>Simon Mahudu</t>
  </si>
  <si>
    <t>Issue_307</t>
  </si>
  <si>
    <t>Include products in val group monitoring control</t>
  </si>
  <si>
    <t>/ABSA Group Limited/South Africa/South Africa/Retail and Business Banking/Everyday Banking/Personal Loans (EB)</t>
  </si>
  <si>
    <t>Personal Loans (EB)</t>
  </si>
  <si>
    <t>Action_231_Issue_396</t>
  </si>
  <si>
    <t>â€¢ Formally discuss, align and document the DebiCheck mandate authentication and re-authentication legal principles. â€¢ Present and obtain approval from the Payment Regulatory and Inter-Bank forum before 15 February 2022. â€¢ Communicate the DebiCheck legal principles with RBB Compliance, Payment Specialists and Business management. â€¢ Pending the outcomes of the interpretation of the requirements, PL management will perform an assessment of the requirements and will provide an action plan on the milestone conversion date for the implementation of controls to ensure compliance to the requirements. Judith Grobler, RBB Senior</t>
  </si>
  <si>
    <t>ABIM318</t>
  </si>
  <si>
    <t>Itumeleng Masunyane</t>
  </si>
  <si>
    <t>Tania Marias</t>
  </si>
  <si>
    <t>Issue_396</t>
  </si>
  <si>
    <t>Variable mandate trigger automations</t>
  </si>
  <si>
    <t>Action_228_Issue_394</t>
  </si>
  <si>
    <t>The following actions have been agreed upon with the supplier to remediate the identified issue: Market SA management will ensure that periodic reviews of user access rights are performed for users that have access to databases containing ABSA data. Furthermore, Market SA management will ensure that the reviews are adequately documented and filed for reference purposes.</t>
  </si>
  <si>
    <t>Thakane Madie</t>
  </si>
  <si>
    <t>Issue on track for closure emails were sent out to the action owner on 3 &amp; 17 March 2022. Action owner is liaising with the supplier for closure.</t>
  </si>
  <si>
    <t>Issue_394</t>
  </si>
  <si>
    <t>Records Management â€“ Access</t>
  </si>
  <si>
    <t>Action_227_Issue_393</t>
  </si>
  <si>
    <t>The following actions have been agreed upon with the supplier to remediate the identified issue: Market SA management will ensure that destruction certificates are produced for electronic ABSA records that are destroyed. Furthermore, the documented destruction certificates will be kept for reference purposes. Lastly, Market SA will ensure that electronic records are destroyed only upon prior approval by ABSA.</t>
  </si>
  <si>
    <t>Thakane MAdie</t>
  </si>
  <si>
    <t>Issue on track for closure emails were sent out to the action owner on 3 &amp; 17 March 2022. Action owner is liaising with the supplier for closure</t>
  </si>
  <si>
    <t>Issue_393</t>
  </si>
  <si>
    <t>Records Management â€“ Disposal Authorisation</t>
  </si>
  <si>
    <t>Action_226_Issue_387</t>
  </si>
  <si>
    <t>Specialists from QlikView, which is an external Vendor, will be documenting the Source to Target Mapping (Data Lineage) as per the contractual agreement. The onboarding process is in progress</t>
  </si>
  <si>
    <t>Issue_387</t>
  </si>
  <si>
    <t>Documenting the Source to Target Mapping</t>
  </si>
  <si>
    <t>Action_224_Issue_391</t>
  </si>
  <si>
    <t>The following actions have been agreed upon with the supplier to remediate the identified issue:  Market SA management will ensure that credit record checks are performed for all staff members assigned to ABSA campaigns prior to assigning the agent to the campaign. Furthermore, Market SA management will ensure that adequate records are maintained of the credit record checks performed for reference purposes.</t>
  </si>
  <si>
    <t>Issue on track for closure emails were sent out to the action owner on 3 &amp; 17 March 2022.  GSA team received evidence and are busy with the ICP for closure.</t>
  </si>
  <si>
    <t>Issue_391</t>
  </si>
  <si>
    <t>People Screening â€“ Credit Record Checks</t>
  </si>
  <si>
    <t>Action_223_Issue_187</t>
  </si>
  <si>
    <t>Monthly monitoring / reconciliation / validation processes to identify and address material variances in terms of possible management adjustments where necessary</t>
  </si>
  <si>
    <t>An extension will be loaded, to move due date from Mar'22 to Sep'22.  This extension was approved by all stakeholders on the 8th Mar'22.  The extension is, as a result, of the delay in DM Flag re-point project which has resulted in us being unable to meet our deadlines.</t>
  </si>
  <si>
    <t>Issue_187</t>
  </si>
  <si>
    <t>PL SAC Monitoring</t>
  </si>
  <si>
    <t>Due Date Extension Approved</t>
  </si>
  <si>
    <t>Action_222_Issue_390</t>
  </si>
  <si>
    <t>The following actions have been agreed upon with the supplier to remediate the identified issue:  Market SA management will ensure that criminal record checks are performed for all staff members assigned to ABSA campaigns prior to assigning the agent to the campaign. Furthermore, management will ensure that adequate records are maintained of the criminal record checks performed for reference purposes.</t>
  </si>
  <si>
    <t>Issue_390</t>
  </si>
  <si>
    <t>People Screening â€“ Criminal Record Checks</t>
  </si>
  <si>
    <t>Action_220_Issue_388</t>
  </si>
  <si>
    <t>The following actions have been agreed upon with the supplier to remediate the identified issues:  Market SA management will ensure that the password configurations on the Information Security Policy and Procedures Manual are adequately documented to detail the optimum password configurations for the prevention of brute force attacks.  Market SA management will ensure that password configurations on their in-house application are configured in line with the Information Security Policy and Procedures Manual.  Market SA management will ensure that progress made on the planned upgrade of the in-house application is monitored to ensure that the upgrade meets the requirements of the Information Security Policy and Procedures Manual. Market SA management will fast track the approval process for the software required for the enablement of two-factor authentication. Furthermore, management will ensure that the identified application (provisionally identified as Checkpoint/Fortigate) fulfils the requirements for two-factor authentication.</t>
  </si>
  <si>
    <t>Issue_388</t>
  </si>
  <si>
    <t>Identity and Access Management: Access Methods</t>
  </si>
  <si>
    <t>Action_219_Issue_351</t>
  </si>
  <si>
    <t>As previously established, adherence will require a significant system change from the Product Ownerâ€™s perspective.  The requirements have been defined based on business rules as agreed with the Financial Crime stakeholders. The proposed change has been included in the RIB Book of Work but is not prioritized for 2021 since there is still misalignment between the FINSURV and Financial Crime departments of the Regulator. Following updates to the Group Issue Management Standard, the following approach was tabled and approved at the PC Opco on 15/09/2021:  Milestone Date has been moved out multiple times due to misalignment between the FINSURV and Financial Crime Regulator. Requirements have been included on the RIB Book of Work, but the misalignment between Regulators is posing a challenge on whether implementation of requirements may introduce unnecessary complexities and may result in wasted spend. Milestone Date to be converted to Due Date of 30 June 2023. Assessment to be made by 30 June 2022 whether to prioritize the changes for the March 2023 Software Release.</t>
  </si>
  <si>
    <t>Bronwynne Rennie / Amelia Verhoef</t>
  </si>
  <si>
    <t>Issue_351</t>
  </si>
  <si>
    <t>FICA requirements in relation to RBA</t>
  </si>
  <si>
    <t>Action_217_Issue_359</t>
  </si>
  <si>
    <t>Thus far, no account with legitimate overdrawn funds has been identified. However, the analysis is ongoing. BL will be working with MUâ€™s team to resolve the issue Investigations conducted thus far indicate that this might not be an account overdraw issue, but rather a data integrity issue Upon investigation it was discovered that there are Journals Debits processed on accounts causing them to go into overdraw status A request has been submitted to Physical Channel team to provide the procedure documents for Journal Debits The team might need to adjust the procedure accordingly, but will first need to resolve the data integrity issue However, quite a lot of analysis has been conducted and there arenâ€™t any overdrawn accounts â€“ the other reasons are not valid either: that is ATM Loans, Ported Accounts, Prepaid, etc. For example: if an account is ported â€“ it reflects twice and then reflects as an overdrawn account. This could be how the report is drawn and what is included in the report There are potentially 27 non-material issues that the team is going through by analyzing 1 at a time, so far this is not related to behavioral issues. For example: Several accounts have ATM loans and are within the limit Accounts that are ported (up or down) during the month are reflected incorrectly, for instance, account shows as Flexi, but it is now Prosperity account with an OD. These mid-month changes in product holding do not reflect correctly in the data. Several accounts are related to deceased estates where a journal was manually done leaving the account in debit by a small amount. The small debit amount is later offset by credit interest (which was pending at the time of the journal) leaving the account in zero balance. The 27 reasons picked up will be dealt with and are to be concluded by 31 March 2022, this is to accommodate possible system changes as part of the remediation process.</t>
  </si>
  <si>
    <t>Boitumelo</t>
  </si>
  <si>
    <t>In progress</t>
  </si>
  <si>
    <t>Issue_359</t>
  </si>
  <si>
    <t>Overdrawn Savings Account:</t>
  </si>
  <si>
    <t>Action_216_Issue_355</t>
  </si>
  <si>
    <t>Conditional Signoff received on 23/06/2021â€‹  For existing open issues (DAS â€“ GetCountriesCurrencies/GetCityStatesMexico and Send-Money Mexico (incorrect city/state data)), these will be fixed and active in Production by 30 10/2021 as per confirmation from Branch Forex.â€‹  Due to risk associated with development we will only be able to implement with the ISR 21010 scheduled for the 9th Oct 2021.  Branch Forex Technical team have also taken over the integration portion of the programming, which is causing a delay.  Western Union has been informed and is aware of the delay.  â€‹  â€‹  November 2021 Update:â€‹  Initial planned date postponed as a result of Absa standard delete/add not being adhered to.â€‹  Investigation concluded by IMS team as well as BFX and findings are that no check pointing was added by integration team.  Branch Forex development team to take over the integration segment.  Changes to the integration components in progress.  â€‹  The date has been moved, WU and Amelia Verhoef are aware of the change in date</t>
  </si>
  <si>
    <t>Amelia Verhoef</t>
  </si>
  <si>
    <t>Issue_355</t>
  </si>
  <si>
    <t>WU  App Certification project and PI testing</t>
  </si>
  <si>
    <t>/ABSA Group Limited/South Africa/South Africa/Enterprise Functions/Group Risk</t>
  </si>
  <si>
    <t>Group Risk</t>
  </si>
  <si>
    <t>Action_215_Issue_185</t>
  </si>
  <si>
    <t>Enhancements and optimisation at a Group level is required to achieve full compliance to King IV Principle 15- Assurance.</t>
  </si>
  <si>
    <t>ABJB994</t>
  </si>
  <si>
    <t>Janine Bergh</t>
  </si>
  <si>
    <t>Phiwe Soldati</t>
  </si>
  <si>
    <t>Issue_185</t>
  </si>
  <si>
    <t>K1. Embedment and Maturity of Absa CA Model</t>
  </si>
  <si>
    <t>Action_214_Issue_385</t>
  </si>
  <si>
    <t>PCG to investigate the challenges surrounding substantiation for the fees and ultimately obtain a Mentis month end report as well as detail for amendments/backdates to facilitate month end postings or flagging of risk items.</t>
  </si>
  <si>
    <t>AB019IY</t>
  </si>
  <si>
    <t>Refilwe Mekwa</t>
  </si>
  <si>
    <t>Leon Swart</t>
  </si>
  <si>
    <t>Team currently remediating and will close out by the due date.</t>
  </si>
  <si>
    <t>Issue_385</t>
  </si>
  <si>
    <t>Reconcile balance to independent thirdparty sourc</t>
  </si>
  <si>
    <t>Action_213_Issue_383</t>
  </si>
  <si>
    <t>PC Recons team ensures that cash break MI (ZAR &amp; Non-ZAR) is circulated daily to ensure awareness and traction on aged breaks. PC ensures that breaks are investigated, well understood and are not long aged. For breaks that require FO or Ops action, PC will ensure that escalations are made in line with the Reconciliation Escalation Guidelines</t>
  </si>
  <si>
    <t>Issue_383</t>
  </si>
  <si>
    <t>Cash Breaks process solution</t>
  </si>
  <si>
    <t>Action_212_Issue_382</t>
  </si>
  <si>
    <t>The team must extract and maintain the Teams attendance register for the desk head meeting as evidence of attendance and approval of the ABs and save down in central folder.</t>
  </si>
  <si>
    <t>Issue_382</t>
  </si>
  <si>
    <t>Maintain Desk Head Meeting Attendance register</t>
  </si>
  <si>
    <t>Action_211_Issue_378</t>
  </si>
  <si>
    <t>According to PnL sign off standard, Pc should provide Analysis of Flash vs. Formal variances highlighting drivers of any material differences. We recommend that PC investigate all breaks with an amount over R100k as well as formal amounts above R750k and document drivers properly both on the face of the PnL approval email.</t>
  </si>
  <si>
    <t>Issue_378</t>
  </si>
  <si>
    <t>Flash formal difference &gt;R100k investigated</t>
  </si>
  <si>
    <t>Action_209_Issue_380</t>
  </si>
  <si>
    <t>Approximate Bookings listing should be updated monthly to facilitate an accurate discussion in the desk head meeting.</t>
  </si>
  <si>
    <t>AB01764</t>
  </si>
  <si>
    <t>Bongekile Mtsetfwa</t>
  </si>
  <si>
    <t>Issue_380</t>
  </si>
  <si>
    <t>Regular maintenance of Approximate Booking listing</t>
  </si>
  <si>
    <t>Action_208_Issue_379</t>
  </si>
  <si>
    <t>PC monitors the daily trade validation MI and validates internal trades (or external trades, where PC is responsible) by reviewing the economics of each trade in the trading system; investigating and clearing any discrepancies. For discrepancies that require FO or Ops action, PC will ensure that escalations are made in line with the Reconciliation Escalation Guidelines.</t>
  </si>
  <si>
    <t>Issue_379</t>
  </si>
  <si>
    <t>Trade Validation solution</t>
  </si>
  <si>
    <t>Action_207_Issue_376</t>
  </si>
  <si>
    <t>PCG to revisit the challenges surrounding substantiation for the fees i.e. obtaining a Mentis month end report as well as detail for amendments/backdates to facilitate month end postings or flagging of risk items.</t>
  </si>
  <si>
    <t>Issue_376</t>
  </si>
  <si>
    <t>Action_206_Issue_377</t>
  </si>
  <si>
    <t>PC performs a sub-ledger vs Analyst reconciliation on a monthly basis to ensure accuracy and completeness of reported PnL. PC investigates differences and adjusts the PnL accordingly. PC submits overs and unders to the MIS team and KRI forum, with detailed commentary with respect to drivers of OnU's and actions for removing the need of OnU's where possible.</t>
  </si>
  <si>
    <t>Issue_377</t>
  </si>
  <si>
    <t>O&amp;U recons solution</t>
  </si>
  <si>
    <t>Action_205_Issue_374</t>
  </si>
  <si>
    <t>The team should ensure that trades are BO confirmed on a timely basis and not allowed to age for more than 5 days as this could result in undetected errors.</t>
  </si>
  <si>
    <t>leon Swart</t>
  </si>
  <si>
    <t>Issue_374</t>
  </si>
  <si>
    <t>Timely BO Confirm</t>
  </si>
  <si>
    <t>Action_204_Issue_375</t>
  </si>
  <si>
    <t>PC Recons team ensures that cash break MI (ZAR &amp; Non ZAR) is circulated daily to ensure awareness and traction on aged breaks. PC ensures that breaks are investigated, well understood and are not long aged. PC flags any unresolved breaks, with embedded risk, as an IAR in Consigno and the monthly KRI forum. PC performs bank reconciliations and investigates reconciling items (ensuring they are cleared timely) for instances where the bank account is PC owned. For breaks that require FO or Ops action, PC will ensure that escalations are made in line with the Reconciliation Escalation Guidelines.</t>
  </si>
  <si>
    <t>Issue_375</t>
  </si>
  <si>
    <t>Action_203_Issue_373</t>
  </si>
  <si>
    <t>The PC team needs to ensure to obtain the relevant third party support (independent source) information to reconcile the balance and/or work with the Mentis team to ensure that the data is readily available to achieve this.</t>
  </si>
  <si>
    <t>Issue_373</t>
  </si>
  <si>
    <t>Recon balance to independent third party source</t>
  </si>
  <si>
    <t>Action_202_Issue_371</t>
  </si>
  <si>
    <t>Issue_371</t>
  </si>
  <si>
    <t>Recon balances to independent third party source</t>
  </si>
  <si>
    <t>Action_201_Issue_370</t>
  </si>
  <si>
    <t>In terms of the Profit and Loss Sign Off Standard, the Trader is responsible for producing a flash PnL estimate on T0 with accompanying commentary and sufficient supporting information to facilitate the reconciliation of flash versus formal P&amp;L on T+1.   In terms of the Profit and Loss Sign Off Standard, Desk to ensure they flag appropriately at KRI all T+2 signoffs with commentary.   The desk should maintain an issue log for the days where the control cannot be operated. This will serve as a good audit trail to record all system/technical issues resulting in the failure to operate the control on a daily basis.</t>
  </si>
  <si>
    <t>Issue_370</t>
  </si>
  <si>
    <t>Action_199_Issue_366</t>
  </si>
  <si>
    <t>Issue_366</t>
  </si>
  <si>
    <t>Action_198_Issue_307</t>
  </si>
  <si>
    <t>TCU will share the current MI to see if additional controls can be implemented in the trade lifecycle to prevented operational issues.</t>
  </si>
  <si>
    <t>Meeting held, action agreed and schedule of the work to be done has been provided</t>
  </si>
  <si>
    <t>TCU will share the current MI</t>
  </si>
  <si>
    <t>Issue_307_Val_Group_Mappings_Monitoring</t>
  </si>
  <si>
    <t>Action_197_Issue_363</t>
  </si>
  <si>
    <t>Issue_363</t>
  </si>
  <si>
    <t>Action_196_Issue_362</t>
  </si>
  <si>
    <t>Issue_362</t>
  </si>
  <si>
    <t>Action_195_Issue_358</t>
  </si>
  <si>
    <t>1. Consistent alignment of assurance objectives: with no assurance work taking place outside the Group CA plan and process. 2. Coordinated assurance and reporting activities: in a manner that communicates the true residual risk in the organisation, in a timely manner, to enable proactive risk responses 3. Optimising assurance efforts: Applying assurance resources where it matters, achieving an optimal balance between automated and manual assurance; and full alignment of lines of defence (LoD) in assuring end-to-end areas of heightened risk, without overlap/ duplication. 4. Quality of assurance work: confirmed by outcome of assurance reviews and feedback from stakeholders</t>
  </si>
  <si>
    <t>Sibusiso Nkutha</t>
  </si>
  <si>
    <t>Issue_358</t>
  </si>
  <si>
    <t>K1. Embedment and Maturity of Group CA model</t>
  </si>
  <si>
    <t>Action_194_Issue_357</t>
  </si>
  <si>
    <t>Issue_357</t>
  </si>
  <si>
    <t>Action_193_Issue_354</t>
  </si>
  <si>
    <t>Issue_354</t>
  </si>
  <si>
    <t>Action_192_Issue_343</t>
  </si>
  <si>
    <t>Issue_343</t>
  </si>
  <si>
    <t>Action_191_Issue_339</t>
  </si>
  <si>
    <t>Desk to ensure that key processes are documented to ensure appropriate transition of new joiners, eliminate key man dependencies and maintenance of business knowledge. All procedure documentation should be reviewed annually to ensure it reflects current practice</t>
  </si>
  <si>
    <t>ABKS442</t>
  </si>
  <si>
    <t>Kgahleho Sekobane</t>
  </si>
  <si>
    <t>Issue_339</t>
  </si>
  <si>
    <t>Maintenance of key processes documentation</t>
  </si>
  <si>
    <t>Action_190_Issue_338</t>
  </si>
  <si>
    <t>Calculation to be prepared by 1 member of staff and reviewed by a different member of staff as opposed to prepared and reviewed by Jan. It will also allow for the elimination of key man dependencies</t>
  </si>
  <si>
    <t>Issue_338</t>
  </si>
  <si>
    <t>Segregation of duties</t>
  </si>
  <si>
    <t>Action_189_Issue_327</t>
  </si>
  <si>
    <t>Team to maintain fully substantiated recon or VAT reasonability assessment for month end that is reconciled and reviewed.</t>
  </si>
  <si>
    <t>Mpho Ravele</t>
  </si>
  <si>
    <t>Issue_327</t>
  </si>
  <si>
    <t>Fully Reconciled VAT Recon</t>
  </si>
  <si>
    <t>Action_188_Issue_279</t>
  </si>
  <si>
    <t>Greater distinction should be drawn between the different services provided to UK clients. This distinction should be clear on the client profile and it should influence the customerâ€™s final risk rating.</t>
  </si>
  <si>
    <t>Awaiting conclusion of SLA</t>
  </si>
  <si>
    <t>Action_187_Issue_278</t>
  </si>
  <si>
    <t>Ensure that the current UK-specific financial crime BRA considers further risk factors, either by referencing how it compliments, and must be read in conjunction with, AGLâ€™s BRA or by including greater granularity in ASUKâ€™s BRA. Perform and document country risk assessments following a documented methodology that calculates jurisdiction risk scores based on a comprehensive range of factors. Establish UK policies directly referencing UK legislation, regulation and guidance and/or demonstrate greater ownership by ASUK of groupwide policies. Include timing of the CRA in the client onboarding procedure. Establish UK-specific procedures directly referencing UK legislation, regulation and guidance and/or demonstrate greater ownership by ASUK of groupwide policies. This may be in the form of a Country Schedule included in the AGL to better demonstrate the alignment to UK standard practice and regulatory expectations.</t>
  </si>
  <si>
    <t>BRA updates in progress based on discussions however do not foresee a change in risk rating.</t>
  </si>
  <si>
    <t>Issue_278</t>
  </si>
  <si>
    <t>Update BRA, policies and procedures</t>
  </si>
  <si>
    <t>Action_186_Issue_278</t>
  </si>
  <si>
    <t>Ensure that the current UK-specific financial crime BRA considers further risk factors, either by referencing how it compliments and must be read in conjunction with, AGLâ€™s BRA or by including greater granularity in ASUKâ€™s BRA. Perform and document country risk assessments following a documented methodology that calculates jurisdiction risk scores based on a comprehensive range of factors. Establish UK policies directly referencing UK legislation, regulation and guidance and/or demonstrate greater ownership by ASUK of groupwide policies. Include timing of the CRA in the client onboarding procedure. Establish UK-specific procedures directly referencing UK legislation, regulation and guidance and/or demonstrate greater ownership by ASUK of groupwide policies. This may be in the form of a Country Schedule included in the AGL to better demonstrate the alignment to UK standard practice and regulatory expectations.</t>
  </si>
  <si>
    <t>Action_184_Issue_307</t>
  </si>
  <si>
    <t>action 184 created in error and replaced by action 234 - these actions link to issue 307</t>
  </si>
  <si>
    <t>Action_182_Issue_330</t>
  </si>
  <si>
    <t>Perform Criticality Assessment and subsequently CPA</t>
  </si>
  <si>
    <t>Subash Sharma</t>
  </si>
  <si>
    <t>Issue_330</t>
  </si>
  <si>
    <t>Refresh CPA</t>
  </si>
  <si>
    <t>/ABSA Group Limited/South Africa/South Africa/Product Solutions Cluster/ABSA Vehicle and Asset Finance</t>
  </si>
  <si>
    <t>ABSA Vehicle and Asset Finance</t>
  </si>
  <si>
    <t>Action_181_Issue_16</t>
  </si>
  <si>
    <t>Payment Programme in place with governance and managed by AVAF EXCO.</t>
  </si>
  <si>
    <t>ABDM070</t>
  </si>
  <si>
    <t>Duvene Nel</t>
  </si>
  <si>
    <t>Action closed</t>
  </si>
  <si>
    <t>Issue_16</t>
  </si>
  <si>
    <t>Payment Programme</t>
  </si>
  <si>
    <t>Action_180_Issue_329</t>
  </si>
  <si>
    <t>The team has been informed that video recordings should only be saved on the User Testing Shared Drive. All users that saved the recordings on MS Teams were requested to delete the recordings.</t>
  </si>
  <si>
    <t>Lizette Strydom</t>
  </si>
  <si>
    <t>Confirmation has been received that all of the user testing videos have been removed from the unapproved platforms.</t>
  </si>
  <si>
    <t>Issue_329</t>
  </si>
  <si>
    <t>Deletion of video recordings on MS Teams</t>
  </si>
  <si>
    <t>Action_179_Issue_328</t>
  </si>
  <si>
    <t>Petrus van Breda</t>
  </si>
  <si>
    <t>Issue_328</t>
  </si>
  <si>
    <t>Action_178_Issue_326</t>
  </si>
  <si>
    <t>In the PnL Explain testing it was noted that the desk does not perform an analysis of CAL against PnL Explain (MOPL) to validate that what is reported is in line with PnL Explain for the day.   It was also noted that CAL was not uploaded on T+1 as per control requirements on the following days:  17 September 2021 21 October 2021</t>
  </si>
  <si>
    <t>ABYC071</t>
  </si>
  <si>
    <t>Yaadna Chathuri</t>
  </si>
  <si>
    <t>Issue_326</t>
  </si>
  <si>
    <t>CAL Reporting (T+1) and PnL Explain</t>
  </si>
  <si>
    <t>Action_177_Issue_325</t>
  </si>
  <si>
    <t>According to the Account Ownership and Reconciliation (AO&amp;R) Policy S2.1.2  reconciliation exceptions must be investigated and resolved, Flagged appropriately as an IAR if unsubstantiated. Desk to flagged appropriately PnL at risk of balance unsubstantiated. IAR to be updated on a monthly basis to highlight the actual PnL risk.</t>
  </si>
  <si>
    <t>Issue_325</t>
  </si>
  <si>
    <t>Appropriately flag PnL at risk on consigno</t>
  </si>
  <si>
    <t>Action_176_Issue_324</t>
  </si>
  <si>
    <t>The team is to ensure that at month end the Price testing reflects the exact numbers as per Valuations in Odyssey</t>
  </si>
  <si>
    <t>Ameet Lalloo</t>
  </si>
  <si>
    <t>Issue_324</t>
  </si>
  <si>
    <t>Align Price Testing - Odyssey to actual YTD number</t>
  </si>
  <si>
    <t>Action_174_Issue_323</t>
  </si>
  <si>
    <t>The team is to ensure that the PT amounts communicated for adjustments are the correct reserve per area</t>
  </si>
  <si>
    <t>Issue_323</t>
  </si>
  <si>
    <t>Accurate communications</t>
  </si>
  <si>
    <t>Action_173_Issue_318</t>
  </si>
  <si>
    <t>According to PnL sign off standard, Pc should provide Analysis of Flash vs. Formal variances highlighting drivers of any material differences. We recommend that PC investigate all breaks with an amount over R100k and document drivers properly both on the face of the PnL approval email and on Odyssey.</t>
  </si>
  <si>
    <t>The ACS team is currently remediating, Governance will test and validate by 31 March 2022</t>
  </si>
  <si>
    <t>Issue_318</t>
  </si>
  <si>
    <t>FvF &gt; R100k to be investigated and documented</t>
  </si>
  <si>
    <t>Action_171_Issue_316</t>
  </si>
  <si>
    <t>Update the Manage Financial Advisory and Intermediary Services FAIS)  Compliance Procedure with specific report actioning requirements for Regional &amp; Branch stakeholders Physical Channels Governance and Control will update the Manage Financial Advisory and Intermediary Services FAIS) Compliance Procedural Document to include roles,  responsibilities and expectations relating to the monitoring of the Honesty, Integrity and Good Standing (HIGS) Attestation.</t>
  </si>
  <si>
    <t>Action and due dates agreed and approved by accountable executive</t>
  </si>
  <si>
    <t>Integrity and Good Standing (HIGS) attestation</t>
  </si>
  <si>
    <t xml:space="preserve">PC-CPA 01/25 </t>
  </si>
  <si>
    <t>Action_170_Issue_315</t>
  </si>
  <si>
    <t>Update the Sales Standards for Branch Network Procedural Document with specific report actioning requirements for Regional &amp; Branch stakeholders Physical Channels Governance and Control will update the Sales Standards for Branch Network Procedural Document to include roles, responsibilities and expectations relating to the monitoring of FAIS products sold report to ensure compliance to the FAIS Act and that Representatives are adequately skilled and trained to sell FAIS products.</t>
  </si>
  <si>
    <t>convert to issue closure date and approved by accountable exicutive</t>
  </si>
  <si>
    <t>Selling of FAIS products, staff completed training</t>
  </si>
  <si>
    <t>Action_169_Issue_313</t>
  </si>
  <si>
    <t>Update the Manage Financial Advisory and Intermediary Services FAIS)  Compliance Procedure with specific report actioning requirements for the Key Individual Physical Channels Governance and Control will update the Manage Financial Advisory and Intermediary Services FAIS) Compliance Procedural Document to include roles, responsibilities and expectations relating to completion of the Key Individual FAIS Attestation.</t>
  </si>
  <si>
    <t>Converted and approved by accountable executive</t>
  </si>
  <si>
    <t>Actions for performing Key Individual attestation</t>
  </si>
  <si>
    <t>Action_168_Issue_312</t>
  </si>
  <si>
    <t>Update the Manage Branch Sales Procedure document with specific report  actioning requirements for the Regional and Branch Stakeholders â€¢ With the development of the E â€“ Learning Sales Standards Attestation for 2022, the Line Manager will have the ability to track completion of the attestation.  â€¢ A weekly report will be uploaded on PowerBi that will be distributed to all  stakeholders to monitor the completion of the sales attestation.  â€¢ The PC Sales Enablement Custodian will update the Manage Sales Process  Procedural Document to include roles, responsibilities and expectations relating monitoring of the completion of the Sales Attestation.</t>
  </si>
  <si>
    <t>Milestone conversion and approved by accountable executive</t>
  </si>
  <si>
    <t>Update the Manage Branch Sales Procedure report</t>
  </si>
  <si>
    <t>Action_167_Issue_311</t>
  </si>
  <si>
    <t>Update the Manage Branch Sales Procedure document with specific report  actioning requirements for the Regional and Branch Stakeholders â€¢ The PC Sales Enablement Custodian will update the Manage Sales process Procedural Document to include roles, responsibilities and expectations relating to actioning and monitoring of the Coaching Red Flag report.</t>
  </si>
  <si>
    <t>Milestone Converted and approved by accountable executive.</t>
  </si>
  <si>
    <t>Update the Manage Branch Sales Procedure document</t>
  </si>
  <si>
    <t>Action_166_Issue_309</t>
  </si>
  <si>
    <t>Update the Manage Branch Sales Procedure document to guide the Branch  Manager on how to monitor the completion of the Product Specific and Miss Selling training â€¢ Learning and Development will review and update the Absa Learning System to ensure that Management receives confirmation of completion/non-completion of all product Specific and Miss Selling training. â€¢ The PC Sales Enablement Custodian will update the Manage Branch Sales  Procedure to clearly guide the Branch Manager on how to monitor and evidence  the completion of the Product Specific and Miss Selling training.</t>
  </si>
  <si>
    <t>Milestone converted and approved by accountable executive</t>
  </si>
  <si>
    <t>Update Sales Procedure document to guide Branch</t>
  </si>
  <si>
    <t>Action_165_Issue_308</t>
  </si>
  <si>
    <t>Update the Manage Branch Sales Procedure document with specific report  actioning requirements for the Regional and Branch Stakeholders â€¢ With the development of the E â€“ Learning Sales Standards Attestation for 2022, the Line Manager will have the ability to track completion of the attestation.  â€¢ A weekly report will be uploaded on PowerBi that will be distributed to all  stakeholders to monitor the completion of the sales attestation.  â€¢ The PC Sales Enablement Custodian will update the Manage Sales Process Procedural Document to include roles, responsibilities and expectations relating monitoring of the completion of the Sales attestation.</t>
  </si>
  <si>
    <t>Milestone Converted to closure date of 25 November 2022</t>
  </si>
  <si>
    <t>Action_164_Issue_301</t>
  </si>
  <si>
    <t>Update the Business Commercial Awareness Plan document to include the new  Siyakhula Principles and implement enhancements to the SharePoint site â€¢ The Sales Enablement Team is currently updating the terminology in the  Commercial Awareness Business Plan document. â€¢ PC will submit a request to the Administrator of the SharePoint Site to investigate  possible flaws and provide corrective actions, to ensure that the Business  Commercial Awareness System is operational end to end.</t>
  </si>
  <si>
    <t>Milestone converted to Issue closure due date 27 July 2022 and approved by the accountable executive</t>
  </si>
  <si>
    <t>Inadequate system and procedure in place</t>
  </si>
  <si>
    <t>Action_163_Issue_297</t>
  </si>
  <si>
    <t>Update the Manage Branch Sales Procedures and the coaching templates on the Siyakhula system to ensure accountability of commitments and actions are agreed PC Opco approved an amendment to Siyakhula procedures whereby Line Managers may utilise any template that complies with the Management Assurance requirements for the different activities. â€¢ The PC Sales Enablement Custodian will update the Sales Standards and  Manage Sales Process Procedural Document to include changes made to the coaching templates</t>
  </si>
  <si>
    <t>Milestone converted to closure date of 27 July 2022 and approved by accountable executive</t>
  </si>
  <si>
    <t>Inadequate design  to monitoring of commitments</t>
  </si>
  <si>
    <t>Action_162_Issue_306</t>
  </si>
  <si>
    <t>Update Procedural requirements Update the Branch Mandate Assessment â€“ Job Aid Procedure with the pre-checks  that must be conducted by the Branch Manager/ Regional Manager: Physical  Channels prior to approving Userâ€™s that can be given a Manager level system profile.</t>
  </si>
  <si>
    <t>Alozeen Spicuzza</t>
  </si>
  <si>
    <t>PC-CPA 10/04  Branch Management &amp; Administration</t>
  </si>
  <si>
    <t>PC-CPA 10/04</t>
  </si>
  <si>
    <t>Action_161_Issue_305</t>
  </si>
  <si>
    <t>Update the System Access Control procedure with: â€¢ The checks to be performed by the Editor/ Approver prior to creating/ maintaining new/ existing User profiles for BTP/ BDP. â€¢ Enhancing the actions to be performed by the Approver immediately after profile amendment was fulfilled by checking that that the update is in line with the request (USRQ Changes Listing) A full investigation to be conducted on the Profile Editor system to ascertain if a User Profile Change summary can be viewed on the screen prior to the Authoriser approving the amendment.</t>
  </si>
  <si>
    <t>Issue_305</t>
  </si>
  <si>
    <t>Update the System Access Control Procedure</t>
  </si>
  <si>
    <t>PC-CPA 10/03</t>
  </si>
  <si>
    <t>Action_160_Issue_304</t>
  </si>
  <si>
    <t>Develop standard Banking Transaction Platform (BTP) and Branch Delivery Platform (BDP) system profiles for the below roles:  â€¢ Branch Manager  â€¢ Host  â€¢ Receptionist Update the Standard Card Profile Guideline with the new system profiles for these roles and publish the updates via a Circular.</t>
  </si>
  <si>
    <t>Issue_304</t>
  </si>
  <si>
    <t>Develop Standardised Role Profiles</t>
  </si>
  <si>
    <t>PC-CPA 10/02</t>
  </si>
  <si>
    <t>Action_158_Issue_302</t>
  </si>
  <si>
    <t>Investigate possible redesign of the Branch Mandate Assessment curriculum National Operations to conduct a full investigation into the redesign and solutioning of the Branch Mandate Assessment curriculum (New Appointments) using a different tool, as the current instrument (Cornerstone) is very limited.  Draft a Business Requirement Document (BRD) and include the MI requirements to  enable branch leadership to extract the required reports i.e., per user and branch levels.</t>
  </si>
  <si>
    <t>Milestone converted</t>
  </si>
  <si>
    <t>Investigate Branch Mandate Assessment Enhancement</t>
  </si>
  <si>
    <t>PC-CPA 10/01</t>
  </si>
  <si>
    <t>/ABSA Group Limited/South Africa/South Africa/Corporate and Investment Bank/Support Functions/STCF Middle Office</t>
  </si>
  <si>
    <t>STCF Middle Office</t>
  </si>
  <si>
    <t>Action_157_Issue_296</t>
  </si>
  <si>
    <t>The team has been informed that no mirroring will be allowed going forward. Discussions were held with the Releasers. On the job training will be provided on 02/02/2022 to ensure all staff are aware of what to check before releasing. ABSA E-Learning SWIFT courses has been assigned due for completion end of Feb/Mar.</t>
  </si>
  <si>
    <t>Maritsa Nel</t>
  </si>
  <si>
    <t>Payments training provided on the 15th Feb 2022 to the whole team. Physical on the job training is conducted once a week at the office, this will continue till around the end of March</t>
  </si>
  <si>
    <t>Issue_296</t>
  </si>
  <si>
    <t>STCF Four Eye Check Training</t>
  </si>
  <si>
    <t>/ABSA Group Limited/South Africa/South Africa/Corporate and Investment Bank/Support Functions/Payments and Regulatory Centre of Excellence/International Payments</t>
  </si>
  <si>
    <t>International Payments</t>
  </si>
  <si>
    <t>Action_155_Issue_294</t>
  </si>
  <si>
    <t>Business and Corporate/Payments Operations to explore the introduction of an independent validation process prior to settlement.  Solution is Striata related.</t>
  </si>
  <si>
    <t>ABKG207</t>
  </si>
  <si>
    <t>Kim Bain Venn</t>
  </si>
  <si>
    <t>Daniel Swanepoel</t>
  </si>
  <si>
    <t>On track</t>
  </si>
  <si>
    <t>Issue_294</t>
  </si>
  <si>
    <t>Explore Independent Validation process</t>
  </si>
  <si>
    <t>1LOD - Daniel Swanepoel</t>
  </si>
  <si>
    <t>Action_154_Issue_291</t>
  </si>
  <si>
    <t>Recommendation:  A clause should be clearly articulated in the commercial terms which states that all facility or commercial terms should agreed or declined within a reasonable time frame, this can be agreed amongst sales, operations and credit. Preferably within 60 to 90 days while all the risk assessments and book reports are still valid. Should the client agree to take on the facility after the defined time frame the negotiated fees should increase by a certain percentage, or an additional fee charged for re-performance of take on activities.   Milestone Action:  Sales, Operations and Credit to discuss and agree on an appropriate validity period for legal/facility agreements that have been given to the client for signing.</t>
  </si>
  <si>
    <t>Jessica Gouden, Mosito Raphela, Kuben Pillay &amp; John Malonda</t>
  </si>
  <si>
    <t>A decision to be made every 30 days on whether we keep the contract open or close will be made and all contracts will be closed after a period of 180 days. This is a limited issue with limited risk as discussed with ORM/Product and the updated process will allow for us to control the number of open unused contracts. Upon closure of these contract at 180 days, contract will be opened if the client wishes to continue with the deal subject to new checks/assessments being completed. As part of the action, RF Ops will check all opened unused contracts and obtain feedback in order to close. If feedback is to keep open, 30 day escalation will be made thereafter until closed at 180 days.</t>
  </si>
  <si>
    <t>Awaited sign off</t>
  </si>
  <si>
    <t>Clients not fully onboarded</t>
  </si>
  <si>
    <t>Action_153_Issue_286</t>
  </si>
  <si>
    <t>According to the Model Risk Policy, the model risk owner with the inputs from model users, should  review the model performance results at least on an annual basis to ensure the model remains fit-for-purpose within its approved scope. During the review it was noted that the score card parameters and thresholds had not been reviewed in more than four (4) years.   Root Cause: This was an oversight from management as the process was deemed not necessary to review because the threshold and parameters of the score cards does not include any monetary values.</t>
  </si>
  <si>
    <t>Lungi Ndou</t>
  </si>
  <si>
    <t>Monitoring and Control Scorecard to be treated as a EUDA  Post the feedback received form the IVU team in that the Monitoring and Control (RAT) Scorecard is not a Model and that it is indeed a EUDA, the Monitoring and Control team will ensure that the Scorecard adheres to the requirements of the EUDA standard.  Action Plan Due Date: 15 April 2022</t>
  </si>
  <si>
    <t>Model has not been  reviewed in 4 years.</t>
  </si>
  <si>
    <t>/ABSA Group Limited/South Africa/South Africa/Retail and Business Banking/Customer Value Management/Digital Channels</t>
  </si>
  <si>
    <t>Digital Channels</t>
  </si>
  <si>
    <t>Action_151_Issue_143</t>
  </si>
  <si>
    <t>A meeting was held with Product Risk and the CIB team wherein they requested that they be given time until  next week to investigate what development would be required for the indices page to be routed to their site. This is in an effort to solution for the duplicate payment of the feed to Iress.  The decision on a way forward will be made once feedback is received CIB. From a governance perspective, the decommissioning of the page(s) will follow CVMâ€™s Internal Governance process not a full NAPA.</t>
  </si>
  <si>
    <t>Safraz Saib</t>
  </si>
  <si>
    <t>Issue_143</t>
  </si>
  <si>
    <t>JSE linked pages to be decommissioned</t>
  </si>
  <si>
    <t>Action_150_Issue_285</t>
  </si>
  <si>
    <t>This review noted that minimum forbearance control requirements as required by the Policy, were not defined in the Standard or Collections strategy, in order to ensure Risk Management drive effective embedment of forbearance rules. In addition, although quality checks are performed in operations, no controls were documented in the operational Procedures, to validate that the activity is aligned to the minimum requirements of the Assurance Standard. Not defining clear controls by Risk Management, can result in: â€žh Execution of operational activity not aligned to Policy and portfolio strategy requirements   --Lack of a sustainable control framework   --Lack of accountability from roles and responsibility perspective, to ensure controls are executed as required   --Lack of reliance of tests performed</t>
  </si>
  <si>
    <t>Nana Tladi</t>
  </si>
  <si>
    <t>The closure of this issue is linked to a bigger project, which has been postponed. The team is working in ensuring that the project remains on track.</t>
  </si>
  <si>
    <t>The issue is on track in ensuring that the closure requirements are met in time.</t>
  </si>
  <si>
    <t>Issue_285</t>
  </si>
  <si>
    <t>Controls Validation</t>
  </si>
  <si>
    <t>Action_147_Issue_73</t>
  </si>
  <si>
    <t>Finalising Pipeline Applications - require 1 month to finalise and gather evidence of actions taken to close out</t>
  </si>
  <si>
    <t>Amelia</t>
  </si>
  <si>
    <t>Issue_73</t>
  </si>
  <si>
    <t>Pipeline Applications</t>
  </si>
  <si>
    <t>Action_146_Issue_73</t>
  </si>
  <si>
    <t>Review and finalise pipeline application - NTU last applications and summarise what have been done on all the pipeline applications - gather evidence to close out.</t>
  </si>
  <si>
    <t>Finalise Pipeline Applications</t>
  </si>
  <si>
    <t>Action_145_Issue_72</t>
  </si>
  <si>
    <t>The issue will not be further explored.  Cost to implement changes not feasible on old legacy system EOML.  Nucleus will eliminate REG DB</t>
  </si>
  <si>
    <t>Seitshupo Rakgokong</t>
  </si>
  <si>
    <t>The issue will not be further explored. Cost to implement changes not feasible on old legacy system EOML. Nucleus will eliminate REG DB</t>
  </si>
  <si>
    <t>Issue_72</t>
  </si>
  <si>
    <t>Issue no further to be explored, Nucleus will eliminate REG DB</t>
  </si>
  <si>
    <t>REG DB</t>
  </si>
  <si>
    <t>Action_144_Issue_268</t>
  </si>
  <si>
    <t>Review and update the operational scripts and correspondence regarding Forbearance and Payment Arrangement (PA) affected accounts</t>
  </si>
  <si>
    <t>ABAH438</t>
  </si>
  <si>
    <t>Ann Judith Gama</t>
  </si>
  <si>
    <t>Shaun  Houston</t>
  </si>
  <si>
    <t>Awaiting approval of ICP.</t>
  </si>
  <si>
    <t>Issue_268</t>
  </si>
  <si>
    <t>Forbearance process Personal Loans</t>
  </si>
  <si>
    <t>/ABSA Group Limited/South Africa/South Africa/Corporate and Investment Bank/Support Functions/Product Control Team/CPF</t>
  </si>
  <si>
    <t>CPF</t>
  </si>
  <si>
    <t>Action_143_Issue_147</t>
  </si>
  <si>
    <t>Adoption of additional substantiation procedures: i)          Perform an EIR schedule vs General Ledger recon on a monthly basis and investigate any differences on a timely basis ii)          Account for deferred and back-end fees in separate GL accounts to ensure clear processes around the identification and substantiation of each type of fee iii)         Team to update process documents to ensure that processes are well defined and key man risk is eliminated within the team</t>
  </si>
  <si>
    <t>Issue_147</t>
  </si>
  <si>
    <t>Remediation of RE_013550</t>
  </si>
  <si>
    <t>Action_142_Issue_265</t>
  </si>
  <si>
    <t>Map all identified non-critical processes within CVM</t>
  </si>
  <si>
    <t>Alisha Ramnand</t>
  </si>
  <si>
    <t>Issue_265</t>
  </si>
  <si>
    <t>Mapping of non-critical processes</t>
  </si>
  <si>
    <t>/ABSA Group Limited/Africa Region Operations/Seychelles</t>
  </si>
  <si>
    <t>Seychelles</t>
  </si>
  <si>
    <t>Action_141_Issue_264</t>
  </si>
  <si>
    <t>The Committee Secretary to RCF will: â€¢ Implement and embed completion of monthly attestations covering the completeness and accuracy of risk data submitted to RCF â€¢ Report all major risk events and lessons learnt to RCF monthly.</t>
  </si>
  <si>
    <t>Veilma Joubert</t>
  </si>
  <si>
    <t>Issue_264</t>
  </si>
  <si>
    <t>Risk and Control Reporting</t>
  </si>
  <si>
    <t>Action_134_Issue_213</t>
  </si>
  <si>
    <t>Management will:  â€¢ Update the Risks and Control as part of the holistic CVM CPA Refresh. The  Horizon 2 Strategy will be reviewed to ensure that the correct critical processes  are identified across the CVM Environment.  Action Owner: Elle Torres: Head of Operations  â€¢ Engage with the Supplier Relationship Management team to review the SLA  meeting scope to ensure alignment</t>
  </si>
  <si>
    <t>Alicia Ramnand</t>
  </si>
  <si>
    <t>Issue_213</t>
  </si>
  <si>
    <t>Update the Risks and Controls</t>
  </si>
  <si>
    <t>Action_132_Issue_199</t>
  </si>
  <si>
    <t>following various system changes and enhancements, the remaining High Risk Transactions being processed for RB Customers may still pose some unknown risk due to unidentified control gaps. This may results in fraudulent transactions being processed on RB Customer accounts leading to financial loss.</t>
  </si>
  <si>
    <t>Investigation completed, ready for milestone conversion.</t>
  </si>
  <si>
    <t>Identify RB High Risk Control Gaps</t>
  </si>
  <si>
    <t>Action_133_Issue_198</t>
  </si>
  <si>
    <t>"PC National Operations will identify all remaining High Risk Transactions being processed for CIB Customers and will assess any remaining control gaps in the ""as-is"" process flow.  This will include an assessment of whether existing controls to authenticate CIB Customers and obtain the necessary approval for processing High Risk Transactions are sufficient.  If any remaining control gaps are identified, appropriate issues will be raised for remediation."</t>
  </si>
  <si>
    <t>ABLP409</t>
  </si>
  <si>
    <t>Lindiwe Pelo</t>
  </si>
  <si>
    <t>The remaining High Risk CIB Transactions were identified and a BRD drafted to block Branch Users from issuing and maintaining CIB Customer Profiles.  Milestone ready to be converted.</t>
  </si>
  <si>
    <t>Identify CIB High Risk Control Gaps</t>
  </si>
  <si>
    <t>/ABSA Group Limited/South Africa/South Africa/Retail and Business Banking/Physical Channels/Physical Channels HO/Physical Channels Operations</t>
  </si>
  <si>
    <t>Physical Channels Operations</t>
  </si>
  <si>
    <t>Action_131_Issue_208</t>
  </si>
  <si>
    <t>Appropriate response to changes in the list of High Cash Volume (HCV) Branches not clearly defined</t>
  </si>
  <si>
    <t>Jacob Breet</t>
  </si>
  <si>
    <t>Issue_208</t>
  </si>
  <si>
    <t>PC-CPA 06/06</t>
  </si>
  <si>
    <t>Action_129_Issue_204</t>
  </si>
  <si>
    <t>Customer Identification/Authentication Gaps for Everyday Banking Primary Customers/Related Parties (Customer Onboarding/Product Onboarding/Customer Profile &amp; Account Maintenance)</t>
  </si>
  <si>
    <t>Issue_204</t>
  </si>
  <si>
    <t>Customer Profile &amp; Account Maintenance</t>
  </si>
  <si>
    <t>PC-CPA 00/16</t>
  </si>
  <si>
    <t>Action_127_Issue_209</t>
  </si>
  <si>
    <t>The current approach for managing Heldover Cash Deposits (Cash Deposit bags received but not processed and then stored in Treasury overnight or longer), is not effective since the Rand Value of these Heldover Cash Deposits are not accounted for when monitoring and managing Branch Cash Holdings against Cash Limits (via Tactix or CashMan).  The current procedures also does not allow for monitoring timeframes between receipt and processing of these Cash Deposits. This may result in Heldover Cash Deposits being misappropriated, resulting in financial loss.</t>
  </si>
  <si>
    <t>Issue_209</t>
  </si>
  <si>
    <t>Heldover Cash Deposits</t>
  </si>
  <si>
    <t>PC-CPA 06/08</t>
  </si>
  <si>
    <t>/ABSA Group Limited/South Africa/South Africa/Retail and Business Banking/Physical Channels/Alternative Channels</t>
  </si>
  <si>
    <t>Alternative Channels</t>
  </si>
  <si>
    <t>Action_126_Issue_207</t>
  </si>
  <si>
    <t>System enhancements was performed to address gaps in cards not being reflected.  The User Acceptance Testing (UAT) was also done during August 2021.  The firs pilot (150 machines) has been successfully conducted.  Remaining Actions: - Business to conduct an extended pilot and implementation on the ATM Cards Retained Listing enhancements.  - Inclusion of the listing JNBL RETC listing/JNL 675D listing in the Branch Paper Mandate.  - Escalation of the JNBL RETC listing/JNL 675D listing issues via the correct email address or escalation channel(s).</t>
  </si>
  <si>
    <t>Benjamin Chetty</t>
  </si>
  <si>
    <t>Issue_207</t>
  </si>
  <si>
    <t>Implement ATM Cards Retained Listing enhancements</t>
  </si>
  <si>
    <t>PC-CPA 05/06</t>
  </si>
  <si>
    <t>Action_125_Issue_206</t>
  </si>
  <si>
    <t>The PC National Operations Process Custodian will design a daily Branch Manager oversight control to monitor effective management of Branch Cash Holdings (including ATMs) and update procedures accordingly.  After publishing off procedures, time will be allowed for embedment of the new controls.</t>
  </si>
  <si>
    <t>Issue_206</t>
  </si>
  <si>
    <t>Design oversight controls and update of procedures</t>
  </si>
  <si>
    <t>PC-CPA 06/01</t>
  </si>
  <si>
    <t>Action_124_Issue_205</t>
  </si>
  <si>
    <t>Investigate options for aligning the authentication of financial transactions processed on Banking Transaction Platform (BTP) to the PC Authentication Standard.  This includes:  - Whether the required authentication approach for each type of financial transaction as defined per the PC Authentication Standard could potentially be enabled on BTP;  - If possible, the potential complexity, costing and timelines of required changes; and  - If not possible, alternative measures that could be implemented to mitigated unacceptable residual risk.""</t>
  </si>
  <si>
    <t>Prenola</t>
  </si>
  <si>
    <t>Issue_205</t>
  </si>
  <si>
    <t>Investigate &amp; align authentication FT on BTP</t>
  </si>
  <si>
    <t>PC-CPA 00/18</t>
  </si>
  <si>
    <t>Action_123_Issue_202</t>
  </si>
  <si>
    <t>"""An Independent External Override (executed in Branch) has been implemented for the following in-Branch High Risk Maintenance Transactions being offered to Relationship Banking (RB) Customers: - CIF Create/Maintain - Debit/Combi Card Create/Maintain - Digital Banking Create/Maintain - Electronic Payment System (EPS) Create/Maintain"""</t>
  </si>
  <si>
    <t>These actions have been concluded.</t>
  </si>
  <si>
    <t>Issue_202</t>
  </si>
  <si>
    <t>Independent External Override implementation</t>
  </si>
  <si>
    <t>PC-CPA 00/13</t>
  </si>
  <si>
    <t>Action_121_Issue_201</t>
  </si>
  <si>
    <t>"""Single transaction â€œ definition amount over R5000 and intention is NOT to establish a business relationship â€“ this is based on â€œregularityâ€ Business is required to set up monitoring controls to check regularity of transactions (threshold monitoring ) with â€œwalk in â€œ customers."</t>
  </si>
  <si>
    <t>Issue_201</t>
  </si>
  <si>
    <t>FICA requirements (RBA) â€“ RIB walk in customers</t>
  </si>
  <si>
    <t>PC-CPA 07/01</t>
  </si>
  <si>
    <t>Action_120_Issue_200</t>
  </si>
  <si>
    <t>Although MI has been developed to monitor instances across the Branch Network where Fingerprint Biometric identification/authentication fails or is bypassed and a draft dashboard has been designed, it has not been operationalised. Excessive and unwarranted failing/bypassing of Fingerprint Biometric identification/authentication may result in fraudulent customer onboarding, customer profile &amp; account maintenance.</t>
  </si>
  <si>
    <t>Issue_200</t>
  </si>
  <si>
    <t>MI for Fingerprint Biometric Bypass/Failure</t>
  </si>
  <si>
    <t>Action_115_Issue_195</t>
  </si>
  <si>
    <t>To assist and encourage customers to log complaints, the branch has to ensure that Dispute Resolution brochures and posters are displayed in the branch.  However, the current monitoring control, i.e. the Absa 4121 Host checklist that is completed daily, does not make provision for the Dispute Resolution poster and/or electronic displays. As a result, Absa can be seen as not providing the required information to customers to log complaints, which may result in reputational damage.  (Concerns were also recently highlighted during a recent FSCB audit that both branches and posters were not displayed and/or available in branches. Business is currently in the process of remediating this issue.)</t>
  </si>
  <si>
    <t>Burgert Theunissen</t>
  </si>
  <si>
    <t>Complete and submitted on 24 January 2022</t>
  </si>
  <si>
    <t>Issue_195</t>
  </si>
  <si>
    <t>Action mitigated</t>
  </si>
  <si>
    <t>Complaints Management procedure</t>
  </si>
  <si>
    <t>PC-CPA 08/10</t>
  </si>
  <si>
    <t>Action_114_Issue_197</t>
  </si>
  <si>
    <t>The PC Service Experience Team will update the PC Complaints Management procedures to clearly stipulate Roles &amp; Responsibilities, including evidence requirements for key controls: - Branch Administrator/Customer Services Hosting Manager to subscribe to daily New/Open/Unassigned Case Listings on CCM system; - Listings of New/Open/Unassigned Cases viewed twice per day to be retained electronically; - Branch Administrator/Customer Services Hosting Manager to check 1st/2nd escalation on CCM system on a monthly basis; - Clear actions in respect of the Monthly Complaints Report (Regional/Branch Managers); - Clear actions and consequence management in respect of the IQA reports (Regional/Branch Managers); - Evidence of training completion to be attached to all CCM system access requests initiated on Africa Access. Time will be allowed for embedment.""</t>
  </si>
  <si>
    <t>Completed and submitted on 24 January 2022</t>
  </si>
  <si>
    <t>Issue_197</t>
  </si>
  <si>
    <t>Update the PC Complaints Management procedures</t>
  </si>
  <si>
    <t>PC-CPA 08/11</t>
  </si>
  <si>
    <t>Action_113_Issue_192</t>
  </si>
  <si>
    <t>1.PC National Operations will facilitate a formal workshop (including 2nd Line of Defence Operational Risk and Fraud Risk Representatives) to finalise the risk assessment of identified BTP Financial Transactions where segregation of duties is not enforced.  The results of this workshop will be tabled at the PC Fraud Risk Forum for ratification.  2.Based on the approved risk assessment, PC National Operations will assess the remediation requirements of those transactions rated as â€œHigh Riskâ€ (not dependent on EB Product System changes) and analyse the possibility of adding requirements to the 2022 PC Book of Work.  3.Any such â€œHigh Riskâ€ transactions that are not solutioned for in the 2022 PC Book of Work, will be placed on the backlog for 2023.  4.All â€œMediumâ€ and â€œLowâ€ risk transactions (not dependent on EB Product System changes) will be assessed individually to determine whether remediation is required based on other related operational controls. 5.Ownership of transactions with a dependency on EB Product System changes, will be transferred to the relevant Stakeholders, supported by Business Requirements Documents.""</t>
  </si>
  <si>
    <t>Issue_192</t>
  </si>
  <si>
    <t>Perform risk assessment-BTP Financial Transactions</t>
  </si>
  <si>
    <t>PC-CPA 00/12</t>
  </si>
  <si>
    <t>Action_112_Issue_190</t>
  </si>
  <si>
    <t>Enhancing BTP and related Product Systems to block the ability for Tellers to process transactions when a Savings or Transactional Account does not have sufficient funds, even when a Managerâ€™s override is obtained.  This includes enabling the same capabilities on Salesforce.  By the milestone date the following will be confirmed: - Solution - Resources - Timelines</t>
  </si>
  <si>
    <t>Issue_190</t>
  </si>
  <si>
    <t>BTP and related Product Systems enhancement</t>
  </si>
  <si>
    <t>PC-CPA 00/10</t>
  </si>
  <si>
    <t>Action_107_Issue_186</t>
  </si>
  <si>
    <t>Physical Channel High and Medium Suppliers will be loaded onto the RSAM system and the required risk assessments and artifact uploads will be completed for the Q4 2021 reporting cycle.</t>
  </si>
  <si>
    <t>Thabo Molamu</t>
  </si>
  <si>
    <t>Issue_186</t>
  </si>
  <si>
    <t>Upload Suppliers risk assessment on RSAM system</t>
  </si>
  <si>
    <t>PC SII - 01</t>
  </si>
  <si>
    <t>Action_106_Issue_185</t>
  </si>
  <si>
    <t>Milestone converted to close issue. new issue to be raised on ORMS based on AIA report</t>
  </si>
  <si>
    <t>Embed Group CA model through CA Working Group</t>
  </si>
  <si>
    <t>/ABSA Group Limited/South Africa/South Africa/Retail and Business Banking/Everyday Banking/Collections (EB)</t>
  </si>
  <si>
    <t>Collections (EB)</t>
  </si>
  <si>
    <t>Action_105_Issue_182</t>
  </si>
  <si>
    <t>Shaun Houston</t>
  </si>
  <si>
    <t>Issue_182</t>
  </si>
  <si>
    <t>Review and update the operational scripts</t>
  </si>
  <si>
    <t>Action_85_Issue_139</t>
  </si>
  <si>
    <t>Perform the investigation and publish the report. The investigation will inform the overall risk posture and help define the gaps that need to be addressed.   Furthermore, the current standard need to be updated to reflect the baseline technical configurations required to adequately secure containers in line with industry best practice.</t>
  </si>
  <si>
    <t>AB017PW</t>
  </si>
  <si>
    <t>Lebohang Matjele</t>
  </si>
  <si>
    <t>Phathu / Jaco Marais</t>
  </si>
  <si>
    <t>Issue_139</t>
  </si>
  <si>
    <t>Control gap investigation</t>
  </si>
  <si>
    <t>Action_84_Issue_165</t>
  </si>
  <si>
    <t>The over limit monitoring process for the daily â€œrunaway listingâ€ has not been formally documented from a fraud perspective</t>
  </si>
  <si>
    <t>Sheldon Wood</t>
  </si>
  <si>
    <t>Meeting to be set up with Assurance and Business to finalise.</t>
  </si>
  <si>
    <t>Issue_165</t>
  </si>
  <si>
    <t>Perform Early Risk Fraud Detection on Pre-Legal Credit Card in Everyday banking published(Circular 1541/2021) Operating Procedure: Perform Early Risk Fraud Detection Pre- Legal Credit Card in Every Banking Procedure. Business completed a closure pack (ICP) and awaiting  feedback. Re-submitted ICP which was approved by Sheldon Wood and Tejal Desai. November: Additional information was requested from business by Compliance  on 25 November 2021, business has provided feedback. Assurance  will also set up a meeting with Credit Risk, BU Head and Compliance to discuss the issues</t>
  </si>
  <si>
    <t>Over Limit Monitorin Fraud Identific &amp; Monitor Ass</t>
  </si>
  <si>
    <t>Action_83_Issue_166</t>
  </si>
  <si>
    <t>Phathutshedzo Mutshinya</t>
  </si>
  <si>
    <t>Issue_166</t>
  </si>
  <si>
    <t>Container security investigation</t>
  </si>
  <si>
    <t>Action_82_Issue_144</t>
  </si>
  <si>
    <t>August: Weekly sessions are being held and the backlog Is being dealt with. Current and future data fields are being addressed in the new data engagement process which feeds into the  glossary and other lineage tools. The Dashboard for the related data details is currently being developed in order to handle the delivery of the  glossary.  September: The development of the Dashboard is still in progress, data details are being collected during the lineage mapping.  October: Work has commenced to finalise the initial view of data collected. This will be reviewed and amended during November in preparation for December reporting.</t>
  </si>
  <si>
    <t>Clive Lees</t>
  </si>
  <si>
    <t>All actions related to the issue have been closed in respect of the  requirement to build the data dashboard.</t>
  </si>
  <si>
    <t>Issue_144</t>
  </si>
  <si>
    <t>Confirmation was pending from business</t>
  </si>
  <si>
    <t>Meta Data Management</t>
  </si>
  <si>
    <t>Action_74_Issue_143</t>
  </si>
  <si>
    <t>Meetings have been held with JSE and the SRM team to discuss action plans to ensure compliance in terms of licencing and contractual requirements. In the interim, the .co.za team will ensure the necessary disclaimer is published on all pages wheren JSE information is displayed.</t>
  </si>
  <si>
    <t>Safraiz Saib</t>
  </si>
  <si>
    <t>All the updates and references to JSE data have been completed. All data is now compliant. The duplicated tabs will be switched off.</t>
  </si>
  <si>
    <t>JSE Indices</t>
  </si>
  <si>
    <t>Action_73_Issue_137</t>
  </si>
  <si>
    <t>August:  The draft Web Standard has been completed and is under review as part of broader standards definition. This task will be managed centrally and finalized once the Digital Channels structure has been concluded.  September: The draft Web Standard has been completed and is under review as part of broader standards definition. This is currently on hold pending finalization of the structure.   October: The Digital Channels structure was finalized on the 26th October. The Web standard will be reviewed holistically as part of the Channels standards &amp; Release Management.</t>
  </si>
  <si>
    <t>Safraz Sib</t>
  </si>
  <si>
    <t>Issue_137</t>
  </si>
  <si>
    <t>Channels standards &amp; Release Management.</t>
  </si>
  <si>
    <t>Action_72_Issue_136</t>
  </si>
  <si>
    <t>August:  The Architecture, from a CVM perspective, has been closed out. The CB team is planning to include offers in the October release and has marked AVAF out of scope pending  feedback from the AVAF Project Manager.  September: The Tech team have advised that they are aiming to have this released into production in the first release of 2022, however, this is dependent on the API being provided by Everyday Banking. An ETA still needs to be provided by Everyday Banking as they are still working on the API.   October: ETA on the API  is still pending from the Everyday Banking Team. The Kilimanjaro project team is also currently reprioritizing the roadmap which will then be presented to the Head: CI&amp;C for finalization.</t>
  </si>
  <si>
    <t>Victor Kawelenga</t>
  </si>
  <si>
    <t>Actions have been remediated from a CVM perpective. Dependancy is on the EB team to close out as part of Kilimanjaro</t>
  </si>
  <si>
    <t>Issue_136</t>
  </si>
  <si>
    <t>VCL Offers : Kilimanjaro</t>
  </si>
  <si>
    <t>Action_71_Issue_135</t>
  </si>
  <si>
    <t>October A high-level analysis performed indicated a Rewards Service Orchestrate system  issue combined with a Merchant matching problem. Owing to the timelines involved and the risks associated in adjusting the scripts that are being run, the earn on the duplicated transaction cannot be made zero or excluded. This would impact the customer negatively. Rewards IT has generated a new script, on The Rewards Back-end system, to pick up these duplicates and prevent the members from earning on duplicated transactions. The new script will be implemented in the November accrual cycle.</t>
  </si>
  <si>
    <t>Quewin Reddy</t>
  </si>
  <si>
    <t>The scrpt was deployed succesfully into production. The issue has been remediated.</t>
  </si>
  <si>
    <t>Issue_135</t>
  </si>
  <si>
    <t>Technology Issues.</t>
  </si>
  <si>
    <t>Deploy Duplicated Transactions Script</t>
  </si>
  <si>
    <t>Action_70_Issue_133</t>
  </si>
  <si>
    <t>WT Remediation plan implementation and Monitoring thereof</t>
  </si>
  <si>
    <t>Vongani Mageza</t>
  </si>
  <si>
    <t>Issue_133</t>
  </si>
  <si>
    <t>WT Remediation plan and tracking</t>
  </si>
  <si>
    <t>Action_69_Issue_132</t>
  </si>
  <si>
    <t>Obtain approval  from Legal and Compliance on the new tagline. The Rewards team to provided the Strategic Marketing team with a view of which collateral needs to be updated. The Strategic Marketing team needs to determine the cost implication as well as the timelines of updating the collateral. The current campaigns being executed to include the updated tagline.</t>
  </si>
  <si>
    <t>Nontokozo Mahlangu</t>
  </si>
  <si>
    <t>March: All of the collateral referencing the 30% cash back offer have been retracted from all of the Rewards partners.  This risk can now be closed.</t>
  </si>
  <si>
    <t>Issue_132</t>
  </si>
  <si>
    <t>Review Marketing material</t>
  </si>
  <si>
    <t>Action_68_Issue_131</t>
  </si>
  <si>
    <t>The third SLA meeting was held on 21 October. A decision was made to complete a Short Form Agreement for 12 months as opposed to the initial extension to March 2022. The Procurement team is currently finalizing the review of the agreement and they will then circulate this  to the Dragonfly Agency Ltd team for their review and signature. The due date has been rebaselined due to a key stakeholder who provided commentary leaving the organization and the review having to be recirculated for input.</t>
  </si>
  <si>
    <t>CVM Procurement Partner</t>
  </si>
  <si>
    <t>This action has been closed</t>
  </si>
  <si>
    <t>Issue_131</t>
  </si>
  <si>
    <t>SLA Meetings and SFA extension</t>
  </si>
  <si>
    <t>Action_66_Issue_130</t>
  </si>
  <si>
    <t>Absa has submitted papers to the High court to defend the matter. Details hereof is legally privileged</t>
  </si>
  <si>
    <t>July: The Settlement Agreement has been finalized with conditions and made an order of the court.   This risk can now be closed</t>
  </si>
  <si>
    <t>Issue_130</t>
  </si>
  <si>
    <t>Legal Court case</t>
  </si>
  <si>
    <t>Action_65_Issue_104</t>
  </si>
  <si>
    <t>Communicate clear timelines of the decommissioning to the Digital Teams</t>
  </si>
  <si>
    <t>Deony van Wyk</t>
  </si>
  <si>
    <t>The project was rebaselined with the Digital teams being informed and agreeing to the new timelines. This risk can be closed.</t>
  </si>
  <si>
    <t>Issue_104</t>
  </si>
  <si>
    <t>Decommission CVS</t>
  </si>
  <si>
    <t>Action_64_Issue_129</t>
  </si>
  <si>
    <t>The team has escalated the matter and has had a discussion with CRC in order to ensure that expectations are managed accordingly in terms of contract renewal</t>
  </si>
  <si>
    <t>Funds for resources have been released from the relevant IN numbers for the projects. This risk can be closed.</t>
  </si>
  <si>
    <t>Issue_129</t>
  </si>
  <si>
    <t>Engage CRC</t>
  </si>
  <si>
    <t>Action_63_Issue_126</t>
  </si>
  <si>
    <t>The draft Digital Channels (Web) Standard will be completed and reviewed as part of the broader standards definition</t>
  </si>
  <si>
    <t>Piers Russel</t>
  </si>
  <si>
    <t>Issue_126</t>
  </si>
  <si>
    <t>Development and implementation of Web standard</t>
  </si>
  <si>
    <t>Action_62_Issue_125</t>
  </si>
  <si>
    <t>October A proposed solution to address the redemption issues has been discussed and agreed with the Rewards Partner Manager. The concept document is in draft and will be presented to the Supplier as technical development will be required from their side as well. The Rewards team will proceed with the development once confirmation has been  received from TLC for the integration of systems.  Complaints are still being monitored and  actioned manually in the interim as a BAU process.</t>
  </si>
  <si>
    <t>Vincent Issacs</t>
  </si>
  <si>
    <t>All testing was concluded successfully. IT has confirmed the deployment date as the 7th April at 10pm as they will be in Freeze next week. Only High Priority issues could be scheduled for deployment this week.</t>
  </si>
  <si>
    <t>Issue_125</t>
  </si>
  <si>
    <t>Development of supplier system intergration: MegaU</t>
  </si>
  <si>
    <t>Action_61_Issue_124</t>
  </si>
  <si>
    <t>Deletion of all duplicate profiles on the Rewards Customer Base</t>
  </si>
  <si>
    <t>Elle Torres</t>
  </si>
  <si>
    <t>Refunds will be processed on the 14th</t>
  </si>
  <si>
    <t>Issue_124</t>
  </si>
  <si>
    <t>The issue has been resolved. All refunds were duly processed on the 14th of December 2021 as per confirmation received from the Rewards IT team</t>
  </si>
  <si>
    <t>Delink Duplicate Profiles on Rewards customer Base</t>
  </si>
  <si>
    <t>Action_46_Issue_110</t>
  </si>
  <si>
    <t>The Everyday Banking team needs to develop and implement a new API service to align the offers.</t>
  </si>
  <si>
    <t>Issue_110</t>
  </si>
  <si>
    <t>Develop API Service</t>
  </si>
  <si>
    <t>Action_45_Issue_109</t>
  </si>
  <si>
    <t>A ratio analysis of specific roles needs to be completed. Resources need to be split into Managerial Oversight Capability and Core Project Delivery in terms of full-time capacity allocated versus real output.</t>
  </si>
  <si>
    <t>Riaz Patel</t>
  </si>
  <si>
    <t>20 vacancies have been filled. The remaining 5 vacancies have been included into the projects for the 2022 BoW. This risk can be closed.</t>
  </si>
  <si>
    <t>Issue_109</t>
  </si>
  <si>
    <t>Ratio analysis</t>
  </si>
  <si>
    <t>Action_43_Issue_108</t>
  </si>
  <si>
    <t>Tracking of the feature delivery in the Book of Work.</t>
  </si>
  <si>
    <t>The S&amp;I roadmap has been revised as part of the new Digital Channels strategy, with delays experienced from FIC being considered. This risk can be closed.</t>
  </si>
  <si>
    <t>Issue_108</t>
  </si>
  <si>
    <t>Consistent monitoring and tracking of delivery</t>
  </si>
  <si>
    <t>Action_42_Issue_104</t>
  </si>
  <si>
    <t>The proposed design needs to be presented  by the CIF Lead: Technology at the CVM ARB. The Architects need  to assess the impact on all â€œIn flightâ€ projects and revert back with their feedback. Architecture was asked to arrange for a full deep dive session with the CIF team and the Channel technical stakeholders in order to ensure that the infrastructure cleanup and alignment is given adequate priority. The Architecture team committed to provide the â€œaccess to customer dataâ€ information as well as where CVS is used in the Digital Channel journeys.</t>
  </si>
  <si>
    <t>The data was provided. The CIF team will work with the Architecture team to ensure that this system is decommissioned in a responsible manner.</t>
  </si>
  <si>
    <t>Presentation to CVM ARB and Concept Forum</t>
  </si>
  <si>
    <t>/ABSA Group Limited/South Africa/South Africa/Retail and Business Banking/Customer Value Management/Strategy and Customer Leads Management</t>
  </si>
  <si>
    <t>Strategy and Customer Leads Management</t>
  </si>
  <si>
    <t>Action_41_Issue_102</t>
  </si>
  <si>
    <t>1. CVM management will perform gap analysis upon existing processes. 2. CVM management will suggest and evaluate improvements that are to be implemented in the new solution so that gaps of previous solution were considered and mitigated.  Stage 2: 3. New system to use the same CTO approved approach for sourcing the data from Denodo. a. Data quality within Denodo falls outside the accountability of CVM leads Management or the incumbent system. b. Data completeness checks for the ETL between Denodo and the system to be included. 4. Data to be aggregated in the new data store (Hadoop) with transformation and clean-up scripts (ETL scripts) to be run on it. 5. ETL scripts to be based on existing CLO system as it already went through the Contact Governance Committee approval. 6. ETL scripts to be run once per day automatically with logs per script and per run to be generated (exception reports). a. Logs to be accessible and shared via email with all users within appropriate access group. b. Should anything go wrong (exception reports highlighting that some of the scripts were not finished successfully), a Service Now incident is to be created by responsible member of the support team. c. For incidentâ€™s closure, the CVM Leads Management needs to provide sign-off. 7. Failed scripts to be rerun only upon incidentâ€™s closure (with official approval of CVM Leads Management Team Member as stated above). 8. Exception reports / data to be made available for integration into and reviewed through the SalesForce system if necessary.</t>
  </si>
  <si>
    <t>Claudette Greeves</t>
  </si>
  <si>
    <t>The issue closure pack was submitted to Internal Audit on the 3rd of December and subsequently closed as per IA 's confirmation on the 10th of December.</t>
  </si>
  <si>
    <t>Issue_102</t>
  </si>
  <si>
    <t>Exception report monitoring -CI system data tables</t>
  </si>
  <si>
    <t>Synergy ID: AU51935</t>
  </si>
  <si>
    <t>Action_39_Issue_69</t>
  </si>
  <si>
    <t>Review the end to end Collateral process and implement an efficient process in place. To review:  1. Mandate 2. Risk we are addressing (update KRiâ€™s) 3. Collateral release 4. Collateral take on 5. Collateral amends 6. Compliance with credit policy 7. Cash collateral process 8. Handling of syndicated deals collateral as this normally resides within A debt guarantor structure 9. Awareness and communication internally 10. Back book status quo â€“ completeness and accuracy 11. Resourcing â€“ people, systems, timelines 12. HR engagement with increased responsibility for team â€“ for good governance</t>
  </si>
  <si>
    <t>Iraan Singh</t>
  </si>
  <si>
    <t>Issue_69</t>
  </si>
  <si>
    <t>IBD Collateral Management</t>
  </si>
  <si>
    <t>Action_38_Issue_74</t>
  </si>
  <si>
    <t>Investigate the possibility to change EOML to open up the field to ensure trading as name can be captured by source</t>
  </si>
  <si>
    <t>Due Date Captured Incorrect Must be 28 Feb 2022</t>
  </si>
  <si>
    <t>Changes on EOML</t>
  </si>
  <si>
    <t>Action_37_Issue_73</t>
  </si>
  <si>
    <t>Investigate pipeline application granted prior to implementation of UBO Structure not yet registered and determine action plan to verify NOB, SOI and SOF captured on these application</t>
  </si>
  <si>
    <t>Action ready to be converted to a due date closure of 28 February 2022</t>
  </si>
  <si>
    <t>Action_36_Issue_72</t>
  </si>
  <si>
    <t>Investigate and discuss impact of REG DB and way forward to eliminate current failures caused by REG DB</t>
  </si>
  <si>
    <t>Development for the KYC fix that will address the FICA finding for legal entities is completed.  However unit and SIT testing is delayed as the generation of the test accounts has not been done timeously due to resources constraints and system issues. We are now starting to make progress again.  Be that as it may, Iâ€™d like to extend the due date of delivery of this from 31st December to 15th February. This way we adequately test the fix through the various cycles in ensuring we deploy a bug free solution.</t>
  </si>
  <si>
    <t>Incorrect Action Linked to Issue</t>
  </si>
  <si>
    <t>Action_34_Issue_61</t>
  </si>
  <si>
    <t>Engineering and integration work for NS1 is almost complete thereafter service migration will commence in May 2021 and is expected to conclude in Q4, 2022</t>
  </si>
  <si>
    <t>Issue_61</t>
  </si>
  <si>
    <t>Migration from Infoblox to NS1</t>
  </si>
  <si>
    <t>Action_33_Issue_60</t>
  </si>
  <si>
    <t>Testing results highlight that thematic issued preciously raised by MA remain relevant due to the Reg DB inability to verify documents and indicating that documents are on file giving a â€Nâ€ indicator to the attorney to not obtain verification documents which results in business also not verifying and ultimately failing audits.</t>
  </si>
  <si>
    <t>E4 are busy with development - on track for closure in April 2022</t>
  </si>
  <si>
    <t>Issue_60</t>
  </si>
  <si>
    <t>Primary Customer Registered address not on file</t>
  </si>
  <si>
    <t>Action_32_Issue_7</t>
  </si>
  <si>
    <t>(1) TM to ensure inactive undertakings or covenants are flagged on Salesforce to reduce number of notifications from SF. (2) TM desk to implement exceptions reporting for long outstanding client requests to include Credit and Onboarding for root cause of delays (Implemented).</t>
  </si>
  <si>
    <t>Monthly exception reporting has been implemented by the TM team and 2 months reporting has been completed and submitted.</t>
  </si>
  <si>
    <t>Issue_7</t>
  </si>
  <si>
    <t>Undertakings Exception Reporting</t>
  </si>
  <si>
    <t>Action_31_Issue_59</t>
  </si>
  <si>
    <t>The teams will review and update the existing PDIâ€™s (Personal Data Inventories). This updated data will be used as input in order to complete the Voltron Template for upload into the Tool. The process to ingest the data into the Voltron tool has commenced and is currently in progress with the assistance of CVMâ€™s stakeholders.  A thematic issue across the various teams in respect of missing details for Data Stewards and / or Data Owners was identified during the transfer of data from the PDIs to the Voltron tool and these are currently being addressed with the relevant teams.</t>
  </si>
  <si>
    <t>Sifiso Munenekwa</t>
  </si>
  <si>
    <t>Issue_59</t>
  </si>
  <si>
    <t>Upload manual Data Flow maps onto the Voltron tool</t>
  </si>
  <si>
    <t>Action_30_Issue_56</t>
  </si>
  <si>
    <t>Going forward, Information Technology Office will ensure that aspects of the issue are tested prior to the closure of the issues. In this instance, focus was only placed on the electronic records. The process has been revised to â€œMajorâ€ from â€œCriticalâ€ so the requirement for updating the process will be revised accordingly.</t>
  </si>
  <si>
    <t>Charmaine Strydom</t>
  </si>
  <si>
    <t>Management have agreed going forward, they will ensure that aspects of the issue are tested prior to the closure of the issues. The process has been revised to â€œMajorâ€ from â€œCriticalâ€ so the requirement for updating the process will be revised accordingly.  No further actions required.</t>
  </si>
  <si>
    <t>Issue_56</t>
  </si>
  <si>
    <t>The issue is not overdue.  Assurance team requested that the issue be logged on ORMS with a due date of 2 November 2021 for record management purposes.  The plan was agreed upon by management and the issue was closed on 29 October 2021.</t>
  </si>
  <si>
    <t>Update records management process</t>
  </si>
  <si>
    <t>Action_29_Issue_46</t>
  </si>
  <si>
    <t>Confirmation received from CSO that they have completed testing.</t>
  </si>
  <si>
    <t>Mazwi Hlophe</t>
  </si>
  <si>
    <t>Action completed as per evidence received from Assurance.</t>
  </si>
  <si>
    <t>Issue_46</t>
  </si>
  <si>
    <t>The Assurance team required the issue and action to be logged on ORMS.  The issue and action was closed during the offline process prior to logging on ORMS.  There is delay due to system constraints on ORMS.</t>
  </si>
  <si>
    <t>CSO to perform testing</t>
  </si>
  <si>
    <t>Issue remediated.  1LoD assurance team tested this issue on both iOS and Android devices, the testing confirmed that files shared via Microsoft Teams to WhatsApp or any other unmanaged application cannot be viewed, downloaded or opened due to encryption by Intune app protections.</t>
  </si>
  <si>
    <t>COMPLETION APPROVED | 2022-01-17  |  ABSD349: Approved</t>
  </si>
  <si>
    <t>Action_28_Issue_52</t>
  </si>
  <si>
    <t>1. We have deployed newer generation AVI and Fortigate Load balancers which are fully supported.  2.Applications on the legacy load balancers should migrate to the fully supported AVI or Fortigate Load Balancers. Reliance on the legacy load balancers will naturally reduce and this legacy infrastructure can be  decommissioned.  3. Ideally applications should also decouple their dependence on fixed IP Addresses and instead use Domain Name Service (DNS) names. This will allow seamless fail-over between Data Centre locations using AVI Global Server Load Balancer (GSLB).</t>
  </si>
  <si>
    <t>Issue_52</t>
  </si>
  <si>
    <t>Migrate to new strategic load balancer solutions</t>
  </si>
  <si>
    <t>Action_27_Issue_50</t>
  </si>
  <si>
    <t>1. Application must be architected to be self contained in one Availability Zone (Data Centre). 2. Applications should also decouple their dependence on fixed IP Addresses and instead use Domain Name Service (DNS) names. This will allow seamless fail-over between Data Centre locations using AVI Global Server Load Balancer (GSLB). 3.Applications reliance on OTV will naturally reduce and this legacy network can be decommissioned.</t>
  </si>
  <si>
    <t>Juanita Pretorius</t>
  </si>
  <si>
    <t>Issue_50</t>
  </si>
  <si>
    <t>Business application remediation</t>
  </si>
  <si>
    <t>Action_26_Issue_48</t>
  </si>
  <si>
    <t>The Risk and Controls Officers (RCOs) will going forward use Open Pages to log the issues themselves and this will eliminate the mistakes/exceptions that have been noted. Each RCO will be responsible for the issues that they have logged in terms of the details logged and the quality thereof.</t>
  </si>
  <si>
    <t>Bert van der Walt</t>
  </si>
  <si>
    <t>Housekeeping issue completed.  Issues will be logged on OpenPages.</t>
  </si>
  <si>
    <t>Issue_48</t>
  </si>
  <si>
    <t>Risk Officers to log issues on Open Pages</t>
  </si>
  <si>
    <t>Action_25_Issue_46</t>
  </si>
  <si>
    <t>Management will investigate the possible solution to address the exception identified</t>
  </si>
  <si>
    <t>Confirmation received that the issue â€œSharing of PDF files from Teams Mobile to WhatsAppâ€ has been resolved.</t>
  </si>
  <si>
    <t>Android and iOS document sharing</t>
  </si>
  <si>
    <t>Action_23_Issue_42</t>
  </si>
  <si>
    <t>1. Remove the RC4 from all technologies that authenticate to active directory using ciphers. 2. Implement bank approved servers.</t>
  </si>
  <si>
    <t>Busisiwe Kgaladi</t>
  </si>
  <si>
    <t>Issue_42</t>
  </si>
  <si>
    <t>Remediate RC4 protocols</t>
  </si>
  <si>
    <t>Action_22_Issue_42</t>
  </si>
  <si>
    <t>1.  Disable SMBV1 from all the impacted application servers  2. Upgrade to the supported SMB version</t>
  </si>
  <si>
    <t>Remediate SMBV1 protocols</t>
  </si>
  <si>
    <t>Action_21_Issue_41</t>
  </si>
  <si>
    <t>Replace optical network infrastructure and Increase aggregate bandwidth on the DWDM links from 80Gbps to multiple 100Gbps circuits. We will also build out a DWDM full mesh network between Absa on-premise Data Centers and the Teraco colocation Data Centers increasing resilience and service stability.  More bandwidth means faster and higher capacity connectivity to our cloud partners (AWS and Azure).</t>
  </si>
  <si>
    <t>Nolan Waldhauzen</t>
  </si>
  <si>
    <t>Issue_41</t>
  </si>
  <si>
    <t>Inter data center Bandwidth increase</t>
  </si>
  <si>
    <t>Action_12_Issue_22</t>
  </si>
  <si>
    <t>Applications on Gen 4 DMZ should migrate to Amazon Web Services (AWS) SEN, alternatively to the fully supported on-premise SEN network. Reliance on Gen 4 DMZ will naturally reduce and this legacy network can be  decommissioned.</t>
  </si>
  <si>
    <t>Migrate applications and services to AWS or SEN</t>
  </si>
  <si>
    <t>Action_11_Issue_23</t>
  </si>
  <si>
    <t>Home and office machines that are stressed impact the call center agent user experience negatively and most probably need to be replaced. Home and office machine memory problems are caused by bloat/drag of all background apps running on the machines and needs to be remediated. A lighter build machine for work from home must be as slim/fit as possible, also addressing exhaustive memory and CPU utilization and data transfers. The Zscaler team will need to have a look at managing/prioritizing traffic and policy blocking to stop unwanted traffic taking up bandwidth. Testing of iterations with our test users to â€˜proveâ€™ to business we have a better experience.</t>
  </si>
  <si>
    <t>Issue_23</t>
  </si>
  <si>
    <t>Streamline apps &amp; processing on user workstations</t>
  </si>
  <si>
    <t>Action_10_Issue_19</t>
  </si>
  <si>
    <t>Applications should also decouple their dependence on fixed IP Addresses and instead use Domain Name Service (DNS) names. This will allow seamless fail-over between Data Centre locations using AVI Global Server Load Balancer (GSLB)</t>
  </si>
  <si>
    <t>Applications migration from fixed IP to DNS</t>
  </si>
  <si>
    <t>Action_9_Issue_19</t>
  </si>
  <si>
    <t>Applications on Gen 4 should migrate to Amazon Web Services (AWS) alternatively to the fully supported on-premise Gen 5 network. Reliance on Gen 4 will naturally reduce and this legacy network can be  decommissioned.</t>
  </si>
  <si>
    <t>Applications on GEN4</t>
  </si>
  <si>
    <t>Action_8_Issue_18</t>
  </si>
  <si>
    <t>Reliance on copper services will naturally reduce and this legacy network can be decommissioned.</t>
  </si>
  <si>
    <t>Issue_18</t>
  </si>
  <si>
    <t>Reduce reliance on Copper services</t>
  </si>
  <si>
    <t>Action_7_Issue_18</t>
  </si>
  <si>
    <t>We require support from the relevant business units and application owners to expedite migrations with 3rd parties to the newer fully supported 3rd Party connectivity platform.</t>
  </si>
  <si>
    <t>Expedite migrations with 3rd parties</t>
  </si>
  <si>
    <t>Action_6_Issue_18</t>
  </si>
  <si>
    <t>Absaâ€™s merchants and 3rd Parties are required to migrate their 3rd party owned Diginet services to Absaâ€™s fully supported 3rd Party connectivity platform.</t>
  </si>
  <si>
    <t>3rd Parties to migrate to supported infrastructure</t>
  </si>
  <si>
    <t>Action_5_Issue_16</t>
  </si>
  <si>
    <t>Reconciliation management of all debit orders - to enable the balancing down to one on one payment  identification down to contract level</t>
  </si>
  <si>
    <t>Linda Malinga</t>
  </si>
  <si>
    <t>Action can be closed due to all remediation actions undertaken</t>
  </si>
  <si>
    <t>All actions will be in progress and tracked by payments  project Milestone can be closed, as the applicable actions necessary to close the issue were taken, and some of the actions are now tracked in the Official Payments programme that is governed by AVAF EXCO.</t>
  </si>
  <si>
    <t>System training  - Could only close action on system now, but was closed in theory when Payments project started.</t>
  </si>
  <si>
    <t>Reconcilliation management of all debit orders</t>
  </si>
  <si>
    <t>/ABSA Group Limited/South Africa/South Africa/Corporate and Investment Bank/Support Functions/Post Trade Services Team/Treasury</t>
  </si>
  <si>
    <t>Action_3_Issue_4</t>
  </si>
  <si>
    <t>â€¢ The team is to prepare process documents for the bi-annual dividend process and to maintain in a central folder a task list categorizing tasks with its occurrence frequency (process event calendar) â€¢ Line Controllers are to perform more stringent review of month end journals and substantiation â€¢ PCT Governance to provide to have a lesson learnt with the team. This will specifically address the need for maintaining process documents, task lists and the management review process. â€¢ Balance sheet control to have more stringent review on the trial balance</t>
  </si>
  <si>
    <t>Team is currently working on delivery</t>
  </si>
  <si>
    <t>Issue_4</t>
  </si>
  <si>
    <t>Bi-annual dividend recognition</t>
  </si>
  <si>
    <t>/ABSA Group Limited/South Africa/South Africa/Corporate and Investment Bank/Support Functions/Product Control Team/Treasury</t>
  </si>
  <si>
    <t>Action_2_Issue_3</t>
  </si>
  <si>
    <t>â€¢ The team is to prepare process documents for the bi-annual dividend process and to maintain in a central folder a task list categorizing tasks with its occurrence frequency (process event calendar) â€¢ Line Controllers are to perform more stringent review of month end journals and substantiation â€¢ PCT Governance to provide to have a lesson learnt with the team. This will specifically address the need for maintaining process documents, task lists and the management review process. Stringent review by balance sheet control of the final trail balance</t>
  </si>
  <si>
    <t>Issue_3</t>
  </si>
  <si>
    <t>Bi-Annual Dividend Recognition</t>
  </si>
  <si>
    <t>ORMS_Action_Extract_Report.csv</t>
  </si>
  <si>
    <t>[{"errtype":"stdSchemaError","errcode":"E00007","errmsg":"The input data does not adhere to requested schema","errcol":null,"rawvalue":null}]</t>
  </si>
  <si>
    <t>Action_1803_Issue_2204</t>
  </si>
  <si>
    <t>training</t>
  </si>
  <si>
    <t>chansa</t>
  </si>
  <si>
    <t>Issue_2204</t>
  </si>
  <si>
    <t>Tra</t>
  </si>
  <si>
    <t>Action_1802_Issue_2203</t>
  </si>
  <si>
    <t>Issue_2203</t>
  </si>
  <si>
    <t>STTM_PCM_DWBS</t>
  </si>
  <si>
    <t>PCM_DWS_REMEDIATION_ACTION</t>
  </si>
  <si>
    <t>RULE</t>
  </si>
  <si>
    <t>REMEDIATION_ACTIONS</t>
  </si>
  <si>
    <t>REMEDIATION_ACTIONS_PCM_FIELDS</t>
  </si>
  <si>
    <t>Feilds are there</t>
  </si>
  <si>
    <t>Key:</t>
  </si>
  <si>
    <t>Proceed to utilise the field</t>
  </si>
  <si>
    <t> </t>
  </si>
  <si>
    <t>Field not appliable for DWBs</t>
  </si>
  <si>
    <t>deviation_type **</t>
  </si>
  <si>
    <t>Field to be added to Hadoop in June</t>
  </si>
  <si>
    <t>Field can be established using existing Hadoop data</t>
  </si>
  <si>
    <t>created_by_</t>
  </si>
  <si>
    <t>Keep because feild is from ORMS</t>
  </si>
  <si>
    <t>Field to be added in a future change in the year</t>
  </si>
  <si>
    <t>Keep because feild is from Fincrime,Comp, IA, ORMS</t>
  </si>
  <si>
    <t>last_modified_by</t>
  </si>
  <si>
    <t>last_modified_by_name</t>
  </si>
  <si>
    <t>additional_comments</t>
  </si>
  <si>
    <t>due_date</t>
  </si>
  <si>
    <t>Expected_Completion_Date</t>
  </si>
  <si>
    <t>expected_completion_date</t>
  </si>
  <si>
    <t>remedial_action</t>
  </si>
  <si>
    <t>Start_Date</t>
  </si>
  <si>
    <t>Workflow_Comments</t>
  </si>
  <si>
    <t>workflow_comments</t>
  </si>
  <si>
    <t>Extension_Approver</t>
  </si>
  <si>
    <t>extension_approver</t>
  </si>
  <si>
    <t>Extension_Approver_Name</t>
  </si>
  <si>
    <t>extension_approver_name</t>
  </si>
  <si>
    <t>remediation_action_type</t>
  </si>
  <si>
    <t>PCM,ORMS</t>
  </si>
  <si>
    <t>Keep because feild is from Fincrime,Comp, IA, ORMS,PCM</t>
  </si>
  <si>
    <t>accountable_executive – we utilise responsible executive</t>
  </si>
  <si>
    <t>Keep because feild is from Fincrime, IA, PCM</t>
  </si>
  <si>
    <t>accountable_executive_name– we utilise responsible executive</t>
  </si>
  <si>
    <t>Keep derived from FinCrime</t>
  </si>
  <si>
    <t>Keep FinCrime,Comp</t>
  </si>
  <si>
    <t>Keep IA</t>
  </si>
  <si>
    <t>#</t>
  </si>
  <si>
    <t>This we can remove as we dont have any mapping</t>
  </si>
  <si>
    <t>(Keep because feild is from ORMS)</t>
  </si>
  <si>
    <t>(Keep because feild is from FinCrime)</t>
  </si>
  <si>
    <t>Keep F,C,IA</t>
  </si>
  <si>
    <t>Keep derived from parent path</t>
  </si>
  <si>
    <t>(Remove because feild from PCM only)</t>
  </si>
  <si>
    <t>PCM Database</t>
  </si>
  <si>
    <t>PCM Table</t>
  </si>
  <si>
    <t>PCM Column Name(Team)</t>
  </si>
  <si>
    <t>Target_Column_Name</t>
  </si>
  <si>
    <t>PCM Column Name</t>
  </si>
  <si>
    <t xml:space="preserve"> The types or categories of objects that serve as parents within a hierarchical structure.</t>
  </si>
  <si>
    <t xml:space="preserve"> Objects or entities that serve as parents within a hierarchical structure, typically containing or governing other related objects.</t>
  </si>
  <si>
    <t xml:space="preserve"> A brief explanation or summary providing details about the characteristics or purpose of something.</t>
  </si>
  <si>
    <t xml:space="preserve"> The date and time when the last modification or change was made to an object or task.</t>
  </si>
  <si>
    <t>The individual or entity responsible for executing or overseeing a particular action or task</t>
  </si>
  <si>
    <t>The individual who is ultimately responsible or accountable for overseeing the resolution of an issue or task</t>
  </si>
  <si>
    <t>The name of the executive who holds ultimate responsibility for overseeing the resolution of an issue or task</t>
  </si>
  <si>
    <t xml:space="preserve"> The initial or first planned deadline for completing an action or task.</t>
  </si>
  <si>
    <t>The deadline or target date by which an action or task is expected to be completed</t>
  </si>
  <si>
    <t>Identified</t>
  </si>
  <si>
    <t>Unidentified</t>
  </si>
  <si>
    <t>Source Check</t>
  </si>
  <si>
    <t>Target Check</t>
  </si>
  <si>
    <t>issues_ID</t>
  </si>
  <si>
    <t>ia_findings_issue_id</t>
  </si>
  <si>
    <t>issues_project_id</t>
  </si>
  <si>
    <t>ia_findings_project_type_id</t>
  </si>
  <si>
    <t>issues_type</t>
  </si>
  <si>
    <t>ia_findings_project_type_name</t>
  </si>
  <si>
    <t>issues_issue_title</t>
  </si>
  <si>
    <t>ia_findings_title</t>
  </si>
  <si>
    <t>issues_issue_description</t>
  </si>
  <si>
    <t>ia_findings_description</t>
  </si>
  <si>
    <t>issue_status</t>
  </si>
  <si>
    <t>issue_co-ordinator</t>
  </si>
  <si>
    <t>issues_issue_Rating</t>
  </si>
  <si>
    <t>ia_findings_issue_priority_group</t>
  </si>
  <si>
    <t>issue_co-ordinator_name</t>
  </si>
  <si>
    <t>issues_Date_Identified</t>
  </si>
  <si>
    <t>issues_created_at</t>
  </si>
  <si>
    <t>issue_type</t>
  </si>
  <si>
    <t>issues_Root_Cause</t>
  </si>
  <si>
    <t>ia_findings_root_cause</t>
  </si>
  <si>
    <t>issues_executive_owner</t>
  </si>
  <si>
    <t>issues_remediation_status</t>
  </si>
  <si>
    <t>ia_findings_remediation_status</t>
  </si>
  <si>
    <t>issues_Issue_Due_Date</t>
  </si>
  <si>
    <t>ia_findings_issue_close_due_date</t>
  </si>
  <si>
    <t>action_plan_summary</t>
  </si>
  <si>
    <t>issues_Issue_Closure_Date</t>
  </si>
  <si>
    <t>ia_findings_issue_actual_close_date_date_risk_acceptance_validated</t>
  </si>
  <si>
    <t>issues_issue_Due_Date_Extension</t>
  </si>
  <si>
    <t>ia_findings_revised_issue_close_due_date</t>
  </si>
  <si>
    <t>issues_TOM_Process_value</t>
  </si>
  <si>
    <t>ia_findings_causal_category</t>
  </si>
  <si>
    <t>reporting_due_date_bucket</t>
  </si>
  <si>
    <t>issues_Primary_Root_Cause</t>
  </si>
  <si>
    <t>income_statement_impact_residual_local_amount</t>
  </si>
  <si>
    <t>issues_Primary_Root_Cause_value</t>
  </si>
  <si>
    <t>balance_sheet_impact_residual_local_amount</t>
  </si>
  <si>
    <t>Overall_Status</t>
  </si>
  <si>
    <t>Formally_reported_and_agreed</t>
  </si>
  <si>
    <t>speed_of_onset</t>
  </si>
  <si>
    <t>issues_remediation_plan</t>
  </si>
  <si>
    <t>LOD_Raising_Issue</t>
  </si>
  <si>
    <t>causal_category_level_1</t>
  </si>
  <si>
    <t>issues_financial_impact_rationale</t>
  </si>
  <si>
    <t>LOD_Team</t>
  </si>
  <si>
    <t>maximum_requested_due_date</t>
  </si>
  <si>
    <t>issues_likelihood_rationale</t>
  </si>
  <si>
    <t>issue_delivery_status</t>
  </si>
  <si>
    <t>issues_non_financial_impact_rationale</t>
  </si>
  <si>
    <t>date_identified</t>
  </si>
  <si>
    <t>projects_review</t>
  </si>
  <si>
    <t>issue_source_level_1</t>
  </si>
  <si>
    <t>issue_source_level_2</t>
  </si>
  <si>
    <t>remediation_project_name</t>
  </si>
  <si>
    <t>is_there_a_residual_non_financial_impact</t>
  </si>
  <si>
    <t>non-financial_impact_rationale</t>
  </si>
  <si>
    <t>assurance_review_title</t>
  </si>
  <si>
    <t>group_risk_rating_current</t>
  </si>
  <si>
    <t>issue_description</t>
  </si>
  <si>
    <t>expected_closure_date</t>
  </si>
  <si>
    <t>formally_reported_and_agreed</t>
  </si>
  <si>
    <t>lod_raising_issue</t>
  </si>
  <si>
    <t>lod_team</t>
  </si>
  <si>
    <t>overdue_issue_comment</t>
  </si>
  <si>
    <t>overdue_issue</t>
  </si>
  <si>
    <t>responsible_executive</t>
  </si>
  <si>
    <t>responsible_executive_name</t>
  </si>
  <si>
    <t>expected_issue_due_date</t>
  </si>
  <si>
    <t>likelihood_residual_current</t>
  </si>
  <si>
    <t>likelihood_rationale_current</t>
  </si>
  <si>
    <t>date_reopened</t>
  </si>
  <si>
    <t>root_cause_description</t>
  </si>
  <si>
    <t>financial_impact_rationale_residual</t>
  </si>
  <si>
    <t>non-financial_impact_residual</t>
  </si>
  <si>
    <t>group_rating_residual</t>
  </si>
  <si>
    <t>likelihood_residual</t>
  </si>
  <si>
    <t>likelihood_rationale_residual</t>
  </si>
  <si>
    <t>date</t>
  </si>
  <si>
    <t>System Calculated field for conversion validation</t>
  </si>
  <si>
    <t xml:space="preserve">Identifies the Principal Risk associated with each Action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</si>
</sst>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4">
    <font>
      <sz val="11"/>
      <color theme="1"/>
      <name val="Calibri"/>
      <family val="2"/>
      <scheme val="minor"/>
    </font>
    <font>
      <sz val="11"/>
      <color rgb="FF006100"/>
      <name val="Calibri"/>
      <family val="2"/>
      <scheme val="minor"/>
    </font>
    <font>
      <sz val="11"/>
      <color rgb="FF9C0006"/>
      <name val="Calibri"/>
      <family val="2"/>
      <scheme val="minor"/>
    </font>
    <font>
      <b/>
      <sz val="11"/>
      <color theme="1"/>
      <name val="Calibri"/>
      <family val="2"/>
      <scheme val="minor"/>
    </font>
    <font>
      <b/>
      <sz val="11"/>
      <color rgb="FF000000"/>
      <name val="Calibri"/>
      <family val="2"/>
      <scheme val="minor"/>
    </font>
    <font>
      <sz val="9"/>
      <color rgb="FF006100"/>
      <name val="Calibri"/>
      <family val="2"/>
      <scheme val="minor"/>
    </font>
    <font>
      <sz val="9"/>
      <color rgb="FF000000"/>
      <name val="Calibri"/>
      <family val="2"/>
      <scheme val="minor"/>
    </font>
    <font>
      <sz val="11"/>
      <color rgb="FF000000"/>
      <name val="Calibri"/>
      <family val="2"/>
      <scheme val="minor"/>
    </font>
    <font>
      <sz val="1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1"/>
      <name val="Calibri"/>
      <family val="2"/>
      <scheme val="minor"/>
    </font>
    <font>
      <sz val="11"/>
      <color theme="4"/>
      <name val="Calibri"/>
      <family val="2"/>
      <scheme val="minor"/>
    </font>
    <font>
      <b/>
      <sz val="9"/>
      <color theme="1"/>
      <name val="Calibri"/>
      <family val="2"/>
      <scheme val="minor"/>
    </font>
    <font>
      <sz val="9"/>
      <color theme="1"/>
      <name val="Calibri"/>
      <family val="2"/>
      <scheme val="minor"/>
    </font>
    <font>
      <sz val="10"/>
      <color theme="1"/>
      <name val="Arial"/>
      <family val="2"/>
      <charset val="177"/>
    </font>
    <font>
      <sz val="11"/>
      <color rgb="FF9C6500"/>
      <name val="Calibri"/>
      <family val="2"/>
      <scheme val="minor"/>
    </font>
    <font>
      <sz val="8"/>
      <color theme="1"/>
      <name val="Expert Sans Regular"/>
      <family val="2"/>
    </font>
    <font>
      <b/>
      <sz val="14"/>
      <color rgb="FF000000"/>
      <name val="Calibri"/>
      <family val="2"/>
      <scheme val="minor"/>
    </font>
    <font>
      <b/>
      <sz val="9"/>
      <color rgb="FF000000"/>
      <name val="Calibri"/>
      <family val="2"/>
      <scheme val="minor"/>
    </font>
    <font>
      <b/>
      <sz val="11"/>
      <color rgb="FF569CD6"/>
      <name val="Calibri"/>
      <family val="2"/>
    </font>
    <font>
      <b/>
      <sz val="11"/>
      <color rgb="FFCCCCCC"/>
      <name val="Calibri"/>
      <family val="2"/>
    </font>
    <font>
      <sz val="11"/>
      <color rgb="FFCCCCCC"/>
      <name val="Calibri"/>
      <family val="2"/>
    </font>
    <font>
      <sz val="11"/>
      <color rgb="FF000000"/>
      <name val="Calibri"/>
      <family val="2"/>
    </font>
    <font>
      <b/>
      <sz val="11"/>
      <color rgb="FF5B9BD5"/>
      <name val="Calibri"/>
      <family val="2"/>
      <scheme val="minor"/>
    </font>
    <font>
      <sz val="11"/>
      <color rgb="FF5B9BD5"/>
      <name val="Calibri"/>
      <family val="2"/>
      <scheme val="minor"/>
    </font>
    <font>
      <i/>
      <sz val="11"/>
      <color rgb="FF5B9BD5"/>
      <name val="Calibri"/>
      <family val="2"/>
      <scheme val="minor"/>
    </font>
    <font>
      <b/>
      <sz val="11"/>
      <color rgb="FF5B9BD5"/>
      <name val="Calibri"/>
      <family val="2"/>
    </font>
    <font>
      <sz val="11"/>
      <color rgb="FF5B9BD5"/>
      <name val="Calibri"/>
      <family val="2"/>
    </font>
    <font>
      <i/>
      <sz val="11"/>
      <color rgb="FF5B9BD5"/>
      <name val="Calibri"/>
      <family val="2"/>
    </font>
    <font>
      <sz val="11"/>
      <name val="Calibri"/>
      <family val="2"/>
    </font>
    <font>
      <b/>
      <sz val="11"/>
      <color theme="4"/>
      <name val="Calibri"/>
      <family val="2"/>
    </font>
    <font>
      <i/>
      <sz val="11"/>
      <color theme="4"/>
      <name val="Calibri"/>
      <family val="2"/>
    </font>
    <font>
      <sz val="11"/>
      <color theme="4"/>
      <name val="Calibri"/>
      <family val="2"/>
    </font>
    <font>
      <i/>
      <sz val="11"/>
      <color rgb="FF000000"/>
      <name val="Calibri"/>
      <family val="2"/>
      <scheme val="minor"/>
    </font>
    <font>
      <b/>
      <sz val="8"/>
      <color theme="1"/>
      <name val="Expert Sans Regular"/>
    </font>
    <font>
      <b/>
      <sz val="8"/>
      <color theme="5"/>
      <name val="Expert Sans Regular"/>
    </font>
    <font>
      <b/>
      <sz val="9"/>
      <color theme="1"/>
      <name val="Calibri"/>
      <family val="2"/>
    </font>
    <font>
      <sz val="11"/>
      <color rgb="FF242424"/>
      <name val="Aptos Narrow"/>
      <family val="2"/>
    </font>
    <font>
      <b/>
      <sz val="11"/>
      <color rgb="FF242424"/>
      <name val="Aptos Narrow"/>
      <family val="2"/>
    </font>
    <font>
      <sz val="11"/>
      <color rgb="FF242424"/>
      <name val="Calibri"/>
      <family val="2"/>
      <charset val="1"/>
    </font>
    <font>
      <sz val="11"/>
      <color rgb="FF000000"/>
      <name val="Calibri"/>
      <family val="2"/>
      <charset val="1"/>
    </font>
  </fonts>
  <fills count="82">
    <fill>
      <patternFill patternType="none"/>
    </fill>
    <fill>
      <patternFill patternType="gray125"/>
    </fill>
    <fill>
      <patternFill patternType="solid">
        <fgColor rgb="FFFFC7CE"/>
      </patternFill>
    </fill>
    <fill>
      <patternFill patternType="solid">
        <fgColor theme="7" tint="0.59999389629810485"/>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7" tint="0.59999389629810485"/>
        <bgColor indexed="64"/>
      </patternFill>
    </fill>
    <fill>
      <patternFill patternType="solid">
        <fgColor rgb="FFDDEBF7"/>
        <bgColor rgb="FF000000"/>
      </patternFill>
    </fill>
    <fill>
      <patternFill patternType="solid">
        <fgColor rgb="FFFCE4D6"/>
        <bgColor rgb="FF000000"/>
      </patternFill>
    </fill>
    <fill>
      <patternFill patternType="solid">
        <fgColor rgb="FFFFFFFF"/>
        <bgColor rgb="FF000000"/>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2CC"/>
        <bgColor rgb="FF000000"/>
      </patternFill>
    </fill>
    <fill>
      <patternFill patternType="solid">
        <fgColor theme="1"/>
        <bgColor indexed="64"/>
      </patternFill>
    </fill>
    <fill>
      <patternFill patternType="solid">
        <fgColor theme="1"/>
        <bgColor rgb="FF000000"/>
      </patternFill>
    </fill>
    <fill>
      <patternFill patternType="solid">
        <fgColor theme="0" tint="-0.14999847407452621"/>
        <bgColor rgb="FF000000"/>
      </patternFill>
    </fill>
    <fill>
      <patternFill patternType="solid">
        <fgColor theme="0" tint="-0.14999847407452621"/>
        <bgColor indexed="64"/>
      </patternFill>
    </fill>
    <fill>
      <patternFill patternType="solid">
        <fgColor theme="8" tint="0.59999389629810485"/>
        <bgColor indexed="64"/>
      </patternFill>
    </fill>
    <fill>
      <patternFill patternType="darkDown"/>
    </fill>
    <fill>
      <patternFill patternType="solid">
        <fgColor theme="6" tint="0.79998168889431442"/>
        <bgColor indexed="64"/>
      </patternFill>
    </fill>
    <fill>
      <patternFill patternType="solid">
        <fgColor rgb="FFD9E1F2"/>
        <bgColor rgb="FF000000"/>
      </patternFill>
    </fill>
    <fill>
      <patternFill patternType="lightDown">
        <fgColor rgb="FF000000"/>
      </patternFill>
    </fill>
    <fill>
      <patternFill patternType="lightUp">
        <bgColor theme="0"/>
      </patternFill>
    </fill>
    <fill>
      <patternFill patternType="lightUp">
        <bgColor rgb="FFC6EFCE"/>
      </patternFill>
    </fill>
    <fill>
      <patternFill patternType="lightUp">
        <bgColor theme="7" tint="0.79995117038483843"/>
      </patternFill>
    </fill>
    <fill>
      <patternFill patternType="solid">
        <fgColor theme="2"/>
        <bgColor indexed="64"/>
      </patternFill>
    </fill>
    <fill>
      <patternFill patternType="lightDown">
        <bgColor rgb="FFC8E1B9"/>
      </patternFill>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79998168889431442"/>
        <bgColor indexed="64"/>
      </patternFill>
    </fill>
    <fill>
      <patternFill patternType="lightDown">
        <bgColor theme="0"/>
      </patternFill>
    </fill>
    <fill>
      <patternFill patternType="lightDown"/>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lightUp">
        <bgColor theme="7" tint="0.79998168889431442"/>
      </patternFill>
    </fill>
    <fill>
      <patternFill patternType="lightUp">
        <bgColor theme="4" tint="0.79998168889431442"/>
      </patternFill>
    </fill>
    <fill>
      <patternFill patternType="lightUp">
        <bgColor theme="5" tint="0.79998168889431442"/>
      </patternFill>
    </fill>
    <fill>
      <patternFill patternType="lightUp">
        <bgColor theme="9" tint="0.79998168889431442"/>
      </patternFill>
    </fill>
    <fill>
      <patternFill patternType="lightUp">
        <bgColor rgb="FFD5B8EA"/>
      </patternFill>
    </fill>
    <fill>
      <patternFill patternType="solid">
        <fgColor rgb="FFD5B8EA"/>
        <bgColor indexed="64"/>
      </patternFill>
    </fill>
    <fill>
      <patternFill patternType="solid">
        <fgColor theme="5"/>
        <bgColor indexed="64"/>
      </patternFill>
    </fill>
    <fill>
      <patternFill patternType="solid">
        <fgColor theme="4"/>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FF"/>
        <bgColor indexed="64"/>
      </patternFill>
    </fill>
    <fill>
      <patternFill patternType="solid">
        <fgColor rgb="FF00B050"/>
        <bgColor indexed="64"/>
      </patternFill>
    </fill>
    <fill>
      <patternFill patternType="solid">
        <fgColor rgb="FFA6A6A6"/>
        <bgColor indexed="64"/>
      </patternFill>
    </fill>
    <fill>
      <patternFill patternType="solid">
        <fgColor rgb="FFFFC000"/>
        <bgColor indexed="64"/>
      </patternFill>
    </fill>
    <fill>
      <patternFill patternType="solid">
        <fgColor rgb="FF00B0F0"/>
        <bgColor indexed="64"/>
      </patternFill>
    </fill>
    <fill>
      <patternFill patternType="solid">
        <fgColor rgb="FFFF0000"/>
        <bgColor indexed="64"/>
      </patternFill>
    </fill>
    <fill>
      <patternFill patternType="solid">
        <fgColor theme="9"/>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indexed="64"/>
      </right>
      <top/>
      <bottom/>
      <diagonal/>
    </border>
    <border>
      <left style="thin">
        <color indexed="64"/>
      </left>
      <right/>
      <top/>
      <bottom style="thin">
        <color indexed="64"/>
      </bottom>
      <diagonal/>
    </border>
    <border>
      <left style="thin">
        <color rgb="FF000000"/>
      </left>
      <right style="thin">
        <color rgb="FF000000"/>
      </right>
      <top style="thin">
        <color indexed="64"/>
      </top>
      <bottom style="double">
        <color indexed="64"/>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indexed="64"/>
      </left>
      <right style="thin">
        <color indexed="64"/>
      </right>
      <top style="thin">
        <color indexed="64"/>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top/>
      <bottom/>
      <diagonal/>
    </border>
    <border>
      <left style="thin">
        <color rgb="FF000000"/>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indexed="64"/>
      </right>
      <top style="thin">
        <color indexed="64"/>
      </top>
      <bottom style="thin">
        <color rgb="FF000000"/>
      </bottom>
      <diagonal/>
    </border>
    <border>
      <left style="thin">
        <color indexed="64"/>
      </left>
      <right style="thin">
        <color indexed="64"/>
      </right>
      <top/>
      <bottom style="thin">
        <color rgb="FF000000"/>
      </bottom>
      <diagonal/>
    </border>
    <border>
      <left/>
      <right style="thin">
        <color rgb="FF000000"/>
      </right>
      <top style="thin">
        <color indexed="64"/>
      </top>
      <bottom style="thin">
        <color indexed="64"/>
      </bottom>
      <diagonal/>
    </border>
    <border>
      <left style="thin">
        <color indexed="64"/>
      </left>
      <right style="thin">
        <color rgb="FF000000"/>
      </right>
      <top/>
      <bottom style="thin">
        <color indexed="64"/>
      </bottom>
      <diagonal/>
    </border>
    <border>
      <left/>
      <right style="thin">
        <color rgb="FF000000"/>
      </right>
      <top/>
      <bottom style="thin">
        <color indexed="64"/>
      </bottom>
      <diagonal/>
    </border>
    <border>
      <left/>
      <right style="thin">
        <color rgb="FF000000"/>
      </right>
      <top style="thin">
        <color indexed="64"/>
      </top>
      <bottom style="thin">
        <color rgb="FF000000"/>
      </bottom>
      <diagonal/>
    </border>
    <border>
      <left style="thin">
        <color rgb="FF000000"/>
      </left>
      <right style="thin">
        <color rgb="FF000000"/>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50">
    <xf numFmtId="0" fontId="0" fillId="0" borderId="0"/>
    <xf numFmtId="0" fontId="2" fillId="2" borderId="0" applyNumberFormat="0" applyBorder="0" applyAlignment="0" applyProtection="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 fillId="10" borderId="0" applyNumberFormat="0" applyBorder="0" applyAlignment="0" applyProtection="0"/>
    <xf numFmtId="0" fontId="14" fillId="11" borderId="0" applyNumberFormat="0" applyBorder="0" applyAlignment="0" applyProtection="0"/>
    <xf numFmtId="0" fontId="15" fillId="12" borderId="8" applyNumberFormat="0" applyAlignment="0" applyProtection="0"/>
    <xf numFmtId="0" fontId="16" fillId="13" borderId="9" applyNumberFormat="0" applyAlignment="0" applyProtection="0"/>
    <xf numFmtId="0" fontId="17" fillId="13" borderId="8" applyNumberFormat="0" applyAlignment="0" applyProtection="0"/>
    <xf numFmtId="0" fontId="18" fillId="0" borderId="10" applyNumberFormat="0" applyFill="0" applyAlignment="0" applyProtection="0"/>
    <xf numFmtId="0" fontId="19" fillId="14" borderId="11" applyNumberFormat="0" applyAlignment="0" applyProtection="0"/>
    <xf numFmtId="0" fontId="20" fillId="0" borderId="0" applyNumberFormat="0" applyFill="0" applyBorder="0" applyAlignment="0" applyProtection="0"/>
    <xf numFmtId="0" fontId="9" fillId="15" borderId="12" applyNumberFormat="0" applyFont="0" applyAlignment="0" applyProtection="0"/>
    <xf numFmtId="0" fontId="21" fillId="0" borderId="0" applyNumberFormat="0" applyFill="0" applyBorder="0" applyAlignment="0" applyProtection="0"/>
    <xf numFmtId="0" fontId="3" fillId="0" borderId="13" applyNumberFormat="0" applyFill="0" applyAlignment="0" applyProtection="0"/>
    <xf numFmtId="0" fontId="22"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2" fillId="20"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2"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2"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2"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22" fillId="36" borderId="0" applyNumberFormat="0" applyBorder="0" applyAlignment="0" applyProtection="0"/>
    <xf numFmtId="0" fontId="9"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9" fontId="9" fillId="0" borderId="0" applyFont="0" applyFill="0" applyBorder="0" applyAlignment="0" applyProtection="0"/>
    <xf numFmtId="0" fontId="25" fillId="46" borderId="0">
      <alignment vertical="top"/>
    </xf>
    <xf numFmtId="0" fontId="28" fillId="11" borderId="0" applyNumberFormat="0" applyBorder="0" applyAlignment="0" applyProtection="0"/>
    <xf numFmtId="0" fontId="27" fillId="0" borderId="0"/>
    <xf numFmtId="0" fontId="29" fillId="0" borderId="0"/>
    <xf numFmtId="0" fontId="2" fillId="50" borderId="1"/>
    <xf numFmtId="0" fontId="1" fillId="51" borderId="1"/>
    <xf numFmtId="0" fontId="26" fillId="52" borderId="1"/>
  </cellStyleXfs>
  <cellXfs count="285">
    <xf numFmtId="0" fontId="0" fillId="0" borderId="0" xfId="0"/>
    <xf numFmtId="0" fontId="7" fillId="0" borderId="1" xfId="0" applyFont="1" applyBorder="1" applyAlignment="1">
      <alignment vertical="top"/>
    </xf>
    <xf numFmtId="0" fontId="3" fillId="5" borderId="1" xfId="0" applyFont="1" applyFill="1" applyBorder="1" applyAlignment="1">
      <alignment horizontal="center"/>
    </xf>
    <xf numFmtId="0" fontId="3" fillId="6" borderId="1" xfId="0" applyFont="1" applyFill="1" applyBorder="1" applyAlignment="1">
      <alignment horizontal="center"/>
    </xf>
    <xf numFmtId="0" fontId="7" fillId="7" borderId="1" xfId="0" applyFont="1" applyFill="1" applyBorder="1" applyAlignment="1">
      <alignment vertical="top"/>
    </xf>
    <xf numFmtId="0" fontId="0" fillId="0" borderId="1" xfId="0" applyBorder="1"/>
    <xf numFmtId="0" fontId="3" fillId="5" borderId="4" xfId="0" applyFont="1" applyFill="1" applyBorder="1" applyAlignment="1">
      <alignment horizontal="center"/>
    </xf>
    <xf numFmtId="0" fontId="7" fillId="0" borderId="3" xfId="0" applyFont="1" applyBorder="1" applyAlignment="1">
      <alignment vertical="top"/>
    </xf>
    <xf numFmtId="0" fontId="7" fillId="8" borderId="1" xfId="0" applyFont="1" applyFill="1" applyBorder="1" applyAlignment="1">
      <alignment vertical="top"/>
    </xf>
    <xf numFmtId="0" fontId="4" fillId="4" borderId="1" xfId="0" applyFont="1" applyFill="1" applyBorder="1" applyAlignment="1">
      <alignment horizontal="center" vertical="top"/>
    </xf>
    <xf numFmtId="0" fontId="4" fillId="3" borderId="3" xfId="0" applyFont="1" applyFill="1" applyBorder="1" applyAlignment="1">
      <alignment horizontal="center" vertical="top"/>
    </xf>
    <xf numFmtId="0" fontId="8" fillId="0" borderId="1" xfId="0" applyFont="1" applyBorder="1"/>
    <xf numFmtId="14" fontId="0" fillId="0" borderId="1" xfId="0" applyNumberFormat="1" applyBorder="1"/>
    <xf numFmtId="22" fontId="0" fillId="0" borderId="0" xfId="0" applyNumberFormat="1"/>
    <xf numFmtId="14" fontId="0" fillId="0" borderId="0" xfId="0" applyNumberFormat="1"/>
    <xf numFmtId="0" fontId="19" fillId="41" borderId="3" xfId="0" applyFont="1" applyFill="1" applyBorder="1"/>
    <xf numFmtId="0" fontId="19" fillId="42" borderId="3" xfId="0" applyFont="1" applyFill="1" applyBorder="1" applyAlignment="1">
      <alignment horizontal="center" vertical="top"/>
    </xf>
    <xf numFmtId="0" fontId="23" fillId="0" borderId="1" xfId="0" applyFont="1" applyBorder="1" applyAlignment="1">
      <alignment horizontal="center"/>
    </xf>
    <xf numFmtId="0" fontId="5" fillId="43" borderId="1" xfId="0" applyFont="1" applyFill="1" applyBorder="1"/>
    <xf numFmtId="0" fontId="6" fillId="44" borderId="1" xfId="0" applyFont="1" applyFill="1" applyBorder="1"/>
    <xf numFmtId="0" fontId="1" fillId="10" borderId="1" xfId="7" applyBorder="1" applyAlignment="1">
      <alignment vertical="top"/>
    </xf>
    <xf numFmtId="0" fontId="24" fillId="45" borderId="1" xfId="1" applyFont="1" applyFill="1" applyBorder="1" applyAlignment="1">
      <alignment vertical="top"/>
    </xf>
    <xf numFmtId="0" fontId="1" fillId="10" borderId="1" xfId="7" applyBorder="1"/>
    <xf numFmtId="0" fontId="4" fillId="0" borderId="3" xfId="0" applyFont="1" applyBorder="1" applyAlignment="1">
      <alignment horizontal="center" vertical="top"/>
    </xf>
    <xf numFmtId="0" fontId="25" fillId="46" borderId="0" xfId="43">
      <alignment vertical="top"/>
    </xf>
    <xf numFmtId="0" fontId="31" fillId="48" borderId="1" xfId="0" applyFont="1" applyFill="1" applyBorder="1" applyAlignment="1">
      <alignment horizontal="center" vertical="center" wrapText="1"/>
    </xf>
    <xf numFmtId="0" fontId="31" fillId="48" borderId="1" xfId="0" applyFont="1" applyFill="1" applyBorder="1" applyAlignment="1">
      <alignment horizontal="center" vertical="center"/>
    </xf>
    <xf numFmtId="0" fontId="31" fillId="40" borderId="1" xfId="0" applyFont="1" applyFill="1" applyBorder="1" applyAlignment="1">
      <alignment horizontal="center" vertical="center"/>
    </xf>
    <xf numFmtId="0" fontId="9" fillId="0" borderId="1" xfId="0" applyFont="1" applyBorder="1" applyAlignment="1">
      <alignment vertical="top"/>
    </xf>
    <xf numFmtId="0" fontId="1" fillId="47" borderId="1" xfId="7" applyFill="1" applyBorder="1" applyAlignment="1">
      <alignment vertical="top"/>
    </xf>
    <xf numFmtId="0" fontId="9" fillId="0" borderId="2" xfId="0" applyFont="1" applyBorder="1" applyAlignment="1">
      <alignment vertical="top"/>
    </xf>
    <xf numFmtId="0" fontId="1" fillId="47" borderId="3" xfId="7" applyFill="1" applyBorder="1" applyAlignment="1">
      <alignment vertical="top"/>
    </xf>
    <xf numFmtId="9" fontId="3" fillId="0" borderId="17" xfId="42" applyFont="1" applyBorder="1"/>
    <xf numFmtId="0" fontId="24" fillId="45" borderId="18" xfId="1" applyFont="1" applyFill="1" applyBorder="1"/>
    <xf numFmtId="0" fontId="8" fillId="9" borderId="18" xfId="0" applyFont="1" applyFill="1" applyBorder="1"/>
    <xf numFmtId="0" fontId="8" fillId="0" borderId="18" xfId="0" applyFont="1" applyBorder="1"/>
    <xf numFmtId="0" fontId="7" fillId="9" borderId="18" xfId="0" applyFont="1" applyFill="1" applyBorder="1"/>
    <xf numFmtId="0" fontId="7" fillId="0" borderId="18" xfId="0" applyFont="1" applyBorder="1"/>
    <xf numFmtId="0" fontId="0" fillId="0" borderId="1" xfId="0" applyBorder="1" applyAlignment="1">
      <alignment vertical="top"/>
    </xf>
    <xf numFmtId="0" fontId="0" fillId="53" borderId="3" xfId="0" applyFill="1" applyBorder="1" applyAlignment="1">
      <alignment vertical="top"/>
    </xf>
    <xf numFmtId="0" fontId="0" fillId="53" borderId="1" xfId="0" applyFill="1" applyBorder="1" applyAlignment="1">
      <alignment vertical="top"/>
    </xf>
    <xf numFmtId="0" fontId="3" fillId="53" borderId="1" xfId="0" applyFont="1" applyFill="1" applyBorder="1" applyAlignment="1">
      <alignment vertical="top"/>
    </xf>
    <xf numFmtId="0" fontId="0" fillId="54" borderId="1" xfId="0" applyFill="1" applyBorder="1" applyAlignment="1">
      <alignment vertical="top"/>
    </xf>
    <xf numFmtId="0" fontId="0" fillId="55" borderId="1" xfId="0" applyFill="1" applyBorder="1" applyAlignment="1">
      <alignment vertical="top"/>
    </xf>
    <xf numFmtId="0" fontId="0" fillId="57" borderId="1" xfId="0" applyFill="1" applyBorder="1" applyAlignment="1">
      <alignment vertical="top"/>
    </xf>
    <xf numFmtId="0" fontId="0" fillId="58" borderId="1" xfId="0" applyFill="1" applyBorder="1" applyAlignment="1">
      <alignment vertical="top"/>
    </xf>
    <xf numFmtId="0" fontId="0" fillId="57" borderId="0" xfId="0" applyFill="1" applyAlignment="1">
      <alignment vertical="top"/>
    </xf>
    <xf numFmtId="0" fontId="0" fillId="59" borderId="1" xfId="0" applyFill="1" applyBorder="1" applyAlignment="1">
      <alignment vertical="top"/>
    </xf>
    <xf numFmtId="0" fontId="0" fillId="60" borderId="1" xfId="0" applyFill="1" applyBorder="1" applyAlignment="1">
      <alignment vertical="top"/>
    </xf>
    <xf numFmtId="0" fontId="0" fillId="56" borderId="1" xfId="0" applyFill="1" applyBorder="1"/>
    <xf numFmtId="0" fontId="0" fillId="61" borderId="1" xfId="0" applyFill="1" applyBorder="1" applyAlignment="1">
      <alignment vertical="top"/>
    </xf>
    <xf numFmtId="0" fontId="5" fillId="47" borderId="1" xfId="7" applyFont="1" applyFill="1" applyBorder="1"/>
    <xf numFmtId="0" fontId="26" fillId="0" borderId="1" xfId="0" applyFont="1" applyBorder="1"/>
    <xf numFmtId="0" fontId="1" fillId="51" borderId="1" xfId="48"/>
    <xf numFmtId="0" fontId="1" fillId="47" borderId="1" xfId="7" applyFill="1" applyBorder="1"/>
    <xf numFmtId="0" fontId="3" fillId="6" borderId="3" xfId="0" applyFont="1" applyFill="1" applyBorder="1" applyAlignment="1">
      <alignment horizontal="center"/>
    </xf>
    <xf numFmtId="0" fontId="0" fillId="55" borderId="1" xfId="0" applyFill="1" applyBorder="1"/>
    <xf numFmtId="0" fontId="0" fillId="6" borderId="0" xfId="0" applyFill="1"/>
    <xf numFmtId="0" fontId="14" fillId="11" borderId="1" xfId="8" applyBorder="1"/>
    <xf numFmtId="0" fontId="3" fillId="0" borderId="1" xfId="0" applyFont="1" applyBorder="1" applyAlignment="1">
      <alignment horizontal="center"/>
    </xf>
    <xf numFmtId="0" fontId="3" fillId="0" borderId="0" xfId="0" applyFont="1" applyAlignment="1">
      <alignment horizontal="center"/>
    </xf>
    <xf numFmtId="0" fontId="26" fillId="44" borderId="0" xfId="46" applyFont="1" applyFill="1"/>
    <xf numFmtId="0" fontId="29" fillId="0" borderId="1" xfId="46" applyBorder="1"/>
    <xf numFmtId="0" fontId="47" fillId="62" borderId="1" xfId="46" applyFont="1" applyFill="1" applyBorder="1"/>
    <xf numFmtId="0" fontId="2" fillId="2" borderId="1" xfId="1" applyBorder="1"/>
    <xf numFmtId="0" fontId="48" fillId="0" borderId="1" xfId="46" applyFont="1" applyBorder="1"/>
    <xf numFmtId="0" fontId="31" fillId="8" borderId="1" xfId="0" applyFont="1" applyFill="1" applyBorder="1" applyAlignment="1">
      <alignment horizontal="center" vertical="center"/>
    </xf>
    <xf numFmtId="0" fontId="4" fillId="0" borderId="1" xfId="0" applyFont="1" applyBorder="1" applyAlignment="1">
      <alignment horizontal="center"/>
    </xf>
    <xf numFmtId="0" fontId="2" fillId="2" borderId="1" xfId="1" applyBorder="1" applyAlignment="1">
      <alignment horizontal="left"/>
    </xf>
    <xf numFmtId="0" fontId="29" fillId="0" borderId="18" xfId="46" applyBorder="1"/>
    <xf numFmtId="0" fontId="29" fillId="0" borderId="14" xfId="46" applyBorder="1"/>
    <xf numFmtId="0" fontId="0" fillId="58" borderId="1" xfId="0" applyFill="1" applyBorder="1"/>
    <xf numFmtId="0" fontId="0" fillId="57" borderId="1" xfId="0" applyFill="1" applyBorder="1"/>
    <xf numFmtId="0" fontId="0" fillId="63" borderId="1" xfId="0" applyFill="1" applyBorder="1"/>
    <xf numFmtId="0" fontId="0" fillId="56" borderId="0" xfId="0" applyFill="1"/>
    <xf numFmtId="0" fontId="35" fillId="49" borderId="1" xfId="0" applyFont="1" applyFill="1" applyBorder="1"/>
    <xf numFmtId="0" fontId="7" fillId="40" borderId="1" xfId="0" applyFont="1" applyFill="1" applyBorder="1" applyAlignment="1">
      <alignment horizontal="left" vertical="center"/>
    </xf>
    <xf numFmtId="0" fontId="7" fillId="48" borderId="1" xfId="0" applyFont="1" applyFill="1" applyBorder="1" applyAlignment="1">
      <alignment horizontal="left" vertical="center"/>
    </xf>
    <xf numFmtId="0" fontId="7" fillId="0" borderId="1" xfId="0" applyFont="1" applyBorder="1" applyAlignment="1">
      <alignment horizontal="left" vertical="center"/>
    </xf>
    <xf numFmtId="0" fontId="3" fillId="0" borderId="21" xfId="0" applyFont="1" applyBorder="1" applyAlignment="1">
      <alignment horizontal="center"/>
    </xf>
    <xf numFmtId="0" fontId="0" fillId="0" borderId="18" xfId="0" applyBorder="1"/>
    <xf numFmtId="0" fontId="7" fillId="0" borderId="14" xfId="0" applyFont="1" applyBorder="1" applyAlignment="1">
      <alignment horizontal="left" vertical="center"/>
    </xf>
    <xf numFmtId="0" fontId="0" fillId="0" borderId="14" xfId="0" applyBorder="1"/>
    <xf numFmtId="0" fontId="23" fillId="0" borderId="21" xfId="0" applyFont="1" applyBorder="1" applyAlignment="1">
      <alignment horizontal="center"/>
    </xf>
    <xf numFmtId="0" fontId="0" fillId="0" borderId="21" xfId="0" applyBorder="1"/>
    <xf numFmtId="0" fontId="4" fillId="0" borderId="21" xfId="0" applyFont="1" applyBorder="1" applyAlignment="1">
      <alignment horizontal="center"/>
    </xf>
    <xf numFmtId="0" fontId="23" fillId="0" borderId="18" xfId="0" applyFont="1" applyBorder="1" applyAlignment="1">
      <alignment horizontal="center"/>
    </xf>
    <xf numFmtId="0" fontId="19" fillId="41" borderId="4" xfId="0" applyFont="1" applyFill="1" applyBorder="1"/>
    <xf numFmtId="0" fontId="2" fillId="64" borderId="1" xfId="47" applyFill="1"/>
    <xf numFmtId="0" fontId="2" fillId="65" borderId="1" xfId="47" applyFill="1"/>
    <xf numFmtId="0" fontId="2" fillId="66" borderId="1" xfId="47" applyFill="1"/>
    <xf numFmtId="0" fontId="2" fillId="67" borderId="1" xfId="47" applyFill="1"/>
    <xf numFmtId="0" fontId="6" fillId="0" borderId="1" xfId="0" applyFont="1" applyBorder="1" applyAlignment="1">
      <alignment horizontal="left" vertical="top" wrapText="1"/>
    </xf>
    <xf numFmtId="0" fontId="7" fillId="0" borderId="1" xfId="0" applyFont="1" applyBorder="1" applyAlignment="1">
      <alignment horizontal="left" vertical="top" wrapText="1"/>
    </xf>
    <xf numFmtId="0" fontId="0" fillId="63" borderId="0" xfId="0" applyFill="1" applyAlignment="1">
      <alignment horizontal="center"/>
    </xf>
    <xf numFmtId="0" fontId="0" fillId="58" borderId="0" xfId="0" applyFill="1" applyAlignment="1">
      <alignment horizontal="center"/>
    </xf>
    <xf numFmtId="0" fontId="6" fillId="0" borderId="15" xfId="0" applyFont="1" applyBorder="1" applyAlignment="1">
      <alignment horizontal="left" vertical="top" wrapText="1"/>
    </xf>
    <xf numFmtId="0" fontId="6" fillId="0" borderId="3" xfId="0" applyFont="1" applyBorder="1" applyAlignment="1">
      <alignment horizontal="left" vertical="top" wrapText="1"/>
    </xf>
    <xf numFmtId="0" fontId="6" fillId="0" borderId="23" xfId="0" applyFont="1" applyBorder="1" applyAlignment="1">
      <alignment horizontal="left" vertical="top" wrapText="1"/>
    </xf>
    <xf numFmtId="0" fontId="6" fillId="0" borderId="2" xfId="0" applyFont="1" applyBorder="1" applyAlignment="1">
      <alignment horizontal="left" vertical="top" wrapText="1"/>
    </xf>
    <xf numFmtId="0" fontId="6" fillId="0" borderId="16" xfId="0" applyFont="1" applyBorder="1" applyAlignment="1">
      <alignment horizontal="left" vertical="top" wrapText="1"/>
    </xf>
    <xf numFmtId="0" fontId="0" fillId="63" borderId="0" xfId="0" applyFill="1"/>
    <xf numFmtId="0" fontId="0" fillId="58" borderId="0" xfId="0" applyFill="1"/>
    <xf numFmtId="0" fontId="2" fillId="68" borderId="1" xfId="47" applyFill="1"/>
    <xf numFmtId="0" fontId="0" fillId="69" borderId="0" xfId="0" applyFill="1"/>
    <xf numFmtId="0" fontId="7" fillId="69" borderId="1" xfId="0" applyFont="1" applyFill="1" applyBorder="1" applyAlignment="1">
      <alignment horizontal="left" vertical="top" wrapText="1"/>
    </xf>
    <xf numFmtId="0" fontId="0" fillId="69" borderId="1" xfId="0" applyFill="1" applyBorder="1"/>
    <xf numFmtId="0" fontId="23" fillId="0" borderId="25" xfId="0" applyFont="1" applyBorder="1" applyAlignment="1">
      <alignment horizontal="center"/>
    </xf>
    <xf numFmtId="9" fontId="23" fillId="0" borderId="24" xfId="42" applyFont="1" applyBorder="1" applyAlignment="1">
      <alignment horizontal="center"/>
    </xf>
    <xf numFmtId="0" fontId="6" fillId="69" borderId="1" xfId="0" applyFont="1" applyFill="1" applyBorder="1" applyAlignment="1">
      <alignment horizontal="right" vertical="top" wrapText="1"/>
    </xf>
    <xf numFmtId="0" fontId="31" fillId="48" borderId="1" xfId="0" applyFont="1" applyFill="1" applyBorder="1" applyAlignment="1">
      <alignment horizontal="right" vertical="center"/>
    </xf>
    <xf numFmtId="0" fontId="0" fillId="58" borderId="1" xfId="0" applyFill="1" applyBorder="1" applyAlignment="1">
      <alignment horizontal="right"/>
    </xf>
    <xf numFmtId="0" fontId="0" fillId="57" borderId="1" xfId="0" applyFill="1" applyBorder="1" applyAlignment="1">
      <alignment horizontal="right"/>
    </xf>
    <xf numFmtId="0" fontId="0" fillId="55" borderId="1" xfId="0" applyFill="1" applyBorder="1" applyAlignment="1">
      <alignment horizontal="right"/>
    </xf>
    <xf numFmtId="0" fontId="0" fillId="63" borderId="1" xfId="0" applyFill="1" applyBorder="1" applyAlignment="1">
      <alignment horizontal="right"/>
    </xf>
    <xf numFmtId="0" fontId="0" fillId="69" borderId="1" xfId="0" applyFill="1" applyBorder="1" applyAlignment="1">
      <alignment horizontal="right"/>
    </xf>
    <xf numFmtId="0" fontId="0" fillId="0" borderId="0" xfId="0" applyAlignment="1">
      <alignment horizontal="right"/>
    </xf>
    <xf numFmtId="0" fontId="7" fillId="69" borderId="1" xfId="0" applyFont="1" applyFill="1" applyBorder="1" applyAlignment="1">
      <alignment horizontal="right" vertical="top" wrapText="1"/>
    </xf>
    <xf numFmtId="0" fontId="0" fillId="69" borderId="1" xfId="0" applyFill="1" applyBorder="1" applyAlignment="1">
      <alignment horizontal="left"/>
    </xf>
    <xf numFmtId="0" fontId="7" fillId="55" borderId="1" xfId="0" applyFont="1" applyFill="1" applyBorder="1" applyAlignment="1">
      <alignment horizontal="left" vertical="top" wrapText="1"/>
    </xf>
    <xf numFmtId="0" fontId="7" fillId="57" borderId="1" xfId="0" applyFont="1" applyFill="1" applyBorder="1" applyAlignment="1">
      <alignment horizontal="left" vertical="top" wrapText="1"/>
    </xf>
    <xf numFmtId="0" fontId="7" fillId="63" borderId="1" xfId="0" applyFont="1" applyFill="1" applyBorder="1" applyAlignment="1">
      <alignment horizontal="left" vertical="top" wrapText="1"/>
    </xf>
    <xf numFmtId="0" fontId="7" fillId="65" borderId="1" xfId="47" applyFont="1" applyFill="1"/>
    <xf numFmtId="0" fontId="7" fillId="64" borderId="1" xfId="47" applyFont="1" applyFill="1"/>
    <xf numFmtId="0" fontId="7" fillId="66" borderId="1" xfId="47" applyFont="1" applyFill="1"/>
    <xf numFmtId="0" fontId="7" fillId="67" borderId="1" xfId="47" applyFont="1" applyFill="1"/>
    <xf numFmtId="0" fontId="0" fillId="69" borderId="20" xfId="0" applyFill="1" applyBorder="1"/>
    <xf numFmtId="0" fontId="0" fillId="63" borderId="20" xfId="0" applyFill="1" applyBorder="1"/>
    <xf numFmtId="0" fontId="31" fillId="70" borderId="1" xfId="0" applyFont="1" applyFill="1" applyBorder="1" applyAlignment="1">
      <alignment horizontal="center" vertical="center"/>
    </xf>
    <xf numFmtId="0" fontId="31" fillId="71" borderId="1" xfId="0" applyFont="1" applyFill="1" applyBorder="1" applyAlignment="1">
      <alignment horizontal="center" vertical="center"/>
    </xf>
    <xf numFmtId="0" fontId="0" fillId="0" borderId="28" xfId="0" applyBorder="1" applyAlignment="1">
      <alignment horizontal="center"/>
    </xf>
    <xf numFmtId="0" fontId="26" fillId="0" borderId="0" xfId="0" applyFont="1"/>
    <xf numFmtId="0" fontId="3" fillId="69" borderId="0" xfId="0" applyFont="1" applyFill="1"/>
    <xf numFmtId="0" fontId="3" fillId="69" borderId="1" xfId="0" applyFont="1" applyFill="1" applyBorder="1" applyAlignment="1">
      <alignment horizontal="left" vertical="top" wrapText="1"/>
    </xf>
    <xf numFmtId="0" fontId="49" fillId="69" borderId="1" xfId="0" applyFont="1" applyFill="1" applyBorder="1"/>
    <xf numFmtId="0" fontId="50" fillId="70" borderId="0" xfId="0" applyFont="1" applyFill="1"/>
    <xf numFmtId="0" fontId="51" fillId="0" borderId="0" xfId="0" applyFont="1" applyAlignment="1">
      <alignment horizontal="center" vertical="center"/>
    </xf>
    <xf numFmtId="0" fontId="8" fillId="63" borderId="21" xfId="0" applyFont="1" applyFill="1" applyBorder="1" applyAlignment="1">
      <alignment horizontal="left"/>
    </xf>
    <xf numFmtId="0" fontId="0" fillId="0" borderId="1" xfId="0" applyBorder="1" applyAlignment="1">
      <alignment horizontal="left"/>
    </xf>
    <xf numFmtId="0" fontId="0" fillId="63" borderId="1" xfId="0" applyFill="1" applyBorder="1" applyAlignment="1">
      <alignment horizontal="left"/>
    </xf>
    <xf numFmtId="0" fontId="0" fillId="63" borderId="0" xfId="0" applyFill="1" applyAlignment="1">
      <alignment horizontal="left"/>
    </xf>
    <xf numFmtId="0" fontId="6" fillId="63" borderId="1" xfId="0" applyFont="1" applyFill="1" applyBorder="1" applyAlignment="1">
      <alignment horizontal="left" vertical="top" wrapText="1"/>
    </xf>
    <xf numFmtId="0" fontId="0" fillId="72" borderId="1" xfId="0" applyFill="1" applyBorder="1"/>
    <xf numFmtId="0" fontId="50" fillId="72" borderId="0" xfId="0" applyFont="1" applyFill="1"/>
    <xf numFmtId="0" fontId="0" fillId="73" borderId="1" xfId="0" applyFill="1" applyBorder="1" applyAlignment="1">
      <alignment horizontal="left"/>
    </xf>
    <xf numFmtId="0" fontId="0" fillId="74" borderId="1" xfId="0" applyFill="1" applyBorder="1" applyAlignment="1">
      <alignment horizontal="left"/>
    </xf>
    <xf numFmtId="0" fontId="7" fillId="63" borderId="21" xfId="0" applyFont="1" applyFill="1" applyBorder="1" applyAlignment="1">
      <alignment horizontal="left"/>
    </xf>
    <xf numFmtId="0" fontId="0" fillId="63" borderId="26" xfId="0" applyFill="1" applyBorder="1"/>
    <xf numFmtId="0" fontId="0" fillId="69" borderId="3" xfId="0" applyFill="1" applyBorder="1"/>
    <xf numFmtId="0" fontId="0" fillId="0" borderId="0" xfId="0" applyAlignment="1">
      <alignment horizontal="center"/>
    </xf>
    <xf numFmtId="0" fontId="0" fillId="58" borderId="18" xfId="0" applyFill="1" applyBorder="1"/>
    <xf numFmtId="0" fontId="0" fillId="57" borderId="18" xfId="0" applyFill="1" applyBorder="1"/>
    <xf numFmtId="0" fontId="0" fillId="55" borderId="18" xfId="0" applyFill="1" applyBorder="1"/>
    <xf numFmtId="0" fontId="0" fillId="63" borderId="18" xfId="0" applyFill="1" applyBorder="1"/>
    <xf numFmtId="0" fontId="0" fillId="69" borderId="18" xfId="0" applyFill="1" applyBorder="1" applyAlignment="1">
      <alignment horizontal="right"/>
    </xf>
    <xf numFmtId="0" fontId="0" fillId="69" borderId="18" xfId="0" applyFill="1" applyBorder="1"/>
    <xf numFmtId="0" fontId="0" fillId="69" borderId="26" xfId="0" applyFill="1" applyBorder="1"/>
    <xf numFmtId="0" fontId="0" fillId="58" borderId="14" xfId="0" applyFill="1" applyBorder="1"/>
    <xf numFmtId="0" fontId="0" fillId="57" borderId="14" xfId="0" applyFill="1" applyBorder="1"/>
    <xf numFmtId="0" fontId="0" fillId="55" borderId="14" xfId="0" applyFill="1" applyBorder="1"/>
    <xf numFmtId="0" fontId="0" fillId="63" borderId="14" xfId="0" applyFill="1" applyBorder="1"/>
    <xf numFmtId="0" fontId="0" fillId="69" borderId="14" xfId="0" applyFill="1" applyBorder="1"/>
    <xf numFmtId="0" fontId="6" fillId="57" borderId="1" xfId="0" applyFont="1" applyFill="1" applyBorder="1" applyAlignment="1">
      <alignment horizontal="right" vertical="top" wrapText="1"/>
    </xf>
    <xf numFmtId="0" fontId="6" fillId="55" borderId="1" xfId="0" applyFont="1" applyFill="1" applyBorder="1" applyAlignment="1">
      <alignment horizontal="right" vertical="top" wrapText="1"/>
    </xf>
    <xf numFmtId="0" fontId="0" fillId="69" borderId="18" xfId="0" applyFill="1" applyBorder="1" applyAlignment="1">
      <alignment horizontal="left"/>
    </xf>
    <xf numFmtId="0" fontId="7" fillId="68" borderId="1" xfId="47" applyFont="1" applyFill="1"/>
    <xf numFmtId="0" fontId="7" fillId="63" borderId="1" xfId="0" applyFont="1" applyFill="1" applyBorder="1" applyAlignment="1">
      <alignment horizontal="right" vertical="top" wrapText="1"/>
    </xf>
    <xf numFmtId="0" fontId="7" fillId="69" borderId="18" xfId="0" applyFont="1" applyFill="1" applyBorder="1" applyAlignment="1">
      <alignment horizontal="left" vertical="top" wrapText="1"/>
    </xf>
    <xf numFmtId="0" fontId="0" fillId="58" borderId="27" xfId="0" applyFill="1" applyBorder="1"/>
    <xf numFmtId="0" fontId="0" fillId="58" borderId="35" xfId="0" applyFill="1" applyBorder="1"/>
    <xf numFmtId="0" fontId="0" fillId="58" borderId="31" xfId="0" applyFill="1" applyBorder="1"/>
    <xf numFmtId="0" fontId="0" fillId="55" borderId="30" xfId="0" applyFill="1" applyBorder="1"/>
    <xf numFmtId="0" fontId="0" fillId="63" borderId="30" xfId="0" applyFill="1" applyBorder="1"/>
    <xf numFmtId="0" fontId="0" fillId="58" borderId="30" xfId="0" applyFill="1" applyBorder="1"/>
    <xf numFmtId="0" fontId="0" fillId="55" borderId="35" xfId="0" applyFill="1" applyBorder="1"/>
    <xf numFmtId="0" fontId="0" fillId="55" borderId="31" xfId="0" applyFill="1" applyBorder="1"/>
    <xf numFmtId="0" fontId="0" fillId="57" borderId="35" xfId="0" applyFill="1" applyBorder="1"/>
    <xf numFmtId="0" fontId="0" fillId="57" borderId="31" xfId="0" applyFill="1" applyBorder="1"/>
    <xf numFmtId="0" fontId="0" fillId="57" borderId="38" xfId="0" applyFill="1" applyBorder="1"/>
    <xf numFmtId="0" fontId="0" fillId="63" borderId="35" xfId="0" applyFill="1" applyBorder="1"/>
    <xf numFmtId="0" fontId="0" fillId="63" borderId="31" xfId="0" applyFill="1" applyBorder="1"/>
    <xf numFmtId="0" fontId="0" fillId="58" borderId="39" xfId="0" applyFill="1" applyBorder="1"/>
    <xf numFmtId="0" fontId="31" fillId="40" borderId="35" xfId="0" applyFont="1" applyFill="1" applyBorder="1" applyAlignment="1">
      <alignment horizontal="center" vertical="center"/>
    </xf>
    <xf numFmtId="0" fontId="0" fillId="63" borderId="38" xfId="0" applyFill="1" applyBorder="1"/>
    <xf numFmtId="0" fontId="0" fillId="63" borderId="40" xfId="0" applyFill="1" applyBorder="1"/>
    <xf numFmtId="0" fontId="0" fillId="63" borderId="41" xfId="0" applyFill="1" applyBorder="1"/>
    <xf numFmtId="0" fontId="0" fillId="69" borderId="15" xfId="0" applyFill="1" applyBorder="1"/>
    <xf numFmtId="0" fontId="0" fillId="58" borderId="42" xfId="0" applyFill="1" applyBorder="1"/>
    <xf numFmtId="0" fontId="0" fillId="69" borderId="28" xfId="0" applyFill="1" applyBorder="1"/>
    <xf numFmtId="0" fontId="0" fillId="69" borderId="34" xfId="0" applyFill="1" applyBorder="1"/>
    <xf numFmtId="0" fontId="0" fillId="69" borderId="27" xfId="0" applyFill="1" applyBorder="1"/>
    <xf numFmtId="0" fontId="0" fillId="58" borderId="38" xfId="0" applyFill="1" applyBorder="1"/>
    <xf numFmtId="0" fontId="0" fillId="63" borderId="27" xfId="0" applyFill="1" applyBorder="1"/>
    <xf numFmtId="0" fontId="0" fillId="58" borderId="34" xfId="0" applyFill="1" applyBorder="1"/>
    <xf numFmtId="0" fontId="4" fillId="70" borderId="3" xfId="0" applyFont="1" applyFill="1" applyBorder="1" applyAlignment="1">
      <alignment horizontal="left" vertical="top" wrapText="1"/>
    </xf>
    <xf numFmtId="0" fontId="4" fillId="70" borderId="30" xfId="0" applyFont="1" applyFill="1" applyBorder="1"/>
    <xf numFmtId="0" fontId="4" fillId="70" borderId="0" xfId="0" applyFont="1" applyFill="1"/>
    <xf numFmtId="0" fontId="4" fillId="69" borderId="28" xfId="0" applyFont="1" applyFill="1" applyBorder="1"/>
    <xf numFmtId="0" fontId="0" fillId="57" borderId="14" xfId="0" applyFill="1" applyBorder="1" applyAlignment="1">
      <alignment horizontal="right"/>
    </xf>
    <xf numFmtId="0" fontId="0" fillId="63" borderId="32" xfId="0" applyFill="1" applyBorder="1" applyAlignment="1">
      <alignment horizontal="right"/>
    </xf>
    <xf numFmtId="0" fontId="0" fillId="63" borderId="32" xfId="0" applyFill="1" applyBorder="1"/>
    <xf numFmtId="0" fontId="0" fillId="55" borderId="33" xfId="0" applyFill="1" applyBorder="1"/>
    <xf numFmtId="0" fontId="0" fillId="63" borderId="36" xfId="0" applyFill="1" applyBorder="1"/>
    <xf numFmtId="0" fontId="7" fillId="69" borderId="14" xfId="0" applyFont="1" applyFill="1" applyBorder="1" applyAlignment="1">
      <alignment horizontal="left" vertical="top" wrapText="1"/>
    </xf>
    <xf numFmtId="0" fontId="0" fillId="63" borderId="29" xfId="0" applyFill="1" applyBorder="1"/>
    <xf numFmtId="0" fontId="0" fillId="69" borderId="37" xfId="0" applyFill="1" applyBorder="1"/>
    <xf numFmtId="0" fontId="0" fillId="58" borderId="3" xfId="0" applyFill="1" applyBorder="1"/>
    <xf numFmtId="0" fontId="0" fillId="0" borderId="35" xfId="0" applyBorder="1"/>
    <xf numFmtId="0" fontId="0" fillId="69" borderId="38" xfId="0" applyFill="1" applyBorder="1"/>
    <xf numFmtId="0" fontId="0" fillId="55" borderId="38" xfId="0" applyFill="1" applyBorder="1"/>
    <xf numFmtId="0" fontId="0" fillId="57" borderId="34" xfId="0" applyFill="1" applyBorder="1"/>
    <xf numFmtId="0" fontId="0" fillId="69" borderId="30" xfId="0" applyFill="1" applyBorder="1"/>
    <xf numFmtId="0" fontId="0" fillId="55" borderId="34" xfId="0" applyFill="1" applyBorder="1"/>
    <xf numFmtId="0" fontId="0" fillId="57" borderId="39" xfId="0" applyFill="1" applyBorder="1"/>
    <xf numFmtId="0" fontId="0" fillId="63" borderId="34" xfId="0" applyFill="1" applyBorder="1"/>
    <xf numFmtId="0" fontId="0" fillId="69" borderId="35" xfId="0" applyFill="1" applyBorder="1"/>
    <xf numFmtId="0" fontId="52" fillId="75" borderId="0" xfId="0" applyFont="1" applyFill="1" applyAlignment="1">
      <alignment wrapText="1"/>
    </xf>
    <xf numFmtId="0" fontId="52" fillId="75" borderId="43" xfId="0" applyFont="1" applyFill="1" applyBorder="1" applyAlignment="1">
      <alignment wrapText="1"/>
    </xf>
    <xf numFmtId="0" fontId="52" fillId="76" borderId="44" xfId="0" applyFont="1" applyFill="1" applyBorder="1" applyAlignment="1">
      <alignment wrapText="1"/>
    </xf>
    <xf numFmtId="0" fontId="52" fillId="75" borderId="45" xfId="0" applyFont="1" applyFill="1" applyBorder="1" applyAlignment="1">
      <alignment wrapText="1"/>
    </xf>
    <xf numFmtId="0" fontId="52" fillId="77" borderId="46" xfId="0" applyFont="1" applyFill="1" applyBorder="1" applyAlignment="1">
      <alignment wrapText="1"/>
    </xf>
    <xf numFmtId="0" fontId="52" fillId="78" borderId="46" xfId="0" applyFont="1" applyFill="1" applyBorder="1" applyAlignment="1">
      <alignment wrapText="1"/>
    </xf>
    <xf numFmtId="0" fontId="52" fillId="79" borderId="46" xfId="0" applyFont="1" applyFill="1" applyBorder="1" applyAlignment="1">
      <alignment wrapText="1"/>
    </xf>
    <xf numFmtId="0" fontId="52" fillId="80" borderId="46" xfId="0" applyFont="1" applyFill="1" applyBorder="1" applyAlignment="1">
      <alignment wrapText="1"/>
    </xf>
    <xf numFmtId="0" fontId="53" fillId="76" borderId="43" xfId="0" applyFont="1" applyFill="1" applyBorder="1" applyAlignment="1">
      <alignment wrapText="1"/>
    </xf>
    <xf numFmtId="0" fontId="53" fillId="76" borderId="45" xfId="0" applyFont="1" applyFill="1" applyBorder="1" applyAlignment="1">
      <alignment wrapText="1"/>
    </xf>
    <xf numFmtId="0" fontId="53" fillId="77" borderId="45" xfId="0" applyFont="1" applyFill="1" applyBorder="1" applyAlignment="1">
      <alignment wrapText="1"/>
    </xf>
    <xf numFmtId="0" fontId="53" fillId="79" borderId="45" xfId="0" applyFont="1" applyFill="1" applyBorder="1" applyAlignment="1">
      <alignment wrapText="1"/>
    </xf>
    <xf numFmtId="0" fontId="53" fillId="80" borderId="45" xfId="0" applyFont="1" applyFill="1" applyBorder="1" applyAlignment="1">
      <alignment wrapText="1"/>
    </xf>
    <xf numFmtId="0" fontId="0" fillId="80" borderId="0" xfId="0" applyFill="1"/>
    <xf numFmtId="0" fontId="0" fillId="65" borderId="1" xfId="47" applyFont="1" applyFill="1"/>
    <xf numFmtId="0" fontId="0" fillId="67" borderId="1" xfId="47" applyFont="1" applyFill="1"/>
    <xf numFmtId="0" fontId="2" fillId="64" borderId="3" xfId="47" applyFill="1" applyBorder="1"/>
    <xf numFmtId="0" fontId="0" fillId="63" borderId="35" xfId="0" applyFill="1" applyBorder="1" applyAlignment="1">
      <alignment horizontal="left"/>
    </xf>
    <xf numFmtId="0" fontId="0" fillId="58" borderId="40" xfId="0" applyFill="1" applyBorder="1"/>
    <xf numFmtId="0" fontId="7" fillId="69" borderId="1" xfId="47" applyFont="1" applyFill="1"/>
    <xf numFmtId="0" fontId="0" fillId="69" borderId="33" xfId="0" applyFill="1" applyBorder="1"/>
    <xf numFmtId="0" fontId="0" fillId="0" borderId="32" xfId="0" applyBorder="1" applyAlignment="1">
      <alignment horizontal="center"/>
    </xf>
    <xf numFmtId="0" fontId="0" fillId="58" borderId="1" xfId="0" applyFill="1" applyBorder="1" applyAlignment="1">
      <alignment horizontal="left"/>
    </xf>
    <xf numFmtId="0" fontId="0" fillId="57" borderId="1" xfId="0" applyFill="1" applyBorder="1" applyAlignment="1">
      <alignment horizontal="left"/>
    </xf>
    <xf numFmtId="0" fontId="0" fillId="55" borderId="1" xfId="0" applyFill="1" applyBorder="1" applyAlignment="1">
      <alignment horizontal="left"/>
    </xf>
    <xf numFmtId="0" fontId="0" fillId="58" borderId="1" xfId="0" applyFill="1" applyBorder="1" applyAlignment="1">
      <alignment horizontal="left" wrapText="1"/>
    </xf>
    <xf numFmtId="0" fontId="0" fillId="55" borderId="1" xfId="0" applyFill="1" applyBorder="1" applyAlignment="1">
      <alignment horizontal="left" wrapText="1"/>
    </xf>
    <xf numFmtId="0" fontId="0" fillId="69" borderId="1" xfId="0" applyFill="1" applyBorder="1" applyAlignment="1">
      <alignment horizontal="left" wrapText="1"/>
    </xf>
    <xf numFmtId="0" fontId="0" fillId="58" borderId="18" xfId="0" applyFill="1" applyBorder="1" applyAlignment="1">
      <alignment horizontal="left"/>
    </xf>
    <xf numFmtId="0" fontId="0" fillId="57" borderId="14" xfId="0" applyFill="1" applyBorder="1" applyAlignment="1">
      <alignment horizontal="left"/>
    </xf>
    <xf numFmtId="0" fontId="0" fillId="55" borderId="18" xfId="0" applyFill="1" applyBorder="1" applyAlignment="1">
      <alignment horizontal="left"/>
    </xf>
    <xf numFmtId="0" fontId="0" fillId="63" borderId="26" xfId="0" applyFill="1" applyBorder="1" applyAlignment="1">
      <alignment horizontal="left"/>
    </xf>
    <xf numFmtId="0" fontId="0" fillId="69" borderId="20" xfId="0" applyFill="1" applyBorder="1" applyAlignment="1">
      <alignment horizontal="left"/>
    </xf>
    <xf numFmtId="0" fontId="31" fillId="70" borderId="1" xfId="0" applyFont="1" applyFill="1" applyBorder="1" applyAlignment="1">
      <alignment horizontal="right" vertical="center"/>
    </xf>
    <xf numFmtId="0" fontId="31" fillId="70" borderId="1" xfId="0" applyFont="1" applyFill="1" applyBorder="1" applyAlignment="1">
      <alignment horizontal="center" vertical="center" wrapText="1"/>
    </xf>
    <xf numFmtId="0" fontId="31" fillId="71" borderId="35" xfId="0" applyFont="1" applyFill="1" applyBorder="1" applyAlignment="1">
      <alignment horizontal="center" vertical="center"/>
    </xf>
    <xf numFmtId="0" fontId="31" fillId="81" borderId="1" xfId="0" applyFont="1" applyFill="1" applyBorder="1" applyAlignment="1">
      <alignment horizontal="center" vertical="center"/>
    </xf>
    <xf numFmtId="0" fontId="0" fillId="57" borderId="30" xfId="0" applyFill="1" applyBorder="1"/>
    <xf numFmtId="0" fontId="0" fillId="55" borderId="39" xfId="0" applyFill="1" applyBorder="1"/>
    <xf numFmtId="0" fontId="0" fillId="55" borderId="3" xfId="0" applyFill="1" applyBorder="1"/>
    <xf numFmtId="0" fontId="2" fillId="67" borderId="33" xfId="47" applyFill="1" applyBorder="1"/>
    <xf numFmtId="0" fontId="0" fillId="63" borderId="26" xfId="0" applyFill="1" applyBorder="1" applyAlignment="1">
      <alignment horizontal="right"/>
    </xf>
    <xf numFmtId="0" fontId="31" fillId="40" borderId="2" xfId="0" applyFont="1" applyFill="1" applyBorder="1" applyAlignment="1">
      <alignment horizontal="center" vertical="center"/>
    </xf>
    <xf numFmtId="0" fontId="0" fillId="0" borderId="1" xfId="0" applyBorder="1" applyAlignment="1">
      <alignment horizontal="center"/>
    </xf>
    <xf numFmtId="0" fontId="0" fillId="57" borderId="19" xfId="0" applyFill="1" applyBorder="1"/>
    <xf numFmtId="0" fontId="0" fillId="55" borderId="19" xfId="0" applyFill="1" applyBorder="1"/>
    <xf numFmtId="0" fontId="0" fillId="63" borderId="19" xfId="0" applyFill="1" applyBorder="1"/>
    <xf numFmtId="0" fontId="0" fillId="58" borderId="19" xfId="0" applyFill="1" applyBorder="1"/>
    <xf numFmtId="0" fontId="50" fillId="69" borderId="0" xfId="0" applyFont="1" applyFill="1" applyAlignment="1">
      <alignment horizontal="left"/>
    </xf>
    <xf numFmtId="0" fontId="50" fillId="69" borderId="0" xfId="0" applyFont="1" applyFill="1"/>
    <xf numFmtId="0" fontId="30" fillId="48" borderId="18" xfId="0" applyFont="1" applyFill="1" applyBorder="1" applyAlignment="1">
      <alignment horizontal="center" vertical="center"/>
    </xf>
    <xf numFmtId="0" fontId="30" fillId="48" borderId="19" xfId="0" applyFont="1" applyFill="1" applyBorder="1" applyAlignment="1">
      <alignment horizontal="center" vertical="center"/>
    </xf>
    <xf numFmtId="0" fontId="30" fillId="48" borderId="19" xfId="0" applyFont="1" applyFill="1" applyBorder="1" applyAlignment="1">
      <alignment horizontal="right" vertical="center"/>
    </xf>
    <xf numFmtId="0" fontId="30" fillId="48" borderId="14" xfId="0" applyFont="1" applyFill="1" applyBorder="1" applyAlignment="1">
      <alignment horizontal="center" vertical="center"/>
    </xf>
    <xf numFmtId="0" fontId="30" fillId="8" borderId="18" xfId="0" applyFont="1" applyFill="1" applyBorder="1" applyAlignment="1">
      <alignment horizontal="center" vertical="center"/>
    </xf>
    <xf numFmtId="0" fontId="30" fillId="8" borderId="14" xfId="0" applyFont="1" applyFill="1" applyBorder="1" applyAlignment="1">
      <alignment horizontal="center" vertical="center"/>
    </xf>
    <xf numFmtId="0" fontId="30" fillId="40" borderId="1" xfId="0" applyFont="1" applyFill="1" applyBorder="1" applyAlignment="1">
      <alignment horizontal="center" vertical="center"/>
    </xf>
    <xf numFmtId="0" fontId="30" fillId="70" borderId="18" xfId="0" applyFont="1" applyFill="1" applyBorder="1" applyAlignment="1">
      <alignment horizontal="center" vertical="center"/>
    </xf>
    <xf numFmtId="0" fontId="30" fillId="70" borderId="19" xfId="0" applyFont="1" applyFill="1" applyBorder="1" applyAlignment="1">
      <alignment horizontal="center" vertical="center"/>
    </xf>
    <xf numFmtId="0" fontId="30" fillId="70" borderId="19" xfId="0" applyFont="1" applyFill="1" applyBorder="1" applyAlignment="1">
      <alignment horizontal="right" vertical="center"/>
    </xf>
    <xf numFmtId="0" fontId="30" fillId="70" borderId="14" xfId="0" applyFont="1" applyFill="1" applyBorder="1" applyAlignment="1">
      <alignment horizontal="center" vertical="center"/>
    </xf>
    <xf numFmtId="0" fontId="30" fillId="81" borderId="18" xfId="0" applyFont="1" applyFill="1" applyBorder="1" applyAlignment="1">
      <alignment horizontal="center" vertical="center"/>
    </xf>
    <xf numFmtId="0" fontId="30" fillId="81" borderId="14" xfId="0" applyFont="1" applyFill="1" applyBorder="1" applyAlignment="1">
      <alignment horizontal="center" vertical="center"/>
    </xf>
    <xf numFmtId="0" fontId="30" fillId="71" borderId="1" xfId="0" applyFont="1" applyFill="1" applyBorder="1" applyAlignment="1">
      <alignment horizontal="center" vertical="center"/>
    </xf>
    <xf numFmtId="0" fontId="19" fillId="41" borderId="0" xfId="0" applyFont="1" applyFill="1" applyAlignment="1">
      <alignment horizontal="center"/>
    </xf>
    <xf numFmtId="0" fontId="19" fillId="41" borderId="4" xfId="0" applyFont="1" applyFill="1" applyBorder="1" applyAlignment="1">
      <alignment horizontal="center"/>
    </xf>
    <xf numFmtId="0" fontId="19" fillId="42" borderId="4" xfId="0" applyFont="1" applyFill="1" applyBorder="1" applyAlignment="1">
      <alignment horizontal="center" vertical="top"/>
    </xf>
    <xf numFmtId="0" fontId="19" fillId="42" borderId="0" xfId="0" applyFont="1" applyFill="1" applyAlignment="1">
      <alignment horizontal="center" vertical="top"/>
    </xf>
    <xf numFmtId="0" fontId="19" fillId="42" borderId="22" xfId="0" applyFont="1" applyFill="1" applyBorder="1" applyAlignment="1">
      <alignment horizontal="center" vertical="top"/>
    </xf>
  </cellXfs>
  <cellStyles count="5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1" builtinId="27" customBuiltin="1"/>
    <cellStyle name="Calculation" xfId="11" builtinId="22" customBuiltin="1"/>
    <cellStyle name="Check Cell" xfId="13" builtinId="23" customBuiltin="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9" builtinId="20" customBuiltin="1"/>
    <cellStyle name="Linked Cell" xfId="12" builtinId="24" customBuiltin="1"/>
    <cellStyle name="Neutral" xfId="8" builtinId="28" customBuiltin="1"/>
    <cellStyle name="Neutral 2" xfId="44" xr:uid="{B596194F-1EB3-4CD7-B02C-6CE5E1D92A72}"/>
    <cellStyle name="Normal" xfId="0" builtinId="0"/>
    <cellStyle name="Normal 11 2" xfId="45" xr:uid="{60EB37E2-9303-42A0-ACD3-4B03131C339E}"/>
    <cellStyle name="Normal 2" xfId="46" xr:uid="{95ADB71B-9C27-44CC-A2E8-7C49338B764B}"/>
    <cellStyle name="Note" xfId="15" builtinId="10" customBuiltin="1"/>
    <cellStyle name="Output" xfId="10" builtinId="21" customBuiltin="1"/>
    <cellStyle name="Percent" xfId="42" builtinId="5"/>
    <cellStyle name="Style 1" xfId="43" xr:uid="{295B20EE-CB56-4E69-AFC3-1B72874BFAB7}"/>
    <cellStyle name="Style 1 2" xfId="48" xr:uid="{A69CFD55-4A48-4EA0-983E-4EB5EF6054A1}"/>
    <cellStyle name="Style 2" xfId="47" xr:uid="{9B218B22-AA1D-40FC-8960-BC860E047631}"/>
    <cellStyle name="Style 2 2" xfId="49" xr:uid="{44CADB56-E927-489C-8315-E64B1194E9F6}"/>
    <cellStyle name="Title" xfId="2" builtinId="15" customBuiltin="1"/>
    <cellStyle name="Total" xfId="17" builtinId="25" customBuiltin="1"/>
    <cellStyle name="Warning Text" xfId="14" builtinId="11" customBuiltin="1"/>
  </cellStyles>
  <dxfs count="75">
    <dxf>
      <font>
        <b/>
        <i val="0"/>
        <color theme="0"/>
      </font>
      <fill>
        <patternFill>
          <bgColor rgb="FFFF0000"/>
        </patternFill>
      </fill>
    </dxf>
    <dxf>
      <font>
        <b/>
        <i val="0"/>
      </font>
      <fill>
        <patternFill>
          <bgColor rgb="FF92D050"/>
        </patternFill>
      </fill>
    </dxf>
    <dxf>
      <fill>
        <patternFill>
          <bgColor rgb="FFFFC000"/>
        </patternFill>
      </fill>
    </dxf>
    <dxf>
      <font>
        <b/>
        <i val="0"/>
        <color theme="0"/>
      </font>
      <fill>
        <patternFill>
          <bgColor rgb="FFFF0000"/>
        </patternFill>
      </fill>
    </dxf>
    <dxf>
      <font>
        <b/>
        <i val="0"/>
      </font>
      <fill>
        <patternFill>
          <bgColor rgb="FF92D050"/>
        </patternFill>
      </fill>
    </dxf>
    <dxf>
      <fill>
        <patternFill>
          <bgColor rgb="FFFFC000"/>
        </patternFill>
      </fill>
    </dxf>
    <dxf>
      <font>
        <b val="0"/>
        <i val="0"/>
        <strike val="0"/>
        <condense val="0"/>
        <extend val="0"/>
        <outline val="0"/>
        <shadow val="0"/>
        <u val="none"/>
        <vertAlign val="baseline"/>
        <sz val="9"/>
        <color rgb="FF000000"/>
        <name val="Calibri"/>
        <family val="2"/>
        <scheme val="minor"/>
      </font>
      <alignment horizontal="left" vertical="top"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rgb="FF000000"/>
        <name val="Calibri"/>
        <family val="2"/>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000000"/>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rgb="FF000000"/>
        <name val="Calibri"/>
        <family val="2"/>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9"/>
        <color rgb="FF000000"/>
        <name val="Calibri"/>
        <family val="2"/>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000000"/>
        <name val="Calibri"/>
        <family val="2"/>
        <scheme val="minor"/>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Calibri"/>
        <family val="2"/>
        <scheme val="minor"/>
      </font>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9"/>
        <color rgb="FF000000"/>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i val="0"/>
        <strike val="0"/>
        <color theme="0"/>
      </font>
      <fill>
        <patternFill>
          <bgColor rgb="FFFF0000"/>
        </patternFill>
      </fill>
    </dxf>
    <dxf>
      <font>
        <b/>
        <i val="0"/>
        <color auto="1"/>
      </font>
      <fill>
        <patternFill>
          <bgColor rgb="FF92D050"/>
        </patternFill>
      </fill>
    </dxf>
    <dxf>
      <font>
        <b/>
        <i val="0"/>
        <strike val="0"/>
        <color theme="0"/>
      </font>
      <fill>
        <patternFill>
          <bgColor rgb="FFFF0000"/>
        </patternFill>
      </fill>
    </dxf>
    <dxf>
      <font>
        <b/>
        <i val="0"/>
        <color auto="1"/>
      </font>
      <fill>
        <patternFill>
          <bgColor rgb="FF92D050"/>
        </patternFill>
      </fill>
    </dxf>
    <dxf>
      <fill>
        <patternFill>
          <bgColor rgb="FFFF0000"/>
        </patternFill>
      </fill>
    </dxf>
    <dxf>
      <fill>
        <patternFill>
          <bgColor rgb="FFFF0000"/>
        </patternFill>
      </fill>
    </dxf>
    <dxf>
      <font>
        <b/>
        <i val="0"/>
        <strike val="0"/>
        <color theme="0"/>
      </font>
      <fill>
        <patternFill>
          <bgColor rgb="FFFF0000"/>
        </patternFill>
      </fill>
    </dxf>
    <dxf>
      <font>
        <b/>
        <i val="0"/>
        <color auto="1"/>
      </font>
      <fill>
        <patternFill>
          <bgColor rgb="FF92D050"/>
        </patternFill>
      </fill>
    </dxf>
    <dxf>
      <font>
        <b/>
        <i val="0"/>
        <strike val="0"/>
        <color theme="0"/>
      </font>
      <fill>
        <patternFill>
          <bgColor rgb="FFFF0000"/>
        </patternFill>
      </fill>
    </dxf>
    <dxf>
      <font>
        <b/>
        <i val="0"/>
        <color auto="1"/>
      </font>
      <fill>
        <patternFill>
          <bgColor rgb="FF92D050"/>
        </patternFill>
      </fill>
    </dxf>
    <dxf>
      <font>
        <b/>
        <i val="0"/>
        <strike val="0"/>
        <color theme="0"/>
      </font>
      <fill>
        <patternFill>
          <bgColor rgb="FFFF0000"/>
        </patternFill>
      </fill>
    </dxf>
    <dxf>
      <font>
        <b/>
        <i val="0"/>
        <color auto="1"/>
      </font>
      <fill>
        <patternFill>
          <bgColor rgb="FF92D050"/>
        </patternFill>
      </fill>
    </dxf>
    <dxf>
      <font>
        <b/>
        <i val="0"/>
        <strike val="0"/>
        <color theme="0"/>
      </font>
      <fill>
        <patternFill>
          <bgColor rgb="FFFF0000"/>
        </patternFill>
      </fill>
    </dxf>
    <dxf>
      <font>
        <b/>
        <i val="0"/>
        <color auto="1"/>
      </font>
      <fill>
        <patternFill>
          <bgColor rgb="FF92D050"/>
        </patternFill>
      </fill>
    </dxf>
    <dxf>
      <font>
        <b/>
        <i val="0"/>
      </font>
      <numFmt numFmtId="30" formatCode="@"/>
      <fill>
        <patternFill>
          <bgColor rgb="FF92D050"/>
        </patternFill>
      </fill>
    </dxf>
    <dxf>
      <font>
        <b/>
        <i val="0"/>
        <color theme="0"/>
      </font>
      <numFmt numFmtId="30" formatCode="@"/>
      <fill>
        <patternFill>
          <bgColor rgb="FFFF0000"/>
        </patternFill>
      </fill>
    </dxf>
    <dxf>
      <fill>
        <patternFill>
          <bgColor rgb="FFFF0000"/>
        </patternFill>
      </fill>
    </dxf>
    <dxf>
      <fill>
        <patternFill>
          <bgColor rgb="FFFF0000"/>
        </patternFill>
      </fill>
    </dxf>
    <dxf>
      <fill>
        <patternFill>
          <bgColor rgb="FFFF0000"/>
        </patternFill>
      </fill>
    </dxf>
    <dxf>
      <font>
        <b/>
        <i val="0"/>
        <strike val="0"/>
        <color theme="0"/>
      </font>
      <fill>
        <patternFill>
          <bgColor rgb="FFFF0000"/>
        </patternFill>
      </fill>
    </dxf>
    <dxf>
      <font>
        <b/>
        <i val="0"/>
        <color auto="1"/>
      </font>
      <fill>
        <patternFill>
          <bgColor rgb="FF92D050"/>
        </patternFill>
      </fill>
    </dxf>
    <dxf>
      <font>
        <b/>
        <i val="0"/>
        <strike val="0"/>
        <color theme="0"/>
      </font>
      <fill>
        <patternFill>
          <bgColor rgb="FFFF0000"/>
        </patternFill>
      </fill>
    </dxf>
    <dxf>
      <font>
        <b/>
        <i val="0"/>
        <color auto="1"/>
      </font>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lor theme="0"/>
      </font>
      <fill>
        <patternFill>
          <bgColor rgb="FFFF0000"/>
        </patternFill>
      </fill>
    </dxf>
    <dxf>
      <font>
        <b/>
        <i val="0"/>
        <color auto="1"/>
      </font>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auto="1"/>
      </font>
      <fill>
        <patternFill>
          <bgColor rgb="FF92D050"/>
        </patternFill>
      </fill>
    </dxf>
    <dxf>
      <font>
        <b/>
        <i val="0"/>
        <color auto="1"/>
      </font>
      <fill>
        <patternFill>
          <bgColor rgb="FF92D050"/>
        </patternFill>
      </fill>
    </dxf>
    <dxf>
      <font>
        <b/>
        <i val="0"/>
        <color auto="1"/>
      </font>
      <fill>
        <patternFill>
          <bgColor rgb="FF92D050"/>
        </patternFill>
      </fill>
    </dxf>
    <dxf>
      <fill>
        <patternFill>
          <bgColor rgb="FFFFC000"/>
        </patternFill>
      </fill>
    </dxf>
    <dxf>
      <font>
        <b/>
        <i val="0"/>
        <color theme="0"/>
      </font>
      <fill>
        <patternFill>
          <bgColor rgb="FFFF0000"/>
        </patternFill>
      </fill>
    </dxf>
    <dxf>
      <font>
        <b/>
        <i val="0"/>
        <color theme="1"/>
      </font>
      <fill>
        <patternFill>
          <bgColor rgb="FF00B050"/>
        </patternFill>
      </fill>
    </dxf>
    <dxf>
      <font>
        <b/>
        <i val="0"/>
        <color theme="0"/>
      </font>
      <fill>
        <patternFill>
          <bgColor rgb="FFFF0000"/>
        </patternFill>
      </fill>
    </dxf>
    <dxf>
      <font>
        <b/>
        <i val="0"/>
        <color theme="1"/>
      </font>
      <fill>
        <patternFill>
          <bgColor rgb="FF00B050"/>
        </patternFill>
      </fill>
    </dxf>
    <dxf>
      <font>
        <b/>
        <i val="0"/>
        <color theme="0"/>
      </font>
      <fill>
        <patternFill>
          <bgColor rgb="FFFF0000"/>
        </patternFill>
      </fill>
    </dxf>
    <dxf>
      <font>
        <b/>
        <i val="0"/>
        <color theme="1"/>
      </font>
      <fill>
        <patternFill>
          <bgColor rgb="FF00B050"/>
        </patternFill>
      </fill>
    </dxf>
    <dxf>
      <font>
        <b/>
        <i val="0"/>
        <color theme="0"/>
      </font>
      <fill>
        <patternFill>
          <bgColor rgb="FFFF0000"/>
        </patternFill>
      </fill>
    </dxf>
    <dxf>
      <font>
        <b/>
        <i val="0"/>
        <color theme="1"/>
      </font>
      <fill>
        <patternFill>
          <bgColor rgb="FF00B050"/>
        </patternFill>
      </fill>
    </dxf>
    <dxf>
      <font>
        <b/>
        <i val="0"/>
        <color theme="0"/>
      </font>
      <fill>
        <patternFill>
          <bgColor rgb="FFFF0000"/>
        </patternFill>
      </fill>
    </dxf>
    <dxf>
      <font>
        <b/>
        <i val="0"/>
        <color theme="1"/>
      </font>
      <fill>
        <patternFill>
          <bgColor rgb="FF00B050"/>
        </patternFill>
      </fill>
    </dxf>
    <dxf>
      <font>
        <b/>
        <i val="0"/>
      </font>
      <fill>
        <patternFill patternType="solid">
          <bgColor rgb="FF00B050"/>
        </patternFill>
      </fill>
    </dxf>
    <dxf>
      <font>
        <b/>
        <i val="0"/>
        <color theme="0"/>
      </font>
      <fill>
        <patternFill patternType="solid">
          <bgColor rgb="FFFF0000"/>
        </patternFill>
      </fill>
    </dxf>
    <dxf>
      <font>
        <b/>
        <i val="0"/>
        <color theme="0"/>
      </font>
      <fill>
        <patternFill>
          <bgColor rgb="FFFF0000"/>
        </patternFill>
      </fill>
    </dxf>
    <dxf>
      <font>
        <b/>
        <i val="0"/>
        <color theme="1"/>
      </font>
      <fill>
        <patternFill>
          <bgColor rgb="FF00B050"/>
        </patternFill>
      </fill>
    </dxf>
  </dxfs>
  <tableStyles count="0" defaultTableStyle="TableStyleMedium2" defaultPivotStyle="PivotStyleLight16"/>
  <colors>
    <mruColors>
      <color rgb="FFD5B8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bsacorp.sharepoint.com/sites/CombinedAssuranceProjectTeam/Shared%20Documents/General/Issues%20&amp;%20Actions/Combined%20Assurance%20STTM/Internal%20Audit%20STTM/Signed-Off/Current%20STTM/IA%20Actions%20STTM%20v3.0.xlsx" TargetMode="External"/><Relationship Id="rId1" Type="http://schemas.openxmlformats.org/officeDocument/2006/relationships/externalLinkPath" Target="/sites/CombinedAssuranceProjectTeam/Shared%20Documents/General/Issues%20&amp;%20Actions/Combined%20Assurance%20STTM/Internal%20Audit%20STTM/Signed-Off/Current%20STTM/IA%20Actions%20STTM%20v3.0.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bsacorp.sharepoint.com/sites/CombinedAssuranceProjectTeam/Shared%20Documents/General/Issues%20&amp;%20Actions/Combined%20Assurance%20STTM/Financial%20Crime%20STTM/Signed-Off/Current%20STTM/Fin%20Crime%20CA%20Actions%20STTM%20v6.0.xlsx" TargetMode="External"/><Relationship Id="rId1" Type="http://schemas.openxmlformats.org/officeDocument/2006/relationships/externalLinkPath" Target="/sites/CombinedAssuranceProjectTeam/Shared%20Documents/General/Issues%20&amp;%20Actions/Combined%20Assurance%20STTM/Financial%20Crime%20STTM/Signed-Off/Current%20STTM/Fin%20Crime%20CA%20Actions%20STTM%20v6.0.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ab028d8\Desktop\ORMS%20STTM%20AND%20GAP\Sign-off\ORMS%20Actions%20Gap%20Analysis.xlsx" TargetMode="External"/><Relationship Id="rId1" Type="http://schemas.openxmlformats.org/officeDocument/2006/relationships/externalLinkPath" Target="/Users/ab028d8/Desktop/ORMS%20STTM%20AND%20GAP/Sign-off/ORMS%20Actions%20Gap%20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83lF4ziiH0yV5zKe148sMqTYrKPeCWdOqAwTlvN76OAUhjC8lezNQpFmxe97-xui" itemId="013MY52BTXPGZ2RHKCHNCZQJN6Q26YE7QA">
      <xxl21:absoluteUrl r:id="rId2"/>
    </xxl21:alternateUrls>
    <sheetNames>
      <sheetName val="IA CA Actions STTM P1"/>
      <sheetName val="Target_Check"/>
      <sheetName val="Full_Join_SQL"/>
      <sheetName val="Version_Control"/>
      <sheetName val="Appendix"/>
      <sheetName val="Target Check"/>
      <sheetName val="UAT DB Attributes"/>
      <sheetName val="Backlog"/>
      <sheetName val="actions_ia"/>
      <sheetName val="assumptions"/>
      <sheetName val="STTM_Checklist"/>
      <sheetName val="Extract"/>
    </sheetNames>
    <sheetDataSet>
      <sheetData sheetId="0"/>
      <sheetData sheetId="1"/>
      <sheetData sheetId="2"/>
      <sheetData sheetId="3"/>
      <sheetData sheetId="4"/>
      <sheetData sheetId="5"/>
      <sheetData sheetId="6">
        <row r="1">
          <cell r="A1" t="str">
            <v>COLUMN NAME</v>
          </cell>
        </row>
        <row r="2">
          <cell r="A2" t="str">
            <v>ia_actions_id</v>
          </cell>
        </row>
        <row r="3">
          <cell r="A3" t="str">
            <v>ia_actions_title</v>
          </cell>
        </row>
        <row r="4">
          <cell r="A4" t="str">
            <v>ia_actions_description</v>
          </cell>
        </row>
        <row r="5">
          <cell r="A5" t="str">
            <v>ia_actions_created_at</v>
          </cell>
        </row>
        <row r="6">
          <cell r="A6" t="str">
            <v>ia_actions_updated_at</v>
          </cell>
        </row>
        <row r="7">
          <cell r="A7" t="str">
            <v>ia_actions_owner</v>
          </cell>
        </row>
        <row r="8">
          <cell r="A8" t="str">
            <v>ia_actions_owner_email</v>
          </cell>
        </row>
        <row r="9">
          <cell r="A9" t="str">
            <v>ia_actions_include_issue_issue_title_and_description</v>
          </cell>
        </row>
        <row r="10">
          <cell r="A10" t="str">
            <v>ia_actions_include_remediation_plan_and_deadline</v>
          </cell>
        </row>
        <row r="11">
          <cell r="A11" t="str">
            <v>ia_actions_due_date</v>
          </cell>
        </row>
        <row r="12">
          <cell r="A12" t="str">
            <v>ia_actions_state</v>
          </cell>
        </row>
        <row r="13">
          <cell r="A13" t="str">
            <v>ia_actions_completed_on</v>
          </cell>
        </row>
        <row r="14">
          <cell r="A14" t="str">
            <v>ia_actions_submitted_on</v>
          </cell>
        </row>
        <row r="15">
          <cell r="A15" t="str">
            <v>ia_actions_type</v>
          </cell>
        </row>
        <row r="16">
          <cell r="A16" t="str">
            <v>ia_actions_will_top_up_testing_be_required</v>
          </cell>
        </row>
        <row r="17">
          <cell r="A17" t="str">
            <v>ia_actions_action_status</v>
          </cell>
        </row>
        <row r="18">
          <cell r="A18" t="str">
            <v>ia_actions_custom_attribute1_id</v>
          </cell>
        </row>
        <row r="19">
          <cell r="A19" t="str">
            <v>ia_actions_action_revised_completion_date</v>
          </cell>
        </row>
        <row r="20">
          <cell r="A20" t="str">
            <v>ia_actions_action_revised_completion_date_value</v>
          </cell>
        </row>
        <row r="21">
          <cell r="A21" t="str">
            <v>ia_actions_custom_attribute2_id</v>
          </cell>
        </row>
        <row r="22">
          <cell r="A22" t="str">
            <v>ia_actions_action_date_moved_to_awaiting_validation</v>
          </cell>
        </row>
        <row r="23">
          <cell r="A23" t="str">
            <v>ia_actions_action_date_moved_to_awaiting_validation_value</v>
          </cell>
        </row>
        <row r="24">
          <cell r="A24" t="str">
            <v>ia_actions_assigned_by_id</v>
          </cell>
        </row>
        <row r="25">
          <cell r="A25" t="str">
            <v>ia_actions_owner_user_id</v>
          </cell>
        </row>
        <row r="26">
          <cell r="A26" t="str">
            <v>ia_actions_project_type_id</v>
          </cell>
        </row>
        <row r="27">
          <cell r="A27" t="str">
            <v>ia_actions_project_type_name</v>
          </cell>
        </row>
        <row r="28">
          <cell r="A28" t="str">
            <v>ia_actions_cc</v>
          </cell>
        </row>
        <row r="29">
          <cell r="A29" t="str">
            <v>ia_actions_issue_id</v>
          </cell>
        </row>
        <row r="30">
          <cell r="A30" t="str">
            <v>enceladus_info_date</v>
          </cell>
        </row>
        <row r="31">
          <cell r="A31" t="str">
            <v>ia_findings_issue_id</v>
          </cell>
        </row>
        <row r="32">
          <cell r="A32" t="str">
            <v>ia_findings_issue_reference</v>
          </cell>
        </row>
        <row r="33">
          <cell r="A33" t="str">
            <v>ia_findings_issue_treatment</v>
          </cell>
        </row>
        <row r="34">
          <cell r="A34" t="str">
            <v>ia_findings_title</v>
          </cell>
        </row>
        <row r="35">
          <cell r="A35" t="str">
            <v>ia_findings_description</v>
          </cell>
        </row>
        <row r="36">
          <cell r="A36" t="str">
            <v>ia_findings_issue_responsible_executive_name_title</v>
          </cell>
        </row>
        <row r="37">
          <cell r="A37" t="str">
            <v>ia_findings_recommendation</v>
          </cell>
        </row>
        <row r="38">
          <cell r="A38" t="str">
            <v>ia_findings_issue_priority_group</v>
          </cell>
        </row>
        <row r="39">
          <cell r="A39" t="str">
            <v>ia_findings_issue_close_due_date</v>
          </cell>
        </row>
        <row r="40">
          <cell r="A40" t="str">
            <v>ia_findings_issue_priority_bu_function_country</v>
          </cell>
        </row>
        <row r="41">
          <cell r="A41" t="str">
            <v>ia_findings_causal_category</v>
          </cell>
        </row>
        <row r="42">
          <cell r="A42" t="str">
            <v>ia_findings_root_cause</v>
          </cell>
        </row>
        <row r="43">
          <cell r="A43" t="str">
            <v>ia_findings_impact</v>
          </cell>
        </row>
        <row r="44">
          <cell r="A44" t="str">
            <v>ia_findings_financial_impact_in_zar_ricm</v>
          </cell>
        </row>
        <row r="45">
          <cell r="A45" t="str">
            <v>ia_findings_overdue_re_opened_commentary</v>
          </cell>
        </row>
        <row r="46">
          <cell r="A46" t="str">
            <v>ia_findings_executive_owner</v>
          </cell>
        </row>
        <row r="47">
          <cell r="A47" t="str">
            <v>ia_findings_audit_owner</v>
          </cell>
        </row>
        <row r="48">
          <cell r="A48" t="str">
            <v>ia_findings_remediation_status</v>
          </cell>
        </row>
        <row r="49">
          <cell r="A49" t="str">
            <v>ia_findings_will_eiv_be_required_if_yes_then_why</v>
          </cell>
        </row>
        <row r="50">
          <cell r="A50" t="str">
            <v>ia_findings_revised_issue_close_due_date</v>
          </cell>
        </row>
        <row r="51">
          <cell r="A51" t="str">
            <v>ia_findings_issue_actual_close_date_date_risk_acceptance_validated</v>
          </cell>
        </row>
        <row r="52">
          <cell r="A52" t="str">
            <v>ia_findings_date_icp_received_moved_to_amv_iav</v>
          </cell>
        </row>
        <row r="53">
          <cell r="A53" t="str">
            <v>ia_findings_date_re_opened_at_iv</v>
          </cell>
        </row>
        <row r="54">
          <cell r="A54" t="str">
            <v>ia_findings_rationale_for_non_reportable_management_insight_consolidated</v>
          </cell>
        </row>
        <row r="55">
          <cell r="A55" t="str">
            <v>ia_findings_issue_open_closed</v>
          </cell>
        </row>
        <row r="56">
          <cell r="A56" t="str">
            <v>ia_findings_will_top_up_testing_be_required</v>
          </cell>
        </row>
        <row r="57">
          <cell r="A57" t="str">
            <v>ia_findings_custom_attribute1_id</v>
          </cell>
        </row>
        <row r="58">
          <cell r="A58" t="str">
            <v>ia_findings_internal_audit_team</v>
          </cell>
        </row>
        <row r="59">
          <cell r="A59" t="str">
            <v>ia_findings_internal_audit_team_value</v>
          </cell>
        </row>
        <row r="60">
          <cell r="A60" t="str">
            <v>ia_findings_custom_attribute2_id</v>
          </cell>
        </row>
        <row r="61">
          <cell r="A61" t="str">
            <v>ia_findings_responsible_business_function</v>
          </cell>
        </row>
        <row r="62">
          <cell r="A62" t="str">
            <v>ia_findings_responsible_business_function_value</v>
          </cell>
        </row>
        <row r="63">
          <cell r="A63" t="str">
            <v>ia_findings_custom_attribute3_id</v>
          </cell>
        </row>
        <row r="64">
          <cell r="A64" t="str">
            <v>ia_findings_responsible_country</v>
          </cell>
        </row>
        <row r="65">
          <cell r="A65" t="str">
            <v>ia_findings_responsible_country_value</v>
          </cell>
        </row>
        <row r="66">
          <cell r="A66" t="str">
            <v>ia_findings_custom_attribute4_id</v>
          </cell>
        </row>
        <row r="67">
          <cell r="A67" t="str">
            <v>ia_findings_impacted_risk</v>
          </cell>
        </row>
        <row r="68">
          <cell r="A68" t="str">
            <v>ia_findings_impacted_risk_value</v>
          </cell>
        </row>
        <row r="69">
          <cell r="A69" t="str">
            <v>ia_findings_custom_attribute5_id</v>
          </cell>
        </row>
        <row r="70">
          <cell r="A70" t="str">
            <v>ia_findings_secondary_risk</v>
          </cell>
        </row>
        <row r="71">
          <cell r="A71" t="str">
            <v>ia_findings_secondary_risk_value</v>
          </cell>
        </row>
        <row r="72">
          <cell r="A72" t="str">
            <v>ia_findings_project_type_id</v>
          </cell>
        </row>
        <row r="73">
          <cell r="A73" t="str">
            <v>ia_findings_project_type_name</v>
          </cell>
        </row>
        <row r="74">
          <cell r="A74" t="str">
            <v>ia_findings_project_id</v>
          </cell>
        </row>
        <row r="75">
          <cell r="A75" t="str">
            <v>enceladus_info_date</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83lF4ziiH0yV5zKe148sMqTYrKPeCWdOqAwTlvN76OAUhjC8lezNQpFmxe97-xui" itemId="013MY52BTWTMEGDIJ5TRDLO7LOJM7YXKI7">
      <xxl21:absoluteUrl r:id="rId2"/>
    </xxl21:alternateUrls>
    <sheetNames>
      <sheetName val="Version Control"/>
      <sheetName val="STTM Checklist"/>
      <sheetName val="Fin Crime CA Actions STTM P1"/>
      <sheetName val="ERD"/>
      <sheetName val="Business Rules"/>
      <sheetName val="Target Check"/>
      <sheetName val="UAT DB Attributes"/>
      <sheetName val="Fin Crime Actions Extract"/>
      <sheetName val="Appendix"/>
    </sheetNames>
    <sheetDataSet>
      <sheetData sheetId="0"/>
      <sheetData sheetId="1"/>
      <sheetData sheetId="2"/>
      <sheetData sheetId="3"/>
      <sheetData sheetId="4"/>
      <sheetData sheetId="5"/>
      <sheetData sheetId="6">
        <row r="1">
          <cell r="A1"/>
          <cell r="B1"/>
        </row>
        <row r="2">
          <cell r="A2" t="str">
            <v>COLUMN NAME</v>
          </cell>
          <cell r="B2" t="str">
            <v>COLUMN TYPE</v>
          </cell>
        </row>
        <row r="3">
          <cell r="A3" t="str">
            <v>actions_id</v>
          </cell>
          <cell r="B3" t="str">
            <v>int</v>
          </cell>
        </row>
        <row r="4">
          <cell r="A4" t="str">
            <v>actions_type</v>
          </cell>
          <cell r="B4" t="str">
            <v>string</v>
          </cell>
        </row>
        <row r="5">
          <cell r="A5" t="str">
            <v>actions_title</v>
          </cell>
          <cell r="B5" t="str">
            <v>string</v>
          </cell>
        </row>
        <row r="6">
          <cell r="A6" t="str">
            <v>actions_created_at</v>
          </cell>
          <cell r="B6" t="str">
            <v>string</v>
          </cell>
        </row>
        <row r="7">
          <cell r="A7" t="str">
            <v>actions_updated_at</v>
          </cell>
          <cell r="B7" t="str">
            <v>string</v>
          </cell>
        </row>
        <row r="8">
          <cell r="A8" t="str">
            <v>actions_owner</v>
          </cell>
          <cell r="B8" t="str">
            <v>string</v>
          </cell>
        </row>
        <row r="9">
          <cell r="A9" t="str">
            <v>actions_email_address</v>
          </cell>
          <cell r="B9" t="str">
            <v>string</v>
          </cell>
        </row>
        <row r="10">
          <cell r="A10" t="str">
            <v>actions_send_reminder</v>
          </cell>
          <cell r="B10" t="str">
            <v>boolean</v>
          </cell>
        </row>
        <row r="11">
          <cell r="A11" t="str">
            <v>actions_include_issue_issue_title_and_description</v>
          </cell>
          <cell r="B11" t="str">
            <v>boolean</v>
          </cell>
        </row>
        <row r="12">
          <cell r="A12" t="str">
            <v>actions_include_remediation_plan_and_deadline</v>
          </cell>
          <cell r="B12" t="str">
            <v>boolean</v>
          </cell>
        </row>
        <row r="13">
          <cell r="A13" t="str">
            <v>actions_description</v>
          </cell>
          <cell r="B13" t="str">
            <v>string</v>
          </cell>
        </row>
        <row r="14">
          <cell r="A14" t="str">
            <v>actions_due_date</v>
          </cell>
          <cell r="B14" t="str">
            <v>date</v>
          </cell>
        </row>
        <row r="15">
          <cell r="A15" t="str">
            <v>actions_validation_result</v>
          </cell>
          <cell r="B15" t="str">
            <v>string</v>
          </cell>
        </row>
        <row r="16">
          <cell r="A16" t="str">
            <v>actions_state</v>
          </cell>
          <cell r="B16" t="str">
            <v>boolean</v>
          </cell>
        </row>
        <row r="17">
          <cell r="A17" t="str">
            <v>actions_completed_date</v>
          </cell>
          <cell r="B17" t="str">
            <v>string</v>
          </cell>
        </row>
        <row r="18">
          <cell r="A18" t="str">
            <v>actions_status</v>
          </cell>
          <cell r="B18" t="str">
            <v>string</v>
          </cell>
        </row>
        <row r="19">
          <cell r="A19" t="str">
            <v>actions_submitted_on</v>
          </cell>
          <cell r="B19" t="str">
            <v>string</v>
          </cell>
        </row>
        <row r="20">
          <cell r="A20" t="str">
            <v>actions_custom_attributes1_id</v>
          </cell>
          <cell r="B20" t="str">
            <v>int</v>
          </cell>
        </row>
        <row r="21">
          <cell r="A21" t="str">
            <v>actions_classification</v>
          </cell>
          <cell r="B21" t="str">
            <v>string</v>
          </cell>
        </row>
        <row r="22">
          <cell r="A22" t="str">
            <v>actions_classification_value</v>
          </cell>
          <cell r="B22" t="str">
            <v>string</v>
          </cell>
        </row>
        <row r="23">
          <cell r="A23" t="str">
            <v>actions_custom_attributes2_id</v>
          </cell>
          <cell r="B23" t="str">
            <v>int</v>
          </cell>
        </row>
        <row r="24">
          <cell r="A24" t="str">
            <v>actions_remediation_categories</v>
          </cell>
          <cell r="B24" t="str">
            <v>string</v>
          </cell>
        </row>
        <row r="25">
          <cell r="A25" t="str">
            <v>actions_remediation_categories_value</v>
          </cell>
          <cell r="B25" t="str">
            <v>string</v>
          </cell>
        </row>
        <row r="26">
          <cell r="A26" t="str">
            <v>actions_custom_attributes3_id</v>
          </cell>
          <cell r="B26" t="str">
            <v>int</v>
          </cell>
        </row>
        <row r="27">
          <cell r="A27" t="str">
            <v>actions_responsible_impacted_business_unit</v>
          </cell>
          <cell r="B27" t="str">
            <v>string</v>
          </cell>
        </row>
        <row r="28">
          <cell r="A28" t="str">
            <v>actions_responsible_impacted_business_unit_value</v>
          </cell>
          <cell r="B28" t="str">
            <v>int</v>
          </cell>
        </row>
        <row r="29">
          <cell r="A29" t="str">
            <v>actions_custom_attributes4_id</v>
          </cell>
          <cell r="B29" t="str">
            <v>int</v>
          </cell>
        </row>
        <row r="30">
          <cell r="A30" t="str">
            <v>actions_lead_reviewer_validating</v>
          </cell>
          <cell r="B30" t="str">
            <v>string</v>
          </cell>
        </row>
        <row r="31">
          <cell r="A31" t="str">
            <v>actions_lead_reviewer_validating_value</v>
          </cell>
          <cell r="B31" t="str">
            <v>string</v>
          </cell>
        </row>
        <row r="32">
          <cell r="A32" t="str">
            <v>actions_custom_attributes5_id</v>
          </cell>
          <cell r="B32" t="str">
            <v>int</v>
          </cell>
        </row>
        <row r="33">
          <cell r="A33" t="str">
            <v>actions_audit_consultant_validating</v>
          </cell>
          <cell r="B33" t="str">
            <v>string</v>
          </cell>
        </row>
        <row r="34">
          <cell r="A34" t="str">
            <v>actions_audit_consultant_validating_value</v>
          </cell>
          <cell r="B34" t="str">
            <v>string</v>
          </cell>
        </row>
        <row r="35">
          <cell r="A35" t="str">
            <v>actions_issue_id</v>
          </cell>
          <cell r="B35" t="str">
            <v>int</v>
          </cell>
        </row>
        <row r="36">
          <cell r="A36" t="str">
            <v>actions_assigned_by_id</v>
          </cell>
          <cell r="B36" t="str">
            <v>string</v>
          </cell>
        </row>
        <row r="37">
          <cell r="A37" t="str">
            <v>actions_owner_user_id</v>
          </cell>
          <cell r="B37" t="str">
            <v>string</v>
          </cell>
        </row>
        <row r="38">
          <cell r="A38" t="str">
            <v>actions_project_type_id</v>
          </cell>
          <cell r="B38" t="str">
            <v>int</v>
          </cell>
        </row>
        <row r="39">
          <cell r="A39" t="str">
            <v>actions_project_type_name</v>
          </cell>
          <cell r="B39" t="str">
            <v>string</v>
          </cell>
        </row>
        <row r="40">
          <cell r="A40" t="str">
            <v>enceladus_info_date</v>
          </cell>
          <cell r="B40" t="str">
            <v>date</v>
          </cell>
        </row>
        <row r="52">
          <cell r="A52" t="str">
            <v>accountable_executive</v>
          </cell>
          <cell r="B52" t="e">
            <v>#N/A</v>
          </cell>
        </row>
        <row r="53">
          <cell r="A53" t="str">
            <v>issues_remediation_plan</v>
          </cell>
          <cell r="B53" t="e">
            <v>#N/A</v>
          </cell>
        </row>
        <row r="54">
          <cell r="A54" t="str">
            <v>Title</v>
          </cell>
          <cell r="B54" t="e">
            <v>#N/A</v>
          </cell>
        </row>
        <row r="55">
          <cell r="A55" t="str">
            <v>issues_creator_name</v>
          </cell>
          <cell r="B55" t="e">
            <v>#N/A</v>
          </cell>
        </row>
        <row r="56">
          <cell r="A56" t="str">
            <v>issues_created_at</v>
          </cell>
          <cell r="B56" t="e">
            <v>#N/A</v>
          </cell>
        </row>
        <row r="57">
          <cell r="A57" t="str">
            <v>issues_issue_description</v>
          </cell>
          <cell r="B57" t="e">
            <v>#N/A</v>
          </cell>
        </row>
        <row r="58">
          <cell r="A58" t="str">
            <v>Due_Date</v>
          </cell>
          <cell r="B58" t="e">
            <v>#N/A</v>
          </cell>
        </row>
        <row r="59">
          <cell r="A59" t="str">
            <v>Expected_Closure_Date</v>
          </cell>
          <cell r="B59" t="e">
            <v>#N/A</v>
          </cell>
        </row>
        <row r="60">
          <cell r="A60" t="str">
            <v>issues_financial_impact_rationale</v>
          </cell>
          <cell r="B60" t="e">
            <v>#N/A</v>
          </cell>
        </row>
        <row r="61">
          <cell r="A61" t="str">
            <v>Group_Risk_Rating_Current</v>
          </cell>
          <cell r="B61" t="e">
            <v>#N/A</v>
          </cell>
        </row>
        <row r="62">
          <cell r="A62" t="str">
            <v>issues_conduct_risk_outcomes</v>
          </cell>
          <cell r="B62" t="e">
            <v>#N/A</v>
          </cell>
        </row>
        <row r="63">
          <cell r="A63" t="str">
            <v>issues_principal_risk</v>
          </cell>
          <cell r="B63" t="e">
            <v>#N/A</v>
          </cell>
        </row>
        <row r="64">
          <cell r="A64" t="str">
            <v>Issue_Delivery_Status</v>
          </cell>
          <cell r="B64" t="e">
            <v>#N/A</v>
          </cell>
        </row>
        <row r="65">
          <cell r="A65" t="str">
            <v>issues_created_at</v>
          </cell>
          <cell r="B65" t="e">
            <v>#N/A</v>
          </cell>
        </row>
        <row r="66">
          <cell r="A66" t="str">
            <v>issues_creator_name</v>
          </cell>
          <cell r="B66" t="e">
            <v>#N/A</v>
          </cell>
        </row>
        <row r="67">
          <cell r="A67" t="str">
            <v>issues_retesting_results_overview</v>
          </cell>
          <cell r="B67" t="e">
            <v>#N/A</v>
          </cell>
        </row>
        <row r="68">
          <cell r="A68" t="str">
            <v>issues_retesting_results_overview</v>
          </cell>
          <cell r="B68" t="e">
            <v>#N/A</v>
          </cell>
        </row>
        <row r="69">
          <cell r="A69" t="str">
            <v>issues_likelihood_rationale</v>
          </cell>
          <cell r="B69" t="e">
            <v>#N/A</v>
          </cell>
        </row>
        <row r="70">
          <cell r="A70" t="str">
            <v>issues_likelihood_rationale</v>
          </cell>
          <cell r="B70" t="e">
            <v>#N/A</v>
          </cell>
        </row>
        <row r="71">
          <cell r="A71" t="str">
            <v>Name</v>
          </cell>
          <cell r="B71" t="e">
            <v>#N/A</v>
          </cell>
        </row>
        <row r="72">
          <cell r="A72" t="str">
            <v>issues_non_financial_impact_bands_value</v>
          </cell>
          <cell r="B72" t="e">
            <v>#N/A</v>
          </cell>
        </row>
        <row r="73">
          <cell r="A73" t="str">
            <v>issues_non_financial_impact_rationale</v>
          </cell>
          <cell r="B73" t="e">
            <v>#N/A</v>
          </cell>
        </row>
        <row r="74">
          <cell r="A74" t="str">
            <v>issues_issue_due_date</v>
          </cell>
          <cell r="B74" t="e">
            <v>#N/A</v>
          </cell>
        </row>
        <row r="75">
          <cell r="A75" t="str">
            <v>Remediation_Project_Name</v>
          </cell>
          <cell r="B75" t="e">
            <v>#N/A</v>
          </cell>
        </row>
        <row r="76">
          <cell r="A76" t="str">
            <v>issues_principal_risk</v>
          </cell>
          <cell r="B76" t="e">
            <v>#N/A</v>
          </cell>
        </row>
        <row r="77">
          <cell r="A77" t="str">
            <v>issues_root_cause/issues_primary_root_cause_value</v>
          </cell>
          <cell r="B77" t="e">
            <v>#N/A</v>
          </cell>
        </row>
        <row r="78">
          <cell r="A78" t="str">
            <v>Issue_Delivery_Status</v>
          </cell>
          <cell r="B78" t="e">
            <v>#N/A</v>
          </cell>
        </row>
        <row r="79">
          <cell r="A79" t="str">
            <v>Title</v>
          </cell>
          <cell r="B79" t="e">
            <v>#N/A</v>
          </cell>
        </row>
      </sheetData>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ctions"/>
    </sheetNames>
    <sheetDataSet>
      <sheetData sheetId="0" refreshError="1">
        <row r="2">
          <cell r="J2" t="str">
            <v>parent_path</v>
          </cell>
        </row>
        <row r="3">
          <cell r="J3" t="str">
            <v>parent_object_types</v>
          </cell>
        </row>
        <row r="4">
          <cell r="J4" t="str">
            <v>parent_objects</v>
          </cell>
        </row>
        <row r="5">
          <cell r="J5" t="str">
            <v>name</v>
          </cell>
        </row>
        <row r="6">
          <cell r="J6" t="str">
            <v>description</v>
          </cell>
        </row>
        <row r="7">
          <cell r="J7" t="str">
            <v>creation_date</v>
          </cell>
        </row>
        <row r="8">
          <cell r="J8" t="str">
            <v>created_by</v>
          </cell>
        </row>
        <row r="9">
          <cell r="J9" t="str">
            <v>created_by_name</v>
          </cell>
        </row>
        <row r="10">
          <cell r="J10" t="str">
            <v>last_modification_date</v>
          </cell>
        </row>
        <row r="11">
          <cell r="J11" t="str">
            <v>additional_description</v>
          </cell>
        </row>
        <row r="12">
          <cell r="J12" t="str">
            <v>action_status</v>
          </cell>
        </row>
        <row r="13">
          <cell r="J13" t="str">
            <v>issue_owner_for_approval</v>
          </cell>
        </row>
        <row r="14">
          <cell r="J14" t="str">
            <v>original_due_date</v>
          </cell>
        </row>
        <row r="15">
          <cell r="J15" t="str">
            <v>action_due_date</v>
          </cell>
        </row>
        <row r="16">
          <cell r="J16" t="str">
            <v>actual_completion_date</v>
          </cell>
        </row>
        <row r="17">
          <cell r="J17" t="str">
            <v>action_co-ordinator</v>
          </cell>
        </row>
        <row r="18">
          <cell r="J18" t="str">
            <v>action_co-ordinator_name</v>
          </cell>
        </row>
        <row r="19">
          <cell r="J19" t="str">
            <v>percent_complete</v>
          </cell>
        </row>
        <row r="20">
          <cell r="J20" t="str">
            <v>action_type</v>
          </cell>
        </row>
        <row r="21">
          <cell r="J21" t="str">
            <v>action_agreed_with_action_owners</v>
          </cell>
        </row>
        <row r="22">
          <cell r="J22" t="str">
            <v>action_closure_rationale</v>
          </cell>
        </row>
        <row r="23">
          <cell r="J23" t="str">
            <v>action_overdue</v>
          </cell>
        </row>
        <row r="24">
          <cell r="J24" t="str">
            <v>action_owner</v>
          </cell>
        </row>
        <row r="25">
          <cell r="J25" t="str">
            <v>action_owner_name</v>
          </cell>
        </row>
        <row r="26">
          <cell r="J26" t="str">
            <v>action_requested_due_date_validation</v>
          </cell>
        </row>
        <row r="27">
          <cell r="J27" t="str">
            <v>action_validator</v>
          </cell>
        </row>
        <row r="28">
          <cell r="J28" t="str">
            <v>action_validator_name</v>
          </cell>
        </row>
        <row r="29">
          <cell r="J29" t="str">
            <v>assurance_provider_closure_assurance</v>
          </cell>
        </row>
        <row r="30">
          <cell r="J30" t="str">
            <v>control_embedment_date</v>
          </cell>
        </row>
        <row r="31">
          <cell r="J31" t="str">
            <v>control_implementation_date</v>
          </cell>
        </row>
        <row r="32">
          <cell r="J32" t="str">
            <v>date_change_rationale</v>
          </cell>
        </row>
        <row r="33">
          <cell r="J33" t="str">
            <v>delivery_status</v>
          </cell>
        </row>
        <row r="34">
          <cell r="J34" t="str">
            <v>delivery_status_commentary</v>
          </cell>
        </row>
        <row r="35">
          <cell r="J35" t="str">
            <v>due_date_extended</v>
          </cell>
        </row>
        <row r="36">
          <cell r="J36" t="str">
            <v>due_in</v>
          </cell>
        </row>
        <row r="37">
          <cell r="J37" t="str">
            <v>expected_action_closure_date</v>
          </cell>
        </row>
        <row r="38">
          <cell r="J38" t="str">
            <v>expected_reopen_closure_date_validation</v>
          </cell>
        </row>
        <row r="39">
          <cell r="J39" t="str">
            <v>issue_name</v>
          </cell>
        </row>
        <row r="40">
          <cell r="J40" t="str">
            <v>linked_actions_requiring_closure</v>
          </cell>
        </row>
        <row r="41">
          <cell r="J41" t="str">
            <v>mandatory_assurance_required</v>
          </cell>
        </row>
        <row r="42">
          <cell r="J42" t="str">
            <v>number_of_date_changes</v>
          </cell>
        </row>
        <row r="43">
          <cell r="J43" t="str">
            <v>off_system_assurance_comment</v>
          </cell>
        </row>
        <row r="44">
          <cell r="J44" t="str">
            <v>off_system_assurance_result</v>
          </cell>
        </row>
        <row r="45">
          <cell r="J45" t="str">
            <v>overdue_action_comment</v>
          </cell>
        </row>
        <row r="46">
          <cell r="J46" t="str">
            <v>remediation_category</v>
          </cell>
        </row>
        <row r="47">
          <cell r="J47" t="str">
            <v>request_due_date_extension</v>
          </cell>
        </row>
        <row r="48">
          <cell r="J48" t="str">
            <v>in_milestone_conversion</v>
          </cell>
        </row>
        <row r="49">
          <cell r="J49" t="str">
            <v>requested_due_date</v>
          </cell>
        </row>
        <row r="50">
          <cell r="J50" t="str">
            <v>revised_action_status</v>
          </cell>
        </row>
        <row r="51">
          <cell r="J51" t="str">
            <v>risk_step_down_action</v>
          </cell>
        </row>
        <row r="52">
          <cell r="J52" t="str">
            <v>tactical_or_strategic_action</v>
          </cell>
        </row>
        <row r="53">
          <cell r="J53" t="str">
            <v>title</v>
          </cell>
        </row>
        <row r="54">
          <cell r="J54" t="str">
            <v>validation_date</v>
          </cell>
        </row>
        <row r="55">
          <cell r="J55" t="str">
            <v>validation_description</v>
          </cell>
        </row>
        <row r="56">
          <cell r="J56" t="str">
            <v>latest_assurance_result</v>
          </cell>
        </row>
        <row r="57">
          <cell r="J57" t="str">
            <v>latest_assurance_result_commentary</v>
          </cell>
        </row>
        <row r="58">
          <cell r="J58" t="str">
            <v>assurance_provider_reference_number</v>
          </cell>
        </row>
        <row r="59">
          <cell r="J59" t="str">
            <v>number_of_times_reopened</v>
          </cell>
        </row>
        <row r="60">
          <cell r="J60" t="str">
            <v>other_reopen_reason</v>
          </cell>
        </row>
        <row r="61">
          <cell r="J61" t="str">
            <v>reason_reopened</v>
          </cell>
        </row>
        <row r="62">
          <cell r="J62" t="str">
            <v>reopen_approval_comment</v>
          </cell>
        </row>
        <row r="63">
          <cell r="J63" t="str">
            <v>reopen_request_motivation</v>
          </cell>
        </row>
        <row r="64">
          <cell r="J64" t="str">
            <v>reopened</v>
          </cell>
        </row>
        <row r="65">
          <cell r="J65" t="str">
            <v>closed_by</v>
          </cell>
        </row>
        <row r="66">
          <cell r="J66" t="str">
            <v>closed_by_name</v>
          </cell>
        </row>
        <row r="67">
          <cell r="J67" t="str">
            <v>closing_comments</v>
          </cell>
        </row>
        <row r="68">
          <cell r="J68" t="str">
            <v>date_closed</v>
          </cell>
        </row>
        <row r="69">
          <cell r="J69" t="str">
            <v>date_rejected</v>
          </cell>
        </row>
        <row r="70">
          <cell r="J70" t="str">
            <v>date_reviewed</v>
          </cell>
        </row>
        <row r="71">
          <cell r="J71" t="str">
            <v>expected_reopen_closure_date</v>
          </cell>
        </row>
        <row r="72">
          <cell r="J72" t="str">
            <v>stage</v>
          </cell>
        </row>
        <row r="73">
          <cell r="J73" t="str">
            <v>status</v>
          </cell>
        </row>
        <row r="74">
          <cell r="J74" t="str">
            <v>rejected_by</v>
          </cell>
        </row>
        <row r="75">
          <cell r="J75" t="str">
            <v>rejected_by_name</v>
          </cell>
        </row>
        <row r="76">
          <cell r="J76" t="str">
            <v>rejection_comments</v>
          </cell>
        </row>
        <row r="77">
          <cell r="J77" t="str">
            <v>reopened_by</v>
          </cell>
        </row>
        <row r="78">
          <cell r="J78" t="str">
            <v>reopened_by_name</v>
          </cell>
        </row>
        <row r="79">
          <cell r="J79" t="str">
            <v>date_last_reopened</v>
          </cell>
        </row>
        <row r="80">
          <cell r="J80" t="str">
            <v>reopen_review_history</v>
          </cell>
        </row>
        <row r="81">
          <cell r="J81" t="str">
            <v>request_reopen</v>
          </cell>
        </row>
        <row r="82">
          <cell r="J82" t="str">
            <v>review_comments</v>
          </cell>
        </row>
        <row r="83">
          <cell r="J83" t="str">
            <v>reviewed_by</v>
          </cell>
        </row>
        <row r="84">
          <cell r="J84" t="str">
            <v>reviewed_by_name</v>
          </cell>
        </row>
        <row r="85">
          <cell r="J85" t="str">
            <v>validated_by</v>
          </cell>
        </row>
        <row r="86">
          <cell r="J86" t="str">
            <v>validated_by_name</v>
          </cell>
        </row>
        <row r="87">
          <cell r="J87" t="str">
            <v>validation_comments</v>
          </cell>
        </row>
        <row r="88">
          <cell r="J88" t="str">
            <v>Inferred</v>
          </cell>
        </row>
        <row r="89">
          <cell r="J89" t="str">
            <v>Inferred</v>
          </cell>
        </row>
      </sheetData>
    </sheetDataSet>
  </externalBook>
</externalLink>
</file>

<file path=xl/persons/person.xml><?xml version="1.0" encoding="utf-8"?>
<personList xmlns="http://schemas.microsoft.com/office/spreadsheetml/2018/threadedcomments" xmlns:x="http://schemas.openxmlformats.org/spreadsheetml/2006/main">
  <person displayName="Marphil Mokoena (ZA)" id="{98238723-2F59-4107-9C40-D4D7B5D73977}" userId="S::Marphil.Mokoena@absa.africa::9c9c5e43-0f39-4d85-ae6f-b06b034f90b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C531D4-1884-4D01-BB48-E25FD911E6EB}" name="Table1" displayName="Table1" ref="A1:F23" totalsRowShown="0" headerRowDxfId="16" dataDxfId="14" headerRowBorderDxfId="15" tableBorderDxfId="13" totalsRowBorderDxfId="12">
  <autoFilter ref="A1:F23" xr:uid="{8DC531D4-1884-4D01-BB48-E25FD911E6EB}"/>
  <tableColumns count="6">
    <tableColumn id="1" xr3:uid="{12C99093-9BDB-4D6E-A53B-D27351220F89}" name="PCM Database" dataDxfId="11"/>
    <tableColumn id="6" xr3:uid="{F1A845EE-8378-4006-BF98-2E8D62C9FB22}" name="PCM Table" dataDxfId="10"/>
    <tableColumn id="2" xr3:uid="{D0B19040-C074-48E8-A755-B6B1DD1F93EF}" name="PCM Column Name(Team)" dataDxfId="9"/>
    <tableColumn id="3" xr3:uid="{5813F402-07A2-4C24-A458-158D4C6F2A56}" name="Target_Column_Name" dataDxfId="8"/>
    <tableColumn id="4" xr3:uid="{B404004B-9430-4AEB-8DC8-F4A846E33DA6}" name="PCM Column Name" dataDxfId="7"/>
    <tableColumn id="5" xr3:uid="{D79893A4-87C0-48B9-B8B7-838361A3F67B}" name="Description" dataDxfId="6"/>
  </tableColumns>
  <tableStyleInfo name="TableStyleLight10"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45" dT="2024-04-30T08:55:04.02" personId="{98238723-2F59-4107-9C40-D4D7B5D73977}" id="{064A58D7-BA4D-4001-B7B6-7F3D6A42191D}">
    <text>Action owner not users, no ID</text>
  </threadedComment>
  <threadedComment ref="G45" dT="2024-04-30T08:56:33.61" personId="{98238723-2F59-4107-9C40-D4D7B5D73977}" id="{2E332BFD-3935-4CB3-B2E1-BD607EB5FFA0}" parentId="{064A58D7-BA4D-4001-B7B6-7F3D6A42191D}">
    <text>Derived</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27A72-0D34-4335-A738-BEB6E78C226A}">
  <sheetPr codeName="Sheet1"/>
  <dimension ref="A1:W302"/>
  <sheetViews>
    <sheetView tabSelected="1" workbookViewId="0">
      <selection activeCell="E4" sqref="E4"/>
    </sheetView>
  </sheetViews>
  <sheetFormatPr defaultRowHeight="15" customHeight="1"/>
  <cols>
    <col min="1" max="1" width="25.26953125" customWidth="1"/>
    <col min="2" max="2" width="19.1796875" customWidth="1"/>
    <col min="3" max="3" width="35.453125" customWidth="1"/>
    <col min="4" max="4" width="38.26953125" customWidth="1"/>
    <col min="5" max="5" width="9.26953125" style="116" customWidth="1"/>
    <col min="6" max="6" width="8.7265625" customWidth="1"/>
    <col min="7" max="7" width="46" customWidth="1"/>
    <col min="8" max="8" width="20.453125" customWidth="1"/>
    <col min="9" max="9" width="15.26953125" customWidth="1"/>
    <col min="10" max="10" width="18.1796875" customWidth="1"/>
    <col min="11" max="11" width="14" customWidth="1"/>
    <col min="12" max="12" width="19" customWidth="1"/>
    <col min="13" max="13" width="45.81640625" customWidth="1"/>
    <col min="14" max="14" width="27.453125" customWidth="1"/>
    <col min="15" max="15" width="15.81640625" customWidth="1"/>
    <col min="16" max="16" width="7" customWidth="1"/>
    <col min="17" max="17" width="40.453125" customWidth="1"/>
    <col min="18" max="18" width="32.1796875" customWidth="1"/>
    <col min="20" max="20" width="28.54296875" customWidth="1"/>
  </cols>
  <sheetData>
    <row r="1" spans="1:23" ht="14.5" customHeight="1">
      <c r="A1" s="266" t="s">
        <v>0</v>
      </c>
      <c r="B1" s="267"/>
      <c r="C1" s="267"/>
      <c r="D1" s="267"/>
      <c r="E1" s="268"/>
      <c r="F1" s="267"/>
      <c r="G1" s="269"/>
      <c r="H1" s="270" t="s">
        <v>1</v>
      </c>
      <c r="I1" s="271"/>
      <c r="J1" s="272" t="s">
        <v>2</v>
      </c>
      <c r="K1" s="272"/>
      <c r="L1" s="272"/>
      <c r="M1" s="272"/>
      <c r="N1" s="272"/>
      <c r="O1" s="272"/>
      <c r="P1" s="272"/>
      <c r="Q1" s="272"/>
    </row>
    <row r="2" spans="1:23" ht="36">
      <c r="A2" s="26" t="s">
        <v>3</v>
      </c>
      <c r="B2" s="26" t="s">
        <v>4</v>
      </c>
      <c r="C2" s="26" t="s">
        <v>5</v>
      </c>
      <c r="D2" s="26" t="s">
        <v>6</v>
      </c>
      <c r="E2" s="110" t="s">
        <v>7</v>
      </c>
      <c r="F2" s="25" t="s">
        <v>8</v>
      </c>
      <c r="G2" s="26" t="s">
        <v>9</v>
      </c>
      <c r="H2" s="66" t="s">
        <v>10</v>
      </c>
      <c r="I2" s="66" t="s">
        <v>11</v>
      </c>
      <c r="J2" s="27" t="s">
        <v>12</v>
      </c>
      <c r="K2" s="27" t="s">
        <v>13</v>
      </c>
      <c r="L2" s="27" t="s">
        <v>14</v>
      </c>
      <c r="M2" s="27" t="s">
        <v>15</v>
      </c>
      <c r="N2" s="27" t="s">
        <v>16</v>
      </c>
      <c r="O2" s="27" t="s">
        <v>17</v>
      </c>
      <c r="P2" s="27" t="s">
        <v>18</v>
      </c>
      <c r="Q2" s="182" t="s">
        <v>19</v>
      </c>
    </row>
    <row r="3" spans="1:23" ht="14.5">
      <c r="A3" s="71" t="s">
        <v>20</v>
      </c>
      <c r="B3" s="71" t="s">
        <v>21</v>
      </c>
      <c r="C3" s="71" t="s">
        <v>22</v>
      </c>
      <c r="D3" s="123" t="s">
        <v>23</v>
      </c>
      <c r="E3" s="111">
        <v>0</v>
      </c>
      <c r="F3" s="71" t="s">
        <v>24</v>
      </c>
      <c r="G3" s="238" t="s">
        <v>25</v>
      </c>
      <c r="H3" s="71"/>
      <c r="I3" s="71"/>
      <c r="J3" s="71" t="s">
        <v>26</v>
      </c>
      <c r="K3" s="71" t="s">
        <v>27</v>
      </c>
      <c r="L3" s="150" t="s">
        <v>28</v>
      </c>
      <c r="M3" s="259" t="s">
        <v>29</v>
      </c>
      <c r="N3" s="157" t="s">
        <v>24</v>
      </c>
      <c r="O3" s="71" t="s">
        <v>30</v>
      </c>
      <c r="P3" s="76" t="s">
        <v>31</v>
      </c>
      <c r="Q3" s="169"/>
    </row>
    <row r="4" spans="1:23" ht="14.5">
      <c r="A4" s="72" t="s">
        <v>32</v>
      </c>
      <c r="B4" s="72" t="s">
        <v>21</v>
      </c>
      <c r="C4" s="72" t="s">
        <v>33</v>
      </c>
      <c r="D4" s="124" t="s">
        <v>23</v>
      </c>
      <c r="E4" s="112">
        <v>0</v>
      </c>
      <c r="F4" s="72" t="s">
        <v>24</v>
      </c>
      <c r="G4" s="239" t="s">
        <v>25</v>
      </c>
      <c r="H4" s="72"/>
      <c r="I4" s="72"/>
      <c r="J4" s="72" t="s">
        <v>34</v>
      </c>
      <c r="K4" s="72" t="s">
        <v>27</v>
      </c>
      <c r="L4" s="151" t="s">
        <v>28</v>
      </c>
      <c r="M4" s="259" t="s">
        <v>29</v>
      </c>
      <c r="N4" s="158" t="s">
        <v>24</v>
      </c>
      <c r="O4" s="72" t="s">
        <v>30</v>
      </c>
      <c r="P4" s="176" t="s">
        <v>31</v>
      </c>
      <c r="Q4" s="178"/>
    </row>
    <row r="5" spans="1:23" ht="14.5">
      <c r="A5" s="56" t="s">
        <v>35</v>
      </c>
      <c r="B5" s="56" t="s">
        <v>21</v>
      </c>
      <c r="C5" s="56" t="s">
        <v>36</v>
      </c>
      <c r="D5" s="122" t="s">
        <v>23</v>
      </c>
      <c r="E5" s="113">
        <v>0</v>
      </c>
      <c r="F5" s="56" t="s">
        <v>24</v>
      </c>
      <c r="G5" s="240" t="s">
        <v>25</v>
      </c>
      <c r="H5" s="56"/>
      <c r="I5" s="56"/>
      <c r="J5" s="56" t="s">
        <v>37</v>
      </c>
      <c r="K5" s="56" t="s">
        <v>27</v>
      </c>
      <c r="L5" s="152" t="s">
        <v>28</v>
      </c>
      <c r="M5" s="259" t="s">
        <v>29</v>
      </c>
      <c r="N5" s="159" t="s">
        <v>24</v>
      </c>
      <c r="O5" s="56" t="s">
        <v>30</v>
      </c>
      <c r="P5" s="77" t="s">
        <v>31</v>
      </c>
      <c r="Q5" s="56"/>
    </row>
    <row r="6" spans="1:23" ht="14.5">
      <c r="A6" s="73" t="s">
        <v>38</v>
      </c>
      <c r="B6" s="73" t="s">
        <v>39</v>
      </c>
      <c r="C6" s="73" t="s">
        <v>40</v>
      </c>
      <c r="D6" s="125" t="s">
        <v>23</v>
      </c>
      <c r="E6" s="114">
        <v>0</v>
      </c>
      <c r="F6" s="73" t="s">
        <v>24</v>
      </c>
      <c r="G6" s="139" t="s">
        <v>25</v>
      </c>
      <c r="H6" s="73"/>
      <c r="I6" s="73"/>
      <c r="J6" s="73" t="s">
        <v>41</v>
      </c>
      <c r="K6" s="73" t="s">
        <v>27</v>
      </c>
      <c r="L6" s="153" t="s">
        <v>28</v>
      </c>
      <c r="M6" s="259" t="s">
        <v>29</v>
      </c>
      <c r="N6" s="160" t="s">
        <v>24</v>
      </c>
      <c r="O6" s="73" t="s">
        <v>30</v>
      </c>
      <c r="P6" s="179" t="s">
        <v>31</v>
      </c>
      <c r="Q6" s="183"/>
    </row>
    <row r="7" spans="1:23" ht="15" customHeight="1">
      <c r="A7" s="106" t="s">
        <v>42</v>
      </c>
      <c r="B7" s="105" t="s">
        <v>43</v>
      </c>
      <c r="C7" s="105" t="s">
        <v>44</v>
      </c>
      <c r="D7" s="165" t="s">
        <v>23</v>
      </c>
      <c r="E7" s="115">
        <v>0</v>
      </c>
      <c r="F7" s="118" t="s">
        <v>24</v>
      </c>
      <c r="G7" s="118" t="s">
        <v>25</v>
      </c>
      <c r="H7" s="115"/>
      <c r="I7" s="115"/>
      <c r="J7" s="118" t="s">
        <v>45</v>
      </c>
      <c r="K7" s="115" t="s">
        <v>27</v>
      </c>
      <c r="L7" s="164" t="s">
        <v>28</v>
      </c>
      <c r="M7" s="259" t="s">
        <v>46</v>
      </c>
      <c r="N7" s="161" t="s">
        <v>24</v>
      </c>
      <c r="O7" s="106" t="s">
        <v>30</v>
      </c>
      <c r="P7" s="80" t="s">
        <v>31</v>
      </c>
      <c r="Q7" s="188"/>
    </row>
    <row r="8" spans="1:23" ht="15" customHeight="1">
      <c r="A8" s="71" t="s">
        <v>20</v>
      </c>
      <c r="B8" s="71" t="s">
        <v>21</v>
      </c>
      <c r="C8" s="71" t="s">
        <v>22</v>
      </c>
      <c r="D8" s="71" t="s">
        <v>47</v>
      </c>
      <c r="E8" s="111">
        <v>1</v>
      </c>
      <c r="F8" s="71" t="s">
        <v>48</v>
      </c>
      <c r="G8" s="238" t="s">
        <v>49</v>
      </c>
      <c r="H8" s="71"/>
      <c r="I8" s="71"/>
      <c r="J8" s="71" t="s">
        <v>50</v>
      </c>
      <c r="K8" s="71" t="s">
        <v>27</v>
      </c>
      <c r="L8" s="150" t="s">
        <v>28</v>
      </c>
      <c r="M8" s="259" t="s">
        <v>51</v>
      </c>
      <c r="N8" s="157" t="s">
        <v>24</v>
      </c>
      <c r="O8" s="71" t="s">
        <v>30</v>
      </c>
      <c r="P8" s="71" t="str">
        <f>IF(J8="Direct pull", "Yes", "No")</f>
        <v>Yes</v>
      </c>
      <c r="Q8" s="169"/>
    </row>
    <row r="9" spans="1:23" ht="15" customHeight="1">
      <c r="A9" s="72" t="s">
        <v>32</v>
      </c>
      <c r="B9" s="72" t="s">
        <v>21</v>
      </c>
      <c r="C9" s="72" t="s">
        <v>33</v>
      </c>
      <c r="D9" s="72" t="s">
        <v>52</v>
      </c>
      <c r="E9" s="112">
        <v>1</v>
      </c>
      <c r="F9" s="72" t="s">
        <v>48</v>
      </c>
      <c r="G9" s="239" t="s">
        <v>53</v>
      </c>
      <c r="H9" s="72" t="s">
        <v>54</v>
      </c>
      <c r="I9" s="72"/>
      <c r="J9" s="72" t="s">
        <v>50</v>
      </c>
      <c r="K9" s="72" t="s">
        <v>27</v>
      </c>
      <c r="L9" s="151" t="s">
        <v>28</v>
      </c>
      <c r="M9" s="259" t="s">
        <v>51</v>
      </c>
      <c r="N9" s="158" t="s">
        <v>24</v>
      </c>
      <c r="O9" s="72" t="s">
        <v>30</v>
      </c>
      <c r="P9" s="176" t="str">
        <f>IFERROR(IF(VLOOKUP(D9,'[1]UAT DB Attributes'!$A:$A,1,FALSE)=D9,"Yes","No"),"No")</f>
        <v>Yes</v>
      </c>
      <c r="Q9" s="178"/>
    </row>
    <row r="10" spans="1:23" ht="15" customHeight="1">
      <c r="A10" s="56" t="s">
        <v>35</v>
      </c>
      <c r="B10" s="56" t="s">
        <v>21</v>
      </c>
      <c r="C10" s="56" t="s">
        <v>36</v>
      </c>
      <c r="D10" s="56" t="s">
        <v>47</v>
      </c>
      <c r="E10" s="113">
        <v>1</v>
      </c>
      <c r="F10" s="56" t="str">
        <f>VLOOKUP(D10,'[2]UAT DB Attributes'!$A:$B,2,FALSE)</f>
        <v>int</v>
      </c>
      <c r="G10" s="240" t="s">
        <v>49</v>
      </c>
      <c r="H10" s="56"/>
      <c r="I10" s="56"/>
      <c r="J10" s="56" t="s">
        <v>50</v>
      </c>
      <c r="K10" s="56" t="s">
        <v>27</v>
      </c>
      <c r="L10" s="152" t="s">
        <v>28</v>
      </c>
      <c r="M10" s="259" t="s">
        <v>51</v>
      </c>
      <c r="N10" s="159" t="s">
        <v>24</v>
      </c>
      <c r="O10" s="56" t="s">
        <v>30</v>
      </c>
      <c r="P10" s="56" t="str">
        <f>IFERROR(IF(VLOOKUP(D10,'[2]UAT DB Attributes'!$A:$A,1,FALSE)=D10,"Yes","No"),"No")</f>
        <v>Yes</v>
      </c>
      <c r="Q10" s="56"/>
    </row>
    <row r="11" spans="1:23" s="74" customFormat="1" ht="15" customHeight="1">
      <c r="A11" s="73" t="s">
        <v>38</v>
      </c>
      <c r="B11" s="73" t="s">
        <v>39</v>
      </c>
      <c r="C11" s="73" t="s">
        <v>40</v>
      </c>
      <c r="D11" s="73" t="s">
        <v>55</v>
      </c>
      <c r="E11" s="114">
        <v>1</v>
      </c>
      <c r="F11" s="73" t="s">
        <v>24</v>
      </c>
      <c r="G11" s="139" t="s">
        <v>56</v>
      </c>
      <c r="H11" s="73" t="s">
        <v>54</v>
      </c>
      <c r="I11" s="73"/>
      <c r="J11" s="73" t="s">
        <v>50</v>
      </c>
      <c r="K11" s="73" t="s">
        <v>27</v>
      </c>
      <c r="L11" s="153" t="s">
        <v>28</v>
      </c>
      <c r="M11" s="259" t="s">
        <v>51</v>
      </c>
      <c r="N11" s="160" t="str">
        <f>F11</f>
        <v>string</v>
      </c>
      <c r="O11" s="73" t="s">
        <v>30</v>
      </c>
      <c r="P11" s="179" t="s">
        <v>57</v>
      </c>
      <c r="Q11" s="183"/>
      <c r="R11"/>
      <c r="S11"/>
      <c r="T11"/>
      <c r="U11"/>
      <c r="V11"/>
      <c r="W11"/>
    </row>
    <row r="12" spans="1:23" ht="15" customHeight="1">
      <c r="A12" s="106" t="s">
        <v>42</v>
      </c>
      <c r="B12" s="105" t="s">
        <v>43</v>
      </c>
      <c r="C12" s="105" t="s">
        <v>44</v>
      </c>
      <c r="D12" s="105" t="s">
        <v>58</v>
      </c>
      <c r="E12" s="109">
        <v>1</v>
      </c>
      <c r="F12" s="105" t="s">
        <v>24</v>
      </c>
      <c r="G12" s="105" t="s">
        <v>49</v>
      </c>
      <c r="H12" s="109"/>
      <c r="I12" s="109"/>
      <c r="J12" s="105" t="s">
        <v>50</v>
      </c>
      <c r="K12" s="115" t="s">
        <v>27</v>
      </c>
      <c r="L12" s="154" t="s">
        <v>28</v>
      </c>
      <c r="M12" s="259" t="s">
        <v>51</v>
      </c>
      <c r="N12" s="161" t="s">
        <v>24</v>
      </c>
      <c r="O12" s="106" t="s">
        <v>30</v>
      </c>
      <c r="P12" s="80" t="s">
        <v>57</v>
      </c>
      <c r="Q12" s="189"/>
    </row>
    <row r="13" spans="1:23" ht="15" customHeight="1">
      <c r="A13" s="71" t="s">
        <v>20</v>
      </c>
      <c r="B13" s="71" t="s">
        <v>21</v>
      </c>
      <c r="C13" s="71" t="s">
        <v>22</v>
      </c>
      <c r="D13" s="71" t="s">
        <v>59</v>
      </c>
      <c r="E13" s="111">
        <v>1.2</v>
      </c>
      <c r="F13" s="71" t="s">
        <v>24</v>
      </c>
      <c r="G13" s="238" t="s">
        <v>60</v>
      </c>
      <c r="H13" s="71"/>
      <c r="I13" s="71"/>
      <c r="J13" s="71" t="s">
        <v>50</v>
      </c>
      <c r="K13" s="71" t="s">
        <v>27</v>
      </c>
      <c r="L13" s="150" t="s">
        <v>28</v>
      </c>
      <c r="M13" s="259" t="s">
        <v>61</v>
      </c>
      <c r="N13" s="157" t="s">
        <v>24</v>
      </c>
      <c r="O13" s="71" t="s">
        <v>62</v>
      </c>
      <c r="P13" s="71" t="str">
        <f>IF(J13="Direct pull", "Yes", "No")</f>
        <v>Yes</v>
      </c>
      <c r="Q13" s="169"/>
    </row>
    <row r="14" spans="1:23" ht="15" customHeight="1">
      <c r="A14" s="72" t="s">
        <v>32</v>
      </c>
      <c r="B14" s="72" t="s">
        <v>21</v>
      </c>
      <c r="C14" s="72" t="s">
        <v>33</v>
      </c>
      <c r="D14" s="72" t="s">
        <v>63</v>
      </c>
      <c r="E14" s="112">
        <v>1.2</v>
      </c>
      <c r="F14" s="72" t="s">
        <v>24</v>
      </c>
      <c r="G14" s="239" t="s">
        <v>64</v>
      </c>
      <c r="H14" s="72" t="s">
        <v>54</v>
      </c>
      <c r="I14" s="72"/>
      <c r="J14" s="72" t="s">
        <v>50</v>
      </c>
      <c r="K14" s="72" t="s">
        <v>27</v>
      </c>
      <c r="L14" s="151" t="s">
        <v>28</v>
      </c>
      <c r="M14" s="259" t="s">
        <v>61</v>
      </c>
      <c r="N14" s="158" t="s">
        <v>24</v>
      </c>
      <c r="O14" s="72" t="s">
        <v>62</v>
      </c>
      <c r="P14" s="176" t="str">
        <f>IFERROR(IF(VLOOKUP(D14,'[1]UAT DB Attributes'!$A:$A,1,FALSE)=D14,"Yes","No"),"No")</f>
        <v>Yes</v>
      </c>
      <c r="Q14" s="177"/>
    </row>
    <row r="15" spans="1:23" ht="15" customHeight="1">
      <c r="A15" s="56" t="s">
        <v>35</v>
      </c>
      <c r="B15" s="56" t="s">
        <v>21</v>
      </c>
      <c r="C15" s="56" t="s">
        <v>36</v>
      </c>
      <c r="D15" s="56" t="s">
        <v>65</v>
      </c>
      <c r="E15" s="113">
        <v>1.2</v>
      </c>
      <c r="F15" s="56" t="str">
        <f>VLOOKUP(D15,'[2]UAT DB Attributes'!$A:$B,2,FALSE)</f>
        <v>string</v>
      </c>
      <c r="G15" s="240" t="s">
        <v>60</v>
      </c>
      <c r="H15" s="56"/>
      <c r="I15" s="56"/>
      <c r="J15" s="56" t="s">
        <v>50</v>
      </c>
      <c r="K15" s="56" t="s">
        <v>27</v>
      </c>
      <c r="L15" s="152" t="s">
        <v>28</v>
      </c>
      <c r="M15" s="259" t="s">
        <v>61</v>
      </c>
      <c r="N15" s="159" t="s">
        <v>24</v>
      </c>
      <c r="O15" s="56" t="s">
        <v>62</v>
      </c>
      <c r="P15" s="56" t="str">
        <f>IFERROR(IF(VLOOKUP(D15,'[2]UAT DB Attributes'!$A:$A,1,FALSE)=D15,"Yes","No"),"No")</f>
        <v>Yes</v>
      </c>
      <c r="Q15" s="56"/>
    </row>
    <row r="16" spans="1:23" ht="15" customHeight="1">
      <c r="A16" s="73" t="s">
        <v>38</v>
      </c>
      <c r="B16" s="73" t="s">
        <v>39</v>
      </c>
      <c r="C16" s="73" t="s">
        <v>40</v>
      </c>
      <c r="D16" s="73" t="s">
        <v>61</v>
      </c>
      <c r="E16" s="114">
        <v>1.2</v>
      </c>
      <c r="F16" s="73" t="s">
        <v>24</v>
      </c>
      <c r="G16" s="139" t="s">
        <v>66</v>
      </c>
      <c r="H16" s="73" t="s">
        <v>54</v>
      </c>
      <c r="I16" s="73"/>
      <c r="J16" s="73" t="s">
        <v>50</v>
      </c>
      <c r="K16" s="73" t="s">
        <v>27</v>
      </c>
      <c r="L16" s="153" t="s">
        <v>28</v>
      </c>
      <c r="M16" s="259" t="str">
        <f>VLOOKUP(D16,[3]Actions!$J$2:$J$89, 1, FALSE)</f>
        <v>title</v>
      </c>
      <c r="N16" s="160" t="str">
        <f>F16</f>
        <v>string</v>
      </c>
      <c r="O16" s="73" t="s">
        <v>62</v>
      </c>
      <c r="P16" s="179" t="s">
        <v>57</v>
      </c>
      <c r="Q16" s="183"/>
    </row>
    <row r="17" spans="1:23" s="74" customFormat="1" ht="15" customHeight="1">
      <c r="A17" s="106" t="s">
        <v>42</v>
      </c>
      <c r="B17" s="105" t="s">
        <v>43</v>
      </c>
      <c r="C17" s="105" t="s">
        <v>44</v>
      </c>
      <c r="D17" s="105" t="s">
        <v>61</v>
      </c>
      <c r="E17" s="117">
        <v>1.2</v>
      </c>
      <c r="F17" s="106" t="s">
        <v>67</v>
      </c>
      <c r="G17" s="264" t="s">
        <v>60</v>
      </c>
      <c r="H17" s="106"/>
      <c r="I17" s="106"/>
      <c r="J17" s="105" t="s">
        <v>50</v>
      </c>
      <c r="K17" s="106" t="s">
        <v>27</v>
      </c>
      <c r="L17" s="155" t="s">
        <v>28</v>
      </c>
      <c r="M17" s="259" t="s">
        <v>61</v>
      </c>
      <c r="N17" s="161" t="s">
        <v>24</v>
      </c>
      <c r="O17" s="106" t="s">
        <v>30</v>
      </c>
      <c r="P17" s="80" t="s">
        <v>57</v>
      </c>
      <c r="Q17" s="189"/>
      <c r="R17"/>
      <c r="S17"/>
      <c r="T17"/>
      <c r="U17"/>
      <c r="V17"/>
      <c r="W17"/>
    </row>
    <row r="18" spans="1:23" ht="15" customHeight="1">
      <c r="A18" s="71" t="s">
        <v>20</v>
      </c>
      <c r="B18" s="71" t="s">
        <v>21</v>
      </c>
      <c r="C18" s="71" t="s">
        <v>22</v>
      </c>
      <c r="D18" s="71" t="s">
        <v>68</v>
      </c>
      <c r="E18" s="111">
        <v>2</v>
      </c>
      <c r="F18" s="71" t="s">
        <v>24</v>
      </c>
      <c r="G18" s="238" t="s">
        <v>69</v>
      </c>
      <c r="H18" s="71"/>
      <c r="I18" s="71"/>
      <c r="J18" s="71" t="s">
        <v>50</v>
      </c>
      <c r="K18" s="71" t="s">
        <v>27</v>
      </c>
      <c r="L18" s="150" t="s">
        <v>28</v>
      </c>
      <c r="M18" s="259" t="s">
        <v>70</v>
      </c>
      <c r="N18" s="157" t="s">
        <v>67</v>
      </c>
      <c r="O18" s="71" t="s">
        <v>71</v>
      </c>
      <c r="P18" s="71" t="str">
        <f>IF(J18="Direct pull", "Yes", "No")</f>
        <v>Yes</v>
      </c>
      <c r="Q18" s="169"/>
    </row>
    <row r="19" spans="1:23" ht="15" customHeight="1">
      <c r="A19" s="72" t="s">
        <v>32</v>
      </c>
      <c r="B19" s="72" t="s">
        <v>21</v>
      </c>
      <c r="C19" s="72" t="s">
        <v>33</v>
      </c>
      <c r="D19" s="72" t="s">
        <v>72</v>
      </c>
      <c r="E19" s="112">
        <v>2</v>
      </c>
      <c r="F19" s="72" t="s">
        <v>24</v>
      </c>
      <c r="G19" s="239" t="s">
        <v>73</v>
      </c>
      <c r="H19" s="72" t="s">
        <v>54</v>
      </c>
      <c r="I19" s="72"/>
      <c r="J19" s="72" t="s">
        <v>50</v>
      </c>
      <c r="K19" s="72" t="s">
        <v>27</v>
      </c>
      <c r="L19" s="151" t="s">
        <v>28</v>
      </c>
      <c r="M19" s="259" t="s">
        <v>70</v>
      </c>
      <c r="N19" s="158" t="s">
        <v>67</v>
      </c>
      <c r="O19" s="72" t="s">
        <v>62</v>
      </c>
      <c r="P19" s="176" t="str">
        <f>IFERROR(IF(VLOOKUP(D19,'[1]UAT DB Attributes'!$A:$A,1,FALSE)=D19,"Yes","No"),"No")</f>
        <v>Yes</v>
      </c>
      <c r="Q19" s="178"/>
    </row>
    <row r="20" spans="1:23" ht="15" customHeight="1">
      <c r="A20" s="56" t="s">
        <v>35</v>
      </c>
      <c r="B20" s="56" t="s">
        <v>21</v>
      </c>
      <c r="C20" s="56" t="s">
        <v>36</v>
      </c>
      <c r="D20" s="56" t="s">
        <v>74</v>
      </c>
      <c r="E20" s="113">
        <v>2</v>
      </c>
      <c r="F20" s="56" t="str">
        <f>VLOOKUP(D20,'[2]UAT DB Attributes'!$A:$B,2,FALSE)</f>
        <v>string</v>
      </c>
      <c r="G20" s="240" t="s">
        <v>69</v>
      </c>
      <c r="H20" s="56"/>
      <c r="I20" s="56"/>
      <c r="J20" s="56" t="s">
        <v>50</v>
      </c>
      <c r="K20" s="56" t="s">
        <v>27</v>
      </c>
      <c r="L20" s="152" t="s">
        <v>28</v>
      </c>
      <c r="M20" s="259" t="s">
        <v>70</v>
      </c>
      <c r="N20" s="159" t="s">
        <v>67</v>
      </c>
      <c r="O20" s="56" t="s">
        <v>71</v>
      </c>
      <c r="P20" s="56" t="str">
        <f>IFERROR(IF(VLOOKUP(D20,'[2]UAT DB Attributes'!$A:$A,1,FALSE)=D20,"Yes","No"),"No")</f>
        <v>Yes</v>
      </c>
      <c r="Q20" s="56"/>
    </row>
    <row r="21" spans="1:23" ht="15" customHeight="1">
      <c r="A21" s="73" t="s">
        <v>38</v>
      </c>
      <c r="B21" s="73" t="s">
        <v>39</v>
      </c>
      <c r="C21" s="73" t="s">
        <v>40</v>
      </c>
      <c r="D21" s="73" t="s">
        <v>70</v>
      </c>
      <c r="E21" s="114">
        <v>2</v>
      </c>
      <c r="F21" s="73" t="s">
        <v>24</v>
      </c>
      <c r="G21" s="139" t="s">
        <v>75</v>
      </c>
      <c r="H21" s="73" t="s">
        <v>54</v>
      </c>
      <c r="I21" s="73"/>
      <c r="J21" s="73" t="s">
        <v>50</v>
      </c>
      <c r="K21" s="73" t="s">
        <v>27</v>
      </c>
      <c r="L21" s="153" t="s">
        <v>28</v>
      </c>
      <c r="M21" s="259" t="str">
        <f>VLOOKUP(D21,[3]Actions!$J$2:$J$89, 1, FALSE)</f>
        <v>description</v>
      </c>
      <c r="N21" s="160" t="str">
        <f>F21</f>
        <v>string</v>
      </c>
      <c r="O21" s="73" t="s">
        <v>71</v>
      </c>
      <c r="P21" s="179" t="s">
        <v>57</v>
      </c>
      <c r="Q21" s="183"/>
    </row>
    <row r="22" spans="1:23" ht="15" customHeight="1">
      <c r="A22" s="106" t="s">
        <v>42</v>
      </c>
      <c r="B22" s="105" t="s">
        <v>43</v>
      </c>
      <c r="C22" s="105" t="s">
        <v>44</v>
      </c>
      <c r="D22" s="105" t="s">
        <v>76</v>
      </c>
      <c r="E22" s="109">
        <v>2</v>
      </c>
      <c r="F22" s="105" t="s">
        <v>24</v>
      </c>
      <c r="G22" s="118" t="s">
        <v>75</v>
      </c>
      <c r="H22" s="106"/>
      <c r="I22" s="106"/>
      <c r="J22" s="105" t="s">
        <v>50</v>
      </c>
      <c r="K22" s="106" t="s">
        <v>27</v>
      </c>
      <c r="L22" s="155" t="s">
        <v>28</v>
      </c>
      <c r="M22" s="259" t="s">
        <v>70</v>
      </c>
      <c r="N22" s="161" t="s">
        <v>24</v>
      </c>
      <c r="O22" s="106" t="s">
        <v>62</v>
      </c>
      <c r="P22" s="80" t="s">
        <v>57</v>
      </c>
      <c r="Q22" s="189"/>
    </row>
    <row r="23" spans="1:23" s="74" customFormat="1" ht="15" customHeight="1">
      <c r="A23" s="71" t="s">
        <v>20</v>
      </c>
      <c r="B23" s="71" t="s">
        <v>21</v>
      </c>
      <c r="C23" s="71" t="s">
        <v>22</v>
      </c>
      <c r="D23" s="88"/>
      <c r="E23" s="71">
        <v>2.1</v>
      </c>
      <c r="F23" s="71" t="s">
        <v>67</v>
      </c>
      <c r="G23" s="238" t="s">
        <v>77</v>
      </c>
      <c r="H23" s="71"/>
      <c r="I23" s="71"/>
      <c r="J23" s="71" t="s">
        <v>50</v>
      </c>
      <c r="K23" s="71" t="s">
        <v>27</v>
      </c>
      <c r="L23" s="150" t="s">
        <v>28</v>
      </c>
      <c r="M23" s="259" t="s">
        <v>78</v>
      </c>
      <c r="N23" s="157" t="s">
        <v>24</v>
      </c>
      <c r="O23" s="71" t="s">
        <v>62</v>
      </c>
      <c r="P23" s="71" t="s">
        <v>31</v>
      </c>
      <c r="Q23" s="169"/>
      <c r="R23"/>
      <c r="S23"/>
      <c r="T23"/>
      <c r="U23"/>
      <c r="V23"/>
      <c r="W23"/>
    </row>
    <row r="24" spans="1:23" ht="15" customHeight="1">
      <c r="A24" s="72" t="s">
        <v>32</v>
      </c>
      <c r="B24" s="72" t="s">
        <v>21</v>
      </c>
      <c r="C24" s="72" t="s">
        <v>33</v>
      </c>
      <c r="D24" s="90"/>
      <c r="E24" s="162">
        <v>2.2000000000000002</v>
      </c>
      <c r="F24" s="120" t="s">
        <v>24</v>
      </c>
      <c r="G24" s="239" t="s">
        <v>77</v>
      </c>
      <c r="H24" s="72"/>
      <c r="I24" s="72"/>
      <c r="J24" s="120" t="s">
        <v>50</v>
      </c>
      <c r="K24" s="72" t="s">
        <v>27</v>
      </c>
      <c r="L24" s="151" t="s">
        <v>28</v>
      </c>
      <c r="M24" s="259" t="s">
        <v>78</v>
      </c>
      <c r="N24" s="158" t="s">
        <v>24</v>
      </c>
      <c r="O24" s="72" t="s">
        <v>62</v>
      </c>
      <c r="P24" s="169" t="s">
        <v>31</v>
      </c>
      <c r="Q24" s="178"/>
    </row>
    <row r="25" spans="1:23" s="74" customFormat="1" ht="15" customHeight="1">
      <c r="A25" s="56" t="s">
        <v>35</v>
      </c>
      <c r="B25" s="56" t="s">
        <v>21</v>
      </c>
      <c r="C25" s="56" t="s">
        <v>36</v>
      </c>
      <c r="D25" s="89"/>
      <c r="E25" s="163">
        <v>2.2999999999999998</v>
      </c>
      <c r="F25" s="119" t="s">
        <v>24</v>
      </c>
      <c r="G25" s="240" t="s">
        <v>77</v>
      </c>
      <c r="H25" s="56"/>
      <c r="I25" s="56"/>
      <c r="J25" s="119" t="s">
        <v>50</v>
      </c>
      <c r="K25" s="56" t="s">
        <v>27</v>
      </c>
      <c r="L25" s="152" t="s">
        <v>28</v>
      </c>
      <c r="M25" s="259" t="s">
        <v>78</v>
      </c>
      <c r="N25" s="159" t="s">
        <v>24</v>
      </c>
      <c r="O25" s="56" t="s">
        <v>62</v>
      </c>
      <c r="P25" s="71" t="s">
        <v>31</v>
      </c>
      <c r="Q25" s="56"/>
      <c r="R25"/>
      <c r="S25"/>
      <c r="T25"/>
      <c r="U25"/>
      <c r="V25"/>
      <c r="W25"/>
    </row>
    <row r="26" spans="1:23" ht="15" customHeight="1">
      <c r="A26" s="73" t="s">
        <v>38</v>
      </c>
      <c r="B26" s="73" t="s">
        <v>39</v>
      </c>
      <c r="C26" s="73" t="s">
        <v>40</v>
      </c>
      <c r="D26" s="91"/>
      <c r="E26" s="166">
        <v>2.4</v>
      </c>
      <c r="F26" s="121" t="s">
        <v>24</v>
      </c>
      <c r="G26" s="121" t="s">
        <v>77</v>
      </c>
      <c r="H26" s="121"/>
      <c r="I26" s="121"/>
      <c r="J26" s="121" t="s">
        <v>50</v>
      </c>
      <c r="K26" s="73" t="s">
        <v>27</v>
      </c>
      <c r="L26" s="153" t="s">
        <v>28</v>
      </c>
      <c r="M26" s="259" t="s">
        <v>78</v>
      </c>
      <c r="N26" s="160" t="s">
        <v>24</v>
      </c>
      <c r="O26" s="73" t="s">
        <v>62</v>
      </c>
      <c r="P26" s="169" t="s">
        <v>31</v>
      </c>
      <c r="Q26" s="183"/>
    </row>
    <row r="27" spans="1:23" s="74" customFormat="1" ht="15" customHeight="1">
      <c r="A27" s="106" t="s">
        <v>42</v>
      </c>
      <c r="B27" s="105" t="s">
        <v>43</v>
      </c>
      <c r="C27" s="105" t="s">
        <v>44</v>
      </c>
      <c r="D27" s="105" t="s">
        <v>79</v>
      </c>
      <c r="E27" s="109">
        <v>2.5</v>
      </c>
      <c r="F27" s="105" t="s">
        <v>24</v>
      </c>
      <c r="G27" s="118" t="s">
        <v>77</v>
      </c>
      <c r="H27" s="106"/>
      <c r="I27" s="106"/>
      <c r="J27" s="105" t="s">
        <v>50</v>
      </c>
      <c r="K27" s="106" t="s">
        <v>27</v>
      </c>
      <c r="L27" s="155" t="s">
        <v>28</v>
      </c>
      <c r="M27" s="259" t="s">
        <v>78</v>
      </c>
      <c r="N27" s="161" t="s">
        <v>24</v>
      </c>
      <c r="O27" s="106" t="s">
        <v>62</v>
      </c>
      <c r="P27" s="80" t="s">
        <v>57</v>
      </c>
      <c r="Q27" s="188"/>
      <c r="R27"/>
      <c r="S27"/>
      <c r="T27"/>
      <c r="U27"/>
      <c r="V27"/>
      <c r="W27"/>
    </row>
    <row r="28" spans="1:23" ht="15" customHeight="1">
      <c r="A28" s="71" t="s">
        <v>20</v>
      </c>
      <c r="B28" s="71" t="s">
        <v>21</v>
      </c>
      <c r="C28" s="71" t="s">
        <v>22</v>
      </c>
      <c r="D28" s="71" t="s">
        <v>80</v>
      </c>
      <c r="E28" s="111">
        <v>3</v>
      </c>
      <c r="F28" s="71" t="s">
        <v>81</v>
      </c>
      <c r="G28" s="238" t="s">
        <v>82</v>
      </c>
      <c r="H28" s="71"/>
      <c r="I28" s="71"/>
      <c r="J28" s="71" t="s">
        <v>50</v>
      </c>
      <c r="K28" s="71" t="s">
        <v>27</v>
      </c>
      <c r="L28" s="150" t="s">
        <v>28</v>
      </c>
      <c r="M28" s="259" t="s">
        <v>83</v>
      </c>
      <c r="N28" s="157" t="s">
        <v>81</v>
      </c>
      <c r="O28" s="71" t="s">
        <v>62</v>
      </c>
      <c r="P28" s="71" t="str">
        <f>IF(J28="Direct pull", "Yes", "No")</f>
        <v>Yes</v>
      </c>
      <c r="Q28" s="169"/>
    </row>
    <row r="29" spans="1:23" s="74" customFormat="1" ht="15" customHeight="1">
      <c r="A29" s="72" t="s">
        <v>32</v>
      </c>
      <c r="B29" s="72" t="s">
        <v>21</v>
      </c>
      <c r="C29" s="72" t="s">
        <v>33</v>
      </c>
      <c r="D29" s="72" t="s">
        <v>84</v>
      </c>
      <c r="E29" s="112">
        <v>3</v>
      </c>
      <c r="F29" s="72" t="s">
        <v>81</v>
      </c>
      <c r="G29" s="239" t="s">
        <v>85</v>
      </c>
      <c r="H29" s="72" t="s">
        <v>54</v>
      </c>
      <c r="I29" s="72"/>
      <c r="J29" s="72" t="s">
        <v>50</v>
      </c>
      <c r="K29" s="72" t="s">
        <v>27</v>
      </c>
      <c r="L29" s="151" t="s">
        <v>28</v>
      </c>
      <c r="M29" s="259" t="s">
        <v>83</v>
      </c>
      <c r="N29" s="158" t="s">
        <v>81</v>
      </c>
      <c r="O29" s="72" t="s">
        <v>62</v>
      </c>
      <c r="P29" s="176" t="str">
        <f>IFERROR(IF(VLOOKUP(D29,'[1]UAT DB Attributes'!$A:$A,1,FALSE)=D29,"Yes","No"),"No")</f>
        <v>Yes</v>
      </c>
      <c r="Q29" s="178"/>
      <c r="R29"/>
      <c r="S29"/>
      <c r="T29"/>
      <c r="U29"/>
      <c r="V29"/>
      <c r="W29"/>
    </row>
    <row r="30" spans="1:23" ht="15" customHeight="1">
      <c r="A30" s="56" t="s">
        <v>35</v>
      </c>
      <c r="B30" s="56" t="s">
        <v>21</v>
      </c>
      <c r="C30" s="56" t="s">
        <v>36</v>
      </c>
      <c r="D30" s="56" t="s">
        <v>80</v>
      </c>
      <c r="E30" s="113">
        <v>3</v>
      </c>
      <c r="F30" s="56" t="s">
        <v>81</v>
      </c>
      <c r="G30" s="240" t="s">
        <v>82</v>
      </c>
      <c r="H30" s="56"/>
      <c r="I30" s="56"/>
      <c r="J30" s="56" t="s">
        <v>50</v>
      </c>
      <c r="K30" s="56" t="s">
        <v>27</v>
      </c>
      <c r="L30" s="152" t="s">
        <v>28</v>
      </c>
      <c r="M30" s="259" t="s">
        <v>83</v>
      </c>
      <c r="N30" s="159" t="s">
        <v>81</v>
      </c>
      <c r="O30" s="56" t="s">
        <v>62</v>
      </c>
      <c r="P30" s="56" t="str">
        <f>IFERROR(IF(VLOOKUP(D30,'[2]UAT DB Attributes'!$A:$A,1,FALSE)=D30,"Yes","No"),"No")</f>
        <v>Yes</v>
      </c>
      <c r="Q30" s="56"/>
    </row>
    <row r="31" spans="1:23" ht="15" customHeight="1">
      <c r="A31" s="73" t="s">
        <v>38</v>
      </c>
      <c r="B31" s="73" t="s">
        <v>39</v>
      </c>
      <c r="C31" s="73" t="s">
        <v>40</v>
      </c>
      <c r="D31" s="73" t="s">
        <v>83</v>
      </c>
      <c r="E31" s="114">
        <v>3</v>
      </c>
      <c r="F31" s="73" t="s">
        <v>81</v>
      </c>
      <c r="G31" s="139" t="s">
        <v>86</v>
      </c>
      <c r="H31" s="73" t="s">
        <v>54</v>
      </c>
      <c r="I31" s="73"/>
      <c r="J31" s="73" t="s">
        <v>50</v>
      </c>
      <c r="K31" s="73" t="s">
        <v>27</v>
      </c>
      <c r="L31" s="153" t="s">
        <v>28</v>
      </c>
      <c r="M31" s="259" t="str">
        <f>VLOOKUP(D31,[3]Actions!$J$2:$J$89, 1, FALSE)</f>
        <v>creation_date</v>
      </c>
      <c r="N31" s="160" t="str">
        <f>F31</f>
        <v>string (dd/mm/yyyy hh:mm:ss)</v>
      </c>
      <c r="O31" s="73" t="s">
        <v>71</v>
      </c>
      <c r="P31" s="179" t="s">
        <v>57</v>
      </c>
      <c r="Q31" s="183"/>
    </row>
    <row r="32" spans="1:23" ht="15" customHeight="1">
      <c r="A32" s="106" t="s">
        <v>42</v>
      </c>
      <c r="B32" s="105" t="s">
        <v>43</v>
      </c>
      <c r="C32" s="105" t="s">
        <v>44</v>
      </c>
      <c r="D32" s="105" t="s">
        <v>87</v>
      </c>
      <c r="E32" s="109">
        <v>3</v>
      </c>
      <c r="F32" s="265" t="s">
        <v>81</v>
      </c>
      <c r="G32" s="264" t="s">
        <v>85</v>
      </c>
      <c r="H32" s="106"/>
      <c r="I32" s="106"/>
      <c r="J32" s="105" t="s">
        <v>50</v>
      </c>
      <c r="K32" s="106" t="s">
        <v>27</v>
      </c>
      <c r="L32" s="155" t="s">
        <v>28</v>
      </c>
      <c r="M32" s="259" t="s">
        <v>83</v>
      </c>
      <c r="N32" s="161" t="s">
        <v>81</v>
      </c>
      <c r="O32" s="106" t="s">
        <v>62</v>
      </c>
      <c r="P32" s="80" t="s">
        <v>57</v>
      </c>
      <c r="Q32" s="189"/>
    </row>
    <row r="33" spans="1:23" ht="15" customHeight="1">
      <c r="A33" s="71" t="s">
        <v>20</v>
      </c>
      <c r="B33" s="71" t="s">
        <v>21</v>
      </c>
      <c r="C33" s="71" t="s">
        <v>22</v>
      </c>
      <c r="D33" s="88"/>
      <c r="E33" s="111">
        <v>4.0999999999999996</v>
      </c>
      <c r="F33" s="71" t="s">
        <v>81</v>
      </c>
      <c r="G33" s="238" t="s">
        <v>88</v>
      </c>
      <c r="H33" s="71"/>
      <c r="I33" s="71"/>
      <c r="J33" s="71" t="s">
        <v>50</v>
      </c>
      <c r="K33" s="71" t="s">
        <v>27</v>
      </c>
      <c r="L33" s="150" t="s">
        <v>28</v>
      </c>
      <c r="M33" s="259" t="s">
        <v>89</v>
      </c>
      <c r="N33" s="157" t="s">
        <v>81</v>
      </c>
      <c r="O33" s="71" t="s">
        <v>71</v>
      </c>
      <c r="P33" s="72" t="s">
        <v>31</v>
      </c>
      <c r="Q33" s="169"/>
    </row>
    <row r="34" spans="1:23" s="74" customFormat="1" ht="15" customHeight="1">
      <c r="A34" s="72" t="s">
        <v>32</v>
      </c>
      <c r="B34" s="72" t="s">
        <v>21</v>
      </c>
      <c r="C34" s="72" t="s">
        <v>33</v>
      </c>
      <c r="D34" s="90"/>
      <c r="E34" s="112">
        <v>4.2</v>
      </c>
      <c r="F34" s="72" t="s">
        <v>81</v>
      </c>
      <c r="G34" s="239" t="s">
        <v>88</v>
      </c>
      <c r="H34" s="72"/>
      <c r="I34" s="72"/>
      <c r="J34" s="72" t="s">
        <v>50</v>
      </c>
      <c r="K34" s="72" t="s">
        <v>27</v>
      </c>
      <c r="L34" s="151" t="s">
        <v>28</v>
      </c>
      <c r="M34" s="259" t="s">
        <v>89</v>
      </c>
      <c r="N34" s="158" t="s">
        <v>81</v>
      </c>
      <c r="O34" s="72" t="s">
        <v>71</v>
      </c>
      <c r="P34" s="176" t="s">
        <v>31</v>
      </c>
      <c r="Q34" s="177"/>
      <c r="R34"/>
      <c r="S34"/>
      <c r="T34"/>
      <c r="U34"/>
      <c r="V34"/>
      <c r="W34"/>
    </row>
    <row r="35" spans="1:23" ht="15" customHeight="1">
      <c r="A35" s="56" t="s">
        <v>35</v>
      </c>
      <c r="B35" s="56" t="s">
        <v>21</v>
      </c>
      <c r="C35" s="56" t="s">
        <v>36</v>
      </c>
      <c r="D35" s="89"/>
      <c r="E35" s="113">
        <v>5</v>
      </c>
      <c r="F35" s="56" t="s">
        <v>81</v>
      </c>
      <c r="G35" s="240" t="s">
        <v>88</v>
      </c>
      <c r="H35" s="56"/>
      <c r="I35" s="56"/>
      <c r="J35" s="56" t="s">
        <v>50</v>
      </c>
      <c r="K35" s="56" t="s">
        <v>27</v>
      </c>
      <c r="L35" s="152" t="s">
        <v>28</v>
      </c>
      <c r="M35" s="259" t="s">
        <v>89</v>
      </c>
      <c r="N35" s="159" t="s">
        <v>81</v>
      </c>
      <c r="O35" s="56" t="s">
        <v>71</v>
      </c>
      <c r="P35" s="72" t="s">
        <v>31</v>
      </c>
      <c r="Q35" s="56"/>
    </row>
    <row r="36" spans="1:23" ht="15" customHeight="1">
      <c r="A36" s="73" t="s">
        <v>38</v>
      </c>
      <c r="B36" s="73" t="s">
        <v>39</v>
      </c>
      <c r="C36" s="73" t="s">
        <v>40</v>
      </c>
      <c r="D36" s="73" t="s">
        <v>89</v>
      </c>
      <c r="E36" s="114">
        <v>5</v>
      </c>
      <c r="F36" s="73" t="s">
        <v>81</v>
      </c>
      <c r="G36" s="139" t="s">
        <v>88</v>
      </c>
      <c r="H36" s="73" t="s">
        <v>54</v>
      </c>
      <c r="I36" s="73"/>
      <c r="J36" s="73" t="s">
        <v>50</v>
      </c>
      <c r="K36" s="73" t="s">
        <v>27</v>
      </c>
      <c r="L36" s="153" t="s">
        <v>28</v>
      </c>
      <c r="M36" s="259" t="str">
        <f>VLOOKUP(D36,[3]Actions!$J$2:$J$89, 1, FALSE)</f>
        <v>expected_reopen_closure_date</v>
      </c>
      <c r="N36" s="160" t="str">
        <f>F36</f>
        <v>string (dd/mm/yyyy hh:mm:ss)</v>
      </c>
      <c r="O36" s="73" t="s">
        <v>71</v>
      </c>
      <c r="P36" s="179" t="s">
        <v>57</v>
      </c>
      <c r="Q36" s="183"/>
    </row>
    <row r="37" spans="1:23" ht="15" customHeight="1">
      <c r="A37" s="106" t="s">
        <v>42</v>
      </c>
      <c r="B37" s="105" t="s">
        <v>43</v>
      </c>
      <c r="C37" s="105" t="s">
        <v>44</v>
      </c>
      <c r="D37" s="103"/>
      <c r="E37" s="115">
        <v>5</v>
      </c>
      <c r="F37" s="265" t="s">
        <v>81</v>
      </c>
      <c r="G37" s="118" t="s">
        <v>88</v>
      </c>
      <c r="H37" s="106"/>
      <c r="I37" s="106"/>
      <c r="J37" s="105" t="s">
        <v>50</v>
      </c>
      <c r="K37" s="106" t="s">
        <v>27</v>
      </c>
      <c r="L37" s="155" t="s">
        <v>28</v>
      </c>
      <c r="M37" s="259" t="s">
        <v>89</v>
      </c>
      <c r="N37" s="161" t="s">
        <v>81</v>
      </c>
      <c r="O37" s="106" t="s">
        <v>62</v>
      </c>
      <c r="P37" s="72" t="s">
        <v>31</v>
      </c>
      <c r="Q37" s="189"/>
    </row>
    <row r="38" spans="1:23" ht="15" customHeight="1">
      <c r="A38" s="71" t="s">
        <v>20</v>
      </c>
      <c r="B38" s="71" t="s">
        <v>21</v>
      </c>
      <c r="C38" s="71" t="s">
        <v>22</v>
      </c>
      <c r="D38" s="88"/>
      <c r="E38" s="111">
        <v>6.1</v>
      </c>
      <c r="F38" s="71" t="s">
        <v>24</v>
      </c>
      <c r="G38" s="238" t="s">
        <v>90</v>
      </c>
      <c r="H38" s="71"/>
      <c r="I38" s="71"/>
      <c r="J38" s="71" t="s">
        <v>50</v>
      </c>
      <c r="K38" s="71" t="s">
        <v>27</v>
      </c>
      <c r="L38" s="150" t="s">
        <v>28</v>
      </c>
      <c r="M38" s="259" t="s">
        <v>91</v>
      </c>
      <c r="N38" s="157" t="s">
        <v>24</v>
      </c>
      <c r="O38" s="71" t="s">
        <v>71</v>
      </c>
      <c r="P38" s="72" t="s">
        <v>31</v>
      </c>
      <c r="Q38" s="169"/>
    </row>
    <row r="39" spans="1:23" ht="15" customHeight="1">
      <c r="A39" s="72" t="s">
        <v>32</v>
      </c>
      <c r="B39" s="72" t="s">
        <v>21</v>
      </c>
      <c r="C39" s="72" t="s">
        <v>33</v>
      </c>
      <c r="D39" s="90"/>
      <c r="E39" s="112">
        <v>6.2</v>
      </c>
      <c r="F39" s="72" t="s">
        <v>24</v>
      </c>
      <c r="G39" s="239" t="s">
        <v>90</v>
      </c>
      <c r="H39" s="72"/>
      <c r="I39" s="72"/>
      <c r="J39" s="72" t="s">
        <v>50</v>
      </c>
      <c r="K39" s="72" t="s">
        <v>27</v>
      </c>
      <c r="L39" s="151" t="s">
        <v>28</v>
      </c>
      <c r="M39" s="259" t="s">
        <v>91</v>
      </c>
      <c r="N39" s="158" t="s">
        <v>24</v>
      </c>
      <c r="O39" s="72" t="s">
        <v>71</v>
      </c>
      <c r="P39" s="176" t="s">
        <v>31</v>
      </c>
      <c r="Q39" s="178"/>
    </row>
    <row r="40" spans="1:23" ht="15" customHeight="1">
      <c r="A40" s="56" t="s">
        <v>35</v>
      </c>
      <c r="B40" s="56" t="s">
        <v>21</v>
      </c>
      <c r="C40" s="56" t="s">
        <v>36</v>
      </c>
      <c r="D40" s="89"/>
      <c r="E40" s="113">
        <v>6.3</v>
      </c>
      <c r="F40" s="56" t="s">
        <v>24</v>
      </c>
      <c r="G40" s="240" t="s">
        <v>90</v>
      </c>
      <c r="H40" s="56"/>
      <c r="I40" s="56"/>
      <c r="J40" s="56" t="s">
        <v>50</v>
      </c>
      <c r="K40" s="56" t="s">
        <v>27</v>
      </c>
      <c r="L40" s="152" t="s">
        <v>28</v>
      </c>
      <c r="M40" s="259" t="s">
        <v>91</v>
      </c>
      <c r="N40" s="159" t="s">
        <v>24</v>
      </c>
      <c r="O40" s="56" t="s">
        <v>71</v>
      </c>
      <c r="P40" s="72" t="s">
        <v>31</v>
      </c>
      <c r="Q40" s="175"/>
    </row>
    <row r="41" spans="1:23" s="74" customFormat="1" ht="15" customHeight="1">
      <c r="A41" s="73" t="s">
        <v>38</v>
      </c>
      <c r="B41" s="73" t="s">
        <v>39</v>
      </c>
      <c r="C41" s="73" t="s">
        <v>40</v>
      </c>
      <c r="D41" s="73" t="s">
        <v>91</v>
      </c>
      <c r="E41" s="114">
        <v>7</v>
      </c>
      <c r="F41" s="73" t="s">
        <v>24</v>
      </c>
      <c r="G41" s="139" t="s">
        <v>90</v>
      </c>
      <c r="H41" s="73" t="s">
        <v>54</v>
      </c>
      <c r="I41" s="73"/>
      <c r="J41" s="73" t="s">
        <v>50</v>
      </c>
      <c r="K41" s="73" t="s">
        <v>27</v>
      </c>
      <c r="L41" s="153" t="s">
        <v>28</v>
      </c>
      <c r="M41" s="259" t="str">
        <f>VLOOKUP(D41,[3]Actions!$J$2:$J$89, 1, FALSE)</f>
        <v>other_reopen_reason</v>
      </c>
      <c r="N41" s="160" t="str">
        <f>F41</f>
        <v>string</v>
      </c>
      <c r="O41" s="73" t="s">
        <v>71</v>
      </c>
      <c r="P41" s="179" t="s">
        <v>57</v>
      </c>
      <c r="Q41" s="183"/>
      <c r="R41"/>
      <c r="S41"/>
      <c r="T41"/>
      <c r="U41"/>
      <c r="V41"/>
      <c r="W41"/>
    </row>
    <row r="42" spans="1:23" ht="15" customHeight="1">
      <c r="A42" s="106" t="s">
        <v>42</v>
      </c>
      <c r="B42" s="105" t="s">
        <v>43</v>
      </c>
      <c r="C42" s="105" t="s">
        <v>44</v>
      </c>
      <c r="D42" s="103"/>
      <c r="E42" s="109">
        <v>7</v>
      </c>
      <c r="F42" s="105" t="s">
        <v>24</v>
      </c>
      <c r="G42" s="118" t="s">
        <v>92</v>
      </c>
      <c r="H42" s="106"/>
      <c r="I42" s="106"/>
      <c r="J42" s="105" t="s">
        <v>50</v>
      </c>
      <c r="K42" s="106" t="s">
        <v>27</v>
      </c>
      <c r="L42" s="155" t="s">
        <v>28</v>
      </c>
      <c r="M42" s="259" t="s">
        <v>91</v>
      </c>
      <c r="N42" s="161" t="s">
        <v>24</v>
      </c>
      <c r="O42" s="106" t="s">
        <v>62</v>
      </c>
      <c r="P42" s="72" t="s">
        <v>31</v>
      </c>
      <c r="Q42" s="189"/>
    </row>
    <row r="43" spans="1:23" ht="15" customHeight="1">
      <c r="A43" s="71" t="s">
        <v>20</v>
      </c>
      <c r="B43" s="71" t="s">
        <v>21</v>
      </c>
      <c r="C43" s="71" t="s">
        <v>22</v>
      </c>
      <c r="D43" s="71" t="s">
        <v>93</v>
      </c>
      <c r="E43" s="111">
        <v>8</v>
      </c>
      <c r="F43" s="71" t="s">
        <v>24</v>
      </c>
      <c r="G43" s="238" t="s">
        <v>94</v>
      </c>
      <c r="H43" s="71"/>
      <c r="I43" s="71"/>
      <c r="J43" s="71" t="s">
        <v>50</v>
      </c>
      <c r="K43" s="71" t="s">
        <v>27</v>
      </c>
      <c r="L43" s="150" t="s">
        <v>28</v>
      </c>
      <c r="M43" s="259" t="s">
        <v>95</v>
      </c>
      <c r="N43" s="157" t="s">
        <v>67</v>
      </c>
      <c r="O43" s="71" t="s">
        <v>71</v>
      </c>
      <c r="P43" s="71" t="str">
        <f>IF(J43="Direct pull", "Yes", "No")</f>
        <v>Yes</v>
      </c>
      <c r="Q43" s="169"/>
    </row>
    <row r="44" spans="1:23" ht="15" customHeight="1">
      <c r="A44" s="72" t="s">
        <v>32</v>
      </c>
      <c r="B44" s="72" t="s">
        <v>21</v>
      </c>
      <c r="C44" s="72" t="s">
        <v>33</v>
      </c>
      <c r="D44" s="72" t="s">
        <v>96</v>
      </c>
      <c r="E44" s="112">
        <v>8</v>
      </c>
      <c r="F44" s="72" t="s">
        <v>24</v>
      </c>
      <c r="G44" s="239" t="s">
        <v>97</v>
      </c>
      <c r="H44" s="72" t="s">
        <v>54</v>
      </c>
      <c r="I44" s="72"/>
      <c r="J44" s="72" t="s">
        <v>50</v>
      </c>
      <c r="K44" s="72" t="s">
        <v>27</v>
      </c>
      <c r="L44" s="151" t="s">
        <v>28</v>
      </c>
      <c r="M44" s="259" t="s">
        <v>95</v>
      </c>
      <c r="N44" s="158" t="s">
        <v>67</v>
      </c>
      <c r="O44" s="72" t="s">
        <v>30</v>
      </c>
      <c r="P44" s="176" t="str">
        <f>IFERROR(IF(VLOOKUP(D44,'[1]UAT DB Attributes'!$A:$A,1,FALSE)=D44,"Yes","No"),"No")</f>
        <v>Yes</v>
      </c>
      <c r="Q44" s="178"/>
    </row>
    <row r="45" spans="1:23" ht="15" customHeight="1">
      <c r="A45" s="56" t="s">
        <v>35</v>
      </c>
      <c r="B45" s="56" t="s">
        <v>21</v>
      </c>
      <c r="C45" s="56" t="s">
        <v>36</v>
      </c>
      <c r="D45" s="56" t="s">
        <v>93</v>
      </c>
      <c r="E45" s="113">
        <v>8</v>
      </c>
      <c r="F45" s="56" t="str">
        <f>VLOOKUP(D45,'[2]UAT DB Attributes'!$A:$B,2,FALSE)</f>
        <v>string</v>
      </c>
      <c r="G45" s="240" t="s">
        <v>94</v>
      </c>
      <c r="H45" s="56"/>
      <c r="I45" s="56"/>
      <c r="J45" s="56" t="s">
        <v>50</v>
      </c>
      <c r="K45" s="56" t="s">
        <v>27</v>
      </c>
      <c r="L45" s="152" t="s">
        <v>28</v>
      </c>
      <c r="M45" s="259" t="s">
        <v>95</v>
      </c>
      <c r="N45" s="159" t="s">
        <v>67</v>
      </c>
      <c r="O45" s="56" t="s">
        <v>71</v>
      </c>
      <c r="P45" s="56" t="str">
        <f>IFERROR(IF(VLOOKUP(D45,'[2]UAT DB Attributes'!$A:$A,1,FALSE)=D45,"Yes","No"),"No")</f>
        <v>Yes</v>
      </c>
      <c r="Q45" s="56"/>
    </row>
    <row r="46" spans="1:23" ht="15" customHeight="1">
      <c r="A46" s="73" t="s">
        <v>38</v>
      </c>
      <c r="B46" s="73" t="s">
        <v>39</v>
      </c>
      <c r="C46" s="73" t="s">
        <v>40</v>
      </c>
      <c r="D46" s="73" t="s">
        <v>95</v>
      </c>
      <c r="E46" s="114">
        <v>8</v>
      </c>
      <c r="F46" s="73" t="s">
        <v>24</v>
      </c>
      <c r="G46" s="139" t="s">
        <v>98</v>
      </c>
      <c r="H46" s="73" t="s">
        <v>54</v>
      </c>
      <c r="I46" s="73"/>
      <c r="J46" s="73" t="s">
        <v>50</v>
      </c>
      <c r="K46" s="73" t="s">
        <v>27</v>
      </c>
      <c r="L46" s="153" t="s">
        <v>28</v>
      </c>
      <c r="M46" s="259" t="s">
        <v>95</v>
      </c>
      <c r="N46" s="160" t="str">
        <f>F46</f>
        <v>string</v>
      </c>
      <c r="O46" s="73" t="s">
        <v>71</v>
      </c>
      <c r="P46" s="179" t="s">
        <v>57</v>
      </c>
      <c r="Q46" s="183"/>
    </row>
    <row r="47" spans="1:23" ht="15" customHeight="1">
      <c r="A47" s="106" t="s">
        <v>42</v>
      </c>
      <c r="B47" s="105" t="s">
        <v>43</v>
      </c>
      <c r="C47" s="105" t="s">
        <v>44</v>
      </c>
      <c r="D47" s="103"/>
      <c r="E47" s="109">
        <v>8</v>
      </c>
      <c r="F47" s="105" t="s">
        <v>24</v>
      </c>
      <c r="G47" s="264" t="s">
        <v>94</v>
      </c>
      <c r="H47" s="106"/>
      <c r="I47" s="106"/>
      <c r="J47" s="105" t="s">
        <v>50</v>
      </c>
      <c r="K47" s="106" t="s">
        <v>27</v>
      </c>
      <c r="L47" s="155" t="s">
        <v>28</v>
      </c>
      <c r="M47" s="259" t="s">
        <v>95</v>
      </c>
      <c r="N47" s="161" t="s">
        <v>24</v>
      </c>
      <c r="O47" s="106" t="s">
        <v>62</v>
      </c>
      <c r="P47" s="56" t="s">
        <v>31</v>
      </c>
      <c r="Q47" s="189"/>
    </row>
    <row r="48" spans="1:23" s="74" customFormat="1" ht="15" customHeight="1">
      <c r="A48" s="71" t="s">
        <v>20</v>
      </c>
      <c r="B48" s="71" t="s">
        <v>21</v>
      </c>
      <c r="C48" s="71" t="s">
        <v>22</v>
      </c>
      <c r="D48" s="88"/>
      <c r="E48" s="111">
        <v>8.1</v>
      </c>
      <c r="F48" s="71" t="s">
        <v>24</v>
      </c>
      <c r="G48" s="238" t="s">
        <v>99</v>
      </c>
      <c r="H48" s="71"/>
      <c r="I48" s="71"/>
      <c r="J48" s="71" t="s">
        <v>50</v>
      </c>
      <c r="K48" s="71" t="s">
        <v>27</v>
      </c>
      <c r="L48" s="150" t="s">
        <v>28</v>
      </c>
      <c r="M48" s="259" t="s">
        <v>100</v>
      </c>
      <c r="N48" s="157" t="s">
        <v>24</v>
      </c>
      <c r="O48" s="71" t="s">
        <v>71</v>
      </c>
      <c r="P48" s="73" t="s">
        <v>31</v>
      </c>
      <c r="Q48" s="169"/>
      <c r="R48"/>
      <c r="S48"/>
      <c r="T48"/>
      <c r="U48"/>
      <c r="V48"/>
      <c r="W48"/>
    </row>
    <row r="49" spans="1:23" ht="15" customHeight="1">
      <c r="A49" s="72" t="s">
        <v>32</v>
      </c>
      <c r="B49" s="72" t="s">
        <v>21</v>
      </c>
      <c r="C49" s="72" t="s">
        <v>33</v>
      </c>
      <c r="D49" s="90"/>
      <c r="E49" s="112">
        <v>8.1999999999999993</v>
      </c>
      <c r="F49" s="72" t="s">
        <v>24</v>
      </c>
      <c r="G49" s="239" t="s">
        <v>99</v>
      </c>
      <c r="H49" s="72"/>
      <c r="I49" s="72"/>
      <c r="J49" s="72" t="s">
        <v>50</v>
      </c>
      <c r="K49" s="72" t="s">
        <v>27</v>
      </c>
      <c r="L49" s="151" t="s">
        <v>28</v>
      </c>
      <c r="M49" s="259" t="s">
        <v>100</v>
      </c>
      <c r="N49" s="158" t="s">
        <v>24</v>
      </c>
      <c r="O49" s="72" t="s">
        <v>71</v>
      </c>
      <c r="P49" s="179" t="s">
        <v>31</v>
      </c>
      <c r="Q49" s="178"/>
    </row>
    <row r="50" spans="1:23" ht="15" customHeight="1">
      <c r="A50" s="56" t="s">
        <v>35</v>
      </c>
      <c r="B50" s="56" t="s">
        <v>21</v>
      </c>
      <c r="C50" s="56" t="s">
        <v>36</v>
      </c>
      <c r="D50" s="89"/>
      <c r="E50" s="113">
        <v>8.3000000000000007</v>
      </c>
      <c r="F50" s="56" t="s">
        <v>24</v>
      </c>
      <c r="G50" s="240" t="s">
        <v>99</v>
      </c>
      <c r="H50" s="56"/>
      <c r="I50" s="56"/>
      <c r="J50" s="56" t="s">
        <v>50</v>
      </c>
      <c r="K50" s="56" t="s">
        <v>27</v>
      </c>
      <c r="L50" s="152" t="s">
        <v>28</v>
      </c>
      <c r="M50" s="259" t="s">
        <v>100</v>
      </c>
      <c r="N50" s="159" t="s">
        <v>24</v>
      </c>
      <c r="O50" s="56" t="s">
        <v>71</v>
      </c>
      <c r="P50" s="73" t="s">
        <v>31</v>
      </c>
      <c r="Q50" s="56"/>
    </row>
    <row r="51" spans="1:23" ht="15" customHeight="1">
      <c r="A51" s="73" t="s">
        <v>38</v>
      </c>
      <c r="B51" s="73" t="s">
        <v>39</v>
      </c>
      <c r="C51" s="73" t="s">
        <v>40</v>
      </c>
      <c r="D51" s="73" t="s">
        <v>100</v>
      </c>
      <c r="E51" s="114">
        <v>9</v>
      </c>
      <c r="F51" s="73" t="s">
        <v>24</v>
      </c>
      <c r="G51" s="139" t="s">
        <v>99</v>
      </c>
      <c r="H51" s="73" t="s">
        <v>54</v>
      </c>
      <c r="I51" s="73"/>
      <c r="J51" s="73" t="s">
        <v>50</v>
      </c>
      <c r="K51" s="73" t="s">
        <v>27</v>
      </c>
      <c r="L51" s="153" t="s">
        <v>28</v>
      </c>
      <c r="M51" s="259" t="str">
        <f>VLOOKUP(D51,[3]Actions!$J$2:$J$89, 1, FALSE)</f>
        <v>overdue_action_comment</v>
      </c>
      <c r="N51" s="160" t="str">
        <f>F51</f>
        <v>string</v>
      </c>
      <c r="O51" s="73" t="s">
        <v>71</v>
      </c>
      <c r="P51" s="179" t="s">
        <v>57</v>
      </c>
      <c r="Q51" s="180"/>
    </row>
    <row r="52" spans="1:23" s="74" customFormat="1" ht="15" customHeight="1">
      <c r="A52" s="106" t="s">
        <v>42</v>
      </c>
      <c r="B52" s="105" t="s">
        <v>43</v>
      </c>
      <c r="C52" s="105" t="s">
        <v>44</v>
      </c>
      <c r="D52" s="103"/>
      <c r="E52" s="109">
        <v>9</v>
      </c>
      <c r="F52" s="105" t="s">
        <v>24</v>
      </c>
      <c r="G52" s="118" t="s">
        <v>101</v>
      </c>
      <c r="H52" s="106"/>
      <c r="I52" s="106"/>
      <c r="J52" s="105" t="s">
        <v>50</v>
      </c>
      <c r="K52" s="106" t="s">
        <v>27</v>
      </c>
      <c r="L52" s="155" t="s">
        <v>28</v>
      </c>
      <c r="M52" s="259" t="s">
        <v>100</v>
      </c>
      <c r="N52" s="161" t="s">
        <v>24</v>
      </c>
      <c r="O52" s="106" t="s">
        <v>62</v>
      </c>
      <c r="P52" s="73" t="s">
        <v>31</v>
      </c>
      <c r="Q52" s="189"/>
      <c r="R52"/>
      <c r="S52"/>
      <c r="T52"/>
      <c r="U52"/>
      <c r="V52"/>
      <c r="W52"/>
    </row>
    <row r="53" spans="1:23" ht="15" customHeight="1">
      <c r="A53" s="71" t="s">
        <v>20</v>
      </c>
      <c r="B53" s="71" t="s">
        <v>21</v>
      </c>
      <c r="C53" s="71" t="s">
        <v>22</v>
      </c>
      <c r="D53" s="71" t="s">
        <v>102</v>
      </c>
      <c r="E53" s="111">
        <v>9.1</v>
      </c>
      <c r="F53" s="71" t="s">
        <v>24</v>
      </c>
      <c r="G53" s="238" t="s">
        <v>103</v>
      </c>
      <c r="H53" s="71"/>
      <c r="I53" s="71"/>
      <c r="J53" s="71" t="s">
        <v>50</v>
      </c>
      <c r="K53" s="71" t="s">
        <v>27</v>
      </c>
      <c r="L53" s="150" t="s">
        <v>28</v>
      </c>
      <c r="M53" s="259" t="s">
        <v>102</v>
      </c>
      <c r="N53" s="157" t="s">
        <v>67</v>
      </c>
      <c r="O53" s="71" t="s">
        <v>30</v>
      </c>
      <c r="P53" s="71" t="str">
        <f>IF(J53="Direct pull", "Yes", "No")</f>
        <v>Yes</v>
      </c>
      <c r="Q53" s="169"/>
    </row>
    <row r="54" spans="1:23" ht="15" customHeight="1">
      <c r="A54" s="72" t="s">
        <v>32</v>
      </c>
      <c r="B54" s="72" t="s">
        <v>21</v>
      </c>
      <c r="C54" s="72" t="s">
        <v>33</v>
      </c>
      <c r="D54" s="72" t="s">
        <v>104</v>
      </c>
      <c r="E54" s="112">
        <v>9.1</v>
      </c>
      <c r="F54" s="72" t="s">
        <v>24</v>
      </c>
      <c r="G54" s="239" t="s">
        <v>105</v>
      </c>
      <c r="H54" s="72" t="s">
        <v>54</v>
      </c>
      <c r="I54" s="72"/>
      <c r="J54" s="72" t="s">
        <v>50</v>
      </c>
      <c r="K54" s="72" t="s">
        <v>27</v>
      </c>
      <c r="L54" s="151" t="s">
        <v>28</v>
      </c>
      <c r="M54" s="259" t="s">
        <v>102</v>
      </c>
      <c r="N54" s="158" t="s">
        <v>67</v>
      </c>
      <c r="O54" s="72" t="s">
        <v>30</v>
      </c>
      <c r="P54" s="176" t="str">
        <f>IFERROR(IF(VLOOKUP(D54,'[1]UAT DB Attributes'!$A:$A,1,FALSE)=D54,"Yes","No"),"No")</f>
        <v>Yes</v>
      </c>
      <c r="Q54" s="178"/>
    </row>
    <row r="55" spans="1:23" ht="15" customHeight="1">
      <c r="A55" s="56" t="s">
        <v>35</v>
      </c>
      <c r="B55" s="56" t="s">
        <v>21</v>
      </c>
      <c r="C55" s="56" t="s">
        <v>36</v>
      </c>
      <c r="D55" s="56" t="s">
        <v>102</v>
      </c>
      <c r="E55" s="113">
        <v>9.1</v>
      </c>
      <c r="F55" s="56" t="str">
        <f>VLOOKUP(D55,'[2]UAT DB Attributes'!$A:$B,2,FALSE)</f>
        <v>string</v>
      </c>
      <c r="G55" s="240" t="s">
        <v>103</v>
      </c>
      <c r="H55" s="56"/>
      <c r="I55" s="56"/>
      <c r="J55" s="56" t="s">
        <v>50</v>
      </c>
      <c r="K55" s="56" t="s">
        <v>27</v>
      </c>
      <c r="L55" s="152" t="s">
        <v>28</v>
      </c>
      <c r="M55" s="259" t="s">
        <v>102</v>
      </c>
      <c r="N55" s="159" t="s">
        <v>67</v>
      </c>
      <c r="O55" s="56" t="s">
        <v>30</v>
      </c>
      <c r="P55" s="56" t="str">
        <f>IFERROR(IF(VLOOKUP(D55,'[2]UAT DB Attributes'!$A:$A,1,FALSE)=D55,"Yes","No"),"No")</f>
        <v>Yes</v>
      </c>
      <c r="Q55" s="56"/>
    </row>
    <row r="56" spans="1:23" ht="15" customHeight="1">
      <c r="A56" s="73" t="s">
        <v>38</v>
      </c>
      <c r="B56" s="73" t="s">
        <v>39</v>
      </c>
      <c r="C56" s="73" t="s">
        <v>40</v>
      </c>
      <c r="D56" s="91"/>
      <c r="E56" s="114">
        <v>9.1</v>
      </c>
      <c r="F56" s="73" t="s">
        <v>24</v>
      </c>
      <c r="G56" s="139" t="s">
        <v>106</v>
      </c>
      <c r="H56" s="73" t="s">
        <v>54</v>
      </c>
      <c r="I56" s="73"/>
      <c r="J56" s="73" t="s">
        <v>50</v>
      </c>
      <c r="K56" s="73" t="s">
        <v>27</v>
      </c>
      <c r="L56" s="153" t="s">
        <v>28</v>
      </c>
      <c r="M56" s="259" t="s">
        <v>102</v>
      </c>
      <c r="N56" s="160" t="str">
        <f>F56</f>
        <v>string</v>
      </c>
      <c r="O56" s="73" t="s">
        <v>71</v>
      </c>
      <c r="P56" s="179" t="s">
        <v>57</v>
      </c>
      <c r="Q56" s="183"/>
    </row>
    <row r="57" spans="1:23" ht="15" customHeight="1">
      <c r="A57" s="106" t="s">
        <v>42</v>
      </c>
      <c r="B57" s="105" t="s">
        <v>43</v>
      </c>
      <c r="C57" s="105" t="s">
        <v>44</v>
      </c>
      <c r="D57" s="103"/>
      <c r="E57" s="109">
        <v>9.1</v>
      </c>
      <c r="F57" s="105" t="s">
        <v>24</v>
      </c>
      <c r="G57" s="118" t="s">
        <v>107</v>
      </c>
      <c r="H57" s="106"/>
      <c r="I57" s="106"/>
      <c r="J57" s="105" t="s">
        <v>50</v>
      </c>
      <c r="K57" s="106" t="s">
        <v>27</v>
      </c>
      <c r="L57" s="155" t="s">
        <v>28</v>
      </c>
      <c r="M57" s="259" t="s">
        <v>102</v>
      </c>
      <c r="N57" s="161" t="s">
        <v>24</v>
      </c>
      <c r="O57" s="106" t="s">
        <v>62</v>
      </c>
      <c r="P57" s="80" t="s">
        <v>57</v>
      </c>
      <c r="Q57" s="188"/>
    </row>
    <row r="58" spans="1:23" s="74" customFormat="1" ht="15" customHeight="1">
      <c r="A58" s="71" t="s">
        <v>20</v>
      </c>
      <c r="B58" s="71" t="s">
        <v>21</v>
      </c>
      <c r="C58" s="71" t="s">
        <v>22</v>
      </c>
      <c r="D58" s="71" t="s">
        <v>108</v>
      </c>
      <c r="E58" s="111">
        <v>9.11</v>
      </c>
      <c r="F58" s="71" t="s">
        <v>24</v>
      </c>
      <c r="G58" s="238" t="s">
        <v>109</v>
      </c>
      <c r="H58" s="71"/>
      <c r="I58" s="71"/>
      <c r="J58" s="71" t="s">
        <v>50</v>
      </c>
      <c r="K58" s="71" t="s">
        <v>27</v>
      </c>
      <c r="L58" s="150" t="s">
        <v>28</v>
      </c>
      <c r="M58" s="259" t="s">
        <v>110</v>
      </c>
      <c r="N58" s="157" t="s">
        <v>67</v>
      </c>
      <c r="O58" s="71" t="s">
        <v>71</v>
      </c>
      <c r="P58" s="71" t="str">
        <f>IF(J58="Direct pull", "Yes", "No")</f>
        <v>Yes</v>
      </c>
      <c r="Q58" s="169"/>
      <c r="R58"/>
      <c r="S58"/>
      <c r="T58"/>
      <c r="U58"/>
      <c r="V58"/>
      <c r="W58"/>
    </row>
    <row r="59" spans="1:23" ht="15" customHeight="1">
      <c r="A59" s="72" t="s">
        <v>32</v>
      </c>
      <c r="B59" s="72" t="s">
        <v>21</v>
      </c>
      <c r="C59" s="72" t="s">
        <v>33</v>
      </c>
      <c r="D59" s="90"/>
      <c r="E59" s="112">
        <v>9.1199999999999992</v>
      </c>
      <c r="F59" s="72" t="s">
        <v>24</v>
      </c>
      <c r="G59" s="239" t="s">
        <v>109</v>
      </c>
      <c r="H59" s="72"/>
      <c r="I59" s="72"/>
      <c r="J59" s="72" t="s">
        <v>50</v>
      </c>
      <c r="K59" s="72" t="s">
        <v>27</v>
      </c>
      <c r="L59" s="151" t="s">
        <v>28</v>
      </c>
      <c r="M59" s="259" t="s">
        <v>110</v>
      </c>
      <c r="N59" s="158" t="s">
        <v>24</v>
      </c>
      <c r="O59" s="72" t="s">
        <v>71</v>
      </c>
      <c r="P59" s="179" t="s">
        <v>31</v>
      </c>
      <c r="Q59" s="178"/>
    </row>
    <row r="60" spans="1:23" ht="15" customHeight="1">
      <c r="A60" s="56" t="s">
        <v>35</v>
      </c>
      <c r="B60" s="56" t="s">
        <v>21</v>
      </c>
      <c r="C60" s="56" t="s">
        <v>36</v>
      </c>
      <c r="D60" s="56" t="s">
        <v>111</v>
      </c>
      <c r="E60" s="113">
        <v>9.1300000000000008</v>
      </c>
      <c r="F60" s="56" t="s">
        <v>24</v>
      </c>
      <c r="G60" s="240" t="s">
        <v>109</v>
      </c>
      <c r="H60" s="56"/>
      <c r="I60" s="56"/>
      <c r="J60" s="56" t="s">
        <v>50</v>
      </c>
      <c r="K60" s="56" t="s">
        <v>27</v>
      </c>
      <c r="L60" s="152" t="s">
        <v>28</v>
      </c>
      <c r="M60" s="259" t="s">
        <v>110</v>
      </c>
      <c r="N60" s="159" t="s">
        <v>67</v>
      </c>
      <c r="O60" s="56" t="s">
        <v>71</v>
      </c>
      <c r="P60" s="56" t="str">
        <f>IFERROR(IF(VLOOKUP(D60,'[2]UAT DB Attributes'!$A:$A,1,FALSE)=D60,"Yes","No"),"No")</f>
        <v>Yes</v>
      </c>
      <c r="Q60" s="56"/>
    </row>
    <row r="61" spans="1:23" ht="15" customHeight="1">
      <c r="A61" s="73" t="s">
        <v>38</v>
      </c>
      <c r="B61" s="73" t="s">
        <v>39</v>
      </c>
      <c r="C61" s="73" t="s">
        <v>40</v>
      </c>
      <c r="D61" s="73" t="s">
        <v>110</v>
      </c>
      <c r="E61" s="114">
        <v>9.14</v>
      </c>
      <c r="F61" s="73" t="s">
        <v>24</v>
      </c>
      <c r="G61" s="139" t="s">
        <v>109</v>
      </c>
      <c r="H61" s="73"/>
      <c r="I61" s="73"/>
      <c r="J61" s="73" t="s">
        <v>50</v>
      </c>
      <c r="K61" s="73" t="s">
        <v>27</v>
      </c>
      <c r="L61" s="153" t="s">
        <v>28</v>
      </c>
      <c r="M61" s="259" t="s">
        <v>110</v>
      </c>
      <c r="N61" s="160" t="s">
        <v>24</v>
      </c>
      <c r="O61" s="73" t="s">
        <v>71</v>
      </c>
      <c r="P61" s="179" t="s">
        <v>31</v>
      </c>
      <c r="Q61" s="183"/>
    </row>
    <row r="62" spans="1:23" ht="15" customHeight="1">
      <c r="A62" s="106" t="s">
        <v>42</v>
      </c>
      <c r="B62" s="105" t="s">
        <v>43</v>
      </c>
      <c r="C62" s="105" t="s">
        <v>44</v>
      </c>
      <c r="D62" s="105" t="s">
        <v>112</v>
      </c>
      <c r="E62" s="115">
        <v>9.1999999999999993</v>
      </c>
      <c r="F62" s="105" t="s">
        <v>24</v>
      </c>
      <c r="G62" s="118" t="s">
        <v>109</v>
      </c>
      <c r="H62" s="106"/>
      <c r="I62" s="106"/>
      <c r="J62" s="105" t="s">
        <v>50</v>
      </c>
      <c r="K62" s="106" t="s">
        <v>27</v>
      </c>
      <c r="L62" s="155" t="s">
        <v>28</v>
      </c>
      <c r="M62" s="259" t="s">
        <v>110</v>
      </c>
      <c r="N62" s="161" t="s">
        <v>24</v>
      </c>
      <c r="O62" s="106" t="s">
        <v>62</v>
      </c>
      <c r="P62" s="71" t="str">
        <f>IF(J62="Direct pull", "Yes", "No")</f>
        <v>Yes</v>
      </c>
      <c r="Q62" s="189"/>
    </row>
    <row r="63" spans="1:23" ht="15" customHeight="1">
      <c r="A63" s="71" t="s">
        <v>20</v>
      </c>
      <c r="B63" s="71" t="s">
        <v>21</v>
      </c>
      <c r="C63" s="71" t="s">
        <v>22</v>
      </c>
      <c r="D63" s="88"/>
      <c r="E63" s="111">
        <v>10.1</v>
      </c>
      <c r="F63" s="71" t="s">
        <v>81</v>
      </c>
      <c r="G63" s="238" t="s">
        <v>113</v>
      </c>
      <c r="H63" s="71"/>
      <c r="I63" s="71"/>
      <c r="J63" s="71" t="s">
        <v>50</v>
      </c>
      <c r="K63" s="71" t="s">
        <v>27</v>
      </c>
      <c r="L63" s="150" t="s">
        <v>28</v>
      </c>
      <c r="M63" s="259" t="s">
        <v>114</v>
      </c>
      <c r="N63" s="157" t="s">
        <v>81</v>
      </c>
      <c r="O63" s="71" t="s">
        <v>71</v>
      </c>
      <c r="P63" s="56" t="s">
        <v>31</v>
      </c>
      <c r="Q63" s="170"/>
    </row>
    <row r="64" spans="1:23" ht="15" customHeight="1">
      <c r="A64" s="72" t="s">
        <v>32</v>
      </c>
      <c r="B64" s="72" t="s">
        <v>21</v>
      </c>
      <c r="C64" s="72" t="s">
        <v>33</v>
      </c>
      <c r="D64" s="90"/>
      <c r="E64" s="112">
        <v>10.199999999999999</v>
      </c>
      <c r="F64" s="72" t="s">
        <v>81</v>
      </c>
      <c r="G64" s="239" t="s">
        <v>113</v>
      </c>
      <c r="H64" s="72"/>
      <c r="I64" s="72"/>
      <c r="J64" s="72" t="s">
        <v>50</v>
      </c>
      <c r="K64" s="72" t="s">
        <v>27</v>
      </c>
      <c r="L64" s="151" t="s">
        <v>28</v>
      </c>
      <c r="M64" s="259" t="s">
        <v>114</v>
      </c>
      <c r="N64" s="158" t="s">
        <v>81</v>
      </c>
      <c r="O64" s="72" t="s">
        <v>71</v>
      </c>
      <c r="P64" s="174" t="s">
        <v>31</v>
      </c>
      <c r="Q64" s="178"/>
    </row>
    <row r="65" spans="1:23" ht="15" customHeight="1">
      <c r="A65" s="56" t="s">
        <v>35</v>
      </c>
      <c r="B65" s="56" t="s">
        <v>21</v>
      </c>
      <c r="C65" s="56" t="s">
        <v>36</v>
      </c>
      <c r="D65" s="89"/>
      <c r="E65" s="113">
        <v>10.220000000000001</v>
      </c>
      <c r="F65" s="56" t="s">
        <v>81</v>
      </c>
      <c r="G65" s="240" t="s">
        <v>113</v>
      </c>
      <c r="H65" s="56"/>
      <c r="I65" s="56"/>
      <c r="J65" s="56" t="s">
        <v>50</v>
      </c>
      <c r="K65" s="56" t="s">
        <v>27</v>
      </c>
      <c r="L65" s="152" t="s">
        <v>28</v>
      </c>
      <c r="M65" s="259" t="s">
        <v>114</v>
      </c>
      <c r="N65" s="159" t="s">
        <v>81</v>
      </c>
      <c r="O65" s="56" t="s">
        <v>71</v>
      </c>
      <c r="P65" s="56" t="s">
        <v>31</v>
      </c>
      <c r="Q65" s="56"/>
    </row>
    <row r="66" spans="1:23" s="74" customFormat="1" ht="15" customHeight="1">
      <c r="A66" s="73" t="s">
        <v>38</v>
      </c>
      <c r="B66" s="73" t="s">
        <v>39</v>
      </c>
      <c r="C66" s="73" t="s">
        <v>40</v>
      </c>
      <c r="D66" s="73" t="s">
        <v>114</v>
      </c>
      <c r="E66" s="114">
        <v>10.3</v>
      </c>
      <c r="F66" s="73" t="s">
        <v>81</v>
      </c>
      <c r="G66" s="139" t="s">
        <v>113</v>
      </c>
      <c r="H66" s="73" t="s">
        <v>54</v>
      </c>
      <c r="I66" s="73"/>
      <c r="J66" s="73" t="s">
        <v>50</v>
      </c>
      <c r="K66" s="73" t="s">
        <v>27</v>
      </c>
      <c r="L66" s="153" t="s">
        <v>28</v>
      </c>
      <c r="M66" s="259" t="str">
        <f>VLOOKUP(D66,[3]Actions!$J$2:$J$89, 1, FALSE)</f>
        <v>original_due_date</v>
      </c>
      <c r="N66" s="160" t="str">
        <f>F66</f>
        <v>string (dd/mm/yyyy hh:mm:ss)</v>
      </c>
      <c r="O66" s="73" t="s">
        <v>71</v>
      </c>
      <c r="P66" s="179" t="s">
        <v>57</v>
      </c>
      <c r="Q66" s="183"/>
      <c r="R66"/>
      <c r="S66"/>
      <c r="T66"/>
      <c r="U66"/>
      <c r="V66"/>
      <c r="W66"/>
    </row>
    <row r="67" spans="1:23" ht="15" customHeight="1">
      <c r="A67" s="106" t="s">
        <v>42</v>
      </c>
      <c r="B67" s="105" t="s">
        <v>43</v>
      </c>
      <c r="C67" s="105" t="s">
        <v>44</v>
      </c>
      <c r="D67" s="103"/>
      <c r="E67" s="115">
        <v>10.4</v>
      </c>
      <c r="F67" s="106" t="s">
        <v>81</v>
      </c>
      <c r="G67" s="264" t="s">
        <v>113</v>
      </c>
      <c r="H67" s="106"/>
      <c r="I67" s="106"/>
      <c r="J67" s="105" t="s">
        <v>50</v>
      </c>
      <c r="K67" s="106" t="s">
        <v>27</v>
      </c>
      <c r="L67" s="155" t="s">
        <v>28</v>
      </c>
      <c r="M67" s="259" t="s">
        <v>114</v>
      </c>
      <c r="N67" s="161" t="s">
        <v>81</v>
      </c>
      <c r="O67" s="106" t="s">
        <v>62</v>
      </c>
      <c r="P67" s="56" t="s">
        <v>31</v>
      </c>
      <c r="Q67" s="189"/>
    </row>
    <row r="68" spans="1:23" ht="15" customHeight="1">
      <c r="A68" s="71" t="s">
        <v>20</v>
      </c>
      <c r="B68" s="71" t="s">
        <v>21</v>
      </c>
      <c r="C68" s="71" t="s">
        <v>22</v>
      </c>
      <c r="D68" s="71" t="s">
        <v>115</v>
      </c>
      <c r="E68" s="111">
        <v>11</v>
      </c>
      <c r="F68" s="71" t="s">
        <v>81</v>
      </c>
      <c r="G68" s="238" t="s">
        <v>116</v>
      </c>
      <c r="H68" s="71"/>
      <c r="I68" s="71"/>
      <c r="J68" s="71" t="s">
        <v>50</v>
      </c>
      <c r="K68" s="71" t="s">
        <v>27</v>
      </c>
      <c r="L68" s="150" t="s">
        <v>28</v>
      </c>
      <c r="M68" s="259" t="s">
        <v>117</v>
      </c>
      <c r="N68" s="157" t="s">
        <v>81</v>
      </c>
      <c r="O68" s="71" t="s">
        <v>71</v>
      </c>
      <c r="P68" s="71" t="str">
        <f>IF(J68="Direct pull", "Yes", "No")</f>
        <v>Yes</v>
      </c>
      <c r="Q68" s="169"/>
    </row>
    <row r="69" spans="1:23" ht="15" customHeight="1">
      <c r="A69" s="72" t="s">
        <v>32</v>
      </c>
      <c r="B69" s="72" t="s">
        <v>21</v>
      </c>
      <c r="C69" s="72" t="s">
        <v>33</v>
      </c>
      <c r="D69" s="72" t="s">
        <v>118</v>
      </c>
      <c r="E69" s="112">
        <v>11</v>
      </c>
      <c r="F69" s="72" t="s">
        <v>81</v>
      </c>
      <c r="G69" s="239" t="s">
        <v>119</v>
      </c>
      <c r="H69" s="72" t="s">
        <v>54</v>
      </c>
      <c r="I69" s="72"/>
      <c r="J69" s="72" t="s">
        <v>50</v>
      </c>
      <c r="K69" s="72" t="s">
        <v>27</v>
      </c>
      <c r="L69" s="151" t="s">
        <v>28</v>
      </c>
      <c r="M69" s="259" t="s">
        <v>117</v>
      </c>
      <c r="N69" s="158" t="s">
        <v>81</v>
      </c>
      <c r="O69" s="72" t="s">
        <v>71</v>
      </c>
      <c r="P69" s="176" t="str">
        <f>IFERROR(IF(VLOOKUP(D69,'[1]UAT DB Attributes'!$A:$A,1,FALSE)=D69,"Yes","No"),"No")</f>
        <v>Yes</v>
      </c>
      <c r="Q69" s="177"/>
    </row>
    <row r="70" spans="1:23" ht="15" customHeight="1">
      <c r="A70" s="56" t="s">
        <v>35</v>
      </c>
      <c r="B70" s="56" t="s">
        <v>21</v>
      </c>
      <c r="C70" s="56" t="s">
        <v>36</v>
      </c>
      <c r="D70" s="56" t="s">
        <v>115</v>
      </c>
      <c r="E70" s="113">
        <v>11</v>
      </c>
      <c r="F70" s="56" t="s">
        <v>81</v>
      </c>
      <c r="G70" s="240" t="s">
        <v>116</v>
      </c>
      <c r="H70" s="56"/>
      <c r="I70" s="56"/>
      <c r="J70" s="56" t="s">
        <v>50</v>
      </c>
      <c r="K70" s="56" t="s">
        <v>27</v>
      </c>
      <c r="L70" s="152" t="s">
        <v>28</v>
      </c>
      <c r="M70" s="259" t="s">
        <v>117</v>
      </c>
      <c r="N70" s="159" t="s">
        <v>81</v>
      </c>
      <c r="O70" s="56" t="s">
        <v>71</v>
      </c>
      <c r="P70" s="56" t="str">
        <f>IFERROR(IF(VLOOKUP(D70,'[2]UAT DB Attributes'!$A:$A,1,FALSE)=D70,"Yes","No"),"No")</f>
        <v>Yes</v>
      </c>
      <c r="Q70" s="56"/>
    </row>
    <row r="71" spans="1:23" s="74" customFormat="1" ht="15" customHeight="1">
      <c r="A71" s="73" t="s">
        <v>38</v>
      </c>
      <c r="B71" s="73" t="s">
        <v>39</v>
      </c>
      <c r="C71" s="73" t="s">
        <v>40</v>
      </c>
      <c r="D71" s="73" t="s">
        <v>117</v>
      </c>
      <c r="E71" s="114">
        <v>11</v>
      </c>
      <c r="F71" s="73" t="s">
        <v>81</v>
      </c>
      <c r="G71" s="139" t="s">
        <v>120</v>
      </c>
      <c r="H71" s="73" t="s">
        <v>54</v>
      </c>
      <c r="I71" s="73"/>
      <c r="J71" s="73" t="s">
        <v>50</v>
      </c>
      <c r="K71" s="73" t="s">
        <v>27</v>
      </c>
      <c r="L71" s="153" t="s">
        <v>28</v>
      </c>
      <c r="M71" s="259" t="s">
        <v>117</v>
      </c>
      <c r="N71" s="160" t="s">
        <v>81</v>
      </c>
      <c r="O71" s="73" t="s">
        <v>71</v>
      </c>
      <c r="P71" s="179" t="s">
        <v>57</v>
      </c>
      <c r="Q71" s="183"/>
      <c r="R71"/>
      <c r="S71"/>
      <c r="T71"/>
      <c r="U71"/>
      <c r="V71"/>
      <c r="W71"/>
    </row>
    <row r="72" spans="1:23" ht="15" customHeight="1">
      <c r="A72" s="106" t="s">
        <v>42</v>
      </c>
      <c r="B72" s="105" t="s">
        <v>43</v>
      </c>
      <c r="C72" s="105" t="s">
        <v>44</v>
      </c>
      <c r="D72" s="105" t="s">
        <v>121</v>
      </c>
      <c r="E72" s="109">
        <v>11</v>
      </c>
      <c r="F72" s="106" t="s">
        <v>81</v>
      </c>
      <c r="G72" s="118" t="s">
        <v>113</v>
      </c>
      <c r="H72" s="106"/>
      <c r="I72" s="106"/>
      <c r="J72" s="105" t="s">
        <v>50</v>
      </c>
      <c r="K72" s="106" t="s">
        <v>27</v>
      </c>
      <c r="L72" s="155" t="s">
        <v>28</v>
      </c>
      <c r="M72" s="259" t="s">
        <v>117</v>
      </c>
      <c r="N72" s="161" t="s">
        <v>81</v>
      </c>
      <c r="O72" s="106" t="s">
        <v>62</v>
      </c>
      <c r="P72" s="80" t="s">
        <v>57</v>
      </c>
      <c r="Q72" s="189"/>
    </row>
    <row r="73" spans="1:23" ht="15" customHeight="1">
      <c r="A73" s="71" t="s">
        <v>20</v>
      </c>
      <c r="B73" s="71" t="s">
        <v>21</v>
      </c>
      <c r="C73" s="71" t="s">
        <v>22</v>
      </c>
      <c r="D73" s="71" t="s">
        <v>122</v>
      </c>
      <c r="E73" s="111">
        <v>12</v>
      </c>
      <c r="F73" s="71" t="s">
        <v>81</v>
      </c>
      <c r="G73" s="241" t="s">
        <v>123</v>
      </c>
      <c r="H73" s="71"/>
      <c r="I73" s="71"/>
      <c r="J73" s="71" t="s">
        <v>50</v>
      </c>
      <c r="K73" s="71" t="s">
        <v>27</v>
      </c>
      <c r="L73" s="150" t="s">
        <v>28</v>
      </c>
      <c r="M73" s="259" t="s">
        <v>124</v>
      </c>
      <c r="N73" s="157" t="s">
        <v>81</v>
      </c>
      <c r="O73" s="71" t="s">
        <v>71</v>
      </c>
      <c r="P73" s="71" t="str">
        <f>IF(J73="Direct pull", "Yes", "No")</f>
        <v>Yes</v>
      </c>
      <c r="Q73" s="169"/>
    </row>
    <row r="74" spans="1:23" ht="15" customHeight="1">
      <c r="A74" s="72" t="s">
        <v>32</v>
      </c>
      <c r="B74" s="72" t="s">
        <v>21</v>
      </c>
      <c r="C74" s="72" t="s">
        <v>33</v>
      </c>
      <c r="D74" s="72" t="s">
        <v>125</v>
      </c>
      <c r="E74" s="112">
        <v>12</v>
      </c>
      <c r="F74" s="72" t="s">
        <v>81</v>
      </c>
      <c r="G74" s="239" t="s">
        <v>126</v>
      </c>
      <c r="H74" s="72" t="s">
        <v>54</v>
      </c>
      <c r="I74" s="72"/>
      <c r="J74" s="72" t="s">
        <v>50</v>
      </c>
      <c r="K74" s="72" t="s">
        <v>27</v>
      </c>
      <c r="L74" s="151" t="s">
        <v>28</v>
      </c>
      <c r="M74" s="259" t="s">
        <v>124</v>
      </c>
      <c r="N74" s="158" t="s">
        <v>81</v>
      </c>
      <c r="O74" s="72" t="s">
        <v>62</v>
      </c>
      <c r="P74" s="176" t="str">
        <f>IFERROR(IF(VLOOKUP(D74,'[1]UAT DB Attributes'!$A:$A,1,FALSE)=D74,"Yes","No"),"No")</f>
        <v>Yes</v>
      </c>
      <c r="Q74" s="178"/>
    </row>
    <row r="75" spans="1:23" ht="15" customHeight="1">
      <c r="A75" s="56" t="s">
        <v>35</v>
      </c>
      <c r="B75" s="56" t="s">
        <v>21</v>
      </c>
      <c r="C75" s="56" t="s">
        <v>36</v>
      </c>
      <c r="D75" s="56" t="s">
        <v>122</v>
      </c>
      <c r="E75" s="113">
        <v>12</v>
      </c>
      <c r="F75" s="56" t="s">
        <v>81</v>
      </c>
      <c r="G75" s="242" t="s">
        <v>123</v>
      </c>
      <c r="H75" s="56"/>
      <c r="I75" s="56"/>
      <c r="J75" s="56" t="s">
        <v>50</v>
      </c>
      <c r="K75" s="56" t="s">
        <v>27</v>
      </c>
      <c r="L75" s="152" t="s">
        <v>28</v>
      </c>
      <c r="M75" s="259" t="s">
        <v>124</v>
      </c>
      <c r="N75" s="159" t="s">
        <v>81</v>
      </c>
      <c r="O75" s="56" t="s">
        <v>71</v>
      </c>
      <c r="P75" s="56" t="str">
        <f>IFERROR(IF(VLOOKUP(D75,'[2]UAT DB Attributes'!$A:$A,1,FALSE)=D75,"Yes","No"),"No")</f>
        <v>Yes</v>
      </c>
      <c r="Q75" s="171"/>
    </row>
    <row r="76" spans="1:23" ht="15" customHeight="1">
      <c r="A76" s="73" t="s">
        <v>38</v>
      </c>
      <c r="B76" s="73" t="s">
        <v>39</v>
      </c>
      <c r="C76" s="73" t="s">
        <v>40</v>
      </c>
      <c r="D76" s="73" t="s">
        <v>124</v>
      </c>
      <c r="E76" s="114">
        <v>12</v>
      </c>
      <c r="F76" s="73" t="s">
        <v>81</v>
      </c>
      <c r="G76" s="139" t="s">
        <v>127</v>
      </c>
      <c r="H76" s="73" t="s">
        <v>54</v>
      </c>
      <c r="I76" s="73"/>
      <c r="J76" s="73" t="s">
        <v>50</v>
      </c>
      <c r="K76" s="73" t="s">
        <v>27</v>
      </c>
      <c r="L76" s="153" t="s">
        <v>28</v>
      </c>
      <c r="M76" s="259" t="str">
        <f>VLOOKUP(D76,[3]Actions!$J$2:$J$89, 1, FALSE)</f>
        <v>actual_completion_date</v>
      </c>
      <c r="N76" s="160" t="str">
        <f>F76</f>
        <v>string (dd/mm/yyyy hh:mm:ss)</v>
      </c>
      <c r="O76" s="73" t="s">
        <v>71</v>
      </c>
      <c r="P76" s="179" t="s">
        <v>57</v>
      </c>
      <c r="Q76" s="184"/>
    </row>
    <row r="77" spans="1:23" ht="15" customHeight="1">
      <c r="A77" s="106" t="s">
        <v>42</v>
      </c>
      <c r="B77" s="105" t="s">
        <v>43</v>
      </c>
      <c r="C77" s="105" t="s">
        <v>44</v>
      </c>
      <c r="D77" s="105" t="s">
        <v>128</v>
      </c>
      <c r="E77" s="109">
        <v>12</v>
      </c>
      <c r="F77" s="161" t="s">
        <v>81</v>
      </c>
      <c r="G77" s="243" t="s">
        <v>123</v>
      </c>
      <c r="H77" s="106"/>
      <c r="I77" s="106"/>
      <c r="J77" s="105" t="s">
        <v>50</v>
      </c>
      <c r="K77" s="106" t="s">
        <v>27</v>
      </c>
      <c r="L77" s="155" t="s">
        <v>28</v>
      </c>
      <c r="M77" s="259" t="s">
        <v>124</v>
      </c>
      <c r="N77" s="161" t="s">
        <v>81</v>
      </c>
      <c r="O77" s="106" t="s">
        <v>62</v>
      </c>
      <c r="P77" s="80" t="s">
        <v>57</v>
      </c>
      <c r="Q77" s="189"/>
    </row>
    <row r="78" spans="1:23" ht="15" customHeight="1">
      <c r="A78" s="71" t="s">
        <v>20</v>
      </c>
      <c r="B78" s="71" t="s">
        <v>21</v>
      </c>
      <c r="C78" s="71" t="s">
        <v>22</v>
      </c>
      <c r="D78" s="88"/>
      <c r="E78" s="111">
        <v>13</v>
      </c>
      <c r="F78" s="71" t="s">
        <v>81</v>
      </c>
      <c r="G78" s="238" t="s">
        <v>129</v>
      </c>
      <c r="H78" s="71"/>
      <c r="I78" s="71"/>
      <c r="J78" s="71" t="s">
        <v>50</v>
      </c>
      <c r="K78" s="71" t="s">
        <v>27</v>
      </c>
      <c r="L78" s="150" t="s">
        <v>28</v>
      </c>
      <c r="M78" s="259" t="s">
        <v>130</v>
      </c>
      <c r="N78" s="157" t="s">
        <v>81</v>
      </c>
      <c r="O78" s="71" t="s">
        <v>71</v>
      </c>
      <c r="P78" s="71" t="s">
        <v>31</v>
      </c>
      <c r="Q78" s="169"/>
    </row>
    <row r="79" spans="1:23" ht="15" customHeight="1">
      <c r="A79" s="72" t="s">
        <v>32</v>
      </c>
      <c r="B79" s="72" t="s">
        <v>21</v>
      </c>
      <c r="C79" s="72" t="s">
        <v>33</v>
      </c>
      <c r="D79" s="90"/>
      <c r="E79" s="112">
        <v>13.1</v>
      </c>
      <c r="F79" s="72" t="s">
        <v>81</v>
      </c>
      <c r="G79" s="239" t="s">
        <v>129</v>
      </c>
      <c r="H79" s="72"/>
      <c r="I79" s="72"/>
      <c r="J79" s="72" t="s">
        <v>50</v>
      </c>
      <c r="K79" s="72" t="s">
        <v>27</v>
      </c>
      <c r="L79" s="151" t="s">
        <v>28</v>
      </c>
      <c r="M79" s="259" t="s">
        <v>130</v>
      </c>
      <c r="N79" s="158" t="s">
        <v>81</v>
      </c>
      <c r="O79" s="72" t="s">
        <v>71</v>
      </c>
      <c r="P79" s="169" t="s">
        <v>31</v>
      </c>
      <c r="Q79" s="178"/>
    </row>
    <row r="80" spans="1:23" ht="15" customHeight="1">
      <c r="A80" s="56" t="s">
        <v>35</v>
      </c>
      <c r="B80" s="56" t="s">
        <v>21</v>
      </c>
      <c r="C80" s="56" t="s">
        <v>36</v>
      </c>
      <c r="D80" s="89"/>
      <c r="E80" s="113">
        <v>13.2</v>
      </c>
      <c r="F80" s="56" t="s">
        <v>81</v>
      </c>
      <c r="G80" s="240" t="s">
        <v>129</v>
      </c>
      <c r="H80" s="56"/>
      <c r="I80" s="56"/>
      <c r="J80" s="56" t="s">
        <v>50</v>
      </c>
      <c r="K80" s="56" t="s">
        <v>27</v>
      </c>
      <c r="L80" s="152" t="s">
        <v>28</v>
      </c>
      <c r="M80" s="259" t="s">
        <v>130</v>
      </c>
      <c r="N80" s="159" t="s">
        <v>81</v>
      </c>
      <c r="O80" s="56" t="s">
        <v>71</v>
      </c>
      <c r="P80" s="71" t="s">
        <v>31</v>
      </c>
      <c r="Q80" s="171"/>
    </row>
    <row r="81" spans="1:23" ht="15" customHeight="1">
      <c r="A81" s="73" t="s">
        <v>38</v>
      </c>
      <c r="B81" s="73" t="s">
        <v>39</v>
      </c>
      <c r="C81" s="73" t="s">
        <v>40</v>
      </c>
      <c r="D81" s="73" t="s">
        <v>130</v>
      </c>
      <c r="E81" s="114">
        <v>13.4</v>
      </c>
      <c r="F81" s="73" t="s">
        <v>81</v>
      </c>
      <c r="G81" s="139" t="s">
        <v>129</v>
      </c>
      <c r="H81" s="73" t="s">
        <v>54</v>
      </c>
      <c r="I81" s="73"/>
      <c r="J81" s="73" t="s">
        <v>50</v>
      </c>
      <c r="K81" s="73" t="s">
        <v>27</v>
      </c>
      <c r="L81" s="153" t="s">
        <v>28</v>
      </c>
      <c r="M81" s="259" t="str">
        <f>VLOOKUP(D81,[3]Actions!$J$2:$J$89, 1, FALSE)</f>
        <v>date_closed</v>
      </c>
      <c r="N81" s="160" t="str">
        <f>F81</f>
        <v>string (dd/mm/yyyy hh:mm:ss)</v>
      </c>
      <c r="O81" s="73" t="s">
        <v>71</v>
      </c>
      <c r="P81" s="179" t="s">
        <v>57</v>
      </c>
      <c r="Q81" s="184"/>
    </row>
    <row r="82" spans="1:23" ht="15" customHeight="1">
      <c r="A82" s="106" t="s">
        <v>42</v>
      </c>
      <c r="B82" s="105" t="s">
        <v>43</v>
      </c>
      <c r="C82" s="105" t="s">
        <v>44</v>
      </c>
      <c r="D82" s="105" t="s">
        <v>130</v>
      </c>
      <c r="E82" s="109">
        <v>13.5</v>
      </c>
      <c r="F82" s="161" t="s">
        <v>81</v>
      </c>
      <c r="G82" s="118" t="s">
        <v>131</v>
      </c>
      <c r="H82" s="106"/>
      <c r="I82" s="106"/>
      <c r="J82" s="105" t="s">
        <v>50</v>
      </c>
      <c r="K82" s="106" t="s">
        <v>27</v>
      </c>
      <c r="L82" s="155" t="s">
        <v>28</v>
      </c>
      <c r="M82" s="259" t="s">
        <v>130</v>
      </c>
      <c r="N82" s="161" t="s">
        <v>81</v>
      </c>
      <c r="O82" s="106" t="s">
        <v>62</v>
      </c>
      <c r="P82" s="80" t="s">
        <v>57</v>
      </c>
      <c r="Q82" s="189"/>
    </row>
    <row r="83" spans="1:23" ht="15" customHeight="1">
      <c r="A83" s="71" t="s">
        <v>20</v>
      </c>
      <c r="B83" s="71" t="s">
        <v>21</v>
      </c>
      <c r="C83" s="71" t="s">
        <v>22</v>
      </c>
      <c r="D83" s="88"/>
      <c r="E83" s="111">
        <v>14</v>
      </c>
      <c r="F83" s="71" t="s">
        <v>81</v>
      </c>
      <c r="G83" s="238" t="s">
        <v>132</v>
      </c>
      <c r="H83" s="71"/>
      <c r="I83" s="71"/>
      <c r="J83" s="71" t="s">
        <v>50</v>
      </c>
      <c r="K83" s="71" t="s">
        <v>27</v>
      </c>
      <c r="L83" s="150" t="s">
        <v>28</v>
      </c>
      <c r="M83" s="259" t="s">
        <v>133</v>
      </c>
      <c r="N83" s="157" t="s">
        <v>81</v>
      </c>
      <c r="O83" s="71" t="s">
        <v>71</v>
      </c>
      <c r="P83" s="71" t="s">
        <v>31</v>
      </c>
      <c r="Q83" s="169"/>
    </row>
    <row r="84" spans="1:23" ht="15" customHeight="1">
      <c r="A84" s="72" t="s">
        <v>32</v>
      </c>
      <c r="B84" s="72" t="s">
        <v>21</v>
      </c>
      <c r="C84" s="72" t="s">
        <v>33</v>
      </c>
      <c r="D84" s="90"/>
      <c r="E84" s="112">
        <v>14.2</v>
      </c>
      <c r="F84" s="72" t="s">
        <v>81</v>
      </c>
      <c r="G84" s="239" t="s">
        <v>132</v>
      </c>
      <c r="H84" s="72"/>
      <c r="I84" s="72"/>
      <c r="J84" s="72" t="s">
        <v>50</v>
      </c>
      <c r="K84" s="72" t="s">
        <v>27</v>
      </c>
      <c r="L84" s="151" t="s">
        <v>28</v>
      </c>
      <c r="M84" s="259" t="s">
        <v>133</v>
      </c>
      <c r="N84" s="158" t="s">
        <v>81</v>
      </c>
      <c r="O84" s="72" t="s">
        <v>71</v>
      </c>
      <c r="P84" s="169" t="s">
        <v>31</v>
      </c>
      <c r="Q84" s="178"/>
    </row>
    <row r="85" spans="1:23" s="74" customFormat="1" ht="15" customHeight="1">
      <c r="A85" s="56" t="s">
        <v>35</v>
      </c>
      <c r="B85" s="56" t="s">
        <v>21</v>
      </c>
      <c r="C85" s="56" t="s">
        <v>36</v>
      </c>
      <c r="D85" s="89"/>
      <c r="E85" s="113">
        <v>14.3</v>
      </c>
      <c r="F85" s="56" t="s">
        <v>81</v>
      </c>
      <c r="G85" s="240" t="s">
        <v>132</v>
      </c>
      <c r="H85" s="56"/>
      <c r="I85" s="56"/>
      <c r="J85" s="56" t="s">
        <v>50</v>
      </c>
      <c r="K85" s="56" t="s">
        <v>27</v>
      </c>
      <c r="L85" s="152" t="s">
        <v>28</v>
      </c>
      <c r="M85" s="259" t="s">
        <v>133</v>
      </c>
      <c r="N85" s="159" t="s">
        <v>81</v>
      </c>
      <c r="O85" s="56" t="s">
        <v>71</v>
      </c>
      <c r="P85" s="71" t="s">
        <v>31</v>
      </c>
      <c r="Q85" s="175"/>
      <c r="R85"/>
      <c r="S85"/>
      <c r="T85"/>
      <c r="U85"/>
      <c r="V85"/>
      <c r="W85"/>
    </row>
    <row r="86" spans="1:23" ht="15" customHeight="1">
      <c r="A86" s="73" t="s">
        <v>38</v>
      </c>
      <c r="B86" s="73" t="s">
        <v>39</v>
      </c>
      <c r="C86" s="73" t="s">
        <v>40</v>
      </c>
      <c r="D86" s="73" t="s">
        <v>133</v>
      </c>
      <c r="E86" s="114">
        <v>14.4</v>
      </c>
      <c r="F86" s="73" t="s">
        <v>81</v>
      </c>
      <c r="G86" s="139" t="s">
        <v>132</v>
      </c>
      <c r="H86" s="73" t="s">
        <v>54</v>
      </c>
      <c r="I86" s="73"/>
      <c r="J86" s="73" t="s">
        <v>50</v>
      </c>
      <c r="K86" s="73" t="s">
        <v>27</v>
      </c>
      <c r="L86" s="153" t="s">
        <v>28</v>
      </c>
      <c r="M86" s="259" t="str">
        <f>VLOOKUP(D86,[3]Actions!$J$2:$J$89, 1, FALSE)</f>
        <v>date_last_reopened</v>
      </c>
      <c r="N86" s="160" t="str">
        <f>F86</f>
        <v>string (dd/mm/yyyy hh:mm:ss)</v>
      </c>
      <c r="O86" s="73" t="s">
        <v>71</v>
      </c>
      <c r="P86" s="179" t="s">
        <v>57</v>
      </c>
      <c r="Q86" s="183"/>
    </row>
    <row r="87" spans="1:23" ht="15" customHeight="1">
      <c r="A87" s="106" t="s">
        <v>42</v>
      </c>
      <c r="B87" s="105" t="s">
        <v>43</v>
      </c>
      <c r="C87" s="105" t="s">
        <v>44</v>
      </c>
      <c r="D87" s="103"/>
      <c r="E87" s="115">
        <v>14.5</v>
      </c>
      <c r="F87" s="161" t="s">
        <v>81</v>
      </c>
      <c r="G87" s="118" t="s">
        <v>132</v>
      </c>
      <c r="H87" s="106"/>
      <c r="I87" s="106"/>
      <c r="J87" s="105" t="s">
        <v>50</v>
      </c>
      <c r="K87" s="106" t="s">
        <v>27</v>
      </c>
      <c r="L87" s="155" t="s">
        <v>28</v>
      </c>
      <c r="M87" s="259" t="s">
        <v>133</v>
      </c>
      <c r="N87" s="161" t="s">
        <v>81</v>
      </c>
      <c r="O87" s="106" t="s">
        <v>62</v>
      </c>
      <c r="P87" s="71" t="s">
        <v>31</v>
      </c>
      <c r="Q87" s="189"/>
    </row>
    <row r="88" spans="1:23" ht="15" customHeight="1">
      <c r="A88" s="71" t="s">
        <v>20</v>
      </c>
      <c r="B88" s="71" t="s">
        <v>21</v>
      </c>
      <c r="C88" s="71" t="s">
        <v>22</v>
      </c>
      <c r="D88" s="88"/>
      <c r="E88" s="111">
        <v>15.1</v>
      </c>
      <c r="F88" s="71" t="s">
        <v>24</v>
      </c>
      <c r="G88" s="238" t="s">
        <v>134</v>
      </c>
      <c r="H88" s="71"/>
      <c r="I88" s="71"/>
      <c r="J88" s="71" t="s">
        <v>50</v>
      </c>
      <c r="K88" s="71" t="s">
        <v>27</v>
      </c>
      <c r="L88" s="150" t="s">
        <v>28</v>
      </c>
      <c r="M88" s="259" t="s">
        <v>135</v>
      </c>
      <c r="N88" s="157" t="s">
        <v>24</v>
      </c>
      <c r="O88" s="71" t="s">
        <v>71</v>
      </c>
      <c r="P88" s="71" t="s">
        <v>31</v>
      </c>
      <c r="Q88" s="169"/>
    </row>
    <row r="89" spans="1:23" ht="15" customHeight="1">
      <c r="A89" s="72" t="s">
        <v>32</v>
      </c>
      <c r="B89" s="72" t="s">
        <v>21</v>
      </c>
      <c r="C89" s="72" t="s">
        <v>33</v>
      </c>
      <c r="D89" s="90"/>
      <c r="E89" s="112">
        <v>15.2</v>
      </c>
      <c r="F89" s="72" t="s">
        <v>24</v>
      </c>
      <c r="G89" s="239" t="s">
        <v>134</v>
      </c>
      <c r="H89" s="72"/>
      <c r="I89" s="72"/>
      <c r="J89" s="72" t="s">
        <v>50</v>
      </c>
      <c r="K89" s="72" t="s">
        <v>27</v>
      </c>
      <c r="L89" s="151" t="s">
        <v>28</v>
      </c>
      <c r="M89" s="259" t="s">
        <v>135</v>
      </c>
      <c r="N89" s="158" t="s">
        <v>24</v>
      </c>
      <c r="O89" s="72" t="s">
        <v>71</v>
      </c>
      <c r="P89" s="169" t="s">
        <v>31</v>
      </c>
      <c r="Q89" s="178"/>
    </row>
    <row r="90" spans="1:23" s="74" customFormat="1" ht="15" customHeight="1">
      <c r="A90" s="56" t="s">
        <v>35</v>
      </c>
      <c r="B90" s="56" t="s">
        <v>21</v>
      </c>
      <c r="C90" s="56" t="s">
        <v>36</v>
      </c>
      <c r="D90" s="89"/>
      <c r="E90" s="113">
        <v>15.3</v>
      </c>
      <c r="F90" s="56" t="s">
        <v>24</v>
      </c>
      <c r="G90" s="240" t="s">
        <v>134</v>
      </c>
      <c r="H90" s="56"/>
      <c r="I90" s="56"/>
      <c r="J90" s="56" t="s">
        <v>50</v>
      </c>
      <c r="K90" s="56" t="s">
        <v>27</v>
      </c>
      <c r="L90" s="152" t="s">
        <v>28</v>
      </c>
      <c r="M90" s="259" t="s">
        <v>135</v>
      </c>
      <c r="N90" s="159" t="s">
        <v>24</v>
      </c>
      <c r="O90" s="56" t="s">
        <v>71</v>
      </c>
      <c r="P90" s="71" t="s">
        <v>31</v>
      </c>
      <c r="Q90" s="56"/>
      <c r="R90"/>
      <c r="S90"/>
      <c r="T90"/>
      <c r="U90"/>
      <c r="V90"/>
      <c r="W90"/>
    </row>
    <row r="91" spans="1:23" ht="15" customHeight="1">
      <c r="A91" s="73" t="s">
        <v>38</v>
      </c>
      <c r="B91" s="73" t="s">
        <v>39</v>
      </c>
      <c r="C91" s="73" t="s">
        <v>40</v>
      </c>
      <c r="D91" s="73" t="s">
        <v>135</v>
      </c>
      <c r="E91" s="114">
        <v>15.4</v>
      </c>
      <c r="F91" s="73" t="s">
        <v>24</v>
      </c>
      <c r="G91" s="139" t="s">
        <v>136</v>
      </c>
      <c r="H91" s="73" t="s">
        <v>54</v>
      </c>
      <c r="I91" s="73"/>
      <c r="J91" s="73" t="s">
        <v>50</v>
      </c>
      <c r="K91" s="73" t="s">
        <v>27</v>
      </c>
      <c r="L91" s="153" t="s">
        <v>28</v>
      </c>
      <c r="M91" s="259" t="str">
        <f>VLOOKUP(D91,[3]Actions!$J$2:$J$89, 1, FALSE)</f>
        <v>reason_reopened</v>
      </c>
      <c r="N91" s="160" t="str">
        <f>F91</f>
        <v>string</v>
      </c>
      <c r="O91" s="73" t="s">
        <v>71</v>
      </c>
      <c r="P91" s="179" t="s">
        <v>57</v>
      </c>
      <c r="Q91" s="183"/>
    </row>
    <row r="92" spans="1:23" s="74" customFormat="1" ht="15" customHeight="1">
      <c r="A92" s="106" t="s">
        <v>42</v>
      </c>
      <c r="B92" s="105" t="s">
        <v>43</v>
      </c>
      <c r="C92" s="105" t="s">
        <v>44</v>
      </c>
      <c r="D92" s="103"/>
      <c r="E92" s="115">
        <v>15.5</v>
      </c>
      <c r="F92" s="105" t="s">
        <v>24</v>
      </c>
      <c r="G92" s="118" t="s">
        <v>136</v>
      </c>
      <c r="H92" s="106"/>
      <c r="I92" s="106"/>
      <c r="J92" s="105" t="s">
        <v>50</v>
      </c>
      <c r="K92" s="106" t="s">
        <v>27</v>
      </c>
      <c r="L92" s="155" t="s">
        <v>28</v>
      </c>
      <c r="M92" s="259" t="s">
        <v>135</v>
      </c>
      <c r="N92" s="161" t="s">
        <v>24</v>
      </c>
      <c r="O92" s="106" t="s">
        <v>62</v>
      </c>
      <c r="P92" s="71" t="s">
        <v>31</v>
      </c>
      <c r="Q92" s="188"/>
      <c r="R92"/>
      <c r="S92"/>
      <c r="T92"/>
      <c r="U92"/>
      <c r="V92"/>
      <c r="W92"/>
    </row>
    <row r="93" spans="1:23" ht="15" customHeight="1">
      <c r="A93" s="71" t="s">
        <v>20</v>
      </c>
      <c r="B93" s="71" t="s">
        <v>21</v>
      </c>
      <c r="C93" s="71" t="s">
        <v>22</v>
      </c>
      <c r="D93" s="88"/>
      <c r="E93" s="111">
        <v>18.100000000000001</v>
      </c>
      <c r="F93" s="71" t="s">
        <v>24</v>
      </c>
      <c r="G93" s="238" t="s">
        <v>137</v>
      </c>
      <c r="H93" s="71"/>
      <c r="I93" s="71"/>
      <c r="J93" s="71" t="s">
        <v>50</v>
      </c>
      <c r="K93" s="71" t="s">
        <v>27</v>
      </c>
      <c r="L93" s="150" t="s">
        <v>28</v>
      </c>
      <c r="M93" s="259" t="s">
        <v>138</v>
      </c>
      <c r="N93" s="157" t="s">
        <v>24</v>
      </c>
      <c r="O93" s="71" t="s">
        <v>71</v>
      </c>
      <c r="P93" s="71" t="s">
        <v>31</v>
      </c>
      <c r="Q93" s="169"/>
    </row>
    <row r="94" spans="1:23" ht="15" customHeight="1">
      <c r="A94" s="72" t="s">
        <v>32</v>
      </c>
      <c r="B94" s="72" t="s">
        <v>21</v>
      </c>
      <c r="C94" s="72" t="s">
        <v>33</v>
      </c>
      <c r="D94" s="90"/>
      <c r="E94" s="112">
        <v>18.2</v>
      </c>
      <c r="F94" s="72" t="s">
        <v>24</v>
      </c>
      <c r="G94" s="239" t="s">
        <v>134</v>
      </c>
      <c r="H94" s="72"/>
      <c r="I94" s="72"/>
      <c r="J94" s="72" t="s">
        <v>50</v>
      </c>
      <c r="K94" s="72" t="s">
        <v>27</v>
      </c>
      <c r="L94" s="151" t="s">
        <v>28</v>
      </c>
      <c r="M94" s="259" t="s">
        <v>138</v>
      </c>
      <c r="N94" s="158" t="s">
        <v>24</v>
      </c>
      <c r="O94" s="72" t="s">
        <v>71</v>
      </c>
      <c r="P94" s="169" t="s">
        <v>31</v>
      </c>
      <c r="Q94" s="178"/>
    </row>
    <row r="95" spans="1:23" ht="15" customHeight="1">
      <c r="A95" s="56" t="s">
        <v>35</v>
      </c>
      <c r="B95" s="56" t="s">
        <v>21</v>
      </c>
      <c r="C95" s="56" t="s">
        <v>36</v>
      </c>
      <c r="D95" s="89"/>
      <c r="E95" s="113">
        <v>18.3</v>
      </c>
      <c r="F95" s="56" t="s">
        <v>24</v>
      </c>
      <c r="G95" s="240" t="s">
        <v>134</v>
      </c>
      <c r="H95" s="56"/>
      <c r="I95" s="56"/>
      <c r="J95" s="56" t="s">
        <v>50</v>
      </c>
      <c r="K95" s="56" t="s">
        <v>27</v>
      </c>
      <c r="L95" s="152" t="s">
        <v>28</v>
      </c>
      <c r="M95" s="259" t="s">
        <v>138</v>
      </c>
      <c r="N95" s="159" t="s">
        <v>24</v>
      </c>
      <c r="O95" s="56" t="s">
        <v>71</v>
      </c>
      <c r="P95" s="71" t="s">
        <v>31</v>
      </c>
      <c r="Q95" s="56"/>
    </row>
    <row r="96" spans="1:23" ht="15" customHeight="1">
      <c r="A96" s="73" t="s">
        <v>38</v>
      </c>
      <c r="B96" s="73" t="s">
        <v>39</v>
      </c>
      <c r="C96" s="73" t="s">
        <v>40</v>
      </c>
      <c r="D96" s="73" t="s">
        <v>138</v>
      </c>
      <c r="E96" s="114">
        <v>18.399999999999999</v>
      </c>
      <c r="F96" s="73" t="s">
        <v>24</v>
      </c>
      <c r="G96" s="139" t="s">
        <v>134</v>
      </c>
      <c r="H96" s="73" t="s">
        <v>54</v>
      </c>
      <c r="I96" s="73"/>
      <c r="J96" s="73" t="s">
        <v>50</v>
      </c>
      <c r="K96" s="73" t="s">
        <v>27</v>
      </c>
      <c r="L96" s="153" t="s">
        <v>28</v>
      </c>
      <c r="M96" s="259" t="str">
        <f>VLOOKUP(D96,[3]Actions!$J$2:$J$89, 1, FALSE)</f>
        <v>action_overdue</v>
      </c>
      <c r="N96" s="160" t="str">
        <f>F96</f>
        <v>string</v>
      </c>
      <c r="O96" s="73" t="s">
        <v>71</v>
      </c>
      <c r="P96" s="179" t="s">
        <v>57</v>
      </c>
      <c r="Q96" s="183"/>
    </row>
    <row r="97" spans="1:23" ht="15" customHeight="1">
      <c r="A97" s="106" t="s">
        <v>42</v>
      </c>
      <c r="B97" s="105" t="s">
        <v>43</v>
      </c>
      <c r="C97" s="105" t="s">
        <v>44</v>
      </c>
      <c r="D97" s="103"/>
      <c r="E97" s="115">
        <v>18.5</v>
      </c>
      <c r="F97" s="105" t="s">
        <v>24</v>
      </c>
      <c r="G97" s="118" t="s">
        <v>134</v>
      </c>
      <c r="H97" s="106"/>
      <c r="I97" s="106"/>
      <c r="J97" s="105" t="s">
        <v>50</v>
      </c>
      <c r="K97" s="106" t="s">
        <v>27</v>
      </c>
      <c r="L97" s="155" t="s">
        <v>28</v>
      </c>
      <c r="M97" s="259" t="s">
        <v>138</v>
      </c>
      <c r="N97" s="161" t="s">
        <v>24</v>
      </c>
      <c r="O97" s="106" t="s">
        <v>62</v>
      </c>
      <c r="P97" s="71" t="s">
        <v>31</v>
      </c>
      <c r="Q97" s="189"/>
    </row>
    <row r="98" spans="1:23" ht="15" customHeight="1">
      <c r="A98" s="71" t="s">
        <v>20</v>
      </c>
      <c r="B98" s="71" t="s">
        <v>21</v>
      </c>
      <c r="C98" s="71" t="s">
        <v>22</v>
      </c>
      <c r="D98" s="71" t="s">
        <v>139</v>
      </c>
      <c r="E98" s="111">
        <v>19.100000000000001</v>
      </c>
      <c r="F98" s="71" t="s">
        <v>24</v>
      </c>
      <c r="G98" s="238" t="s">
        <v>140</v>
      </c>
      <c r="H98" s="71"/>
      <c r="I98" s="71"/>
      <c r="J98" s="71" t="s">
        <v>50</v>
      </c>
      <c r="K98" s="71" t="s">
        <v>27</v>
      </c>
      <c r="L98" s="150" t="s">
        <v>28</v>
      </c>
      <c r="M98" s="259" t="s">
        <v>141</v>
      </c>
      <c r="N98" s="157" t="s">
        <v>67</v>
      </c>
      <c r="O98" s="71" t="s">
        <v>30</v>
      </c>
      <c r="P98" s="71" t="str">
        <f>IF(J98="Direct pull", "Yes", "No")</f>
        <v>Yes</v>
      </c>
      <c r="Q98" s="170"/>
    </row>
    <row r="99" spans="1:23" ht="15" customHeight="1">
      <c r="A99" s="72" t="s">
        <v>32</v>
      </c>
      <c r="B99" s="72" t="s">
        <v>21</v>
      </c>
      <c r="C99" s="72" t="s">
        <v>33</v>
      </c>
      <c r="D99" s="72" t="s">
        <v>142</v>
      </c>
      <c r="E99" s="112">
        <v>19.2</v>
      </c>
      <c r="F99" s="72" t="s">
        <v>24</v>
      </c>
      <c r="G99" s="239" t="s">
        <v>143</v>
      </c>
      <c r="H99" s="72" t="s">
        <v>54</v>
      </c>
      <c r="I99" s="72"/>
      <c r="J99" s="72" t="s">
        <v>50</v>
      </c>
      <c r="K99" s="72" t="s">
        <v>27</v>
      </c>
      <c r="L99" s="151" t="s">
        <v>28</v>
      </c>
      <c r="M99" s="259" t="s">
        <v>139</v>
      </c>
      <c r="N99" s="158" t="s">
        <v>67</v>
      </c>
      <c r="O99" s="72" t="s">
        <v>30</v>
      </c>
      <c r="P99" s="176" t="str">
        <f>IFERROR(IF(VLOOKUP(D99,'[1]UAT DB Attributes'!$A:$A,1,FALSE)=D99,"Yes","No"),"No")</f>
        <v>Yes</v>
      </c>
      <c r="Q99" s="178"/>
    </row>
    <row r="100" spans="1:23" s="74" customFormat="1" ht="15" customHeight="1">
      <c r="A100" s="56" t="s">
        <v>35</v>
      </c>
      <c r="B100" s="56" t="s">
        <v>21</v>
      </c>
      <c r="C100" s="56" t="s">
        <v>36</v>
      </c>
      <c r="D100" s="56" t="s">
        <v>139</v>
      </c>
      <c r="E100" s="113">
        <v>19.3</v>
      </c>
      <c r="F100" s="56" t="s">
        <v>24</v>
      </c>
      <c r="G100" s="240" t="s">
        <v>140</v>
      </c>
      <c r="H100" s="56"/>
      <c r="I100" s="56"/>
      <c r="J100" s="56" t="s">
        <v>50</v>
      </c>
      <c r="K100" s="56" t="s">
        <v>27</v>
      </c>
      <c r="L100" s="152" t="s">
        <v>28</v>
      </c>
      <c r="M100" s="259" t="s">
        <v>139</v>
      </c>
      <c r="N100" s="159" t="s">
        <v>67</v>
      </c>
      <c r="O100" s="56" t="s">
        <v>30</v>
      </c>
      <c r="P100" s="56" t="s">
        <v>57</v>
      </c>
      <c r="Q100" s="56"/>
      <c r="R100"/>
      <c r="S100"/>
      <c r="T100"/>
      <c r="U100"/>
      <c r="V100"/>
      <c r="W100"/>
    </row>
    <row r="101" spans="1:23" ht="15" customHeight="1">
      <c r="A101" s="73" t="s">
        <v>38</v>
      </c>
      <c r="B101" s="73" t="s">
        <v>39</v>
      </c>
      <c r="C101" s="73" t="s">
        <v>40</v>
      </c>
      <c r="D101" s="73" t="s">
        <v>144</v>
      </c>
      <c r="E101" s="114">
        <v>19.399999999999999</v>
      </c>
      <c r="F101" s="73" t="s">
        <v>24</v>
      </c>
      <c r="G101" s="139" t="s">
        <v>145</v>
      </c>
      <c r="H101" s="73" t="s">
        <v>54</v>
      </c>
      <c r="I101" s="73"/>
      <c r="J101" s="73" t="s">
        <v>50</v>
      </c>
      <c r="K101" s="73" t="s">
        <v>27</v>
      </c>
      <c r="L101" s="153" t="s">
        <v>28</v>
      </c>
      <c r="M101" s="259" t="s">
        <v>141</v>
      </c>
      <c r="N101" s="160" t="str">
        <f>F101</f>
        <v>string</v>
      </c>
      <c r="O101" s="73" t="s">
        <v>71</v>
      </c>
      <c r="P101" s="179" t="s">
        <v>57</v>
      </c>
      <c r="Q101" s="183"/>
    </row>
    <row r="102" spans="1:23" ht="15" customHeight="1">
      <c r="A102" s="106" t="s">
        <v>42</v>
      </c>
      <c r="B102" s="105" t="s">
        <v>43</v>
      </c>
      <c r="C102" s="105" t="s">
        <v>44</v>
      </c>
      <c r="D102" s="105" t="s">
        <v>146</v>
      </c>
      <c r="E102" s="109">
        <v>19.5</v>
      </c>
      <c r="F102" s="105" t="s">
        <v>24</v>
      </c>
      <c r="G102" s="118" t="s">
        <v>145</v>
      </c>
      <c r="H102" s="106"/>
      <c r="I102" s="106"/>
      <c r="J102" s="105" t="s">
        <v>50</v>
      </c>
      <c r="K102" s="106" t="s">
        <v>27</v>
      </c>
      <c r="L102" s="155" t="s">
        <v>28</v>
      </c>
      <c r="M102" s="259" t="s">
        <v>141</v>
      </c>
      <c r="N102" s="161" t="s">
        <v>24</v>
      </c>
      <c r="O102" s="106" t="s">
        <v>62</v>
      </c>
      <c r="P102" s="80" t="s">
        <v>57</v>
      </c>
      <c r="Q102" s="189"/>
    </row>
    <row r="103" spans="1:23" ht="15" customHeight="1">
      <c r="A103" s="71" t="s">
        <v>20</v>
      </c>
      <c r="B103" s="71" t="s">
        <v>21</v>
      </c>
      <c r="C103" s="71" t="s">
        <v>22</v>
      </c>
      <c r="D103" s="88"/>
      <c r="E103" s="111">
        <v>20.100000000000001</v>
      </c>
      <c r="F103" s="71" t="s">
        <v>24</v>
      </c>
      <c r="G103" s="238" t="s">
        <v>147</v>
      </c>
      <c r="H103" s="71"/>
      <c r="I103" s="71"/>
      <c r="J103" s="71" t="s">
        <v>50</v>
      </c>
      <c r="K103" s="71" t="s">
        <v>27</v>
      </c>
      <c r="L103" s="150" t="s">
        <v>28</v>
      </c>
      <c r="M103" s="259" t="s">
        <v>148</v>
      </c>
      <c r="N103" s="157" t="s">
        <v>24</v>
      </c>
      <c r="O103" s="71" t="s">
        <v>71</v>
      </c>
      <c r="P103" s="73" t="s">
        <v>31</v>
      </c>
      <c r="Q103" s="169"/>
    </row>
    <row r="104" spans="1:23" ht="15" customHeight="1">
      <c r="A104" s="72" t="s">
        <v>32</v>
      </c>
      <c r="B104" s="72" t="s">
        <v>21</v>
      </c>
      <c r="C104" s="72" t="s">
        <v>33</v>
      </c>
      <c r="D104" s="90"/>
      <c r="E104" s="112">
        <v>20.2</v>
      </c>
      <c r="F104" s="72" t="s">
        <v>24</v>
      </c>
      <c r="G104" s="239" t="s">
        <v>147</v>
      </c>
      <c r="H104" s="72"/>
      <c r="I104" s="72"/>
      <c r="J104" s="72" t="s">
        <v>50</v>
      </c>
      <c r="K104" s="72" t="s">
        <v>27</v>
      </c>
      <c r="L104" s="151" t="s">
        <v>28</v>
      </c>
      <c r="M104" s="259" t="s">
        <v>148</v>
      </c>
      <c r="N104" s="158" t="s">
        <v>24</v>
      </c>
      <c r="O104" s="72" t="s">
        <v>71</v>
      </c>
      <c r="P104" s="179" t="s">
        <v>31</v>
      </c>
      <c r="Q104" s="253"/>
    </row>
    <row r="105" spans="1:23" ht="15" customHeight="1">
      <c r="A105" s="56" t="s">
        <v>35</v>
      </c>
      <c r="B105" s="56" t="s">
        <v>21</v>
      </c>
      <c r="C105" s="56" t="s">
        <v>36</v>
      </c>
      <c r="D105" s="89"/>
      <c r="E105" s="113">
        <v>20.3</v>
      </c>
      <c r="F105" s="56" t="s">
        <v>24</v>
      </c>
      <c r="G105" s="240" t="s">
        <v>147</v>
      </c>
      <c r="H105" s="56"/>
      <c r="I105" s="56"/>
      <c r="J105" s="56" t="s">
        <v>50</v>
      </c>
      <c r="K105" s="56" t="s">
        <v>27</v>
      </c>
      <c r="L105" s="152" t="s">
        <v>28</v>
      </c>
      <c r="M105" s="259" t="s">
        <v>148</v>
      </c>
      <c r="N105" s="159" t="s">
        <v>24</v>
      </c>
      <c r="O105" s="56" t="s">
        <v>71</v>
      </c>
      <c r="P105" s="73" t="s">
        <v>31</v>
      </c>
      <c r="Q105" s="255"/>
    </row>
    <row r="106" spans="1:23" ht="15" customHeight="1">
      <c r="A106" s="73" t="s">
        <v>38</v>
      </c>
      <c r="B106" s="73" t="s">
        <v>39</v>
      </c>
      <c r="C106" s="73" t="s">
        <v>40</v>
      </c>
      <c r="D106" s="73" t="s">
        <v>148</v>
      </c>
      <c r="E106" s="114">
        <v>20.399999999999999</v>
      </c>
      <c r="F106" s="73" t="s">
        <v>24</v>
      </c>
      <c r="G106" s="139" t="s">
        <v>147</v>
      </c>
      <c r="H106" s="73" t="s">
        <v>54</v>
      </c>
      <c r="I106" s="73"/>
      <c r="J106" s="73" t="s">
        <v>50</v>
      </c>
      <c r="K106" s="73" t="s">
        <v>27</v>
      </c>
      <c r="L106" s="153" t="s">
        <v>28</v>
      </c>
      <c r="M106" s="259" t="str">
        <f>VLOOKUP(D106,[3]Actions!$J$2:$J$89, 1, FALSE)</f>
        <v>action_owner_name</v>
      </c>
      <c r="N106" s="160" t="str">
        <f>F106</f>
        <v>string</v>
      </c>
      <c r="O106" s="73" t="s">
        <v>71</v>
      </c>
      <c r="P106" s="179" t="s">
        <v>57</v>
      </c>
      <c r="Q106" s="183"/>
    </row>
    <row r="107" spans="1:23" ht="15" customHeight="1">
      <c r="A107" s="106" t="s">
        <v>42</v>
      </c>
      <c r="B107" s="105" t="s">
        <v>43</v>
      </c>
      <c r="C107" s="105" t="s">
        <v>44</v>
      </c>
      <c r="D107" s="105" t="s">
        <v>149</v>
      </c>
      <c r="E107" s="109">
        <v>20.5</v>
      </c>
      <c r="F107" s="105" t="s">
        <v>24</v>
      </c>
      <c r="G107" s="118" t="s">
        <v>150</v>
      </c>
      <c r="H107" s="106"/>
      <c r="I107" s="106"/>
      <c r="J107" s="105" t="s">
        <v>50</v>
      </c>
      <c r="K107" s="106" t="s">
        <v>27</v>
      </c>
      <c r="L107" s="155" t="s">
        <v>28</v>
      </c>
      <c r="M107" s="259" t="s">
        <v>148</v>
      </c>
      <c r="N107" s="161" t="s">
        <v>24</v>
      </c>
      <c r="O107" s="106" t="s">
        <v>62</v>
      </c>
      <c r="P107" s="80" t="s">
        <v>57</v>
      </c>
      <c r="Q107" s="189"/>
    </row>
    <row r="108" spans="1:23" ht="15" customHeight="1">
      <c r="A108" s="71" t="s">
        <v>20</v>
      </c>
      <c r="B108" s="71" t="s">
        <v>21</v>
      </c>
      <c r="C108" s="71" t="s">
        <v>22</v>
      </c>
      <c r="D108" s="88"/>
      <c r="E108" s="111">
        <v>21.1</v>
      </c>
      <c r="F108" s="71" t="s">
        <v>24</v>
      </c>
      <c r="G108" s="238" t="s">
        <v>151</v>
      </c>
      <c r="H108" s="71"/>
      <c r="I108" s="71"/>
      <c r="J108" s="71" t="s">
        <v>50</v>
      </c>
      <c r="K108" s="71" t="s">
        <v>27</v>
      </c>
      <c r="L108" s="150" t="s">
        <v>28</v>
      </c>
      <c r="M108" s="259" t="s">
        <v>152</v>
      </c>
      <c r="N108" s="157" t="s">
        <v>24</v>
      </c>
      <c r="O108" s="71" t="s">
        <v>71</v>
      </c>
      <c r="P108" s="72" t="s">
        <v>31</v>
      </c>
      <c r="Q108" s="169"/>
    </row>
    <row r="109" spans="1:23" ht="15" customHeight="1">
      <c r="A109" s="72" t="s">
        <v>32</v>
      </c>
      <c r="B109" s="72" t="s">
        <v>21</v>
      </c>
      <c r="C109" s="72" t="s">
        <v>33</v>
      </c>
      <c r="D109" s="90"/>
      <c r="E109" s="112">
        <v>21.2</v>
      </c>
      <c r="F109" s="72" t="s">
        <v>24</v>
      </c>
      <c r="G109" s="239" t="s">
        <v>151</v>
      </c>
      <c r="H109" s="72"/>
      <c r="I109" s="72"/>
      <c r="J109" s="72" t="s">
        <v>50</v>
      </c>
      <c r="K109" s="72" t="s">
        <v>27</v>
      </c>
      <c r="L109" s="151" t="s">
        <v>28</v>
      </c>
      <c r="M109" s="259" t="s">
        <v>152</v>
      </c>
      <c r="N109" s="158" t="s">
        <v>24</v>
      </c>
      <c r="O109" s="72" t="s">
        <v>71</v>
      </c>
      <c r="P109" s="176" t="s">
        <v>31</v>
      </c>
      <c r="Q109" s="253"/>
    </row>
    <row r="110" spans="1:23" ht="15" customHeight="1">
      <c r="A110" s="56" t="s">
        <v>35</v>
      </c>
      <c r="B110" s="56" t="s">
        <v>21</v>
      </c>
      <c r="C110" s="56" t="s">
        <v>36</v>
      </c>
      <c r="D110" s="89"/>
      <c r="E110" s="113">
        <v>21.3</v>
      </c>
      <c r="F110" s="56" t="s">
        <v>24</v>
      </c>
      <c r="G110" s="240" t="s">
        <v>151</v>
      </c>
      <c r="H110" s="56"/>
      <c r="I110" s="56"/>
      <c r="J110" s="56" t="s">
        <v>50</v>
      </c>
      <c r="K110" s="56" t="s">
        <v>27</v>
      </c>
      <c r="L110" s="152" t="s">
        <v>28</v>
      </c>
      <c r="M110" s="259" t="s">
        <v>152</v>
      </c>
      <c r="N110" s="159" t="s">
        <v>24</v>
      </c>
      <c r="O110" s="56" t="s">
        <v>71</v>
      </c>
      <c r="P110" s="72" t="s">
        <v>31</v>
      </c>
      <c r="Q110" s="255"/>
    </row>
    <row r="111" spans="1:23" ht="15" customHeight="1">
      <c r="A111" s="73" t="s">
        <v>38</v>
      </c>
      <c r="B111" s="73" t="s">
        <v>39</v>
      </c>
      <c r="C111" s="73" t="s">
        <v>40</v>
      </c>
      <c r="D111" s="73" t="s">
        <v>152</v>
      </c>
      <c r="E111" s="114">
        <v>21.4</v>
      </c>
      <c r="F111" s="73" t="s">
        <v>24</v>
      </c>
      <c r="G111" s="139" t="s">
        <v>153</v>
      </c>
      <c r="H111" s="73" t="s">
        <v>54</v>
      </c>
      <c r="I111" s="73"/>
      <c r="J111" s="73" t="s">
        <v>50</v>
      </c>
      <c r="K111" s="73" t="s">
        <v>27</v>
      </c>
      <c r="L111" s="153" t="s">
        <v>28</v>
      </c>
      <c r="M111" s="259" t="str">
        <f>VLOOKUP(D111,[3]Actions!$J$2:$J$89, 1, FALSE)</f>
        <v>reopened</v>
      </c>
      <c r="N111" s="160" t="str">
        <f>F111</f>
        <v>string</v>
      </c>
      <c r="O111" s="73" t="s">
        <v>71</v>
      </c>
      <c r="P111" s="179" t="s">
        <v>57</v>
      </c>
      <c r="Q111" s="183"/>
    </row>
    <row r="112" spans="1:23" ht="15" customHeight="1">
      <c r="A112" s="106" t="s">
        <v>42</v>
      </c>
      <c r="B112" s="105" t="s">
        <v>43</v>
      </c>
      <c r="C112" s="105" t="s">
        <v>44</v>
      </c>
      <c r="D112" s="103"/>
      <c r="E112" s="115">
        <v>21.5</v>
      </c>
      <c r="F112" s="105" t="s">
        <v>24</v>
      </c>
      <c r="G112" s="118" t="s">
        <v>151</v>
      </c>
      <c r="H112" s="106"/>
      <c r="I112" s="106"/>
      <c r="J112" s="105" t="s">
        <v>50</v>
      </c>
      <c r="K112" s="106" t="s">
        <v>27</v>
      </c>
      <c r="L112" s="155" t="s">
        <v>28</v>
      </c>
      <c r="M112" s="259" t="s">
        <v>152</v>
      </c>
      <c r="N112" s="161" t="s">
        <v>24</v>
      </c>
      <c r="O112" s="106" t="s">
        <v>62</v>
      </c>
      <c r="P112" s="71" t="s">
        <v>31</v>
      </c>
      <c r="Q112" s="189"/>
    </row>
    <row r="113" spans="1:23" ht="15" customHeight="1">
      <c r="A113" s="71" t="s">
        <v>20</v>
      </c>
      <c r="B113" s="71" t="s">
        <v>21</v>
      </c>
      <c r="C113" s="71" t="s">
        <v>22</v>
      </c>
      <c r="D113" s="88"/>
      <c r="E113" s="111">
        <v>22.1</v>
      </c>
      <c r="F113" s="71" t="s">
        <v>67</v>
      </c>
      <c r="G113" s="238" t="s">
        <v>154</v>
      </c>
      <c r="H113" s="71"/>
      <c r="I113" s="71"/>
      <c r="J113" s="71" t="s">
        <v>50</v>
      </c>
      <c r="K113" s="71" t="s">
        <v>27</v>
      </c>
      <c r="L113" s="150" t="s">
        <v>28</v>
      </c>
      <c r="M113" s="259" t="s">
        <v>155</v>
      </c>
      <c r="N113" s="157" t="s">
        <v>67</v>
      </c>
      <c r="O113" s="71" t="s">
        <v>71</v>
      </c>
      <c r="P113" s="72" t="s">
        <v>31</v>
      </c>
      <c r="Q113" s="169"/>
    </row>
    <row r="114" spans="1:23" ht="15" customHeight="1">
      <c r="A114" s="72" t="s">
        <v>32</v>
      </c>
      <c r="B114" s="72" t="s">
        <v>21</v>
      </c>
      <c r="C114" s="72" t="s">
        <v>33</v>
      </c>
      <c r="D114" s="90"/>
      <c r="E114" s="112">
        <v>22.2</v>
      </c>
      <c r="F114" s="72" t="s">
        <v>24</v>
      </c>
      <c r="G114" s="239" t="s">
        <v>154</v>
      </c>
      <c r="H114" s="72"/>
      <c r="I114" s="72"/>
      <c r="J114" s="72" t="s">
        <v>50</v>
      </c>
      <c r="K114" s="72" t="s">
        <v>27</v>
      </c>
      <c r="L114" s="151" t="s">
        <v>28</v>
      </c>
      <c r="M114" s="259" t="s">
        <v>155</v>
      </c>
      <c r="N114" s="158" t="s">
        <v>67</v>
      </c>
      <c r="O114" s="72" t="s">
        <v>71</v>
      </c>
      <c r="P114" s="176" t="s">
        <v>31</v>
      </c>
      <c r="Q114" s="177"/>
    </row>
    <row r="115" spans="1:23" ht="15" customHeight="1">
      <c r="A115" s="56" t="s">
        <v>35</v>
      </c>
      <c r="B115" s="56" t="s">
        <v>21</v>
      </c>
      <c r="C115" s="56" t="s">
        <v>36</v>
      </c>
      <c r="D115" s="89"/>
      <c r="E115" s="113">
        <v>22.3</v>
      </c>
      <c r="F115" s="56" t="s">
        <v>67</v>
      </c>
      <c r="G115" s="240" t="s">
        <v>154</v>
      </c>
      <c r="H115" s="56"/>
      <c r="I115" s="56"/>
      <c r="J115" s="56" t="s">
        <v>50</v>
      </c>
      <c r="K115" s="56" t="s">
        <v>27</v>
      </c>
      <c r="L115" s="152" t="s">
        <v>28</v>
      </c>
      <c r="M115" s="259" t="s">
        <v>155</v>
      </c>
      <c r="N115" s="159" t="s">
        <v>67</v>
      </c>
      <c r="O115" s="56" t="s">
        <v>71</v>
      </c>
      <c r="P115" s="72" t="s">
        <v>31</v>
      </c>
      <c r="Q115" s="56"/>
    </row>
    <row r="116" spans="1:23" ht="15" customHeight="1">
      <c r="A116" s="73" t="s">
        <v>38</v>
      </c>
      <c r="B116" s="73" t="s">
        <v>39</v>
      </c>
      <c r="C116" s="73" t="s">
        <v>40</v>
      </c>
      <c r="D116" s="73" t="s">
        <v>155</v>
      </c>
      <c r="E116" s="114">
        <v>22.4</v>
      </c>
      <c r="F116" s="73" t="s">
        <v>67</v>
      </c>
      <c r="G116" s="139" t="s">
        <v>154</v>
      </c>
      <c r="H116" s="73" t="s">
        <v>54</v>
      </c>
      <c r="I116" s="73"/>
      <c r="J116" s="73" t="s">
        <v>50</v>
      </c>
      <c r="K116" s="73" t="s">
        <v>27</v>
      </c>
      <c r="L116" s="153" t="s">
        <v>28</v>
      </c>
      <c r="M116" s="259" t="str">
        <f>VLOOKUP(D116,[3]Actions!$J$2:$J$89, 1, FALSE)</f>
        <v>request_due_date_extension</v>
      </c>
      <c r="N116" s="160" t="str">
        <f>F116</f>
        <v xml:space="preserve">string </v>
      </c>
      <c r="O116" s="73" t="s">
        <v>71</v>
      </c>
      <c r="P116" s="179" t="s">
        <v>57</v>
      </c>
      <c r="Q116" s="183"/>
    </row>
    <row r="117" spans="1:23" s="74" customFormat="1" ht="15" customHeight="1">
      <c r="A117" s="106" t="s">
        <v>42</v>
      </c>
      <c r="B117" s="105" t="s">
        <v>43</v>
      </c>
      <c r="C117" s="105" t="s">
        <v>44</v>
      </c>
      <c r="D117" s="103"/>
      <c r="E117" s="115">
        <v>22.5</v>
      </c>
      <c r="F117" s="105" t="s">
        <v>24</v>
      </c>
      <c r="G117" s="118" t="s">
        <v>154</v>
      </c>
      <c r="H117" s="106"/>
      <c r="I117" s="106"/>
      <c r="J117" s="105" t="s">
        <v>50</v>
      </c>
      <c r="K117" s="106" t="s">
        <v>27</v>
      </c>
      <c r="L117" s="155" t="s">
        <v>28</v>
      </c>
      <c r="M117" s="259" t="s">
        <v>155</v>
      </c>
      <c r="N117" s="161" t="s">
        <v>24</v>
      </c>
      <c r="O117" s="106" t="s">
        <v>62</v>
      </c>
      <c r="P117" s="72" t="s">
        <v>31</v>
      </c>
      <c r="Q117" s="189"/>
      <c r="R117"/>
      <c r="S117"/>
      <c r="T117"/>
      <c r="U117"/>
      <c r="V117"/>
      <c r="W117"/>
    </row>
    <row r="118" spans="1:23" ht="15" customHeight="1">
      <c r="A118" s="71" t="s">
        <v>20</v>
      </c>
      <c r="B118" s="71" t="s">
        <v>21</v>
      </c>
      <c r="C118" s="71" t="s">
        <v>22</v>
      </c>
      <c r="D118" s="88"/>
      <c r="E118" s="111">
        <v>23.1</v>
      </c>
      <c r="F118" s="71" t="s">
        <v>24</v>
      </c>
      <c r="G118" s="238" t="s">
        <v>151</v>
      </c>
      <c r="H118" s="71"/>
      <c r="I118" s="71"/>
      <c r="J118" s="71" t="s">
        <v>50</v>
      </c>
      <c r="K118" s="71" t="s">
        <v>27</v>
      </c>
      <c r="L118" s="150" t="s">
        <v>28</v>
      </c>
      <c r="M118" s="259" t="s">
        <v>156</v>
      </c>
      <c r="N118" s="157" t="s">
        <v>24</v>
      </c>
      <c r="O118" s="71" t="s">
        <v>71</v>
      </c>
      <c r="P118" s="72" t="s">
        <v>31</v>
      </c>
      <c r="Q118" s="169"/>
    </row>
    <row r="119" spans="1:23" ht="15" customHeight="1">
      <c r="A119" s="72" t="s">
        <v>32</v>
      </c>
      <c r="B119" s="72" t="s">
        <v>21</v>
      </c>
      <c r="C119" s="72" t="s">
        <v>33</v>
      </c>
      <c r="D119" s="90"/>
      <c r="E119" s="112">
        <v>23.2</v>
      </c>
      <c r="F119" s="72" t="s">
        <v>24</v>
      </c>
      <c r="G119" s="239" t="s">
        <v>151</v>
      </c>
      <c r="H119" s="72"/>
      <c r="I119" s="72"/>
      <c r="J119" s="72" t="s">
        <v>50</v>
      </c>
      <c r="K119" s="72" t="s">
        <v>27</v>
      </c>
      <c r="L119" s="151" t="s">
        <v>28</v>
      </c>
      <c r="M119" s="259" t="s">
        <v>156</v>
      </c>
      <c r="N119" s="158" t="s">
        <v>24</v>
      </c>
      <c r="O119" s="72" t="s">
        <v>71</v>
      </c>
      <c r="P119" s="176" t="s">
        <v>31</v>
      </c>
      <c r="Q119" s="178"/>
    </row>
    <row r="120" spans="1:23" ht="15" customHeight="1">
      <c r="A120" s="56" t="s">
        <v>35</v>
      </c>
      <c r="B120" s="56" t="s">
        <v>21</v>
      </c>
      <c r="C120" s="56" t="s">
        <v>36</v>
      </c>
      <c r="D120" s="89"/>
      <c r="E120" s="113">
        <v>23.3</v>
      </c>
      <c r="F120" s="56" t="s">
        <v>24</v>
      </c>
      <c r="G120" s="240" t="s">
        <v>151</v>
      </c>
      <c r="H120" s="56"/>
      <c r="I120" s="56"/>
      <c r="J120" s="56" t="s">
        <v>50</v>
      </c>
      <c r="K120" s="56" t="s">
        <v>27</v>
      </c>
      <c r="L120" s="152" t="s">
        <v>28</v>
      </c>
      <c r="M120" s="259" t="s">
        <v>156</v>
      </c>
      <c r="N120" s="159" t="s">
        <v>24</v>
      </c>
      <c r="O120" s="56" t="s">
        <v>71</v>
      </c>
      <c r="P120" s="72" t="s">
        <v>31</v>
      </c>
      <c r="Q120" s="175"/>
    </row>
    <row r="121" spans="1:23" ht="15" customHeight="1">
      <c r="A121" s="73" t="s">
        <v>38</v>
      </c>
      <c r="B121" s="73" t="s">
        <v>39</v>
      </c>
      <c r="C121" s="73" t="s">
        <v>40</v>
      </c>
      <c r="D121" s="73" t="s">
        <v>156</v>
      </c>
      <c r="E121" s="114">
        <v>23.4</v>
      </c>
      <c r="F121" s="73" t="s">
        <v>24</v>
      </c>
      <c r="G121" s="139" t="s">
        <v>151</v>
      </c>
      <c r="H121" s="73" t="s">
        <v>54</v>
      </c>
      <c r="I121" s="73"/>
      <c r="J121" s="73" t="s">
        <v>50</v>
      </c>
      <c r="K121" s="73" t="s">
        <v>27</v>
      </c>
      <c r="L121" s="153" t="s">
        <v>28</v>
      </c>
      <c r="M121" s="259" t="str">
        <f>VLOOKUP(D121,[3]Actions!$J$2:$J$89, 1, FALSE)</f>
        <v>request_reopen</v>
      </c>
      <c r="N121" s="160" t="str">
        <f>F121</f>
        <v>string</v>
      </c>
      <c r="O121" s="73" t="s">
        <v>71</v>
      </c>
      <c r="P121" s="179" t="s">
        <v>57</v>
      </c>
      <c r="Q121" s="183"/>
    </row>
    <row r="122" spans="1:23" s="74" customFormat="1" ht="15" customHeight="1">
      <c r="A122" s="106" t="s">
        <v>42</v>
      </c>
      <c r="B122" s="105" t="s">
        <v>43</v>
      </c>
      <c r="C122" s="105" t="s">
        <v>44</v>
      </c>
      <c r="D122" s="103"/>
      <c r="E122" s="115">
        <v>23.5</v>
      </c>
      <c r="F122" s="105" t="s">
        <v>24</v>
      </c>
      <c r="G122" s="118" t="s">
        <v>151</v>
      </c>
      <c r="H122" s="106"/>
      <c r="I122" s="106"/>
      <c r="J122" s="105" t="s">
        <v>50</v>
      </c>
      <c r="K122" s="106" t="s">
        <v>27</v>
      </c>
      <c r="L122" s="155" t="s">
        <v>28</v>
      </c>
      <c r="M122" s="259" t="s">
        <v>156</v>
      </c>
      <c r="N122" s="161" t="s">
        <v>24</v>
      </c>
      <c r="O122" s="106" t="s">
        <v>62</v>
      </c>
      <c r="P122" s="71" t="s">
        <v>31</v>
      </c>
      <c r="Q122" s="189"/>
      <c r="R122"/>
      <c r="S122"/>
      <c r="T122"/>
      <c r="U122"/>
      <c r="V122"/>
      <c r="W122"/>
    </row>
    <row r="123" spans="1:23" ht="15" customHeight="1">
      <c r="A123" s="71" t="s">
        <v>20</v>
      </c>
      <c r="B123" s="71" t="s">
        <v>21</v>
      </c>
      <c r="C123" s="71" t="s">
        <v>22</v>
      </c>
      <c r="D123" s="88"/>
      <c r="E123" s="111">
        <v>24.1</v>
      </c>
      <c r="F123" s="71" t="s">
        <v>81</v>
      </c>
      <c r="G123" s="238" t="s">
        <v>157</v>
      </c>
      <c r="H123" s="71"/>
      <c r="I123" s="71"/>
      <c r="J123" s="71" t="s">
        <v>50</v>
      </c>
      <c r="K123" s="71" t="s">
        <v>27</v>
      </c>
      <c r="L123" s="150" t="s">
        <v>28</v>
      </c>
      <c r="M123" s="259" t="s">
        <v>158</v>
      </c>
      <c r="N123" s="157" t="s">
        <v>81</v>
      </c>
      <c r="O123" s="71" t="s">
        <v>71</v>
      </c>
      <c r="P123" s="72" t="s">
        <v>31</v>
      </c>
      <c r="Q123" s="169"/>
    </row>
    <row r="124" spans="1:23" ht="15" customHeight="1">
      <c r="A124" s="72" t="s">
        <v>32</v>
      </c>
      <c r="B124" s="72" t="s">
        <v>21</v>
      </c>
      <c r="C124" s="72" t="s">
        <v>33</v>
      </c>
      <c r="D124" s="90"/>
      <c r="E124" s="112">
        <v>24.2</v>
      </c>
      <c r="F124" s="72" t="s">
        <v>81</v>
      </c>
      <c r="G124" s="239" t="s">
        <v>157</v>
      </c>
      <c r="H124" s="72"/>
      <c r="I124" s="72"/>
      <c r="J124" s="72" t="s">
        <v>50</v>
      </c>
      <c r="K124" s="72" t="s">
        <v>27</v>
      </c>
      <c r="L124" s="151" t="s">
        <v>28</v>
      </c>
      <c r="M124" s="259" t="s">
        <v>158</v>
      </c>
      <c r="N124" s="158" t="s">
        <v>81</v>
      </c>
      <c r="O124" s="72" t="s">
        <v>71</v>
      </c>
      <c r="P124" s="176" t="s">
        <v>31</v>
      </c>
      <c r="Q124" s="178"/>
    </row>
    <row r="125" spans="1:23" ht="15" customHeight="1">
      <c r="A125" s="56" t="s">
        <v>35</v>
      </c>
      <c r="B125" s="56" t="s">
        <v>21</v>
      </c>
      <c r="C125" s="56" t="s">
        <v>36</v>
      </c>
      <c r="D125" s="89"/>
      <c r="E125" s="113">
        <v>24.3</v>
      </c>
      <c r="F125" s="56" t="s">
        <v>81</v>
      </c>
      <c r="G125" s="240" t="s">
        <v>157</v>
      </c>
      <c r="H125" s="56"/>
      <c r="I125" s="56"/>
      <c r="J125" s="56" t="s">
        <v>50</v>
      </c>
      <c r="K125" s="56" t="s">
        <v>27</v>
      </c>
      <c r="L125" s="152" t="s">
        <v>28</v>
      </c>
      <c r="M125" s="259" t="s">
        <v>158</v>
      </c>
      <c r="N125" s="159" t="s">
        <v>81</v>
      </c>
      <c r="O125" s="56" t="s">
        <v>71</v>
      </c>
      <c r="P125" s="72" t="s">
        <v>31</v>
      </c>
      <c r="Q125" s="56"/>
    </row>
    <row r="126" spans="1:23" ht="15" customHeight="1">
      <c r="A126" s="73" t="s">
        <v>38</v>
      </c>
      <c r="B126" s="73" t="s">
        <v>39</v>
      </c>
      <c r="C126" s="73" t="s">
        <v>40</v>
      </c>
      <c r="D126" s="73" t="s">
        <v>158</v>
      </c>
      <c r="E126" s="114">
        <v>24.4</v>
      </c>
      <c r="F126" s="73" t="s">
        <v>81</v>
      </c>
      <c r="G126" s="139" t="s">
        <v>157</v>
      </c>
      <c r="H126" s="73" t="s">
        <v>54</v>
      </c>
      <c r="I126" s="73"/>
      <c r="J126" s="73" t="s">
        <v>50</v>
      </c>
      <c r="K126" s="73" t="s">
        <v>27</v>
      </c>
      <c r="L126" s="153" t="s">
        <v>28</v>
      </c>
      <c r="M126" s="259" t="str">
        <f>VLOOKUP(D126,[3]Actions!$J$2:$J$89, 1, FALSE)</f>
        <v>requested_due_date</v>
      </c>
      <c r="N126" s="160" t="str">
        <f>F126</f>
        <v>string (dd/mm/yyyy hh:mm:ss)</v>
      </c>
      <c r="O126" s="73" t="s">
        <v>71</v>
      </c>
      <c r="P126" s="179" t="s">
        <v>57</v>
      </c>
      <c r="Q126" s="180"/>
    </row>
    <row r="127" spans="1:23" s="74" customFormat="1" ht="15" customHeight="1">
      <c r="A127" s="106" t="s">
        <v>42</v>
      </c>
      <c r="B127" s="105" t="s">
        <v>43</v>
      </c>
      <c r="C127" s="105" t="s">
        <v>44</v>
      </c>
      <c r="D127" s="103"/>
      <c r="E127" s="115">
        <v>24.5</v>
      </c>
      <c r="F127" s="161" t="s">
        <v>81</v>
      </c>
      <c r="G127" s="118" t="s">
        <v>157</v>
      </c>
      <c r="H127" s="106"/>
      <c r="I127" s="106"/>
      <c r="J127" s="105" t="s">
        <v>50</v>
      </c>
      <c r="K127" s="106" t="s">
        <v>27</v>
      </c>
      <c r="L127" s="155" t="s">
        <v>28</v>
      </c>
      <c r="M127" s="259" t="s">
        <v>158</v>
      </c>
      <c r="N127" s="161" t="s">
        <v>81</v>
      </c>
      <c r="O127" s="106" t="s">
        <v>62</v>
      </c>
      <c r="P127" s="71" t="s">
        <v>31</v>
      </c>
      <c r="Q127" s="189"/>
      <c r="R127"/>
      <c r="S127"/>
      <c r="T127"/>
      <c r="U127"/>
      <c r="V127"/>
      <c r="W127"/>
    </row>
    <row r="128" spans="1:23" ht="15" customHeight="1">
      <c r="A128" s="71" t="s">
        <v>20</v>
      </c>
      <c r="B128" s="71" t="s">
        <v>21</v>
      </c>
      <c r="C128" s="71" t="s">
        <v>22</v>
      </c>
      <c r="D128" s="88"/>
      <c r="E128" s="111">
        <v>25.1</v>
      </c>
      <c r="F128" s="71" t="s">
        <v>24</v>
      </c>
      <c r="G128" s="238" t="s">
        <v>159</v>
      </c>
      <c r="H128" s="71"/>
      <c r="I128" s="71"/>
      <c r="J128" s="71" t="s">
        <v>50</v>
      </c>
      <c r="K128" s="71" t="s">
        <v>27</v>
      </c>
      <c r="L128" s="150" t="s">
        <v>28</v>
      </c>
      <c r="M128" s="259" t="s">
        <v>160</v>
      </c>
      <c r="N128" s="157" t="s">
        <v>24</v>
      </c>
      <c r="O128" s="71" t="s">
        <v>71</v>
      </c>
      <c r="P128" s="56" t="s">
        <v>31</v>
      </c>
      <c r="Q128" s="169"/>
    </row>
    <row r="129" spans="1:23" ht="15" customHeight="1">
      <c r="A129" s="72" t="s">
        <v>32</v>
      </c>
      <c r="B129" s="72" t="s">
        <v>21</v>
      </c>
      <c r="C129" s="72" t="s">
        <v>33</v>
      </c>
      <c r="D129" s="90"/>
      <c r="E129" s="112">
        <v>25.2</v>
      </c>
      <c r="F129" s="72" t="s">
        <v>24</v>
      </c>
      <c r="G129" s="239" t="s">
        <v>159</v>
      </c>
      <c r="H129" s="72"/>
      <c r="I129" s="72"/>
      <c r="J129" s="72" t="s">
        <v>50</v>
      </c>
      <c r="K129" s="72" t="s">
        <v>27</v>
      </c>
      <c r="L129" s="151" t="s">
        <v>28</v>
      </c>
      <c r="M129" s="259" t="s">
        <v>160</v>
      </c>
      <c r="N129" s="158" t="s">
        <v>24</v>
      </c>
      <c r="O129" s="72" t="s">
        <v>71</v>
      </c>
      <c r="P129" s="174" t="s">
        <v>31</v>
      </c>
      <c r="Q129" s="178"/>
    </row>
    <row r="130" spans="1:23" ht="15" customHeight="1">
      <c r="A130" s="56" t="s">
        <v>35</v>
      </c>
      <c r="B130" s="56" t="s">
        <v>21</v>
      </c>
      <c r="C130" s="56" t="s">
        <v>36</v>
      </c>
      <c r="D130" s="89"/>
      <c r="E130" s="113">
        <v>25.3</v>
      </c>
      <c r="F130" s="56" t="s">
        <v>24</v>
      </c>
      <c r="G130" s="240" t="s">
        <v>159</v>
      </c>
      <c r="H130" s="56"/>
      <c r="I130" s="56"/>
      <c r="J130" s="56" t="s">
        <v>50</v>
      </c>
      <c r="K130" s="56" t="s">
        <v>27</v>
      </c>
      <c r="L130" s="152" t="s">
        <v>28</v>
      </c>
      <c r="M130" s="259" t="s">
        <v>160</v>
      </c>
      <c r="N130" s="159" t="s">
        <v>24</v>
      </c>
      <c r="O130" s="56" t="s">
        <v>71</v>
      </c>
      <c r="P130" s="56" t="s">
        <v>31</v>
      </c>
      <c r="Q130" s="56"/>
    </row>
    <row r="131" spans="1:23" ht="15" customHeight="1">
      <c r="A131" s="73" t="s">
        <v>38</v>
      </c>
      <c r="B131" s="73" t="s">
        <v>39</v>
      </c>
      <c r="C131" s="73" t="s">
        <v>40</v>
      </c>
      <c r="D131" s="73" t="s">
        <v>161</v>
      </c>
      <c r="E131" s="114">
        <v>25.4</v>
      </c>
      <c r="F131" s="73" t="s">
        <v>67</v>
      </c>
      <c r="G131" s="139" t="s">
        <v>159</v>
      </c>
      <c r="H131" s="73" t="s">
        <v>54</v>
      </c>
      <c r="I131" s="73"/>
      <c r="J131" s="73" t="s">
        <v>50</v>
      </c>
      <c r="K131" s="73" t="s">
        <v>27</v>
      </c>
      <c r="L131" s="153" t="s">
        <v>28</v>
      </c>
      <c r="M131" s="259" t="s">
        <v>160</v>
      </c>
      <c r="N131" s="160" t="str">
        <f>F131</f>
        <v xml:space="preserve">string </v>
      </c>
      <c r="O131" s="73" t="s">
        <v>71</v>
      </c>
      <c r="P131" s="179" t="s">
        <v>57</v>
      </c>
      <c r="Q131" s="183"/>
    </row>
    <row r="132" spans="1:23" s="74" customFormat="1" ht="15" customHeight="1">
      <c r="A132" s="106" t="s">
        <v>42</v>
      </c>
      <c r="B132" s="105" t="s">
        <v>43</v>
      </c>
      <c r="C132" s="105" t="s">
        <v>44</v>
      </c>
      <c r="D132" s="103"/>
      <c r="E132" s="115">
        <v>25.5</v>
      </c>
      <c r="F132" s="105" t="s">
        <v>24</v>
      </c>
      <c r="G132" s="118" t="s">
        <v>159</v>
      </c>
      <c r="H132" s="106"/>
      <c r="I132" s="106"/>
      <c r="J132" s="105" t="s">
        <v>50</v>
      </c>
      <c r="K132" s="106" t="s">
        <v>27</v>
      </c>
      <c r="L132" s="155" t="s">
        <v>28</v>
      </c>
      <c r="M132" s="259" t="s">
        <v>160</v>
      </c>
      <c r="N132" s="161" t="s">
        <v>24</v>
      </c>
      <c r="O132" s="106" t="s">
        <v>62</v>
      </c>
      <c r="P132" s="56" t="s">
        <v>31</v>
      </c>
      <c r="Q132" s="188"/>
      <c r="R132"/>
      <c r="S132"/>
      <c r="T132"/>
      <c r="U132"/>
      <c r="V132"/>
      <c r="W132"/>
    </row>
    <row r="133" spans="1:23" ht="15" customHeight="1">
      <c r="A133" s="71" t="s">
        <v>20</v>
      </c>
      <c r="B133" s="71" t="s">
        <v>21</v>
      </c>
      <c r="C133" s="71" t="s">
        <v>22</v>
      </c>
      <c r="D133" s="88"/>
      <c r="E133" s="111">
        <v>26.1</v>
      </c>
      <c r="F133" s="71" t="s">
        <v>67</v>
      </c>
      <c r="G133" s="238" t="s">
        <v>162</v>
      </c>
      <c r="H133" s="71"/>
      <c r="I133" s="71"/>
      <c r="J133" s="71" t="s">
        <v>50</v>
      </c>
      <c r="K133" s="71" t="s">
        <v>27</v>
      </c>
      <c r="L133" s="150" t="s">
        <v>28</v>
      </c>
      <c r="M133" s="259" t="s">
        <v>163</v>
      </c>
      <c r="N133" s="157" t="s">
        <v>67</v>
      </c>
      <c r="O133" s="71" t="s">
        <v>71</v>
      </c>
      <c r="P133" s="56" t="s">
        <v>31</v>
      </c>
      <c r="Q133" s="169"/>
    </row>
    <row r="134" spans="1:23" ht="15" customHeight="1">
      <c r="A134" s="72" t="s">
        <v>32</v>
      </c>
      <c r="B134" s="72" t="s">
        <v>21</v>
      </c>
      <c r="C134" s="72" t="s">
        <v>33</v>
      </c>
      <c r="D134" s="90"/>
      <c r="E134" s="112">
        <v>26.2</v>
      </c>
      <c r="F134" s="72" t="s">
        <v>67</v>
      </c>
      <c r="G134" s="239" t="s">
        <v>162</v>
      </c>
      <c r="H134" s="72"/>
      <c r="I134" s="72"/>
      <c r="J134" s="72" t="s">
        <v>50</v>
      </c>
      <c r="K134" s="72" t="s">
        <v>27</v>
      </c>
      <c r="L134" s="151" t="s">
        <v>28</v>
      </c>
      <c r="M134" s="259" t="s">
        <v>163</v>
      </c>
      <c r="N134" s="158" t="s">
        <v>67</v>
      </c>
      <c r="O134" s="72" t="s">
        <v>71</v>
      </c>
      <c r="P134" s="174" t="s">
        <v>31</v>
      </c>
      <c r="Q134" s="178"/>
    </row>
    <row r="135" spans="1:23" ht="15" customHeight="1">
      <c r="A135" s="56" t="s">
        <v>35</v>
      </c>
      <c r="B135" s="56" t="s">
        <v>21</v>
      </c>
      <c r="C135" s="56" t="s">
        <v>36</v>
      </c>
      <c r="D135" s="89"/>
      <c r="E135" s="113">
        <v>26.3</v>
      </c>
      <c r="F135" s="56" t="s">
        <v>67</v>
      </c>
      <c r="G135" s="240" t="s">
        <v>162</v>
      </c>
      <c r="H135" s="56"/>
      <c r="I135" s="56"/>
      <c r="J135" s="56" t="s">
        <v>50</v>
      </c>
      <c r="K135" s="56" t="s">
        <v>27</v>
      </c>
      <c r="L135" s="152" t="s">
        <v>28</v>
      </c>
      <c r="M135" s="259" t="s">
        <v>163</v>
      </c>
      <c r="N135" s="159" t="s">
        <v>67</v>
      </c>
      <c r="O135" s="56" t="s">
        <v>71</v>
      </c>
      <c r="P135" s="56" t="s">
        <v>31</v>
      </c>
      <c r="Q135" s="56"/>
    </row>
    <row r="136" spans="1:23" ht="15" customHeight="1">
      <c r="A136" s="73" t="s">
        <v>38</v>
      </c>
      <c r="B136" s="73" t="s">
        <v>39</v>
      </c>
      <c r="C136" s="73" t="s">
        <v>40</v>
      </c>
      <c r="D136" s="73" t="s">
        <v>163</v>
      </c>
      <c r="E136" s="114">
        <v>26.4</v>
      </c>
      <c r="F136" s="73" t="s">
        <v>67</v>
      </c>
      <c r="G136" s="139" t="s">
        <v>162</v>
      </c>
      <c r="H136" s="73" t="s">
        <v>54</v>
      </c>
      <c r="I136" s="73"/>
      <c r="J136" s="73" t="s">
        <v>50</v>
      </c>
      <c r="K136" s="73" t="s">
        <v>27</v>
      </c>
      <c r="L136" s="153" t="s">
        <v>28</v>
      </c>
      <c r="M136" s="259" t="str">
        <f>VLOOKUP(D136,[3]Actions!$J$2:$J$89, 1, FALSE)</f>
        <v>due_in</v>
      </c>
      <c r="N136" s="160" t="s">
        <v>67</v>
      </c>
      <c r="O136" s="73" t="s">
        <v>71</v>
      </c>
      <c r="P136" s="179" t="s">
        <v>57</v>
      </c>
      <c r="Q136" s="183"/>
    </row>
    <row r="137" spans="1:23" s="74" customFormat="1" ht="15" customHeight="1">
      <c r="A137" s="106" t="s">
        <v>42</v>
      </c>
      <c r="B137" s="105" t="s">
        <v>43</v>
      </c>
      <c r="C137" s="105" t="s">
        <v>44</v>
      </c>
      <c r="D137" s="165" t="s">
        <v>23</v>
      </c>
      <c r="E137" s="115">
        <v>26.5</v>
      </c>
      <c r="F137" s="105" t="s">
        <v>24</v>
      </c>
      <c r="G137" s="118" t="s">
        <v>162</v>
      </c>
      <c r="H137" s="106"/>
      <c r="I137" s="106"/>
      <c r="J137" s="105" t="s">
        <v>50</v>
      </c>
      <c r="K137" s="106" t="s">
        <v>27</v>
      </c>
      <c r="L137" s="155" t="s">
        <v>28</v>
      </c>
      <c r="M137" s="259" t="s">
        <v>163</v>
      </c>
      <c r="N137" s="161" t="s">
        <v>67</v>
      </c>
      <c r="O137" s="106" t="s">
        <v>62</v>
      </c>
      <c r="P137" s="179" t="s">
        <v>57</v>
      </c>
      <c r="Q137" s="211" t="s">
        <v>164</v>
      </c>
      <c r="R137"/>
      <c r="S137"/>
      <c r="T137"/>
      <c r="U137"/>
      <c r="V137"/>
      <c r="W137"/>
    </row>
    <row r="138" spans="1:23" ht="15" customHeight="1">
      <c r="A138" s="71" t="s">
        <v>20</v>
      </c>
      <c r="B138" s="71" t="s">
        <v>21</v>
      </c>
      <c r="C138" s="71" t="s">
        <v>22</v>
      </c>
      <c r="D138" s="88"/>
      <c r="E138" s="111">
        <v>27.1</v>
      </c>
      <c r="F138" s="71" t="s">
        <v>81</v>
      </c>
      <c r="G138" s="238" t="s">
        <v>165</v>
      </c>
      <c r="H138" s="71"/>
      <c r="I138" s="71"/>
      <c r="J138" s="71" t="s">
        <v>50</v>
      </c>
      <c r="K138" s="71" t="s">
        <v>27</v>
      </c>
      <c r="L138" s="150" t="s">
        <v>28</v>
      </c>
      <c r="M138" s="259" t="s">
        <v>166</v>
      </c>
      <c r="N138" s="157" t="s">
        <v>81</v>
      </c>
      <c r="O138" s="71" t="s">
        <v>71</v>
      </c>
      <c r="P138" s="56" t="s">
        <v>31</v>
      </c>
      <c r="Q138" s="169"/>
    </row>
    <row r="139" spans="1:23" s="74" customFormat="1" ht="15" customHeight="1">
      <c r="A139" s="72" t="s">
        <v>32</v>
      </c>
      <c r="B139" s="72" t="s">
        <v>21</v>
      </c>
      <c r="C139" s="72" t="s">
        <v>33</v>
      </c>
      <c r="D139" s="90"/>
      <c r="E139" s="112">
        <v>27.2</v>
      </c>
      <c r="F139" s="72" t="s">
        <v>81</v>
      </c>
      <c r="G139" s="239" t="s">
        <v>165</v>
      </c>
      <c r="H139" s="72"/>
      <c r="I139" s="72"/>
      <c r="J139" s="72" t="s">
        <v>50</v>
      </c>
      <c r="K139" s="72" t="s">
        <v>27</v>
      </c>
      <c r="L139" s="151" t="s">
        <v>28</v>
      </c>
      <c r="M139" s="259" t="s">
        <v>166</v>
      </c>
      <c r="N139" s="158" t="s">
        <v>81</v>
      </c>
      <c r="O139" s="72" t="s">
        <v>71</v>
      </c>
      <c r="P139" s="174" t="s">
        <v>31</v>
      </c>
      <c r="Q139" s="177"/>
      <c r="R139"/>
      <c r="S139"/>
      <c r="T139"/>
      <c r="U139"/>
      <c r="V139"/>
      <c r="W139"/>
    </row>
    <row r="140" spans="1:23" ht="15" customHeight="1">
      <c r="A140" s="56" t="s">
        <v>35</v>
      </c>
      <c r="B140" s="56" t="s">
        <v>21</v>
      </c>
      <c r="C140" s="56" t="s">
        <v>36</v>
      </c>
      <c r="D140" s="89"/>
      <c r="E140" s="113">
        <v>27.3</v>
      </c>
      <c r="F140" s="56" t="s">
        <v>81</v>
      </c>
      <c r="G140" s="240" t="s">
        <v>165</v>
      </c>
      <c r="H140" s="56"/>
      <c r="I140" s="56"/>
      <c r="J140" s="56" t="s">
        <v>50</v>
      </c>
      <c r="K140" s="56" t="s">
        <v>27</v>
      </c>
      <c r="L140" s="152" t="s">
        <v>28</v>
      </c>
      <c r="M140" s="259" t="s">
        <v>166</v>
      </c>
      <c r="N140" s="159" t="s">
        <v>81</v>
      </c>
      <c r="O140" s="56" t="s">
        <v>71</v>
      </c>
      <c r="P140" s="56" t="s">
        <v>31</v>
      </c>
      <c r="Q140" s="56"/>
    </row>
    <row r="141" spans="1:23" ht="15" customHeight="1">
      <c r="A141" s="73" t="s">
        <v>38</v>
      </c>
      <c r="B141" s="73" t="s">
        <v>39</v>
      </c>
      <c r="C141" s="73" t="s">
        <v>40</v>
      </c>
      <c r="D141" s="73" t="s">
        <v>166</v>
      </c>
      <c r="E141" s="114">
        <v>27.4</v>
      </c>
      <c r="F141" s="73" t="s">
        <v>81</v>
      </c>
      <c r="G141" s="139" t="s">
        <v>165</v>
      </c>
      <c r="H141" s="73" t="s">
        <v>54</v>
      </c>
      <c r="I141" s="73"/>
      <c r="J141" s="73" t="s">
        <v>50</v>
      </c>
      <c r="K141" s="73" t="s">
        <v>27</v>
      </c>
      <c r="L141" s="153" t="s">
        <v>28</v>
      </c>
      <c r="M141" s="259" t="str">
        <f>VLOOKUP(D141,[3]Actions!$J$2:$J$89, 1, FALSE)</f>
        <v>expected_action_closure_date</v>
      </c>
      <c r="N141" s="160" t="str">
        <f>F141</f>
        <v>string (dd/mm/yyyy hh:mm:ss)</v>
      </c>
      <c r="O141" s="73" t="s">
        <v>71</v>
      </c>
      <c r="P141" s="179" t="s">
        <v>57</v>
      </c>
      <c r="Q141" s="183"/>
    </row>
    <row r="142" spans="1:23" ht="15" customHeight="1">
      <c r="A142" s="106" t="s">
        <v>42</v>
      </c>
      <c r="B142" s="105" t="s">
        <v>43</v>
      </c>
      <c r="C142" s="105" t="s">
        <v>44</v>
      </c>
      <c r="D142" s="103"/>
      <c r="E142" s="109">
        <v>27.5</v>
      </c>
      <c r="F142" s="161" t="s">
        <v>81</v>
      </c>
      <c r="G142" s="118" t="s">
        <v>165</v>
      </c>
      <c r="H142" s="106"/>
      <c r="I142" s="106"/>
      <c r="J142" s="105" t="s">
        <v>50</v>
      </c>
      <c r="K142" s="106" t="s">
        <v>27</v>
      </c>
      <c r="L142" s="155" t="s">
        <v>28</v>
      </c>
      <c r="M142" s="259" t="s">
        <v>166</v>
      </c>
      <c r="N142" s="161" t="s">
        <v>81</v>
      </c>
      <c r="O142" s="106" t="s">
        <v>62</v>
      </c>
      <c r="P142" s="56" t="s">
        <v>31</v>
      </c>
      <c r="Q142" s="189"/>
    </row>
    <row r="143" spans="1:23" ht="15" customHeight="1">
      <c r="A143" s="71" t="s">
        <v>20</v>
      </c>
      <c r="B143" s="71" t="s">
        <v>21</v>
      </c>
      <c r="C143" s="71" t="s">
        <v>22</v>
      </c>
      <c r="D143" s="88"/>
      <c r="E143" s="111">
        <v>28.1</v>
      </c>
      <c r="F143" s="71" t="s">
        <v>24</v>
      </c>
      <c r="G143" s="238" t="s">
        <v>167</v>
      </c>
      <c r="H143" s="71"/>
      <c r="I143" s="71"/>
      <c r="J143" s="71" t="s">
        <v>50</v>
      </c>
      <c r="K143" s="71" t="s">
        <v>27</v>
      </c>
      <c r="L143" s="150" t="s">
        <v>28</v>
      </c>
      <c r="M143" s="259" t="s">
        <v>168</v>
      </c>
      <c r="N143" s="157" t="s">
        <v>24</v>
      </c>
      <c r="O143" s="71" t="s">
        <v>71</v>
      </c>
      <c r="P143" s="56" t="s">
        <v>31</v>
      </c>
      <c r="Q143" s="169"/>
    </row>
    <row r="144" spans="1:23" ht="15" customHeight="1">
      <c r="A144" s="72" t="s">
        <v>32</v>
      </c>
      <c r="B144" s="72" t="s">
        <v>21</v>
      </c>
      <c r="C144" s="72" t="s">
        <v>33</v>
      </c>
      <c r="D144" s="90"/>
      <c r="E144" s="112">
        <v>28.2</v>
      </c>
      <c r="F144" s="72" t="s">
        <v>24</v>
      </c>
      <c r="G144" s="239" t="s">
        <v>169</v>
      </c>
      <c r="H144" s="72"/>
      <c r="I144" s="72"/>
      <c r="J144" s="72" t="s">
        <v>50</v>
      </c>
      <c r="K144" s="72" t="s">
        <v>27</v>
      </c>
      <c r="L144" s="151" t="s">
        <v>28</v>
      </c>
      <c r="M144" s="259" t="s">
        <v>168</v>
      </c>
      <c r="N144" s="158" t="s">
        <v>24</v>
      </c>
      <c r="O144" s="72" t="s">
        <v>71</v>
      </c>
      <c r="P144" s="174" t="s">
        <v>31</v>
      </c>
      <c r="Q144" s="178"/>
    </row>
    <row r="145" spans="1:23" ht="15" customHeight="1">
      <c r="A145" s="56" t="s">
        <v>35</v>
      </c>
      <c r="B145" s="56" t="s">
        <v>21</v>
      </c>
      <c r="C145" s="56" t="s">
        <v>36</v>
      </c>
      <c r="D145" s="89"/>
      <c r="E145" s="113">
        <v>28.3</v>
      </c>
      <c r="F145" s="56" t="s">
        <v>24</v>
      </c>
      <c r="G145" s="240" t="s">
        <v>167</v>
      </c>
      <c r="H145" s="56"/>
      <c r="I145" s="56"/>
      <c r="J145" s="56" t="s">
        <v>50</v>
      </c>
      <c r="K145" s="56" t="s">
        <v>27</v>
      </c>
      <c r="L145" s="152" t="s">
        <v>28</v>
      </c>
      <c r="M145" s="259" t="s">
        <v>168</v>
      </c>
      <c r="N145" s="159" t="s">
        <v>24</v>
      </c>
      <c r="O145" s="56" t="s">
        <v>71</v>
      </c>
      <c r="P145" s="56" t="s">
        <v>31</v>
      </c>
      <c r="Q145" s="175"/>
    </row>
    <row r="146" spans="1:23" ht="15" customHeight="1">
      <c r="A146" s="73" t="s">
        <v>38</v>
      </c>
      <c r="B146" s="73" t="s">
        <v>39</v>
      </c>
      <c r="C146" s="73" t="s">
        <v>40</v>
      </c>
      <c r="D146" s="73" t="s">
        <v>168</v>
      </c>
      <c r="E146" s="114">
        <v>28.4</v>
      </c>
      <c r="F146" s="73" t="s">
        <v>24</v>
      </c>
      <c r="G146" s="139" t="s">
        <v>167</v>
      </c>
      <c r="H146" s="73" t="s">
        <v>54</v>
      </c>
      <c r="I146" s="73"/>
      <c r="J146" s="73" t="s">
        <v>50</v>
      </c>
      <c r="K146" s="73" t="s">
        <v>27</v>
      </c>
      <c r="L146" s="153" t="s">
        <v>28</v>
      </c>
      <c r="M146" s="259" t="str">
        <f>VLOOKUP(D146,[3]Actions!$J$2:$J$89, 1, FALSE)</f>
        <v>revised_action_status</v>
      </c>
      <c r="N146" s="160" t="str">
        <f>F146</f>
        <v>string</v>
      </c>
      <c r="O146" s="73" t="s">
        <v>71</v>
      </c>
      <c r="P146" s="179" t="s">
        <v>57</v>
      </c>
      <c r="Q146" s="183"/>
    </row>
    <row r="147" spans="1:23" s="74" customFormat="1" ht="15" customHeight="1">
      <c r="A147" s="106" t="s">
        <v>42</v>
      </c>
      <c r="B147" s="105" t="s">
        <v>43</v>
      </c>
      <c r="C147" s="105" t="s">
        <v>44</v>
      </c>
      <c r="D147" s="103"/>
      <c r="E147" s="115">
        <v>28.5</v>
      </c>
      <c r="F147" s="105" t="s">
        <v>24</v>
      </c>
      <c r="G147" s="118" t="s">
        <v>167</v>
      </c>
      <c r="H147" s="106"/>
      <c r="I147" s="106"/>
      <c r="J147" s="105" t="s">
        <v>50</v>
      </c>
      <c r="K147" s="106" t="s">
        <v>27</v>
      </c>
      <c r="L147" s="155" t="s">
        <v>28</v>
      </c>
      <c r="M147" s="259" t="s">
        <v>168</v>
      </c>
      <c r="N147" s="161" t="s">
        <v>24</v>
      </c>
      <c r="O147" s="106" t="s">
        <v>62</v>
      </c>
      <c r="P147" s="71" t="s">
        <v>31</v>
      </c>
      <c r="Q147" s="189"/>
      <c r="R147"/>
      <c r="S147"/>
      <c r="T147"/>
      <c r="U147"/>
      <c r="V147"/>
      <c r="W147"/>
    </row>
    <row r="148" spans="1:23" ht="15" customHeight="1">
      <c r="A148" s="71" t="s">
        <v>20</v>
      </c>
      <c r="B148" s="71" t="s">
        <v>21</v>
      </c>
      <c r="C148" s="71" t="s">
        <v>22</v>
      </c>
      <c r="D148" s="71" t="s">
        <v>170</v>
      </c>
      <c r="E148" s="111">
        <v>29</v>
      </c>
      <c r="F148" s="71" t="s">
        <v>81</v>
      </c>
      <c r="G148" s="238" t="s">
        <v>171</v>
      </c>
      <c r="H148" s="71"/>
      <c r="I148" s="71"/>
      <c r="J148" s="71" t="s">
        <v>50</v>
      </c>
      <c r="K148" s="71" t="s">
        <v>27</v>
      </c>
      <c r="L148" s="150" t="s">
        <v>28</v>
      </c>
      <c r="M148" s="259" t="s">
        <v>172</v>
      </c>
      <c r="N148" s="157" t="s">
        <v>81</v>
      </c>
      <c r="O148" s="71" t="s">
        <v>62</v>
      </c>
      <c r="P148" s="71" t="str">
        <f>IF(J148="Direct pull", "Yes", "No")</f>
        <v>Yes</v>
      </c>
      <c r="Q148" s="169"/>
    </row>
    <row r="149" spans="1:23" s="74" customFormat="1" ht="15" customHeight="1">
      <c r="A149" s="72" t="s">
        <v>32</v>
      </c>
      <c r="B149" s="72" t="s">
        <v>21</v>
      </c>
      <c r="C149" s="72" t="s">
        <v>33</v>
      </c>
      <c r="D149" s="72" t="s">
        <v>173</v>
      </c>
      <c r="E149" s="112">
        <v>29</v>
      </c>
      <c r="F149" s="72" t="s">
        <v>81</v>
      </c>
      <c r="G149" s="239" t="s">
        <v>174</v>
      </c>
      <c r="H149" s="72" t="s">
        <v>54</v>
      </c>
      <c r="I149" s="72"/>
      <c r="J149" s="72" t="s">
        <v>50</v>
      </c>
      <c r="K149" s="72" t="s">
        <v>27</v>
      </c>
      <c r="L149" s="151" t="s">
        <v>28</v>
      </c>
      <c r="M149" s="259" t="s">
        <v>172</v>
      </c>
      <c r="N149" s="158" t="s">
        <v>81</v>
      </c>
      <c r="O149" s="72" t="s">
        <v>62</v>
      </c>
      <c r="P149" s="176" t="str">
        <f>IFERROR(IF(VLOOKUP(D149,'[1]UAT DB Attributes'!$A:$A,1,FALSE)=D149,"Yes","No"),"No")</f>
        <v>Yes</v>
      </c>
      <c r="Q149" s="178"/>
      <c r="R149"/>
      <c r="S149"/>
      <c r="T149"/>
      <c r="U149"/>
      <c r="V149"/>
      <c r="W149"/>
    </row>
    <row r="150" spans="1:23" ht="15" customHeight="1">
      <c r="A150" s="56" t="s">
        <v>35</v>
      </c>
      <c r="B150" s="56" t="s">
        <v>21</v>
      </c>
      <c r="C150" s="56" t="s">
        <v>36</v>
      </c>
      <c r="D150" s="56" t="s">
        <v>170</v>
      </c>
      <c r="E150" s="113">
        <v>29</v>
      </c>
      <c r="F150" s="56" t="s">
        <v>81</v>
      </c>
      <c r="G150" s="240" t="s">
        <v>171</v>
      </c>
      <c r="H150" s="56"/>
      <c r="I150" s="56"/>
      <c r="J150" s="56" t="s">
        <v>50</v>
      </c>
      <c r="K150" s="56" t="s">
        <v>27</v>
      </c>
      <c r="L150" s="152" t="s">
        <v>28</v>
      </c>
      <c r="M150" s="259" t="s">
        <v>172</v>
      </c>
      <c r="N150" s="159" t="s">
        <v>81</v>
      </c>
      <c r="O150" s="56" t="s">
        <v>62</v>
      </c>
      <c r="P150" s="56" t="str">
        <f>IFERROR(IF(VLOOKUP(D150,'[2]UAT DB Attributes'!$A:$A,1,FALSE)=D150,"Yes","No"),"No")</f>
        <v>Yes</v>
      </c>
      <c r="Q150" s="56"/>
    </row>
    <row r="151" spans="1:23" ht="15" customHeight="1">
      <c r="A151" s="73" t="s">
        <v>38</v>
      </c>
      <c r="B151" s="73" t="s">
        <v>39</v>
      </c>
      <c r="C151" s="73" t="s">
        <v>40</v>
      </c>
      <c r="D151" s="73" t="s">
        <v>172</v>
      </c>
      <c r="E151" s="114">
        <v>29</v>
      </c>
      <c r="F151" s="73" t="s">
        <v>81</v>
      </c>
      <c r="G151" s="139" t="s">
        <v>175</v>
      </c>
      <c r="H151" s="73" t="s">
        <v>54</v>
      </c>
      <c r="I151" s="73"/>
      <c r="J151" s="73" t="s">
        <v>50</v>
      </c>
      <c r="K151" s="73" t="s">
        <v>27</v>
      </c>
      <c r="L151" s="153" t="s">
        <v>28</v>
      </c>
      <c r="M151" s="259" t="str">
        <f>VLOOKUP(D151,[3]Actions!$J$2:$J$89, 1, FALSE)</f>
        <v>last_modification_date</v>
      </c>
      <c r="N151" s="160" t="str">
        <f>F151</f>
        <v>string (dd/mm/yyyy hh:mm:ss)</v>
      </c>
      <c r="O151" s="73" t="s">
        <v>62</v>
      </c>
      <c r="P151" s="179" t="s">
        <v>57</v>
      </c>
      <c r="Q151" s="183"/>
    </row>
    <row r="152" spans="1:23" ht="15" customHeight="1">
      <c r="A152" s="106" t="s">
        <v>42</v>
      </c>
      <c r="B152" s="105" t="s">
        <v>43</v>
      </c>
      <c r="C152" s="105" t="s">
        <v>44</v>
      </c>
      <c r="D152" s="105" t="s">
        <v>176</v>
      </c>
      <c r="E152" s="109">
        <v>29</v>
      </c>
      <c r="F152" s="161" t="s">
        <v>81</v>
      </c>
      <c r="G152" s="164" t="s">
        <v>175</v>
      </c>
      <c r="H152" s="106"/>
      <c r="I152" s="106"/>
      <c r="J152" s="105" t="s">
        <v>50</v>
      </c>
      <c r="K152" s="106" t="s">
        <v>27</v>
      </c>
      <c r="L152" s="155" t="s">
        <v>28</v>
      </c>
      <c r="M152" s="259" t="s">
        <v>172</v>
      </c>
      <c r="N152" s="161" t="s">
        <v>81</v>
      </c>
      <c r="O152" s="106" t="s">
        <v>62</v>
      </c>
      <c r="P152" s="179" t="s">
        <v>57</v>
      </c>
      <c r="Q152" s="190"/>
    </row>
    <row r="153" spans="1:23" ht="15" customHeight="1">
      <c r="A153" s="71" t="s">
        <v>20</v>
      </c>
      <c r="B153" s="71" t="s">
        <v>21</v>
      </c>
      <c r="C153" s="71" t="s">
        <v>22</v>
      </c>
      <c r="D153" s="88"/>
      <c r="E153" s="111">
        <v>29.1</v>
      </c>
      <c r="F153" s="71" t="s">
        <v>24</v>
      </c>
      <c r="G153" s="238" t="s">
        <v>177</v>
      </c>
      <c r="H153" s="71"/>
      <c r="I153" s="71"/>
      <c r="J153" s="71" t="s">
        <v>50</v>
      </c>
      <c r="K153" s="71" t="s">
        <v>27</v>
      </c>
      <c r="L153" s="150" t="s">
        <v>28</v>
      </c>
      <c r="M153" s="259" t="s">
        <v>178</v>
      </c>
      <c r="N153" s="157" t="s">
        <v>24</v>
      </c>
      <c r="O153" s="71" t="s">
        <v>62</v>
      </c>
      <c r="P153" s="56" t="s">
        <v>31</v>
      </c>
      <c r="Q153" s="170"/>
    </row>
    <row r="154" spans="1:23" ht="15" customHeight="1">
      <c r="A154" s="72" t="s">
        <v>32</v>
      </c>
      <c r="B154" s="72" t="s">
        <v>21</v>
      </c>
      <c r="C154" s="72" t="s">
        <v>33</v>
      </c>
      <c r="D154" s="90"/>
      <c r="E154" s="112">
        <v>29.2</v>
      </c>
      <c r="F154" s="72" t="s">
        <v>24</v>
      </c>
      <c r="G154" s="239" t="s">
        <v>177</v>
      </c>
      <c r="H154" s="72"/>
      <c r="I154" s="72"/>
      <c r="J154" s="72" t="s">
        <v>50</v>
      </c>
      <c r="K154" s="72" t="s">
        <v>27</v>
      </c>
      <c r="L154" s="151" t="s">
        <v>28</v>
      </c>
      <c r="M154" s="259" t="s">
        <v>178</v>
      </c>
      <c r="N154" s="158" t="s">
        <v>24</v>
      </c>
      <c r="O154" s="72" t="s">
        <v>62</v>
      </c>
      <c r="P154" s="174" t="s">
        <v>31</v>
      </c>
      <c r="Q154" s="178"/>
    </row>
    <row r="155" spans="1:23" s="74" customFormat="1" ht="15" customHeight="1">
      <c r="A155" s="56" t="s">
        <v>35</v>
      </c>
      <c r="B155" s="56" t="s">
        <v>21</v>
      </c>
      <c r="C155" s="56" t="s">
        <v>36</v>
      </c>
      <c r="D155" s="89"/>
      <c r="E155" s="113">
        <v>29.3</v>
      </c>
      <c r="F155" s="56" t="s">
        <v>24</v>
      </c>
      <c r="G155" s="240" t="s">
        <v>177</v>
      </c>
      <c r="H155" s="56"/>
      <c r="I155" s="56"/>
      <c r="J155" s="56" t="s">
        <v>50</v>
      </c>
      <c r="K155" s="56" t="s">
        <v>27</v>
      </c>
      <c r="L155" s="152" t="s">
        <v>28</v>
      </c>
      <c r="M155" s="259" t="s">
        <v>178</v>
      </c>
      <c r="N155" s="159" t="s">
        <v>24</v>
      </c>
      <c r="O155" s="56" t="s">
        <v>62</v>
      </c>
      <c r="P155" s="56" t="s">
        <v>31</v>
      </c>
      <c r="Q155" s="56"/>
      <c r="R155"/>
      <c r="S155"/>
      <c r="T155"/>
      <c r="U155"/>
      <c r="V155"/>
      <c r="W155"/>
    </row>
    <row r="156" spans="1:23" s="74" customFormat="1" ht="15" customHeight="1">
      <c r="A156" s="73" t="s">
        <v>38</v>
      </c>
      <c r="B156" s="73" t="s">
        <v>39</v>
      </c>
      <c r="C156" s="73" t="s">
        <v>40</v>
      </c>
      <c r="D156" s="73" t="s">
        <v>178</v>
      </c>
      <c r="E156" s="114">
        <v>29.4</v>
      </c>
      <c r="F156" s="73" t="s">
        <v>24</v>
      </c>
      <c r="G156" s="139" t="s">
        <v>177</v>
      </c>
      <c r="H156" s="73" t="s">
        <v>54</v>
      </c>
      <c r="I156" s="73"/>
      <c r="J156" s="73" t="s">
        <v>50</v>
      </c>
      <c r="K156" s="73" t="s">
        <v>27</v>
      </c>
      <c r="L156" s="153" t="s">
        <v>28</v>
      </c>
      <c r="M156" s="259" t="str">
        <f>VLOOKUP(D156,[3]Actions!$J$2:$J$89, 1, FALSE)</f>
        <v>issue_name</v>
      </c>
      <c r="N156" s="160" t="str">
        <f>F156</f>
        <v>string</v>
      </c>
      <c r="O156" s="73" t="s">
        <v>62</v>
      </c>
      <c r="P156" s="73" t="s">
        <v>57</v>
      </c>
      <c r="Q156" s="73"/>
      <c r="R156"/>
      <c r="S156"/>
    </row>
    <row r="157" spans="1:23" s="74" customFormat="1" ht="15" customHeight="1">
      <c r="A157" s="106" t="s">
        <v>42</v>
      </c>
      <c r="B157" s="105" t="s">
        <v>43</v>
      </c>
      <c r="C157" s="105" t="s">
        <v>44</v>
      </c>
      <c r="D157" s="165" t="s">
        <v>23</v>
      </c>
      <c r="E157" s="117">
        <v>29.5</v>
      </c>
      <c r="F157" s="106" t="s">
        <v>67</v>
      </c>
      <c r="G157" s="118" t="s">
        <v>177</v>
      </c>
      <c r="H157" s="105"/>
      <c r="I157" s="106"/>
      <c r="J157" s="105" t="s">
        <v>50</v>
      </c>
      <c r="K157" s="106" t="s">
        <v>27</v>
      </c>
      <c r="L157" s="155" t="s">
        <v>28</v>
      </c>
      <c r="M157" s="259" t="s">
        <v>178</v>
      </c>
      <c r="N157" s="161" t="s">
        <v>24</v>
      </c>
      <c r="O157" s="161" t="s">
        <v>62</v>
      </c>
      <c r="P157" s="73" t="s">
        <v>57</v>
      </c>
      <c r="Q157" s="211" t="s">
        <v>164</v>
      </c>
      <c r="R157"/>
      <c r="S157"/>
      <c r="T157"/>
      <c r="U157"/>
      <c r="V157"/>
      <c r="W157"/>
    </row>
    <row r="158" spans="1:23" ht="15" customHeight="1">
      <c r="A158" s="71" t="s">
        <v>20</v>
      </c>
      <c r="B158" s="71" t="s">
        <v>21</v>
      </c>
      <c r="C158" s="71" t="s">
        <v>22</v>
      </c>
      <c r="D158" s="71" t="s">
        <v>179</v>
      </c>
      <c r="E158" s="111">
        <v>30.1</v>
      </c>
      <c r="F158" s="71" t="s">
        <v>24</v>
      </c>
      <c r="G158" s="71" t="s">
        <v>180</v>
      </c>
      <c r="H158" s="71"/>
      <c r="I158" s="71"/>
      <c r="J158" s="71" t="s">
        <v>50</v>
      </c>
      <c r="K158" s="71" t="s">
        <v>27</v>
      </c>
      <c r="L158" s="150" t="s">
        <v>28</v>
      </c>
      <c r="M158" s="259" t="s">
        <v>181</v>
      </c>
      <c r="N158" s="157" t="s">
        <v>24</v>
      </c>
      <c r="O158" s="71" t="s">
        <v>62</v>
      </c>
      <c r="P158" s="150" t="str">
        <f>IF(J158="Direct pull", "Yes", "No")</f>
        <v>Yes</v>
      </c>
      <c r="Q158" s="193"/>
    </row>
    <row r="159" spans="1:23" ht="15" customHeight="1">
      <c r="A159" s="72" t="s">
        <v>32</v>
      </c>
      <c r="B159" s="72" t="s">
        <v>21</v>
      </c>
      <c r="C159" s="72" t="s">
        <v>33</v>
      </c>
      <c r="D159" s="72" t="s">
        <v>182</v>
      </c>
      <c r="E159" s="112">
        <v>30.2</v>
      </c>
      <c r="F159" s="72" t="s">
        <v>48</v>
      </c>
      <c r="G159" s="72" t="s">
        <v>180</v>
      </c>
      <c r="H159" s="72" t="s">
        <v>54</v>
      </c>
      <c r="I159" s="72"/>
      <c r="J159" s="72" t="s">
        <v>50</v>
      </c>
      <c r="K159" s="72" t="s">
        <v>27</v>
      </c>
      <c r="L159" s="151" t="s">
        <v>28</v>
      </c>
      <c r="M159" s="259" t="s">
        <v>181</v>
      </c>
      <c r="N159" s="158" t="s">
        <v>24</v>
      </c>
      <c r="O159" s="72" t="s">
        <v>62</v>
      </c>
      <c r="P159" s="72" t="str">
        <f>IFERROR(IF(VLOOKUP(D159,'[1]UAT DB Attributes'!$A:$A,1,FALSE)=D159,"Yes","No"),"No")</f>
        <v>Yes</v>
      </c>
      <c r="Q159" s="176"/>
    </row>
    <row r="160" spans="1:23" ht="15" customHeight="1">
      <c r="A160" s="56" t="s">
        <v>35</v>
      </c>
      <c r="B160" s="56" t="s">
        <v>21</v>
      </c>
      <c r="C160" s="56" t="s">
        <v>36</v>
      </c>
      <c r="D160" s="56" t="s">
        <v>179</v>
      </c>
      <c r="E160" s="113">
        <v>30.4</v>
      </c>
      <c r="F160" s="56" t="str">
        <f>VLOOKUP(D160,'[2]UAT DB Attributes'!$A:$B,2,FALSE)</f>
        <v>int</v>
      </c>
      <c r="G160" s="56" t="s">
        <v>180</v>
      </c>
      <c r="H160" s="56"/>
      <c r="I160" s="56"/>
      <c r="J160" s="56" t="s">
        <v>50</v>
      </c>
      <c r="K160" s="56" t="s">
        <v>27</v>
      </c>
      <c r="L160" s="152" t="s">
        <v>28</v>
      </c>
      <c r="M160" s="259" t="s">
        <v>181</v>
      </c>
      <c r="N160" s="159" t="s">
        <v>24</v>
      </c>
      <c r="O160" s="56" t="s">
        <v>62</v>
      </c>
      <c r="P160" s="174" t="str">
        <f>IFERROR(IF(VLOOKUP(D160,'[2]UAT DB Attributes'!$A:$A,1,FALSE)=D160,"Yes","No"),"No")</f>
        <v>Yes</v>
      </c>
      <c r="Q160" s="209"/>
    </row>
    <row r="161" spans="1:17" ht="15" customHeight="1">
      <c r="A161" s="73" t="s">
        <v>38</v>
      </c>
      <c r="B161" s="73" t="s">
        <v>39</v>
      </c>
      <c r="C161" s="73" t="s">
        <v>40</v>
      </c>
      <c r="D161" s="73" t="s">
        <v>181</v>
      </c>
      <c r="E161" s="114">
        <v>30.5</v>
      </c>
      <c r="F161" s="73" t="s">
        <v>24</v>
      </c>
      <c r="G161" s="139" t="s">
        <v>180</v>
      </c>
      <c r="H161" s="73" t="s">
        <v>54</v>
      </c>
      <c r="I161" s="73"/>
      <c r="J161" s="73" t="s">
        <v>50</v>
      </c>
      <c r="K161" s="73" t="s">
        <v>27</v>
      </c>
      <c r="L161" s="153" t="s">
        <v>28</v>
      </c>
      <c r="M161" s="259" t="str">
        <f>VLOOKUP(D161,[3]Actions!$J$2:$J$89, 1, FALSE)</f>
        <v>linked_actions_requiring_closure</v>
      </c>
      <c r="N161" s="160" t="str">
        <f>F161</f>
        <v>string</v>
      </c>
      <c r="O161" s="73" t="s">
        <v>62</v>
      </c>
      <c r="P161" s="73" t="s">
        <v>57</v>
      </c>
      <c r="Q161" s="172"/>
    </row>
    <row r="162" spans="1:17" ht="15" customHeight="1">
      <c r="A162" s="106" t="s">
        <v>42</v>
      </c>
      <c r="B162" s="105" t="s">
        <v>43</v>
      </c>
      <c r="C162" s="105" t="s">
        <v>44</v>
      </c>
      <c r="D162" s="165" t="s">
        <v>23</v>
      </c>
      <c r="E162" s="105">
        <v>30.6</v>
      </c>
      <c r="F162" s="105" t="s">
        <v>24</v>
      </c>
      <c r="G162" s="105" t="s">
        <v>180</v>
      </c>
      <c r="H162" s="105"/>
      <c r="I162" s="105"/>
      <c r="J162" s="105" t="s">
        <v>50</v>
      </c>
      <c r="K162" s="106" t="s">
        <v>27</v>
      </c>
      <c r="L162" s="155" t="s">
        <v>28</v>
      </c>
      <c r="M162" s="259" t="s">
        <v>181</v>
      </c>
      <c r="N162" s="161" t="s">
        <v>24</v>
      </c>
      <c r="O162" s="106" t="s">
        <v>62</v>
      </c>
      <c r="P162" s="73" t="s">
        <v>57</v>
      </c>
      <c r="Q162" s="211" t="s">
        <v>164</v>
      </c>
    </row>
    <row r="163" spans="1:17" ht="15" customHeight="1">
      <c r="A163" s="71" t="s">
        <v>20</v>
      </c>
      <c r="B163" s="71" t="s">
        <v>21</v>
      </c>
      <c r="C163" s="71" t="s">
        <v>22</v>
      </c>
      <c r="D163" s="71" t="s">
        <v>183</v>
      </c>
      <c r="E163" s="111">
        <v>30.6</v>
      </c>
      <c r="F163" s="71" t="s">
        <v>24</v>
      </c>
      <c r="G163" s="238" t="s">
        <v>184</v>
      </c>
      <c r="H163" s="71"/>
      <c r="I163" s="71"/>
      <c r="J163" s="71" t="s">
        <v>50</v>
      </c>
      <c r="K163" s="71" t="s">
        <v>27</v>
      </c>
      <c r="L163" s="150" t="s">
        <v>28</v>
      </c>
      <c r="M163" s="259" t="s">
        <v>185</v>
      </c>
      <c r="N163" s="157" t="s">
        <v>67</v>
      </c>
      <c r="O163" s="71" t="s">
        <v>71</v>
      </c>
      <c r="P163" s="169" t="str">
        <f>IF(J163="Direct pull", "Yes", "No")</f>
        <v>Yes</v>
      </c>
      <c r="Q163" s="234"/>
    </row>
    <row r="164" spans="1:17" ht="15" customHeight="1">
      <c r="A164" s="72" t="s">
        <v>32</v>
      </c>
      <c r="B164" s="72" t="s">
        <v>21</v>
      </c>
      <c r="C164" s="72" t="s">
        <v>186</v>
      </c>
      <c r="D164" s="72" t="s">
        <v>187</v>
      </c>
      <c r="E164" s="112">
        <v>30.7</v>
      </c>
      <c r="F164" s="72" t="s">
        <v>24</v>
      </c>
      <c r="G164" s="239" t="s">
        <v>188</v>
      </c>
      <c r="H164" s="72" t="s">
        <v>54</v>
      </c>
      <c r="I164" s="72" t="s">
        <v>189</v>
      </c>
      <c r="J164" s="72" t="s">
        <v>190</v>
      </c>
      <c r="K164" s="72" t="s">
        <v>27</v>
      </c>
      <c r="L164" s="151" t="s">
        <v>28</v>
      </c>
      <c r="M164" s="259" t="s">
        <v>185</v>
      </c>
      <c r="N164" s="158" t="s">
        <v>67</v>
      </c>
      <c r="O164" s="72" t="s">
        <v>71</v>
      </c>
      <c r="P164" s="151" t="str">
        <f>IFERROR(IF(VLOOKUP(D164,'[1]UAT DB Attributes'!$A:$A,1,FALSE)=D164,"Yes","No"),"No")</f>
        <v>Yes</v>
      </c>
      <c r="Q164" s="210"/>
    </row>
    <row r="165" spans="1:17" ht="15" customHeight="1">
      <c r="A165" s="56" t="s">
        <v>35</v>
      </c>
      <c r="B165" s="56" t="s">
        <v>21</v>
      </c>
      <c r="C165" s="56" t="s">
        <v>191</v>
      </c>
      <c r="D165" s="56" t="s">
        <v>192</v>
      </c>
      <c r="E165" s="113">
        <v>30.8</v>
      </c>
      <c r="F165" s="56" t="s">
        <v>24</v>
      </c>
      <c r="G165" s="240" t="s">
        <v>184</v>
      </c>
      <c r="H165" s="56"/>
      <c r="I165" s="56" t="s">
        <v>193</v>
      </c>
      <c r="J165" s="56" t="s">
        <v>50</v>
      </c>
      <c r="K165" s="56" t="s">
        <v>27</v>
      </c>
      <c r="L165" s="152" t="s">
        <v>28</v>
      </c>
      <c r="M165" s="259" t="s">
        <v>185</v>
      </c>
      <c r="N165" s="159" t="s">
        <v>67</v>
      </c>
      <c r="O165" s="56" t="s">
        <v>71</v>
      </c>
      <c r="P165" s="56" t="s">
        <v>57</v>
      </c>
      <c r="Q165" s="56" t="s">
        <v>194</v>
      </c>
    </row>
    <row r="166" spans="1:17" ht="15" customHeight="1">
      <c r="A166" s="73" t="s">
        <v>38</v>
      </c>
      <c r="B166" s="73" t="s">
        <v>39</v>
      </c>
      <c r="C166" s="73" t="s">
        <v>195</v>
      </c>
      <c r="D166" s="91"/>
      <c r="E166" s="73">
        <v>30.9</v>
      </c>
      <c r="F166" s="73" t="s">
        <v>67</v>
      </c>
      <c r="G166" s="139" t="s">
        <v>184</v>
      </c>
      <c r="H166" s="73"/>
      <c r="I166" s="73"/>
      <c r="J166" s="73" t="s">
        <v>50</v>
      </c>
      <c r="K166" s="73" t="s">
        <v>27</v>
      </c>
      <c r="L166" s="153" t="s">
        <v>28</v>
      </c>
      <c r="M166" s="259" t="s">
        <v>185</v>
      </c>
      <c r="N166" s="160" t="s">
        <v>67</v>
      </c>
      <c r="O166" s="73" t="s">
        <v>71</v>
      </c>
      <c r="P166" s="56" t="s">
        <v>31</v>
      </c>
      <c r="Q166" s="73"/>
    </row>
    <row r="167" spans="1:17" ht="15" customHeight="1">
      <c r="A167" s="106" t="s">
        <v>42</v>
      </c>
      <c r="B167" s="105" t="s">
        <v>43</v>
      </c>
      <c r="C167" s="105" t="s">
        <v>44</v>
      </c>
      <c r="D167" s="165" t="s">
        <v>23</v>
      </c>
      <c r="E167" s="109">
        <v>30.95</v>
      </c>
      <c r="F167" s="105" t="s">
        <v>24</v>
      </c>
      <c r="G167" s="118" t="s">
        <v>184</v>
      </c>
      <c r="H167" s="106"/>
      <c r="I167" s="106"/>
      <c r="J167" s="105" t="s">
        <v>50</v>
      </c>
      <c r="K167" s="106" t="s">
        <v>27</v>
      </c>
      <c r="L167" s="155" t="s">
        <v>28</v>
      </c>
      <c r="M167" s="259" t="s">
        <v>185</v>
      </c>
      <c r="N167" s="161" t="s">
        <v>24</v>
      </c>
      <c r="O167" s="106" t="s">
        <v>62</v>
      </c>
      <c r="P167" s="5" t="s">
        <v>57</v>
      </c>
      <c r="Q167" s="189" t="s">
        <v>196</v>
      </c>
    </row>
    <row r="168" spans="1:17" ht="15" customHeight="1">
      <c r="A168" s="71" t="s">
        <v>20</v>
      </c>
      <c r="B168" s="71" t="s">
        <v>21</v>
      </c>
      <c r="C168" s="71" t="s">
        <v>22</v>
      </c>
      <c r="D168" s="88"/>
      <c r="E168" s="71">
        <v>31</v>
      </c>
      <c r="F168" s="71" t="s">
        <v>24</v>
      </c>
      <c r="G168" s="238" t="s">
        <v>197</v>
      </c>
      <c r="H168" s="71"/>
      <c r="I168" s="71"/>
      <c r="J168" s="71" t="s">
        <v>50</v>
      </c>
      <c r="K168" s="71" t="s">
        <v>27</v>
      </c>
      <c r="L168" s="150" t="s">
        <v>28</v>
      </c>
      <c r="M168" s="259" t="s">
        <v>198</v>
      </c>
      <c r="N168" s="157" t="s">
        <v>24</v>
      </c>
      <c r="O168" s="71" t="s">
        <v>62</v>
      </c>
      <c r="P168" s="56" t="s">
        <v>31</v>
      </c>
      <c r="Q168" s="71"/>
    </row>
    <row r="169" spans="1:17" ht="15" customHeight="1">
      <c r="A169" s="72" t="s">
        <v>32</v>
      </c>
      <c r="B169" s="72" t="s">
        <v>21</v>
      </c>
      <c r="C169" s="72" t="s">
        <v>33</v>
      </c>
      <c r="D169" s="90"/>
      <c r="E169" s="72">
        <v>31.05</v>
      </c>
      <c r="F169" s="72" t="s">
        <v>24</v>
      </c>
      <c r="G169" s="239" t="s">
        <v>197</v>
      </c>
      <c r="H169" s="72"/>
      <c r="I169" s="72"/>
      <c r="J169" s="72" t="s">
        <v>50</v>
      </c>
      <c r="K169" s="72" t="s">
        <v>27</v>
      </c>
      <c r="L169" s="151" t="s">
        <v>28</v>
      </c>
      <c r="M169" s="259" t="s">
        <v>198</v>
      </c>
      <c r="N169" s="260" t="s">
        <v>24</v>
      </c>
      <c r="O169" s="151" t="s">
        <v>62</v>
      </c>
      <c r="P169" s="56" t="s">
        <v>31</v>
      </c>
      <c r="Q169" s="176"/>
    </row>
    <row r="170" spans="1:17" ht="15" customHeight="1">
      <c r="A170" s="56" t="s">
        <v>35</v>
      </c>
      <c r="B170" s="56" t="s">
        <v>21</v>
      </c>
      <c r="C170" s="56" t="s">
        <v>36</v>
      </c>
      <c r="D170" s="89"/>
      <c r="E170" s="56">
        <v>31.06</v>
      </c>
      <c r="F170" s="56" t="s">
        <v>24</v>
      </c>
      <c r="G170" s="240" t="s">
        <v>197</v>
      </c>
      <c r="H170" s="56"/>
      <c r="I170" s="56"/>
      <c r="J170" s="56" t="s">
        <v>50</v>
      </c>
      <c r="K170" s="56" t="s">
        <v>27</v>
      </c>
      <c r="L170" s="152" t="s">
        <v>28</v>
      </c>
      <c r="M170" s="259" t="s">
        <v>198</v>
      </c>
      <c r="N170" s="261" t="s">
        <v>24</v>
      </c>
      <c r="O170" s="152" t="s">
        <v>62</v>
      </c>
      <c r="P170" s="174" t="s">
        <v>31</v>
      </c>
      <c r="Q170" s="209"/>
    </row>
    <row r="171" spans="1:17" ht="15" customHeight="1">
      <c r="A171" s="73" t="s">
        <v>38</v>
      </c>
      <c r="B171" s="73" t="s">
        <v>39</v>
      </c>
      <c r="C171" s="73" t="s">
        <v>195</v>
      </c>
      <c r="D171" s="73" t="s">
        <v>198</v>
      </c>
      <c r="E171" s="114">
        <v>31.07</v>
      </c>
      <c r="F171" s="73" t="s">
        <v>24</v>
      </c>
      <c r="G171" s="139" t="s">
        <v>197</v>
      </c>
      <c r="H171" s="73" t="s">
        <v>54</v>
      </c>
      <c r="I171" s="73" t="s">
        <v>199</v>
      </c>
      <c r="J171" s="73" t="s">
        <v>50</v>
      </c>
      <c r="K171" s="73" t="s">
        <v>27</v>
      </c>
      <c r="L171" s="153" t="s">
        <v>28</v>
      </c>
      <c r="M171" s="259" t="s">
        <v>198</v>
      </c>
      <c r="N171" s="262" t="str">
        <f>F171</f>
        <v>string</v>
      </c>
      <c r="O171" s="153" t="s">
        <v>71</v>
      </c>
      <c r="P171" s="73" t="s">
        <v>57</v>
      </c>
      <c r="Q171" s="233" t="s">
        <v>200</v>
      </c>
    </row>
    <row r="172" spans="1:17" ht="15" customHeight="1">
      <c r="A172" s="106" t="s">
        <v>42</v>
      </c>
      <c r="B172" s="105" t="s">
        <v>43</v>
      </c>
      <c r="C172" s="105" t="s">
        <v>44</v>
      </c>
      <c r="D172" s="165" t="s">
        <v>23</v>
      </c>
      <c r="E172" s="105">
        <v>31.08</v>
      </c>
      <c r="F172" s="105" t="s">
        <v>24</v>
      </c>
      <c r="G172" s="105" t="s">
        <v>197</v>
      </c>
      <c r="H172" s="105"/>
      <c r="I172" s="105"/>
      <c r="J172" s="105" t="s">
        <v>50</v>
      </c>
      <c r="K172" s="106" t="s">
        <v>27</v>
      </c>
      <c r="L172" s="155" t="s">
        <v>28</v>
      </c>
      <c r="M172" s="259" t="s">
        <v>198</v>
      </c>
      <c r="N172" s="161" t="s">
        <v>24</v>
      </c>
      <c r="O172" s="106" t="s">
        <v>62</v>
      </c>
      <c r="P172" s="5" t="s">
        <v>57</v>
      </c>
      <c r="Q172" s="189" t="s">
        <v>196</v>
      </c>
    </row>
    <row r="173" spans="1:17" ht="15" customHeight="1">
      <c r="A173" s="71" t="s">
        <v>20</v>
      </c>
      <c r="B173" s="71" t="s">
        <v>21</v>
      </c>
      <c r="C173" s="71" t="s">
        <v>22</v>
      </c>
      <c r="D173" s="88"/>
      <c r="E173" s="71">
        <v>32.1</v>
      </c>
      <c r="F173" s="71" t="s">
        <v>24</v>
      </c>
      <c r="G173" s="238" t="s">
        <v>201</v>
      </c>
      <c r="H173" s="71"/>
      <c r="I173" s="71"/>
      <c r="J173" s="71" t="s">
        <v>50</v>
      </c>
      <c r="K173" s="71" t="s">
        <v>27</v>
      </c>
      <c r="L173" s="150" t="s">
        <v>28</v>
      </c>
      <c r="M173" s="259" t="s">
        <v>202</v>
      </c>
      <c r="N173" s="157" t="s">
        <v>67</v>
      </c>
      <c r="O173" s="71" t="s">
        <v>71</v>
      </c>
      <c r="P173" s="152" t="s">
        <v>31</v>
      </c>
      <c r="Q173" s="193"/>
    </row>
    <row r="174" spans="1:17" ht="15" customHeight="1">
      <c r="A174" s="72" t="s">
        <v>32</v>
      </c>
      <c r="B174" s="72" t="s">
        <v>21</v>
      </c>
      <c r="C174" s="72" t="s">
        <v>186</v>
      </c>
      <c r="D174" s="90"/>
      <c r="E174" s="72">
        <v>32.200000000000003</v>
      </c>
      <c r="F174" s="72" t="s">
        <v>24</v>
      </c>
      <c r="G174" s="239" t="s">
        <v>201</v>
      </c>
      <c r="H174" s="72"/>
      <c r="I174" s="72"/>
      <c r="J174" s="72" t="s">
        <v>50</v>
      </c>
      <c r="K174" s="72" t="s">
        <v>27</v>
      </c>
      <c r="L174" s="151" t="s">
        <v>28</v>
      </c>
      <c r="M174" s="259" t="s">
        <v>202</v>
      </c>
      <c r="N174" s="158" t="s">
        <v>67</v>
      </c>
      <c r="O174" s="72" t="s">
        <v>71</v>
      </c>
      <c r="P174" s="56" t="s">
        <v>31</v>
      </c>
      <c r="Q174" s="72"/>
    </row>
    <row r="175" spans="1:17" ht="15" customHeight="1">
      <c r="A175" s="56" t="s">
        <v>35</v>
      </c>
      <c r="B175" s="56" t="s">
        <v>21</v>
      </c>
      <c r="C175" s="56" t="s">
        <v>36</v>
      </c>
      <c r="D175" s="230" t="s">
        <v>203</v>
      </c>
      <c r="E175" s="113">
        <v>32.299999999999997</v>
      </c>
      <c r="F175" s="56" t="s">
        <v>24</v>
      </c>
      <c r="G175" s="240" t="s">
        <v>201</v>
      </c>
      <c r="H175" s="56"/>
      <c r="I175" s="56"/>
      <c r="J175" s="56" t="s">
        <v>204</v>
      </c>
      <c r="K175" s="56" t="s">
        <v>27</v>
      </c>
      <c r="L175" s="152" t="s">
        <v>28</v>
      </c>
      <c r="M175" s="259" t="s">
        <v>202</v>
      </c>
      <c r="N175" s="159" t="s">
        <v>67</v>
      </c>
      <c r="O175" s="56" t="s">
        <v>71</v>
      </c>
      <c r="P175" s="56" t="s">
        <v>31</v>
      </c>
      <c r="Q175" s="56" t="s">
        <v>205</v>
      </c>
    </row>
    <row r="176" spans="1:17" ht="15" customHeight="1">
      <c r="A176" s="73" t="s">
        <v>38</v>
      </c>
      <c r="B176" s="73" t="s">
        <v>39</v>
      </c>
      <c r="C176" s="73" t="s">
        <v>195</v>
      </c>
      <c r="D176" s="91"/>
      <c r="E176" s="114">
        <v>32.4</v>
      </c>
      <c r="F176" s="73" t="s">
        <v>24</v>
      </c>
      <c r="G176" s="139" t="s">
        <v>201</v>
      </c>
      <c r="H176" s="73"/>
      <c r="I176" s="73"/>
      <c r="J176" s="73" t="s">
        <v>50</v>
      </c>
      <c r="K176" s="73" t="s">
        <v>27</v>
      </c>
      <c r="L176" s="153" t="s">
        <v>28</v>
      </c>
      <c r="M176" s="259" t="s">
        <v>202</v>
      </c>
      <c r="N176" s="160" t="s">
        <v>67</v>
      </c>
      <c r="O176" s="73" t="s">
        <v>71</v>
      </c>
      <c r="P176" s="56" t="s">
        <v>31</v>
      </c>
      <c r="Q176" s="73"/>
    </row>
    <row r="177" spans="1:23" ht="15" customHeight="1">
      <c r="A177" s="106" t="s">
        <v>42</v>
      </c>
      <c r="B177" s="105" t="s">
        <v>43</v>
      </c>
      <c r="C177" s="105" t="s">
        <v>44</v>
      </c>
      <c r="D177" s="103"/>
      <c r="E177" s="105">
        <v>32.5</v>
      </c>
      <c r="F177" s="105" t="s">
        <v>24</v>
      </c>
      <c r="G177" s="105" t="s">
        <v>201</v>
      </c>
      <c r="H177" s="105"/>
      <c r="I177" s="105"/>
      <c r="J177" s="105" t="s">
        <v>50</v>
      </c>
      <c r="K177" s="105" t="s">
        <v>27</v>
      </c>
      <c r="L177" s="167" t="s">
        <v>28</v>
      </c>
      <c r="M177" s="259" t="s">
        <v>202</v>
      </c>
      <c r="N177" s="203" t="s">
        <v>67</v>
      </c>
      <c r="O177" s="105" t="s">
        <v>71</v>
      </c>
      <c r="P177" s="56" t="s">
        <v>31</v>
      </c>
      <c r="Q177" s="105"/>
    </row>
    <row r="178" spans="1:23" ht="15" customHeight="1">
      <c r="A178" s="71" t="s">
        <v>20</v>
      </c>
      <c r="B178" s="71" t="s">
        <v>21</v>
      </c>
      <c r="C178" s="71" t="s">
        <v>22</v>
      </c>
      <c r="D178" s="150" t="s">
        <v>206</v>
      </c>
      <c r="E178" s="150">
        <v>33.01</v>
      </c>
      <c r="F178" s="150" t="s">
        <v>24</v>
      </c>
      <c r="G178" s="244" t="s">
        <v>207</v>
      </c>
      <c r="H178" s="150"/>
      <c r="I178" s="150"/>
      <c r="J178" s="150" t="s">
        <v>50</v>
      </c>
      <c r="K178" s="150" t="s">
        <v>27</v>
      </c>
      <c r="L178" s="150" t="s">
        <v>28</v>
      </c>
      <c r="M178" s="259" t="s">
        <v>208</v>
      </c>
      <c r="N178" s="263" t="s">
        <v>67</v>
      </c>
      <c r="O178" s="150" t="s">
        <v>71</v>
      </c>
      <c r="P178" s="56" t="s">
        <v>57</v>
      </c>
      <c r="Q178" s="169"/>
    </row>
    <row r="179" spans="1:23" ht="15" customHeight="1">
      <c r="A179" s="72" t="s">
        <v>32</v>
      </c>
      <c r="B179" s="72" t="s">
        <v>21</v>
      </c>
      <c r="C179" s="72" t="s">
        <v>186</v>
      </c>
      <c r="D179" s="158" t="s">
        <v>209</v>
      </c>
      <c r="E179" s="158">
        <v>33.020000000000003</v>
      </c>
      <c r="F179" s="158" t="s">
        <v>24</v>
      </c>
      <c r="G179" s="245" t="s">
        <v>207</v>
      </c>
      <c r="H179" s="158"/>
      <c r="I179" s="158"/>
      <c r="J179" s="158" t="s">
        <v>50</v>
      </c>
      <c r="K179" s="158" t="s">
        <v>27</v>
      </c>
      <c r="L179" s="260" t="s">
        <v>28</v>
      </c>
      <c r="M179" s="259" t="s">
        <v>208</v>
      </c>
      <c r="N179" s="158" t="s">
        <v>24</v>
      </c>
      <c r="O179" s="158" t="s">
        <v>71</v>
      </c>
      <c r="P179" s="56" t="s">
        <v>57</v>
      </c>
      <c r="Q179" s="178"/>
    </row>
    <row r="180" spans="1:23" ht="15" customHeight="1">
      <c r="A180" s="56" t="s">
        <v>35</v>
      </c>
      <c r="B180" s="56" t="s">
        <v>21</v>
      </c>
      <c r="C180" s="56" t="s">
        <v>210</v>
      </c>
      <c r="D180" s="56" t="s">
        <v>211</v>
      </c>
      <c r="E180" s="113">
        <v>33.03</v>
      </c>
      <c r="F180" s="56" t="s">
        <v>24</v>
      </c>
      <c r="G180" s="240" t="s">
        <v>212</v>
      </c>
      <c r="H180" s="56"/>
      <c r="I180" s="56" t="s">
        <v>213</v>
      </c>
      <c r="J180" s="56" t="s">
        <v>50</v>
      </c>
      <c r="K180" s="56" t="s">
        <v>27</v>
      </c>
      <c r="L180" s="152" t="s">
        <v>28</v>
      </c>
      <c r="M180" s="259" t="s">
        <v>208</v>
      </c>
      <c r="N180" s="159" t="s">
        <v>67</v>
      </c>
      <c r="O180" s="56" t="s">
        <v>71</v>
      </c>
      <c r="P180" s="56" t="s">
        <v>57</v>
      </c>
      <c r="Q180" s="56" t="s">
        <v>214</v>
      </c>
    </row>
    <row r="181" spans="1:23" ht="15" customHeight="1">
      <c r="A181" s="73" t="s">
        <v>38</v>
      </c>
      <c r="B181" s="73" t="s">
        <v>39</v>
      </c>
      <c r="C181" s="73" t="s">
        <v>195</v>
      </c>
      <c r="D181" s="91"/>
      <c r="E181" s="73">
        <v>33.04</v>
      </c>
      <c r="F181" s="73" t="s">
        <v>24</v>
      </c>
      <c r="G181" s="139" t="s">
        <v>207</v>
      </c>
      <c r="H181" s="73"/>
      <c r="I181" s="73"/>
      <c r="J181" s="73" t="s">
        <v>50</v>
      </c>
      <c r="K181" s="73" t="s">
        <v>27</v>
      </c>
      <c r="L181" s="153" t="s">
        <v>28</v>
      </c>
      <c r="M181" s="259" t="s">
        <v>208</v>
      </c>
      <c r="N181" s="160" t="s">
        <v>24</v>
      </c>
      <c r="O181" s="73" t="s">
        <v>71</v>
      </c>
      <c r="P181" s="174" t="s">
        <v>31</v>
      </c>
      <c r="Q181" s="183"/>
    </row>
    <row r="182" spans="1:23" ht="15" customHeight="1">
      <c r="A182" s="106" t="s">
        <v>42</v>
      </c>
      <c r="B182" s="105" t="s">
        <v>43</v>
      </c>
      <c r="C182" s="105" t="s">
        <v>44</v>
      </c>
      <c r="D182" s="165" t="s">
        <v>23</v>
      </c>
      <c r="E182" s="115">
        <v>33.049999999999997</v>
      </c>
      <c r="F182" s="105" t="s">
        <v>24</v>
      </c>
      <c r="G182" s="118" t="s">
        <v>207</v>
      </c>
      <c r="H182" s="106"/>
      <c r="I182" s="106"/>
      <c r="J182" s="105" t="s">
        <v>50</v>
      </c>
      <c r="K182" s="106" t="s">
        <v>27</v>
      </c>
      <c r="L182" s="155" t="s">
        <v>28</v>
      </c>
      <c r="M182" s="259" t="s">
        <v>208</v>
      </c>
      <c r="N182" s="161" t="s">
        <v>24</v>
      </c>
      <c r="O182" s="106" t="s">
        <v>62</v>
      </c>
      <c r="P182" s="56" t="s">
        <v>57</v>
      </c>
      <c r="Q182" s="189" t="s">
        <v>196</v>
      </c>
    </row>
    <row r="183" spans="1:23" ht="15" customHeight="1">
      <c r="A183" s="71" t="s">
        <v>20</v>
      </c>
      <c r="B183" s="71" t="s">
        <v>21</v>
      </c>
      <c r="C183" s="71" t="s">
        <v>22</v>
      </c>
      <c r="D183" s="150" t="s">
        <v>215</v>
      </c>
      <c r="E183" s="150">
        <v>33.049999999999997</v>
      </c>
      <c r="F183" s="150" t="s">
        <v>24</v>
      </c>
      <c r="G183" s="244" t="s">
        <v>216</v>
      </c>
      <c r="H183" s="150"/>
      <c r="I183" s="150"/>
      <c r="J183" s="150" t="s">
        <v>50</v>
      </c>
      <c r="K183" s="150" t="s">
        <v>27</v>
      </c>
      <c r="L183" s="150" t="s">
        <v>28</v>
      </c>
      <c r="M183" s="259" t="s">
        <v>217</v>
      </c>
      <c r="N183" s="263" t="s">
        <v>24</v>
      </c>
      <c r="O183" s="150" t="s">
        <v>62</v>
      </c>
      <c r="P183" s="56" t="s">
        <v>57</v>
      </c>
      <c r="Q183" s="169" t="s">
        <v>218</v>
      </c>
    </row>
    <row r="184" spans="1:23" ht="15" customHeight="1">
      <c r="A184" s="72" t="s">
        <v>32</v>
      </c>
      <c r="B184" s="72" t="s">
        <v>21</v>
      </c>
      <c r="C184" s="72" t="s">
        <v>186</v>
      </c>
      <c r="D184" s="72" t="s">
        <v>219</v>
      </c>
      <c r="E184" s="198">
        <v>33.055</v>
      </c>
      <c r="F184" s="158" t="s">
        <v>24</v>
      </c>
      <c r="G184" s="245" t="s">
        <v>216</v>
      </c>
      <c r="H184" s="158" t="s">
        <v>54</v>
      </c>
      <c r="I184" s="158" t="s">
        <v>220</v>
      </c>
      <c r="J184" s="158" t="s">
        <v>190</v>
      </c>
      <c r="K184" s="158" t="s">
        <v>27</v>
      </c>
      <c r="L184" s="260" t="s">
        <v>28</v>
      </c>
      <c r="M184" s="259" t="s">
        <v>217</v>
      </c>
      <c r="N184" s="158" t="s">
        <v>67</v>
      </c>
      <c r="O184" s="158" t="s">
        <v>30</v>
      </c>
      <c r="P184" s="176" t="str">
        <f>IFERROR(IF(VLOOKUP(D184,'[1]UAT DB Attributes'!$A:$A,1,FALSE)=D184,"Yes","No"),"No")</f>
        <v>Yes</v>
      </c>
      <c r="Q184" s="178"/>
    </row>
    <row r="185" spans="1:23" ht="15" customHeight="1">
      <c r="A185" s="56" t="s">
        <v>35</v>
      </c>
      <c r="B185" s="56" t="s">
        <v>21</v>
      </c>
      <c r="C185" s="56" t="s">
        <v>36</v>
      </c>
      <c r="D185" s="152" t="s">
        <v>221</v>
      </c>
      <c r="E185" s="152">
        <v>33.06</v>
      </c>
      <c r="F185" s="152" t="s">
        <v>24</v>
      </c>
      <c r="G185" s="246" t="s">
        <v>216</v>
      </c>
      <c r="H185" s="152"/>
      <c r="I185" s="152"/>
      <c r="J185" s="152" t="s">
        <v>50</v>
      </c>
      <c r="K185" s="152" t="s">
        <v>27</v>
      </c>
      <c r="L185" s="152" t="s">
        <v>28</v>
      </c>
      <c r="M185" s="259" t="s">
        <v>217</v>
      </c>
      <c r="N185" s="159" t="s">
        <v>24</v>
      </c>
      <c r="O185" s="56" t="s">
        <v>62</v>
      </c>
      <c r="P185" s="56" t="s">
        <v>57</v>
      </c>
      <c r="Q185" s="56" t="s">
        <v>218</v>
      </c>
    </row>
    <row r="186" spans="1:23" s="74" customFormat="1" ht="15" customHeight="1">
      <c r="A186" s="73" t="s">
        <v>38</v>
      </c>
      <c r="B186" s="73" t="s">
        <v>39</v>
      </c>
      <c r="C186" s="73" t="s">
        <v>195</v>
      </c>
      <c r="D186" s="91"/>
      <c r="E186" s="73">
        <v>33.07</v>
      </c>
      <c r="F186" s="73" t="s">
        <v>24</v>
      </c>
      <c r="G186" s="139" t="s">
        <v>216</v>
      </c>
      <c r="H186" s="73"/>
      <c r="I186" s="73"/>
      <c r="J186" s="73" t="s">
        <v>50</v>
      </c>
      <c r="K186" s="73" t="s">
        <v>27</v>
      </c>
      <c r="L186" s="153" t="s">
        <v>28</v>
      </c>
      <c r="M186" s="259" t="s">
        <v>217</v>
      </c>
      <c r="N186" s="262" t="s">
        <v>24</v>
      </c>
      <c r="O186" s="153" t="s">
        <v>62</v>
      </c>
      <c r="P186" s="176" t="s">
        <v>31</v>
      </c>
      <c r="Q186" s="183"/>
      <c r="R186"/>
      <c r="S186"/>
      <c r="T186"/>
      <c r="U186"/>
      <c r="V186"/>
      <c r="W186"/>
    </row>
    <row r="187" spans="1:23" s="74" customFormat="1" ht="15" customHeight="1">
      <c r="A187" s="106" t="s">
        <v>42</v>
      </c>
      <c r="B187" s="105" t="s">
        <v>43</v>
      </c>
      <c r="C187" s="105" t="s">
        <v>44</v>
      </c>
      <c r="D187" s="165" t="s">
        <v>23</v>
      </c>
      <c r="E187" s="115">
        <v>33.08</v>
      </c>
      <c r="F187" s="105" t="s">
        <v>24</v>
      </c>
      <c r="G187" s="105" t="s">
        <v>216</v>
      </c>
      <c r="H187" s="105"/>
      <c r="I187" s="105"/>
      <c r="J187" s="105" t="s">
        <v>50</v>
      </c>
      <c r="K187" s="106" t="s">
        <v>27</v>
      </c>
      <c r="L187" s="155" t="s">
        <v>28</v>
      </c>
      <c r="M187" s="259" t="s">
        <v>217</v>
      </c>
      <c r="N187" s="161" t="s">
        <v>24</v>
      </c>
      <c r="O187" s="106" t="s">
        <v>62</v>
      </c>
      <c r="P187" s="56" t="s">
        <v>57</v>
      </c>
      <c r="Q187" s="189" t="s">
        <v>196</v>
      </c>
      <c r="R187"/>
      <c r="S187"/>
    </row>
    <row r="188" spans="1:23" ht="15" customHeight="1">
      <c r="A188" s="71" t="s">
        <v>20</v>
      </c>
      <c r="B188" s="71" t="s">
        <v>21</v>
      </c>
      <c r="C188" s="71" t="s">
        <v>22</v>
      </c>
      <c r="D188" s="88"/>
      <c r="E188" s="111">
        <v>35.11</v>
      </c>
      <c r="F188" s="71" t="s">
        <v>24</v>
      </c>
      <c r="G188" s="238" t="s">
        <v>222</v>
      </c>
      <c r="H188" s="71"/>
      <c r="I188" s="71"/>
      <c r="J188" s="71" t="s">
        <v>50</v>
      </c>
      <c r="K188" s="71" t="s">
        <v>27</v>
      </c>
      <c r="L188" s="150" t="s">
        <v>28</v>
      </c>
      <c r="M188" s="259" t="s">
        <v>223</v>
      </c>
      <c r="N188" s="157" t="s">
        <v>24</v>
      </c>
      <c r="O188" s="71" t="s">
        <v>71</v>
      </c>
      <c r="P188" s="72" t="s">
        <v>31</v>
      </c>
      <c r="Q188" s="173"/>
    </row>
    <row r="189" spans="1:23" ht="15" customHeight="1">
      <c r="A189" s="72" t="s">
        <v>32</v>
      </c>
      <c r="B189" s="72" t="s">
        <v>21</v>
      </c>
      <c r="C189" s="72" t="s">
        <v>33</v>
      </c>
      <c r="D189" s="90"/>
      <c r="E189" s="112">
        <v>35.119999999999997</v>
      </c>
      <c r="F189" s="72" t="s">
        <v>24</v>
      </c>
      <c r="G189" s="239" t="s">
        <v>222</v>
      </c>
      <c r="H189" s="72"/>
      <c r="I189" s="72"/>
      <c r="J189" s="72" t="s">
        <v>50</v>
      </c>
      <c r="K189" s="72" t="s">
        <v>27</v>
      </c>
      <c r="L189" s="151" t="s">
        <v>28</v>
      </c>
      <c r="M189" s="259" t="s">
        <v>223</v>
      </c>
      <c r="N189" s="158" t="s">
        <v>24</v>
      </c>
      <c r="O189" s="72" t="s">
        <v>71</v>
      </c>
      <c r="P189" s="72" t="s">
        <v>31</v>
      </c>
      <c r="Q189" s="253"/>
    </row>
    <row r="190" spans="1:23" ht="15" customHeight="1">
      <c r="A190" s="56" t="s">
        <v>35</v>
      </c>
      <c r="B190" s="56" t="s">
        <v>21</v>
      </c>
      <c r="C190" s="56" t="s">
        <v>36</v>
      </c>
      <c r="D190" s="89"/>
      <c r="E190" s="56">
        <v>35.14</v>
      </c>
      <c r="F190" s="56" t="s">
        <v>24</v>
      </c>
      <c r="G190" s="240" t="s">
        <v>222</v>
      </c>
      <c r="H190" s="56"/>
      <c r="I190" s="56"/>
      <c r="J190" s="56" t="s">
        <v>50</v>
      </c>
      <c r="K190" s="56" t="s">
        <v>27</v>
      </c>
      <c r="L190" s="152" t="s">
        <v>28</v>
      </c>
      <c r="M190" s="259" t="s">
        <v>223</v>
      </c>
      <c r="N190" s="261" t="s">
        <v>24</v>
      </c>
      <c r="O190" s="152" t="s">
        <v>62</v>
      </c>
      <c r="P190" s="72" t="s">
        <v>31</v>
      </c>
      <c r="Q190" s="254"/>
    </row>
    <row r="191" spans="1:23" ht="15" customHeight="1">
      <c r="A191" s="73" t="s">
        <v>38</v>
      </c>
      <c r="B191" s="73" t="s">
        <v>39</v>
      </c>
      <c r="C191" s="73" t="s">
        <v>195</v>
      </c>
      <c r="D191" s="73" t="s">
        <v>223</v>
      </c>
      <c r="E191" s="114">
        <v>35.15</v>
      </c>
      <c r="F191" s="73" t="s">
        <v>24</v>
      </c>
      <c r="G191" s="139" t="s">
        <v>222</v>
      </c>
      <c r="H191" s="73" t="s">
        <v>54</v>
      </c>
      <c r="I191" s="73" t="s">
        <v>224</v>
      </c>
      <c r="J191" s="73" t="s">
        <v>50</v>
      </c>
      <c r="K191" s="73" t="s">
        <v>27</v>
      </c>
      <c r="L191" s="153" t="s">
        <v>28</v>
      </c>
      <c r="M191" s="259" t="s">
        <v>223</v>
      </c>
      <c r="N191" s="262" t="str">
        <f>F191</f>
        <v>string</v>
      </c>
      <c r="O191" s="153" t="s">
        <v>71</v>
      </c>
      <c r="P191" s="179" t="s">
        <v>57</v>
      </c>
      <c r="Q191" s="183" t="s">
        <v>225</v>
      </c>
    </row>
    <row r="192" spans="1:23" ht="15" customHeight="1">
      <c r="A192" s="106" t="s">
        <v>42</v>
      </c>
      <c r="B192" s="105" t="s">
        <v>43</v>
      </c>
      <c r="C192" s="105" t="s">
        <v>44</v>
      </c>
      <c r="D192" s="103"/>
      <c r="E192" s="115">
        <v>35.159999999999997</v>
      </c>
      <c r="F192" s="105" t="s">
        <v>24</v>
      </c>
      <c r="G192" s="118" t="s">
        <v>222</v>
      </c>
      <c r="H192" s="106"/>
      <c r="I192" s="106"/>
      <c r="J192" s="105" t="s">
        <v>50</v>
      </c>
      <c r="K192" s="106" t="s">
        <v>27</v>
      </c>
      <c r="L192" s="155" t="s">
        <v>28</v>
      </c>
      <c r="M192" s="259" t="s">
        <v>223</v>
      </c>
      <c r="N192" s="161" t="s">
        <v>24</v>
      </c>
      <c r="O192" s="106" t="s">
        <v>62</v>
      </c>
      <c r="P192" s="71" t="s">
        <v>31</v>
      </c>
      <c r="Q192" s="106"/>
    </row>
    <row r="193" spans="1:23" ht="15" customHeight="1">
      <c r="A193" s="71" t="s">
        <v>20</v>
      </c>
      <c r="B193" s="71" t="s">
        <v>21</v>
      </c>
      <c r="C193" s="71" t="s">
        <v>22</v>
      </c>
      <c r="D193" s="88"/>
      <c r="E193" s="111">
        <v>35.21</v>
      </c>
      <c r="F193" s="71" t="s">
        <v>24</v>
      </c>
      <c r="G193" s="238" t="s">
        <v>226</v>
      </c>
      <c r="H193" s="71"/>
      <c r="I193" s="71"/>
      <c r="J193" s="71" t="s">
        <v>50</v>
      </c>
      <c r="K193" s="71" t="s">
        <v>27</v>
      </c>
      <c r="L193" s="150" t="s">
        <v>28</v>
      </c>
      <c r="M193" s="259" t="s">
        <v>227</v>
      </c>
      <c r="N193" s="191" t="s">
        <v>24</v>
      </c>
      <c r="O193" s="191" t="s">
        <v>71</v>
      </c>
      <c r="P193" s="179" t="s">
        <v>31</v>
      </c>
      <c r="Q193" s="191"/>
    </row>
    <row r="194" spans="1:23" ht="15" customHeight="1">
      <c r="A194" s="72" t="s">
        <v>32</v>
      </c>
      <c r="B194" s="72" t="s">
        <v>21</v>
      </c>
      <c r="C194" s="72" t="s">
        <v>33</v>
      </c>
      <c r="D194" s="90"/>
      <c r="E194" s="112">
        <v>35.22</v>
      </c>
      <c r="F194" s="72" t="s">
        <v>67</v>
      </c>
      <c r="G194" s="239" t="s">
        <v>226</v>
      </c>
      <c r="H194" s="72"/>
      <c r="I194" s="72"/>
      <c r="J194" s="72" t="s">
        <v>50</v>
      </c>
      <c r="K194" s="72" t="s">
        <v>27</v>
      </c>
      <c r="L194" s="151" t="s">
        <v>28</v>
      </c>
      <c r="M194" s="259" t="s">
        <v>227</v>
      </c>
      <c r="N194" s="158" t="s">
        <v>24</v>
      </c>
      <c r="O194" s="72" t="s">
        <v>62</v>
      </c>
      <c r="P194" s="73" t="s">
        <v>31</v>
      </c>
      <c r="Q194" s="177"/>
    </row>
    <row r="195" spans="1:23" ht="15" customHeight="1">
      <c r="A195" s="56" t="s">
        <v>35</v>
      </c>
      <c r="B195" s="56" t="s">
        <v>21</v>
      </c>
      <c r="C195" s="56" t="s">
        <v>228</v>
      </c>
      <c r="D195" s="56" t="s">
        <v>229</v>
      </c>
      <c r="E195" s="113">
        <v>35.229999999999997</v>
      </c>
      <c r="F195" s="56" t="s">
        <v>24</v>
      </c>
      <c r="G195" s="240" t="s">
        <v>226</v>
      </c>
      <c r="H195" s="56"/>
      <c r="I195" s="56" t="s">
        <v>230</v>
      </c>
      <c r="J195" s="56" t="s">
        <v>50</v>
      </c>
      <c r="K195" s="56" t="s">
        <v>27</v>
      </c>
      <c r="L195" s="152" t="s">
        <v>28</v>
      </c>
      <c r="M195" s="259" t="s">
        <v>227</v>
      </c>
      <c r="N195" s="159" t="s">
        <v>67</v>
      </c>
      <c r="O195" s="56" t="s">
        <v>71</v>
      </c>
      <c r="P195" s="152" t="s">
        <v>57</v>
      </c>
      <c r="Q195" s="212" t="s">
        <v>231</v>
      </c>
    </row>
    <row r="196" spans="1:23" ht="15" customHeight="1">
      <c r="A196" s="73" t="s">
        <v>38</v>
      </c>
      <c r="B196" s="73" t="s">
        <v>39</v>
      </c>
      <c r="C196" s="73" t="s">
        <v>195</v>
      </c>
      <c r="D196" s="91"/>
      <c r="E196" s="114">
        <v>35.24</v>
      </c>
      <c r="F196" s="73" t="s">
        <v>24</v>
      </c>
      <c r="G196" s="139" t="s">
        <v>226</v>
      </c>
      <c r="H196" s="73"/>
      <c r="I196" s="73"/>
      <c r="J196" s="73" t="s">
        <v>50</v>
      </c>
      <c r="K196" s="73" t="s">
        <v>27</v>
      </c>
      <c r="L196" s="153" t="s">
        <v>28</v>
      </c>
      <c r="M196" s="259" t="s">
        <v>227</v>
      </c>
      <c r="N196" s="160" t="s">
        <v>24</v>
      </c>
      <c r="O196" s="73" t="s">
        <v>71</v>
      </c>
      <c r="P196" s="73" t="s">
        <v>31</v>
      </c>
      <c r="Q196" s="73"/>
    </row>
    <row r="197" spans="1:23" ht="15" customHeight="1">
      <c r="A197" s="106" t="s">
        <v>42</v>
      </c>
      <c r="B197" s="105" t="s">
        <v>43</v>
      </c>
      <c r="C197" s="105" t="s">
        <v>44</v>
      </c>
      <c r="D197" s="103"/>
      <c r="E197" s="115">
        <v>35.25</v>
      </c>
      <c r="F197" s="105" t="s">
        <v>24</v>
      </c>
      <c r="G197" s="118" t="s">
        <v>226</v>
      </c>
      <c r="H197" s="106"/>
      <c r="I197" s="106"/>
      <c r="J197" s="105" t="s">
        <v>50</v>
      </c>
      <c r="K197" s="106" t="s">
        <v>27</v>
      </c>
      <c r="L197" s="155" t="s">
        <v>28</v>
      </c>
      <c r="M197" s="259" t="s">
        <v>227</v>
      </c>
      <c r="N197" s="161" t="s">
        <v>24</v>
      </c>
      <c r="O197" s="106" t="s">
        <v>62</v>
      </c>
      <c r="P197" s="71" t="s">
        <v>31</v>
      </c>
      <c r="Q197" s="106"/>
    </row>
    <row r="198" spans="1:23" ht="15" customHeight="1">
      <c r="A198" s="71" t="s">
        <v>20</v>
      </c>
      <c r="B198" s="71" t="s">
        <v>21</v>
      </c>
      <c r="C198" s="71" t="s">
        <v>22</v>
      </c>
      <c r="D198" s="71" t="s">
        <v>232</v>
      </c>
      <c r="E198" s="111">
        <v>36.1</v>
      </c>
      <c r="F198" s="71" t="s">
        <v>24</v>
      </c>
      <c r="G198" s="238" t="s">
        <v>233</v>
      </c>
      <c r="H198" s="71"/>
      <c r="I198" s="71"/>
      <c r="J198" s="71" t="s">
        <v>50</v>
      </c>
      <c r="K198" s="71" t="s">
        <v>27</v>
      </c>
      <c r="L198" s="150" t="s">
        <v>28</v>
      </c>
      <c r="M198" s="259" t="s">
        <v>161</v>
      </c>
      <c r="N198" s="157" t="s">
        <v>24</v>
      </c>
      <c r="O198" s="71" t="s">
        <v>71</v>
      </c>
      <c r="P198" s="169" t="str">
        <f>IF(J198="Direct pull", "Yes", "No")</f>
        <v>Yes</v>
      </c>
      <c r="Q198" s="191"/>
    </row>
    <row r="199" spans="1:23" ht="15" customHeight="1">
      <c r="A199" s="72" t="s">
        <v>32</v>
      </c>
      <c r="B199" s="72" t="s">
        <v>21</v>
      </c>
      <c r="C199" s="72" t="s">
        <v>33</v>
      </c>
      <c r="D199" s="72" t="s">
        <v>234</v>
      </c>
      <c r="E199" s="112">
        <v>36.200000000000003</v>
      </c>
      <c r="F199" s="72" t="str">
        <f>N199</f>
        <v xml:space="preserve">string </v>
      </c>
      <c r="G199" s="239" t="s">
        <v>235</v>
      </c>
      <c r="H199" s="72" t="s">
        <v>54</v>
      </c>
      <c r="I199" s="72"/>
      <c r="J199" s="72" t="s">
        <v>50</v>
      </c>
      <c r="K199" s="72" t="s">
        <v>27</v>
      </c>
      <c r="L199" s="151" t="s">
        <v>28</v>
      </c>
      <c r="M199" s="259" t="s">
        <v>161</v>
      </c>
      <c r="N199" s="260" t="s">
        <v>67</v>
      </c>
      <c r="O199" s="151" t="s">
        <v>62</v>
      </c>
      <c r="P199" s="72" t="str">
        <f>IFERROR(IF(VLOOKUP(D199,'[1]UAT DB Attributes'!$A:$A,1,FALSE)=D199,"Yes","No"),"No")</f>
        <v>Yes</v>
      </c>
      <c r="Q199" s="72"/>
    </row>
    <row r="200" spans="1:23" ht="15" customHeight="1">
      <c r="A200" s="56" t="s">
        <v>35</v>
      </c>
      <c r="B200" s="56" t="s">
        <v>21</v>
      </c>
      <c r="C200" s="56" t="s">
        <v>228</v>
      </c>
      <c r="D200" s="230" t="s">
        <v>203</v>
      </c>
      <c r="E200" s="113">
        <v>36.299999999999997</v>
      </c>
      <c r="F200" s="56" t="s">
        <v>24</v>
      </c>
      <c r="G200" s="240" t="s">
        <v>233</v>
      </c>
      <c r="H200" s="56"/>
      <c r="I200" s="56" t="s">
        <v>236</v>
      </c>
      <c r="J200" s="56" t="s">
        <v>50</v>
      </c>
      <c r="K200" s="56" t="s">
        <v>27</v>
      </c>
      <c r="L200" s="152" t="s">
        <v>28</v>
      </c>
      <c r="M200" s="259" t="s">
        <v>161</v>
      </c>
      <c r="N200" s="159" t="s">
        <v>24</v>
      </c>
      <c r="O200" s="56" t="s">
        <v>71</v>
      </c>
      <c r="P200" s="174" t="s">
        <v>31</v>
      </c>
      <c r="Q200" s="209" t="s">
        <v>203</v>
      </c>
    </row>
    <row r="201" spans="1:23" s="74" customFormat="1" ht="15" customHeight="1">
      <c r="A201" s="73" t="s">
        <v>38</v>
      </c>
      <c r="B201" s="73" t="s">
        <v>39</v>
      </c>
      <c r="C201" s="73" t="s">
        <v>195</v>
      </c>
      <c r="D201" s="231" t="s">
        <v>203</v>
      </c>
      <c r="E201" s="114">
        <v>36.35</v>
      </c>
      <c r="F201" s="73" t="s">
        <v>67</v>
      </c>
      <c r="G201" s="139" t="s">
        <v>159</v>
      </c>
      <c r="H201" s="73" t="s">
        <v>54</v>
      </c>
      <c r="I201" s="73" t="s">
        <v>237</v>
      </c>
      <c r="J201" s="73" t="s">
        <v>50</v>
      </c>
      <c r="K201" s="73" t="s">
        <v>27</v>
      </c>
      <c r="L201" s="153" t="s">
        <v>28</v>
      </c>
      <c r="M201" s="259" t="s">
        <v>161</v>
      </c>
      <c r="N201" s="160" t="s">
        <v>67</v>
      </c>
      <c r="O201" s="73" t="s">
        <v>71</v>
      </c>
      <c r="P201" s="153" t="s">
        <v>31</v>
      </c>
      <c r="Q201" s="214" t="s">
        <v>238</v>
      </c>
      <c r="R201"/>
      <c r="S201"/>
      <c r="T201"/>
      <c r="U201"/>
      <c r="V201"/>
      <c r="W201"/>
    </row>
    <row r="202" spans="1:23" s="74" customFormat="1" ht="15" customHeight="1">
      <c r="A202" s="106" t="s">
        <v>42</v>
      </c>
      <c r="B202" s="105" t="s">
        <v>43</v>
      </c>
      <c r="C202" s="105" t="s">
        <v>44</v>
      </c>
      <c r="D202" s="235" t="s">
        <v>161</v>
      </c>
      <c r="E202" s="115">
        <v>36.4</v>
      </c>
      <c r="F202" s="105" t="s">
        <v>81</v>
      </c>
      <c r="G202" s="105" t="s">
        <v>159</v>
      </c>
      <c r="H202" s="105"/>
      <c r="I202" s="105"/>
      <c r="J202" s="105" t="s">
        <v>50</v>
      </c>
      <c r="K202" s="105" t="s">
        <v>27</v>
      </c>
      <c r="L202" s="167" t="s">
        <v>28</v>
      </c>
      <c r="M202" s="259" t="s">
        <v>161</v>
      </c>
      <c r="N202" s="161" t="s">
        <v>67</v>
      </c>
      <c r="O202" s="106" t="s">
        <v>62</v>
      </c>
      <c r="P202" s="169" t="str">
        <f>IF(J202="Direct pull", "Yes", "No")</f>
        <v>Yes</v>
      </c>
      <c r="Q202" s="215"/>
      <c r="R202"/>
      <c r="S202"/>
      <c r="T202"/>
      <c r="U202"/>
      <c r="V202"/>
      <c r="W202"/>
    </row>
    <row r="203" spans="1:23" s="74" customFormat="1" ht="15" customHeight="1">
      <c r="A203" s="71" t="s">
        <v>20</v>
      </c>
      <c r="B203" s="71" t="s">
        <v>21</v>
      </c>
      <c r="C203" s="71" t="s">
        <v>239</v>
      </c>
      <c r="D203" s="71" t="s">
        <v>240</v>
      </c>
      <c r="E203" s="111">
        <v>37.1</v>
      </c>
      <c r="F203" s="71" t="s">
        <v>24</v>
      </c>
      <c r="G203" s="238" t="s">
        <v>241</v>
      </c>
      <c r="H203" s="71"/>
      <c r="I203" s="71" t="s">
        <v>242</v>
      </c>
      <c r="J203" s="71" t="s">
        <v>50</v>
      </c>
      <c r="K203" s="71" t="s">
        <v>27</v>
      </c>
      <c r="L203" s="150" t="s">
        <v>28</v>
      </c>
      <c r="M203" s="259" t="s">
        <v>243</v>
      </c>
      <c r="N203" s="157" t="s">
        <v>67</v>
      </c>
      <c r="O203" s="71" t="s">
        <v>30</v>
      </c>
      <c r="P203" s="169" t="str">
        <f>IF(J203="Direct pull", "Yes", "No")</f>
        <v>Yes</v>
      </c>
      <c r="Q203" s="157" t="s">
        <v>244</v>
      </c>
      <c r="R203"/>
      <c r="S203"/>
      <c r="T203"/>
      <c r="U203"/>
      <c r="V203"/>
      <c r="W203"/>
    </row>
    <row r="204" spans="1:23" s="74" customFormat="1" ht="15" customHeight="1">
      <c r="A204" s="72" t="s">
        <v>32</v>
      </c>
      <c r="B204" s="72" t="s">
        <v>21</v>
      </c>
      <c r="C204" s="72" t="s">
        <v>186</v>
      </c>
      <c r="D204" s="72" t="s">
        <v>245</v>
      </c>
      <c r="E204" s="112">
        <v>37.200000000000003</v>
      </c>
      <c r="F204" s="72" t="s">
        <v>24</v>
      </c>
      <c r="G204" s="239" t="s">
        <v>246</v>
      </c>
      <c r="H204" s="72" t="s">
        <v>54</v>
      </c>
      <c r="I204" s="72" t="s">
        <v>247</v>
      </c>
      <c r="J204" s="72" t="s">
        <v>190</v>
      </c>
      <c r="K204" s="72" t="s">
        <v>27</v>
      </c>
      <c r="L204" s="151" t="s">
        <v>28</v>
      </c>
      <c r="M204" s="259" t="s">
        <v>243</v>
      </c>
      <c r="N204" s="158" t="s">
        <v>67</v>
      </c>
      <c r="O204" s="72" t="s">
        <v>30</v>
      </c>
      <c r="P204" s="72" t="str">
        <f>IFERROR(IF(VLOOKUP(D204,'[1]UAT DB Attributes'!$A:$A,1,FALSE)=D204,"Yes","No"),"No")</f>
        <v>Yes</v>
      </c>
      <c r="Q204" s="177"/>
      <c r="R204"/>
      <c r="S204"/>
    </row>
    <row r="205" spans="1:23" s="74" customFormat="1" ht="15" customHeight="1">
      <c r="A205" s="56" t="s">
        <v>35</v>
      </c>
      <c r="B205" s="56" t="s">
        <v>21</v>
      </c>
      <c r="C205" s="56" t="s">
        <v>228</v>
      </c>
      <c r="D205" s="56" t="s">
        <v>248</v>
      </c>
      <c r="E205" s="113">
        <v>37.299999999999997</v>
      </c>
      <c r="F205" s="56" t="s">
        <v>24</v>
      </c>
      <c r="G205" s="240" t="s">
        <v>241</v>
      </c>
      <c r="H205" s="56"/>
      <c r="I205" s="56" t="s">
        <v>249</v>
      </c>
      <c r="J205" s="56" t="s">
        <v>50</v>
      </c>
      <c r="K205" s="56" t="s">
        <v>27</v>
      </c>
      <c r="L205" s="152" t="s">
        <v>28</v>
      </c>
      <c r="M205" s="259" t="s">
        <v>243</v>
      </c>
      <c r="N205" s="159" t="s">
        <v>67</v>
      </c>
      <c r="O205" s="56" t="s">
        <v>30</v>
      </c>
      <c r="P205" s="56" t="s">
        <v>250</v>
      </c>
      <c r="Q205" s="56" t="s">
        <v>231</v>
      </c>
      <c r="R205"/>
      <c r="S205"/>
      <c r="T205"/>
      <c r="U205"/>
      <c r="V205"/>
      <c r="W205"/>
    </row>
    <row r="206" spans="1:23" s="74" customFormat="1" ht="15" customHeight="1">
      <c r="A206" s="73" t="s">
        <v>38</v>
      </c>
      <c r="B206" s="73" t="s">
        <v>39</v>
      </c>
      <c r="C206" s="73" t="s">
        <v>195</v>
      </c>
      <c r="D206" s="231" t="s">
        <v>203</v>
      </c>
      <c r="E206" s="114">
        <v>37.4</v>
      </c>
      <c r="F206" s="73" t="s">
        <v>24</v>
      </c>
      <c r="G206" s="139" t="s">
        <v>251</v>
      </c>
      <c r="H206" s="73" t="s">
        <v>54</v>
      </c>
      <c r="I206" s="73"/>
      <c r="J206" s="73" t="s">
        <v>252</v>
      </c>
      <c r="K206" s="73" t="s">
        <v>27</v>
      </c>
      <c r="L206" s="153" t="s">
        <v>28</v>
      </c>
      <c r="M206" s="259" t="s">
        <v>243</v>
      </c>
      <c r="N206" s="185" t="s">
        <v>24</v>
      </c>
      <c r="O206" s="183" t="s">
        <v>30</v>
      </c>
      <c r="P206" s="56" t="s">
        <v>250</v>
      </c>
      <c r="Q206" s="183" t="s">
        <v>253</v>
      </c>
      <c r="R206"/>
      <c r="S206"/>
      <c r="T206"/>
      <c r="U206"/>
      <c r="V206"/>
      <c r="W206"/>
    </row>
    <row r="207" spans="1:23" s="74" customFormat="1" ht="15" customHeight="1">
      <c r="A207" s="106" t="s">
        <v>42</v>
      </c>
      <c r="B207" s="105" t="s">
        <v>43</v>
      </c>
      <c r="C207" s="105" t="s">
        <v>44</v>
      </c>
      <c r="D207" s="165" t="s">
        <v>23</v>
      </c>
      <c r="E207" s="115">
        <v>37.5</v>
      </c>
      <c r="F207" s="105" t="s">
        <v>24</v>
      </c>
      <c r="G207" s="118" t="s">
        <v>241</v>
      </c>
      <c r="H207" s="106"/>
      <c r="I207" s="106"/>
      <c r="J207" s="105" t="s">
        <v>50</v>
      </c>
      <c r="K207" s="106" t="s">
        <v>27</v>
      </c>
      <c r="L207" s="155" t="s">
        <v>28</v>
      </c>
      <c r="M207" s="259" t="s">
        <v>243</v>
      </c>
      <c r="N207" s="186" t="s">
        <v>24</v>
      </c>
      <c r="O207" s="106" t="s">
        <v>62</v>
      </c>
      <c r="P207" s="56" t="s">
        <v>57</v>
      </c>
      <c r="Q207" s="189" t="s">
        <v>196</v>
      </c>
      <c r="R207"/>
      <c r="S207"/>
      <c r="T207"/>
      <c r="U207"/>
      <c r="V207"/>
      <c r="W207"/>
    </row>
    <row r="208" spans="1:23" s="74" customFormat="1" ht="15" customHeight="1">
      <c r="A208" s="71" t="s">
        <v>20</v>
      </c>
      <c r="B208" s="71" t="s">
        <v>21</v>
      </c>
      <c r="C208" s="71" t="s">
        <v>239</v>
      </c>
      <c r="D208" s="88"/>
      <c r="E208" s="111">
        <v>38.1</v>
      </c>
      <c r="F208" s="71" t="s">
        <v>24</v>
      </c>
      <c r="G208" s="238" t="s">
        <v>254</v>
      </c>
      <c r="H208" s="71"/>
      <c r="I208" s="71"/>
      <c r="J208" s="71" t="s">
        <v>255</v>
      </c>
      <c r="K208" s="71" t="s">
        <v>27</v>
      </c>
      <c r="L208" s="150" t="s">
        <v>28</v>
      </c>
      <c r="M208" s="259" t="s">
        <v>256</v>
      </c>
      <c r="N208" s="157" t="s">
        <v>24</v>
      </c>
      <c r="O208" s="71" t="s">
        <v>30</v>
      </c>
      <c r="P208" s="71" t="s">
        <v>31</v>
      </c>
      <c r="Q208" s="169"/>
      <c r="R208"/>
      <c r="S208"/>
      <c r="T208"/>
      <c r="U208"/>
      <c r="V208"/>
      <c r="W208"/>
    </row>
    <row r="209" spans="1:23" s="74" customFormat="1" ht="15" customHeight="1">
      <c r="A209" s="72" t="s">
        <v>32</v>
      </c>
      <c r="B209" s="72" t="s">
        <v>21</v>
      </c>
      <c r="C209" s="72" t="s">
        <v>186</v>
      </c>
      <c r="D209" s="90"/>
      <c r="E209" s="112">
        <v>38.200000000000003</v>
      </c>
      <c r="F209" s="72" t="s">
        <v>24</v>
      </c>
      <c r="G209" s="239" t="s">
        <v>254</v>
      </c>
      <c r="H209" s="72"/>
      <c r="I209" s="72"/>
      <c r="J209" s="72" t="s">
        <v>252</v>
      </c>
      <c r="K209" s="72" t="s">
        <v>27</v>
      </c>
      <c r="L209" s="151" t="s">
        <v>28</v>
      </c>
      <c r="M209" s="259" t="s">
        <v>256</v>
      </c>
      <c r="N209" s="158" t="s">
        <v>24</v>
      </c>
      <c r="O209" s="72" t="s">
        <v>30</v>
      </c>
      <c r="P209" s="169" t="s">
        <v>31</v>
      </c>
      <c r="Q209" s="178"/>
      <c r="R209"/>
      <c r="S209"/>
      <c r="T209"/>
      <c r="U209"/>
      <c r="V209"/>
      <c r="W209"/>
    </row>
    <row r="210" spans="1:23" ht="15" customHeight="1">
      <c r="A210" s="56" t="s">
        <v>35</v>
      </c>
      <c r="B210" s="56" t="s">
        <v>21</v>
      </c>
      <c r="C210" s="56" t="s">
        <v>228</v>
      </c>
      <c r="D210" s="89"/>
      <c r="E210" s="113">
        <v>38.299999999999997</v>
      </c>
      <c r="F210" s="56" t="s">
        <v>24</v>
      </c>
      <c r="G210" s="240" t="s">
        <v>254</v>
      </c>
      <c r="H210" s="56"/>
      <c r="I210" s="56"/>
      <c r="J210" s="56" t="s">
        <v>252</v>
      </c>
      <c r="K210" s="56" t="s">
        <v>27</v>
      </c>
      <c r="L210" s="152" t="s">
        <v>28</v>
      </c>
      <c r="M210" s="259" t="s">
        <v>256</v>
      </c>
      <c r="N210" s="159" t="s">
        <v>24</v>
      </c>
      <c r="O210" s="56" t="s">
        <v>30</v>
      </c>
      <c r="P210" s="169" t="s">
        <v>31</v>
      </c>
      <c r="Q210" s="171"/>
    </row>
    <row r="211" spans="1:23" ht="15" customHeight="1">
      <c r="A211" s="73" t="s">
        <v>38</v>
      </c>
      <c r="B211" s="73" t="s">
        <v>39</v>
      </c>
      <c r="C211" s="73" t="s">
        <v>195</v>
      </c>
      <c r="D211" s="231" t="s">
        <v>203</v>
      </c>
      <c r="E211" s="114">
        <v>38.4</v>
      </c>
      <c r="F211" s="73" t="s">
        <v>24</v>
      </c>
      <c r="G211" s="139" t="s">
        <v>254</v>
      </c>
      <c r="H211" s="73" t="s">
        <v>54</v>
      </c>
      <c r="I211" s="73"/>
      <c r="J211" s="73" t="s">
        <v>252</v>
      </c>
      <c r="K211" s="73" t="s">
        <v>27</v>
      </c>
      <c r="L211" s="153" t="s">
        <v>28</v>
      </c>
      <c r="M211" s="259" t="s">
        <v>256</v>
      </c>
      <c r="N211" s="160" t="s">
        <v>24</v>
      </c>
      <c r="O211" s="73" t="s">
        <v>30</v>
      </c>
      <c r="P211" s="56" t="s">
        <v>57</v>
      </c>
      <c r="Q211" s="172" t="s">
        <v>253</v>
      </c>
    </row>
    <row r="212" spans="1:23" ht="15" customHeight="1">
      <c r="A212" s="106" t="s">
        <v>42</v>
      </c>
      <c r="B212" s="105" t="s">
        <v>43</v>
      </c>
      <c r="C212" s="105" t="s">
        <v>44</v>
      </c>
      <c r="D212" s="165" t="s">
        <v>23</v>
      </c>
      <c r="E212" s="115">
        <v>38.5</v>
      </c>
      <c r="F212" s="105" t="s">
        <v>24</v>
      </c>
      <c r="G212" s="118" t="s">
        <v>254</v>
      </c>
      <c r="H212" s="106"/>
      <c r="I212" s="106"/>
      <c r="J212" s="105" t="s">
        <v>50</v>
      </c>
      <c r="K212" s="106" t="s">
        <v>27</v>
      </c>
      <c r="L212" s="155" t="s">
        <v>28</v>
      </c>
      <c r="M212" s="259" t="s">
        <v>256</v>
      </c>
      <c r="N212" s="161" t="s">
        <v>24</v>
      </c>
      <c r="O212" s="106" t="s">
        <v>62</v>
      </c>
      <c r="P212" s="56" t="s">
        <v>57</v>
      </c>
      <c r="Q212" s="189" t="s">
        <v>196</v>
      </c>
    </row>
    <row r="213" spans="1:23" s="74" customFormat="1" ht="15" customHeight="1">
      <c r="A213" s="71" t="s">
        <v>20</v>
      </c>
      <c r="B213" s="71" t="s">
        <v>21</v>
      </c>
      <c r="C213" s="71" t="s">
        <v>22</v>
      </c>
      <c r="D213" s="71" t="s">
        <v>257</v>
      </c>
      <c r="E213" s="111">
        <v>39.1</v>
      </c>
      <c r="F213" s="71" t="s">
        <v>24</v>
      </c>
      <c r="G213" s="238" t="s">
        <v>258</v>
      </c>
      <c r="H213" s="71"/>
      <c r="I213" s="71"/>
      <c r="J213" s="71" t="s">
        <v>50</v>
      </c>
      <c r="K213" s="71" t="s">
        <v>27</v>
      </c>
      <c r="L213" s="150" t="s">
        <v>28</v>
      </c>
      <c r="M213" s="259" t="s">
        <v>257</v>
      </c>
      <c r="N213" s="157" t="s">
        <v>67</v>
      </c>
      <c r="O213" s="71" t="s">
        <v>30</v>
      </c>
      <c r="P213" s="71" t="str">
        <f>IF(J213="Direct pull", "Yes", "No")</f>
        <v>Yes</v>
      </c>
      <c r="Q213" s="206"/>
      <c r="R213"/>
      <c r="S213"/>
      <c r="T213"/>
      <c r="U213"/>
      <c r="V213"/>
      <c r="W213"/>
    </row>
    <row r="214" spans="1:23" ht="15" customHeight="1">
      <c r="A214" s="72" t="s">
        <v>32</v>
      </c>
      <c r="B214" s="72" t="s">
        <v>21</v>
      </c>
      <c r="C214" s="72" t="s">
        <v>33</v>
      </c>
      <c r="D214" s="72" t="s">
        <v>259</v>
      </c>
      <c r="E214" s="112">
        <v>39.200000000000003</v>
      </c>
      <c r="F214" s="72" t="s">
        <v>24</v>
      </c>
      <c r="G214" s="239" t="s">
        <v>260</v>
      </c>
      <c r="H214" s="72" t="s">
        <v>54</v>
      </c>
      <c r="I214" s="72"/>
      <c r="J214" s="72" t="s">
        <v>50</v>
      </c>
      <c r="K214" s="72" t="s">
        <v>27</v>
      </c>
      <c r="L214" s="151" t="s">
        <v>28</v>
      </c>
      <c r="M214" s="259" t="s">
        <v>257</v>
      </c>
      <c r="N214" s="158" t="s">
        <v>67</v>
      </c>
      <c r="O214" s="72" t="s">
        <v>30</v>
      </c>
      <c r="P214" s="176" t="str">
        <f>IFERROR(IF(VLOOKUP(D214,'[1]UAT DB Attributes'!$A:$A,1,FALSE)=D214,"Yes","No"),"No")</f>
        <v>Yes</v>
      </c>
      <c r="Q214" s="178"/>
    </row>
    <row r="215" spans="1:23" ht="15" customHeight="1">
      <c r="A215" s="56" t="s">
        <v>35</v>
      </c>
      <c r="B215" s="56" t="s">
        <v>21</v>
      </c>
      <c r="C215" s="56" t="s">
        <v>36</v>
      </c>
      <c r="D215" s="56" t="s">
        <v>257</v>
      </c>
      <c r="E215" s="113">
        <v>39.299999999999997</v>
      </c>
      <c r="F215" s="56" t="str">
        <f>VLOOKUP(D215,'[2]UAT DB Attributes'!$A:$B,2,FALSE)</f>
        <v>string</v>
      </c>
      <c r="G215" s="240" t="s">
        <v>258</v>
      </c>
      <c r="H215" s="56"/>
      <c r="I215" s="56"/>
      <c r="J215" s="56" t="s">
        <v>50</v>
      </c>
      <c r="K215" s="56" t="s">
        <v>27</v>
      </c>
      <c r="L215" s="152" t="s">
        <v>28</v>
      </c>
      <c r="M215" s="259" t="s">
        <v>257</v>
      </c>
      <c r="N215" s="159" t="s">
        <v>67</v>
      </c>
      <c r="O215" s="56" t="s">
        <v>30</v>
      </c>
      <c r="P215" s="56" t="str">
        <f>IFERROR(IF(VLOOKUP(D215,'[2]UAT DB Attributes'!$A:$A,1,FALSE)=D215,"Yes","No"),"No")</f>
        <v>Yes</v>
      </c>
      <c r="Q215" s="174"/>
    </row>
    <row r="216" spans="1:23" ht="15" customHeight="1">
      <c r="A216" s="73" t="s">
        <v>38</v>
      </c>
      <c r="B216" s="73" t="s">
        <v>39</v>
      </c>
      <c r="C216" s="73" t="s">
        <v>40</v>
      </c>
      <c r="D216" s="91"/>
      <c r="E216" s="114">
        <v>39.4</v>
      </c>
      <c r="F216" s="73" t="s">
        <v>24</v>
      </c>
      <c r="G216" s="139" t="s">
        <v>258</v>
      </c>
      <c r="H216" s="73"/>
      <c r="I216" s="73"/>
      <c r="J216" s="73" t="s">
        <v>50</v>
      </c>
      <c r="K216" s="73" t="s">
        <v>27</v>
      </c>
      <c r="L216" s="153" t="s">
        <v>28</v>
      </c>
      <c r="M216" s="259" t="s">
        <v>257</v>
      </c>
      <c r="N216" s="160" t="s">
        <v>24</v>
      </c>
      <c r="O216" s="73" t="s">
        <v>30</v>
      </c>
      <c r="P216" s="71" t="s">
        <v>31</v>
      </c>
      <c r="Q216" s="73"/>
    </row>
    <row r="217" spans="1:23" ht="15" customHeight="1">
      <c r="A217" s="106" t="s">
        <v>42</v>
      </c>
      <c r="B217" s="105" t="s">
        <v>43</v>
      </c>
      <c r="C217" s="105" t="s">
        <v>44</v>
      </c>
      <c r="D217" s="118" t="s">
        <v>257</v>
      </c>
      <c r="E217" s="115">
        <v>39.5</v>
      </c>
      <c r="F217" s="105" t="s">
        <v>24</v>
      </c>
      <c r="G217" s="118" t="s">
        <v>260</v>
      </c>
      <c r="H217" s="106"/>
      <c r="I217" s="106"/>
      <c r="J217" s="105" t="s">
        <v>50</v>
      </c>
      <c r="K217" s="106" t="s">
        <v>27</v>
      </c>
      <c r="L217" s="155" t="s">
        <v>28</v>
      </c>
      <c r="M217" s="259" t="s">
        <v>257</v>
      </c>
      <c r="N217" s="161" t="s">
        <v>24</v>
      </c>
      <c r="O217" s="161" t="s">
        <v>62</v>
      </c>
      <c r="P217" s="207" t="s">
        <v>57</v>
      </c>
      <c r="Q217" s="161"/>
    </row>
    <row r="218" spans="1:23" s="74" customFormat="1" ht="15" customHeight="1">
      <c r="A218" s="71" t="s">
        <v>20</v>
      </c>
      <c r="B218" s="71" t="s">
        <v>21</v>
      </c>
      <c r="C218" s="71" t="s">
        <v>22</v>
      </c>
      <c r="D218" s="232"/>
      <c r="E218" s="111">
        <v>40.1</v>
      </c>
      <c r="F218" s="71" t="s">
        <v>24</v>
      </c>
      <c r="G218" s="238" t="s">
        <v>261</v>
      </c>
      <c r="H218" s="71"/>
      <c r="I218" s="71"/>
      <c r="J218" s="71" t="s">
        <v>50</v>
      </c>
      <c r="K218" s="71" t="s">
        <v>27</v>
      </c>
      <c r="L218" s="150" t="s">
        <v>28</v>
      </c>
      <c r="M218" s="259" t="s">
        <v>262</v>
      </c>
      <c r="N218" s="157" t="s">
        <v>24</v>
      </c>
      <c r="O218" s="71" t="s">
        <v>30</v>
      </c>
      <c r="P218" s="56" t="s">
        <v>31</v>
      </c>
      <c r="Q218" s="168"/>
      <c r="R218"/>
      <c r="S218"/>
      <c r="T218"/>
      <c r="U218"/>
      <c r="V218"/>
      <c r="W218"/>
    </row>
    <row r="219" spans="1:23" ht="15" customHeight="1">
      <c r="A219" s="72" t="s">
        <v>32</v>
      </c>
      <c r="B219" s="72" t="s">
        <v>21</v>
      </c>
      <c r="C219" s="72" t="s">
        <v>33</v>
      </c>
      <c r="D219" s="90"/>
      <c r="E219" s="112">
        <v>40.200000000000003</v>
      </c>
      <c r="F219" s="72" t="s">
        <v>24</v>
      </c>
      <c r="G219" s="239" t="s">
        <v>261</v>
      </c>
      <c r="H219" s="72"/>
      <c r="I219" s="72"/>
      <c r="J219" s="72" t="s">
        <v>50</v>
      </c>
      <c r="K219" s="72" t="s">
        <v>27</v>
      </c>
      <c r="L219" s="151" t="s">
        <v>28</v>
      </c>
      <c r="M219" s="259" t="s">
        <v>262</v>
      </c>
      <c r="N219" s="158" t="s">
        <v>24</v>
      </c>
      <c r="O219" s="72" t="s">
        <v>30</v>
      </c>
      <c r="P219" s="56" t="s">
        <v>31</v>
      </c>
      <c r="Q219" s="213"/>
    </row>
    <row r="220" spans="1:23" ht="15" customHeight="1">
      <c r="A220" s="56" t="s">
        <v>35</v>
      </c>
      <c r="B220" s="56" t="s">
        <v>21</v>
      </c>
      <c r="C220" s="56" t="s">
        <v>36</v>
      </c>
      <c r="D220" s="89"/>
      <c r="E220" s="113">
        <v>40.299999999999997</v>
      </c>
      <c r="F220" s="56" t="s">
        <v>24</v>
      </c>
      <c r="G220" s="240" t="s">
        <v>261</v>
      </c>
      <c r="H220" s="56"/>
      <c r="I220" s="56"/>
      <c r="J220" s="56" t="s">
        <v>50</v>
      </c>
      <c r="K220" s="56" t="s">
        <v>27</v>
      </c>
      <c r="L220" s="152" t="s">
        <v>28</v>
      </c>
      <c r="M220" s="259" t="s">
        <v>262</v>
      </c>
      <c r="N220" s="159" t="s">
        <v>24</v>
      </c>
      <c r="O220" s="56" t="s">
        <v>30</v>
      </c>
      <c r="P220" s="174" t="s">
        <v>31</v>
      </c>
      <c r="Q220" s="209"/>
    </row>
    <row r="221" spans="1:23" s="74" customFormat="1" ht="15" customHeight="1">
      <c r="A221" s="73" t="s">
        <v>38</v>
      </c>
      <c r="B221" s="73" t="s">
        <v>39</v>
      </c>
      <c r="C221" s="73" t="s">
        <v>40</v>
      </c>
      <c r="D221" s="73" t="s">
        <v>263</v>
      </c>
      <c r="E221" s="114">
        <v>40.4</v>
      </c>
      <c r="F221" s="73" t="s">
        <v>24</v>
      </c>
      <c r="G221" s="139" t="s">
        <v>261</v>
      </c>
      <c r="H221" s="73" t="s">
        <v>54</v>
      </c>
      <c r="I221" s="73"/>
      <c r="J221" s="73" t="s">
        <v>50</v>
      </c>
      <c r="K221" s="73" t="s">
        <v>27</v>
      </c>
      <c r="L221" s="153" t="s">
        <v>28</v>
      </c>
      <c r="M221" s="259" t="str">
        <f>VLOOKUP(D221,[3]Actions!$J$2:$J$89, 1, FALSE)</f>
        <v>parent_path</v>
      </c>
      <c r="N221" s="160" t="s">
        <v>24</v>
      </c>
      <c r="O221" s="73" t="s">
        <v>30</v>
      </c>
      <c r="P221" s="73" t="s">
        <v>57</v>
      </c>
      <c r="Q221" s="73" t="s">
        <v>264</v>
      </c>
      <c r="R221"/>
      <c r="S221"/>
      <c r="T221"/>
      <c r="U221"/>
      <c r="V221"/>
    </row>
    <row r="222" spans="1:23" ht="15" customHeight="1">
      <c r="A222" s="106" t="s">
        <v>42</v>
      </c>
      <c r="B222" s="105" t="s">
        <v>43</v>
      </c>
      <c r="C222" s="105" t="s">
        <v>44</v>
      </c>
      <c r="D222" s="235" t="s">
        <v>263</v>
      </c>
      <c r="E222" s="115">
        <v>40.5</v>
      </c>
      <c r="F222" s="105" t="s">
        <v>24</v>
      </c>
      <c r="G222" s="118" t="s">
        <v>261</v>
      </c>
      <c r="H222" s="106"/>
      <c r="I222" s="106"/>
      <c r="J222" s="105" t="s">
        <v>50</v>
      </c>
      <c r="K222" s="106" t="s">
        <v>27</v>
      </c>
      <c r="L222" s="155" t="s">
        <v>28</v>
      </c>
      <c r="M222" s="259" t="s">
        <v>262</v>
      </c>
      <c r="N222" s="161" t="s">
        <v>24</v>
      </c>
      <c r="O222" s="106" t="s">
        <v>62</v>
      </c>
      <c r="P222" s="80" t="s">
        <v>57</v>
      </c>
      <c r="Q222" s="190"/>
    </row>
    <row r="223" spans="1:23" ht="15" customHeight="1">
      <c r="A223" s="71" t="s">
        <v>20</v>
      </c>
      <c r="B223" s="71" t="s">
        <v>21</v>
      </c>
      <c r="C223" s="71" t="s">
        <v>22</v>
      </c>
      <c r="D223" s="88"/>
      <c r="E223" s="111">
        <v>41.1</v>
      </c>
      <c r="F223" s="71" t="s">
        <v>24</v>
      </c>
      <c r="G223" s="238" t="s">
        <v>265</v>
      </c>
      <c r="H223" s="71"/>
      <c r="I223" s="71"/>
      <c r="J223" s="71" t="s">
        <v>50</v>
      </c>
      <c r="K223" s="71" t="s">
        <v>27</v>
      </c>
      <c r="L223" s="150" t="s">
        <v>28</v>
      </c>
      <c r="M223" s="259" t="s">
        <v>266</v>
      </c>
      <c r="N223" s="157" t="s">
        <v>24</v>
      </c>
      <c r="O223" s="71" t="s">
        <v>30</v>
      </c>
      <c r="P223" s="176" t="s">
        <v>31</v>
      </c>
      <c r="Q223" s="170"/>
    </row>
    <row r="224" spans="1:23" s="74" customFormat="1" ht="15" customHeight="1">
      <c r="A224" s="72" t="s">
        <v>32</v>
      </c>
      <c r="B224" s="72" t="s">
        <v>21</v>
      </c>
      <c r="C224" s="72" t="s">
        <v>33</v>
      </c>
      <c r="D224" s="90"/>
      <c r="E224" s="112">
        <v>41.2</v>
      </c>
      <c r="F224" s="72" t="s">
        <v>24</v>
      </c>
      <c r="G224" s="239" t="s">
        <v>265</v>
      </c>
      <c r="H224" s="72"/>
      <c r="I224" s="72"/>
      <c r="J224" s="72" t="s">
        <v>50</v>
      </c>
      <c r="K224" s="72" t="s">
        <v>27</v>
      </c>
      <c r="L224" s="151" t="s">
        <v>28</v>
      </c>
      <c r="M224" s="259" t="s">
        <v>266</v>
      </c>
      <c r="N224" s="158" t="s">
        <v>24</v>
      </c>
      <c r="O224" s="72" t="s">
        <v>30</v>
      </c>
      <c r="P224" s="72" t="s">
        <v>31</v>
      </c>
      <c r="Q224" s="176"/>
      <c r="R224"/>
      <c r="S224"/>
      <c r="T224"/>
      <c r="U224"/>
      <c r="V224"/>
    </row>
    <row r="225" spans="1:22" s="74" customFormat="1" ht="15" customHeight="1">
      <c r="A225" s="56" t="s">
        <v>35</v>
      </c>
      <c r="B225" s="56" t="s">
        <v>21</v>
      </c>
      <c r="C225" s="56" t="s">
        <v>36</v>
      </c>
      <c r="D225" s="89"/>
      <c r="E225" s="113">
        <v>41.3</v>
      </c>
      <c r="F225" s="56" t="s">
        <v>24</v>
      </c>
      <c r="G225" s="240" t="s">
        <v>265</v>
      </c>
      <c r="H225" s="56"/>
      <c r="I225" s="56"/>
      <c r="J225" s="56" t="s">
        <v>50</v>
      </c>
      <c r="K225" s="56" t="s">
        <v>27</v>
      </c>
      <c r="L225" s="152" t="s">
        <v>28</v>
      </c>
      <c r="M225" s="259" t="s">
        <v>266</v>
      </c>
      <c r="N225" s="159" t="s">
        <v>24</v>
      </c>
      <c r="O225" s="56" t="s">
        <v>30</v>
      </c>
      <c r="P225" s="176" t="s">
        <v>31</v>
      </c>
      <c r="Q225" s="209"/>
      <c r="R225"/>
      <c r="S225"/>
      <c r="T225"/>
      <c r="U225"/>
      <c r="V225"/>
    </row>
    <row r="226" spans="1:22" s="74" customFormat="1" ht="15" customHeight="1">
      <c r="A226" s="73" t="s">
        <v>38</v>
      </c>
      <c r="B226" s="73" t="s">
        <v>39</v>
      </c>
      <c r="C226" s="73" t="s">
        <v>40</v>
      </c>
      <c r="D226" s="73" t="s">
        <v>267</v>
      </c>
      <c r="E226" s="114">
        <v>41.4</v>
      </c>
      <c r="F226" s="73" t="s">
        <v>24</v>
      </c>
      <c r="G226" s="139" t="s">
        <v>265</v>
      </c>
      <c r="H226" s="73" t="s">
        <v>54</v>
      </c>
      <c r="I226" s="73"/>
      <c r="J226" s="73" t="s">
        <v>50</v>
      </c>
      <c r="K226" s="73" t="s">
        <v>27</v>
      </c>
      <c r="L226" s="153" t="s">
        <v>28</v>
      </c>
      <c r="M226" s="259" t="s">
        <v>266</v>
      </c>
      <c r="N226" s="160" t="str">
        <f>F226</f>
        <v>string</v>
      </c>
      <c r="O226" s="73" t="s">
        <v>30</v>
      </c>
      <c r="P226" s="73" t="s">
        <v>57</v>
      </c>
      <c r="Q226" s="73"/>
      <c r="R226"/>
      <c r="S226"/>
      <c r="T226"/>
      <c r="U226"/>
      <c r="V226"/>
    </row>
    <row r="227" spans="1:22" s="74" customFormat="1" ht="15" customHeight="1">
      <c r="A227" s="106" t="s">
        <v>42</v>
      </c>
      <c r="B227" s="105" t="s">
        <v>43</v>
      </c>
      <c r="C227" s="105" t="s">
        <v>44</v>
      </c>
      <c r="D227" s="105" t="s">
        <v>267</v>
      </c>
      <c r="E227" s="109">
        <v>41.5</v>
      </c>
      <c r="F227" s="105" t="s">
        <v>24</v>
      </c>
      <c r="G227" s="118" t="s">
        <v>265</v>
      </c>
      <c r="H227" s="106"/>
      <c r="I227" s="106"/>
      <c r="J227" s="105" t="s">
        <v>50</v>
      </c>
      <c r="K227" s="106" t="s">
        <v>27</v>
      </c>
      <c r="L227" s="155" t="s">
        <v>28</v>
      </c>
      <c r="M227" s="259" t="s">
        <v>266</v>
      </c>
      <c r="N227" s="161" t="s">
        <v>24</v>
      </c>
      <c r="O227" s="106" t="s">
        <v>62</v>
      </c>
      <c r="P227" s="207" t="s">
        <v>57</v>
      </c>
      <c r="Q227" s="211"/>
      <c r="R227"/>
      <c r="S227"/>
      <c r="T227"/>
      <c r="U227"/>
      <c r="V227"/>
    </row>
    <row r="228" spans="1:22" ht="15" customHeight="1">
      <c r="A228" s="71" t="s">
        <v>20</v>
      </c>
      <c r="B228" s="71" t="s">
        <v>21</v>
      </c>
      <c r="C228" s="71" t="s">
        <v>22</v>
      </c>
      <c r="D228" s="88"/>
      <c r="E228" s="111">
        <v>42.1</v>
      </c>
      <c r="F228" s="71" t="s">
        <v>24</v>
      </c>
      <c r="G228" s="238" t="s">
        <v>268</v>
      </c>
      <c r="H228" s="71"/>
      <c r="I228" s="71"/>
      <c r="J228" s="71" t="s">
        <v>50</v>
      </c>
      <c r="K228" s="71" t="s">
        <v>27</v>
      </c>
      <c r="L228" s="150" t="s">
        <v>28</v>
      </c>
      <c r="M228" s="259" t="s">
        <v>269</v>
      </c>
      <c r="N228" s="157" t="s">
        <v>24</v>
      </c>
      <c r="O228" s="71" t="s">
        <v>30</v>
      </c>
      <c r="P228" s="73" t="s">
        <v>31</v>
      </c>
      <c r="Q228" s="187"/>
    </row>
    <row r="229" spans="1:22" ht="15" customHeight="1">
      <c r="A229" s="72" t="s">
        <v>32</v>
      </c>
      <c r="B229" s="72" t="s">
        <v>21</v>
      </c>
      <c r="C229" s="72" t="s">
        <v>33</v>
      </c>
      <c r="D229" s="90"/>
      <c r="E229" s="112">
        <v>42.2</v>
      </c>
      <c r="F229" s="72" t="s">
        <v>24</v>
      </c>
      <c r="G229" s="239" t="s">
        <v>268</v>
      </c>
      <c r="H229" s="72"/>
      <c r="I229" s="72"/>
      <c r="J229" s="72" t="s">
        <v>50</v>
      </c>
      <c r="K229" s="72" t="s">
        <v>27</v>
      </c>
      <c r="L229" s="151" t="s">
        <v>28</v>
      </c>
      <c r="M229" s="259" t="s">
        <v>269</v>
      </c>
      <c r="N229" s="158" t="s">
        <v>24</v>
      </c>
      <c r="O229" s="72" t="s">
        <v>30</v>
      </c>
      <c r="P229" s="73" t="s">
        <v>31</v>
      </c>
      <c r="Q229" s="176"/>
    </row>
    <row r="230" spans="1:22" ht="15" customHeight="1">
      <c r="A230" s="56" t="s">
        <v>35</v>
      </c>
      <c r="B230" s="56" t="s">
        <v>21</v>
      </c>
      <c r="C230" s="56" t="s">
        <v>36</v>
      </c>
      <c r="D230" s="89"/>
      <c r="E230" s="113">
        <v>42.3</v>
      </c>
      <c r="F230" s="56" t="s">
        <v>24</v>
      </c>
      <c r="G230" s="240" t="s">
        <v>268</v>
      </c>
      <c r="H230" s="56"/>
      <c r="I230" s="56"/>
      <c r="J230" s="56" t="s">
        <v>50</v>
      </c>
      <c r="K230" s="56" t="s">
        <v>27</v>
      </c>
      <c r="L230" s="152" t="s">
        <v>28</v>
      </c>
      <c r="M230" s="259" t="s">
        <v>269</v>
      </c>
      <c r="N230" s="159" t="s">
        <v>24</v>
      </c>
      <c r="O230" s="56" t="s">
        <v>30</v>
      </c>
      <c r="P230" s="179" t="s">
        <v>31</v>
      </c>
      <c r="Q230" s="209"/>
    </row>
    <row r="231" spans="1:22" s="74" customFormat="1" ht="15" customHeight="1">
      <c r="A231" s="73" t="s">
        <v>38</v>
      </c>
      <c r="B231" s="73" t="s">
        <v>39</v>
      </c>
      <c r="C231" s="73" t="s">
        <v>40</v>
      </c>
      <c r="D231" s="73" t="s">
        <v>270</v>
      </c>
      <c r="E231" s="114">
        <v>42.4</v>
      </c>
      <c r="F231" s="73" t="s">
        <v>24</v>
      </c>
      <c r="G231" s="139" t="s">
        <v>268</v>
      </c>
      <c r="H231" s="73" t="s">
        <v>54</v>
      </c>
      <c r="I231" s="73"/>
      <c r="J231" s="73" t="s">
        <v>50</v>
      </c>
      <c r="K231" s="73" t="s">
        <v>27</v>
      </c>
      <c r="L231" s="153" t="s">
        <v>28</v>
      </c>
      <c r="M231" s="259" t="str">
        <f>VLOOKUP(D231,[3]Actions!$J$2:$J$89, 1, FALSE)</f>
        <v>parent_objects</v>
      </c>
      <c r="N231" s="160" t="str">
        <f>F231</f>
        <v>string</v>
      </c>
      <c r="O231" s="73" t="s">
        <v>30</v>
      </c>
      <c r="P231" s="73" t="s">
        <v>57</v>
      </c>
      <c r="Q231" s="73"/>
      <c r="R231"/>
      <c r="S231"/>
      <c r="T231"/>
      <c r="U231"/>
      <c r="V231"/>
    </row>
    <row r="232" spans="1:22" ht="15" customHeight="1">
      <c r="A232" s="106" t="s">
        <v>42</v>
      </c>
      <c r="B232" s="105" t="s">
        <v>43</v>
      </c>
      <c r="C232" s="105" t="s">
        <v>44</v>
      </c>
      <c r="D232" s="105" t="s">
        <v>270</v>
      </c>
      <c r="E232" s="109">
        <v>42.5</v>
      </c>
      <c r="F232" s="105" t="s">
        <v>24</v>
      </c>
      <c r="G232" s="118" t="s">
        <v>268</v>
      </c>
      <c r="H232" s="106"/>
      <c r="I232" s="106"/>
      <c r="J232" s="105" t="s">
        <v>271</v>
      </c>
      <c r="K232" s="106" t="s">
        <v>27</v>
      </c>
      <c r="L232" s="155" t="s">
        <v>28</v>
      </c>
      <c r="M232" s="259" t="s">
        <v>269</v>
      </c>
      <c r="N232" s="161" t="s">
        <v>24</v>
      </c>
      <c r="O232" s="106" t="s">
        <v>62</v>
      </c>
      <c r="P232" s="207" t="s">
        <v>57</v>
      </c>
      <c r="Q232" s="208"/>
    </row>
    <row r="233" spans="1:22" ht="15" customHeight="1">
      <c r="A233" s="71" t="s">
        <v>20</v>
      </c>
      <c r="B233" s="71" t="s">
        <v>21</v>
      </c>
      <c r="C233" s="71" t="s">
        <v>22</v>
      </c>
      <c r="D233" s="88"/>
      <c r="E233" s="111">
        <v>43.1</v>
      </c>
      <c r="F233" s="71" t="s">
        <v>67</v>
      </c>
      <c r="G233" s="238" t="s">
        <v>272</v>
      </c>
      <c r="H233" s="71"/>
      <c r="I233" s="71"/>
      <c r="J233" s="71" t="s">
        <v>50</v>
      </c>
      <c r="K233" s="71" t="s">
        <v>27</v>
      </c>
      <c r="L233" s="150" t="s">
        <v>28</v>
      </c>
      <c r="M233" s="259" t="s">
        <v>273</v>
      </c>
      <c r="N233" s="157" t="s">
        <v>67</v>
      </c>
      <c r="O233" s="71" t="s">
        <v>71</v>
      </c>
      <c r="P233" s="71" t="s">
        <v>31</v>
      </c>
      <c r="Q233" s="193"/>
    </row>
    <row r="234" spans="1:22" ht="15" customHeight="1">
      <c r="A234" s="72" t="s">
        <v>32</v>
      </c>
      <c r="B234" s="72" t="s">
        <v>21</v>
      </c>
      <c r="C234" s="72" t="s">
        <v>33</v>
      </c>
      <c r="D234" s="90"/>
      <c r="E234" s="112">
        <v>43.2</v>
      </c>
      <c r="F234" s="72" t="s">
        <v>67</v>
      </c>
      <c r="G234" s="239" t="s">
        <v>272</v>
      </c>
      <c r="H234" s="72"/>
      <c r="I234" s="72"/>
      <c r="J234" s="72" t="s">
        <v>50</v>
      </c>
      <c r="K234" s="72" t="s">
        <v>27</v>
      </c>
      <c r="L234" s="151" t="s">
        <v>28</v>
      </c>
      <c r="M234" s="259" t="s">
        <v>273</v>
      </c>
      <c r="N234" s="158" t="s">
        <v>67</v>
      </c>
      <c r="O234" s="72" t="s">
        <v>71</v>
      </c>
      <c r="P234" s="71" t="s">
        <v>31</v>
      </c>
      <c r="Q234" s="176"/>
    </row>
    <row r="235" spans="1:22" ht="15" customHeight="1">
      <c r="A235" s="56" t="s">
        <v>35</v>
      </c>
      <c r="B235" s="56" t="s">
        <v>21</v>
      </c>
      <c r="C235" s="56" t="s">
        <v>36</v>
      </c>
      <c r="D235" s="89"/>
      <c r="E235" s="113">
        <v>43.3</v>
      </c>
      <c r="F235" s="56" t="s">
        <v>67</v>
      </c>
      <c r="G235" s="240" t="s">
        <v>272</v>
      </c>
      <c r="H235" s="56"/>
      <c r="I235" s="56"/>
      <c r="J235" s="56" t="s">
        <v>50</v>
      </c>
      <c r="K235" s="56" t="s">
        <v>27</v>
      </c>
      <c r="L235" s="152" t="s">
        <v>28</v>
      </c>
      <c r="M235" s="259" t="s">
        <v>273</v>
      </c>
      <c r="N235" s="159" t="s">
        <v>24</v>
      </c>
      <c r="O235" s="56" t="s">
        <v>71</v>
      </c>
      <c r="P235" s="169" t="s">
        <v>31</v>
      </c>
      <c r="Q235" s="209"/>
    </row>
    <row r="236" spans="1:22" ht="15" customHeight="1">
      <c r="A236" s="73" t="s">
        <v>38</v>
      </c>
      <c r="B236" s="73" t="s">
        <v>39</v>
      </c>
      <c r="C236" s="73" t="s">
        <v>40</v>
      </c>
      <c r="D236" s="73" t="s">
        <v>273</v>
      </c>
      <c r="E236" s="114">
        <v>43.4</v>
      </c>
      <c r="F236" s="73" t="s">
        <v>67</v>
      </c>
      <c r="G236" s="139" t="s">
        <v>272</v>
      </c>
      <c r="H236" s="73" t="s">
        <v>54</v>
      </c>
      <c r="I236" s="73"/>
      <c r="J236" s="73" t="s">
        <v>50</v>
      </c>
      <c r="K236" s="73" t="s">
        <v>27</v>
      </c>
      <c r="L236" s="153" t="s">
        <v>28</v>
      </c>
      <c r="M236" s="259" t="str">
        <f>VLOOKUP(D236,[3]Actions!$J$2:$J$89, 1, FALSE)</f>
        <v>number_of_date_changes</v>
      </c>
      <c r="N236" s="202" t="s">
        <v>24</v>
      </c>
      <c r="O236" s="204" t="s">
        <v>71</v>
      </c>
      <c r="P236" s="204" t="s">
        <v>57</v>
      </c>
      <c r="Q236" s="204"/>
    </row>
    <row r="237" spans="1:22" ht="15" customHeight="1">
      <c r="A237" s="106" t="s">
        <v>42</v>
      </c>
      <c r="B237" s="105" t="s">
        <v>43</v>
      </c>
      <c r="C237" s="105" t="s">
        <v>44</v>
      </c>
      <c r="D237" s="103"/>
      <c r="E237" s="115">
        <v>43.5</v>
      </c>
      <c r="F237" s="105" t="s">
        <v>24</v>
      </c>
      <c r="G237" s="118" t="s">
        <v>272</v>
      </c>
      <c r="H237" s="106"/>
      <c r="I237" s="106"/>
      <c r="J237" s="105" t="s">
        <v>50</v>
      </c>
      <c r="K237" s="106" t="s">
        <v>27</v>
      </c>
      <c r="L237" s="155" t="s">
        <v>28</v>
      </c>
      <c r="M237" s="259" t="s">
        <v>273</v>
      </c>
      <c r="N237" s="186" t="s">
        <v>67</v>
      </c>
      <c r="O237" s="148" t="s">
        <v>62</v>
      </c>
      <c r="P237" s="181" t="s">
        <v>31</v>
      </c>
      <c r="Q237" s="211"/>
    </row>
    <row r="238" spans="1:22" ht="15" customHeight="1">
      <c r="A238" s="71" t="s">
        <v>20</v>
      </c>
      <c r="B238" s="71" t="s">
        <v>21</v>
      </c>
      <c r="C238" s="71" t="s">
        <v>22</v>
      </c>
      <c r="D238" s="88"/>
      <c r="E238" s="111">
        <v>44.1</v>
      </c>
      <c r="F238" s="71" t="s">
        <v>24</v>
      </c>
      <c r="G238" s="238" t="s">
        <v>274</v>
      </c>
      <c r="H238" s="71"/>
      <c r="I238" s="71"/>
      <c r="J238" s="71" t="s">
        <v>50</v>
      </c>
      <c r="K238" s="71" t="s">
        <v>27</v>
      </c>
      <c r="L238" s="150" t="s">
        <v>28</v>
      </c>
      <c r="M238" s="259" t="s">
        <v>275</v>
      </c>
      <c r="N238" s="157" t="s">
        <v>24</v>
      </c>
      <c r="O238" s="71" t="s">
        <v>71</v>
      </c>
      <c r="P238" s="150" t="s">
        <v>31</v>
      </c>
      <c r="Q238" s="187"/>
    </row>
    <row r="239" spans="1:22" ht="15" customHeight="1">
      <c r="A239" s="72" t="s">
        <v>32</v>
      </c>
      <c r="B239" s="72" t="s">
        <v>21</v>
      </c>
      <c r="C239" s="72" t="s">
        <v>33</v>
      </c>
      <c r="D239" s="90"/>
      <c r="E239" s="112">
        <v>44.2</v>
      </c>
      <c r="F239" s="72" t="s">
        <v>24</v>
      </c>
      <c r="G239" s="239" t="s">
        <v>274</v>
      </c>
      <c r="H239" s="72"/>
      <c r="I239" s="72"/>
      <c r="J239" s="72" t="s">
        <v>50</v>
      </c>
      <c r="K239" s="72" t="s">
        <v>27</v>
      </c>
      <c r="L239" s="151" t="s">
        <v>28</v>
      </c>
      <c r="M239" s="259" t="s">
        <v>275</v>
      </c>
      <c r="N239" s="158" t="s">
        <v>24</v>
      </c>
      <c r="O239" s="72" t="s">
        <v>71</v>
      </c>
      <c r="P239" s="71" t="s">
        <v>31</v>
      </c>
      <c r="Q239" s="176"/>
    </row>
    <row r="240" spans="1:22" ht="15" customHeight="1">
      <c r="A240" s="56" t="s">
        <v>35</v>
      </c>
      <c r="B240" s="56" t="s">
        <v>21</v>
      </c>
      <c r="C240" s="56" t="s">
        <v>36</v>
      </c>
      <c r="D240" s="89"/>
      <c r="E240" s="113">
        <v>44.3</v>
      </c>
      <c r="F240" s="56" t="s">
        <v>24</v>
      </c>
      <c r="G240" s="246" t="s">
        <v>274</v>
      </c>
      <c r="H240" s="201"/>
      <c r="I240" s="56"/>
      <c r="J240" s="56" t="s">
        <v>50</v>
      </c>
      <c r="K240" s="56" t="s">
        <v>27</v>
      </c>
      <c r="L240" s="152" t="s">
        <v>28</v>
      </c>
      <c r="M240" s="259" t="s">
        <v>275</v>
      </c>
      <c r="N240" s="159" t="s">
        <v>24</v>
      </c>
      <c r="O240" s="56" t="s">
        <v>71</v>
      </c>
      <c r="P240" s="169" t="s">
        <v>31</v>
      </c>
      <c r="Q240" s="209"/>
    </row>
    <row r="241" spans="1:17" ht="15" customHeight="1">
      <c r="A241" s="127" t="s">
        <v>38</v>
      </c>
      <c r="B241" s="73" t="s">
        <v>39</v>
      </c>
      <c r="C241" s="73" t="s">
        <v>40</v>
      </c>
      <c r="D241" s="101" t="s">
        <v>275</v>
      </c>
      <c r="E241" s="199">
        <v>44.4</v>
      </c>
      <c r="F241" s="200" t="s">
        <v>24</v>
      </c>
      <c r="G241" s="247" t="s">
        <v>274</v>
      </c>
      <c r="H241" s="147" t="s">
        <v>54</v>
      </c>
      <c r="I241" s="147"/>
      <c r="J241" s="200" t="s">
        <v>50</v>
      </c>
      <c r="K241" s="192" t="s">
        <v>27</v>
      </c>
      <c r="L241" s="127" t="s">
        <v>28</v>
      </c>
      <c r="M241" s="259" t="str">
        <f>VLOOKUP(D241,[3]Actions!$J$2:$J$89, 1, FALSE)</f>
        <v>number_of_times_reopened</v>
      </c>
      <c r="N241" s="172" t="str">
        <f>F241</f>
        <v>string</v>
      </c>
      <c r="O241" s="172" t="s">
        <v>71</v>
      </c>
      <c r="P241" s="172" t="s">
        <v>57</v>
      </c>
      <c r="Q241" s="172"/>
    </row>
    <row r="242" spans="1:17" ht="15" customHeight="1">
      <c r="A242" s="126" t="s">
        <v>42</v>
      </c>
      <c r="B242" s="105" t="s">
        <v>43</v>
      </c>
      <c r="C242" s="105" t="s">
        <v>44</v>
      </c>
      <c r="D242" s="103"/>
      <c r="E242" s="115">
        <v>44.5</v>
      </c>
      <c r="F242" s="105" t="s">
        <v>24</v>
      </c>
      <c r="G242" s="248" t="s">
        <v>274</v>
      </c>
      <c r="H242" s="126"/>
      <c r="I242" s="126"/>
      <c r="J242" s="105" t="s">
        <v>50</v>
      </c>
      <c r="K242" s="126" t="s">
        <v>27</v>
      </c>
      <c r="L242" s="156" t="s">
        <v>28</v>
      </c>
      <c r="M242" s="259" t="s">
        <v>275</v>
      </c>
      <c r="N242" s="126" t="s">
        <v>24</v>
      </c>
      <c r="O242" s="205" t="s">
        <v>62</v>
      </c>
      <c r="P242" s="173" t="s">
        <v>31</v>
      </c>
      <c r="Q242" s="211"/>
    </row>
    <row r="243" spans="1:17" ht="15" customHeight="1">
      <c r="E243"/>
    </row>
    <row r="244" spans="1:17" ht="15" customHeight="1">
      <c r="E244"/>
    </row>
    <row r="245" spans="1:17" ht="15" customHeight="1">
      <c r="E245"/>
    </row>
    <row r="246" spans="1:17" ht="15" customHeight="1">
      <c r="E246"/>
    </row>
    <row r="247" spans="1:17" ht="15" customHeight="1">
      <c r="E247"/>
    </row>
    <row r="248" spans="1:17" ht="15" customHeight="1">
      <c r="E248"/>
    </row>
    <row r="249" spans="1:17" ht="15" customHeight="1">
      <c r="E249"/>
    </row>
    <row r="250" spans="1:17" ht="15" customHeight="1">
      <c r="E250"/>
    </row>
    <row r="251" spans="1:17" ht="15" customHeight="1">
      <c r="E251"/>
    </row>
    <row r="252" spans="1:17" ht="15" customHeight="1">
      <c r="E252"/>
    </row>
    <row r="253" spans="1:17" ht="15" customHeight="1">
      <c r="E253"/>
    </row>
    <row r="254" spans="1:17" ht="15" customHeight="1">
      <c r="E254"/>
    </row>
    <row r="255" spans="1:17" ht="15" customHeight="1">
      <c r="E255"/>
    </row>
    <row r="256" spans="1:17" ht="15" customHeight="1">
      <c r="E256"/>
    </row>
    <row r="257" spans="5:5" ht="15" customHeight="1">
      <c r="E257"/>
    </row>
    <row r="258" spans="5:5" ht="15" customHeight="1">
      <c r="E258"/>
    </row>
    <row r="259" spans="5:5" ht="15" customHeight="1">
      <c r="E259"/>
    </row>
    <row r="260" spans="5:5" ht="15" customHeight="1">
      <c r="E260"/>
    </row>
    <row r="261" spans="5:5" ht="15" customHeight="1">
      <c r="E261"/>
    </row>
    <row r="262" spans="5:5" ht="15" customHeight="1">
      <c r="E262"/>
    </row>
    <row r="263" spans="5:5" ht="15" customHeight="1">
      <c r="E263"/>
    </row>
    <row r="264" spans="5:5" ht="15" customHeight="1">
      <c r="E264"/>
    </row>
    <row r="265" spans="5:5" ht="15" customHeight="1">
      <c r="E265"/>
    </row>
    <row r="266" spans="5:5" ht="15" customHeight="1">
      <c r="E266"/>
    </row>
    <row r="267" spans="5:5" ht="15" customHeight="1">
      <c r="E267"/>
    </row>
    <row r="268" spans="5:5" ht="15" customHeight="1">
      <c r="E268"/>
    </row>
    <row r="269" spans="5:5" ht="15" customHeight="1">
      <c r="E269"/>
    </row>
    <row r="270" spans="5:5" ht="15" customHeight="1">
      <c r="E270"/>
    </row>
    <row r="271" spans="5:5" ht="15" customHeight="1">
      <c r="E271"/>
    </row>
    <row r="272" spans="5:5" ht="15" customHeight="1">
      <c r="E272"/>
    </row>
    <row r="273" spans="5:5" ht="15" customHeight="1">
      <c r="E273"/>
    </row>
    <row r="274" spans="5:5" ht="15" customHeight="1">
      <c r="E274"/>
    </row>
    <row r="275" spans="5:5" ht="15" customHeight="1">
      <c r="E275"/>
    </row>
    <row r="276" spans="5:5" ht="15" customHeight="1">
      <c r="E276"/>
    </row>
    <row r="277" spans="5:5" ht="15" customHeight="1">
      <c r="E277"/>
    </row>
    <row r="278" spans="5:5" ht="15" customHeight="1">
      <c r="E278"/>
    </row>
    <row r="279" spans="5:5" ht="15" customHeight="1">
      <c r="E279"/>
    </row>
    <row r="280" spans="5:5" ht="15" customHeight="1">
      <c r="E280"/>
    </row>
    <row r="281" spans="5:5" ht="15" customHeight="1">
      <c r="E281"/>
    </row>
    <row r="282" spans="5:5" ht="15" customHeight="1">
      <c r="E282"/>
    </row>
    <row r="283" spans="5:5" ht="15" customHeight="1">
      <c r="E283"/>
    </row>
    <row r="284" spans="5:5" ht="15" customHeight="1">
      <c r="E284"/>
    </row>
    <row r="285" spans="5:5" ht="15" customHeight="1">
      <c r="E285"/>
    </row>
    <row r="286" spans="5:5" ht="15" customHeight="1">
      <c r="E286"/>
    </row>
    <row r="287" spans="5:5" ht="15" customHeight="1">
      <c r="E287"/>
    </row>
    <row r="288" spans="5:5" ht="15" customHeight="1">
      <c r="E288"/>
    </row>
    <row r="289" spans="5:5" ht="15" customHeight="1">
      <c r="E289"/>
    </row>
    <row r="290" spans="5:5" ht="15" customHeight="1">
      <c r="E290"/>
    </row>
    <row r="291" spans="5:5" ht="15" customHeight="1">
      <c r="E291"/>
    </row>
    <row r="292" spans="5:5" ht="15" customHeight="1">
      <c r="E292"/>
    </row>
    <row r="293" spans="5:5" ht="15" customHeight="1">
      <c r="E293"/>
    </row>
    <row r="294" spans="5:5" ht="15" customHeight="1">
      <c r="E294"/>
    </row>
    <row r="295" spans="5:5" ht="15" customHeight="1">
      <c r="E295"/>
    </row>
    <row r="296" spans="5:5" ht="15" customHeight="1">
      <c r="E296"/>
    </row>
    <row r="297" spans="5:5" ht="15" customHeight="1">
      <c r="E297"/>
    </row>
    <row r="298" spans="5:5" ht="15" customHeight="1">
      <c r="E298"/>
    </row>
    <row r="299" spans="5:5" ht="15" customHeight="1">
      <c r="E299"/>
    </row>
    <row r="300" spans="5:5" ht="15" customHeight="1">
      <c r="E300"/>
    </row>
    <row r="301" spans="5:5" ht="15" customHeight="1">
      <c r="E301"/>
    </row>
    <row r="302" spans="5:5" ht="15" customHeight="1">
      <c r="E302"/>
    </row>
  </sheetData>
  <autoFilter ref="A2:Q301" xr:uid="{3F327A72-0D34-4335-A738-BEB6E78C226A}"/>
  <sortState xmlns:xlrd2="http://schemas.microsoft.com/office/spreadsheetml/2017/richdata2" ref="A3:Q274">
    <sortCondition ref="E3:E274"/>
  </sortState>
  <mergeCells count="3">
    <mergeCell ref="A1:G1"/>
    <mergeCell ref="H1:I1"/>
    <mergeCell ref="J1:Q1"/>
  </mergeCells>
  <conditionalFormatting sqref="P3:P242">
    <cfRule type="containsText" dxfId="74" priority="12" operator="containsText" text="Yes">
      <formula>NOT(ISERROR(SEARCH("Yes",P3)))</formula>
    </cfRule>
    <cfRule type="containsText" dxfId="73" priority="13" operator="containsText" text="No">
      <formula>NOT(ISERROR(SEARCH("No",P3)))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DC6B2-19ED-4349-B987-F0FB06424E3A}">
  <sheetPr codeName="Sheet2"/>
  <dimension ref="A1:J53"/>
  <sheetViews>
    <sheetView workbookViewId="0">
      <selection activeCell="C3" sqref="C3"/>
    </sheetView>
  </sheetViews>
  <sheetFormatPr defaultRowHeight="15" customHeight="1"/>
  <cols>
    <col min="1" max="1" width="23.81640625" bestFit="1" customWidth="1"/>
    <col min="2" max="2" width="39" bestFit="1" customWidth="1"/>
    <col min="3" max="3" width="32.453125" bestFit="1" customWidth="1"/>
    <col min="4" max="4" width="27.81640625" customWidth="1"/>
    <col min="5" max="5" width="15.81640625" hidden="1" customWidth="1"/>
    <col min="6" max="6" width="0" hidden="1" customWidth="1"/>
    <col min="7" max="7" width="32.81640625" customWidth="1"/>
    <col min="8" max="8" width="28.81640625" customWidth="1"/>
    <col min="10" max="10" width="8.7265625" customWidth="1"/>
  </cols>
  <sheetData>
    <row r="1" spans="1:10" ht="14.5" customHeight="1">
      <c r="A1" s="272"/>
      <c r="B1" s="272"/>
      <c r="C1" s="272"/>
      <c r="D1" s="272"/>
      <c r="E1" s="272"/>
      <c r="F1" s="272"/>
    </row>
    <row r="2" spans="1:10" ht="14.5">
      <c r="A2" s="27" t="s">
        <v>13</v>
      </c>
      <c r="B2" s="27" t="s">
        <v>14</v>
      </c>
      <c r="C2" s="258" t="s">
        <v>15</v>
      </c>
      <c r="D2" s="27" t="s">
        <v>16</v>
      </c>
      <c r="E2" s="27" t="s">
        <v>17</v>
      </c>
      <c r="F2" s="27" t="s">
        <v>18</v>
      </c>
    </row>
    <row r="3" spans="1:10" ht="14.5">
      <c r="A3" s="5" t="s">
        <v>27</v>
      </c>
      <c r="B3" s="80" t="s">
        <v>28</v>
      </c>
      <c r="C3" s="259" t="s">
        <v>29</v>
      </c>
      <c r="D3" s="81" t="s">
        <v>24</v>
      </c>
      <c r="E3" s="78" t="s">
        <v>30</v>
      </c>
      <c r="F3" s="78" t="s">
        <v>31</v>
      </c>
    </row>
    <row r="4" spans="1:10" ht="14.5" customHeight="1">
      <c r="A4" s="5" t="s">
        <v>27</v>
      </c>
      <c r="B4" s="80" t="s">
        <v>28</v>
      </c>
      <c r="C4" s="259" t="s">
        <v>51</v>
      </c>
      <c r="D4" s="82" t="s">
        <v>24</v>
      </c>
      <c r="E4" s="5" t="s">
        <v>30</v>
      </c>
      <c r="F4" s="5" t="s">
        <v>57</v>
      </c>
    </row>
    <row r="5" spans="1:10" ht="14.5">
      <c r="A5" s="5" t="s">
        <v>27</v>
      </c>
      <c r="B5" s="80" t="s">
        <v>28</v>
      </c>
      <c r="C5" s="259" t="s">
        <v>61</v>
      </c>
      <c r="D5" s="82" t="s">
        <v>24</v>
      </c>
      <c r="E5" s="5" t="s">
        <v>62</v>
      </c>
      <c r="F5" s="5" t="s">
        <v>57</v>
      </c>
    </row>
    <row r="6" spans="1:10" s="74" customFormat="1" ht="14.5" customHeight="1">
      <c r="A6" s="5" t="s">
        <v>27</v>
      </c>
      <c r="B6" s="80" t="s">
        <v>28</v>
      </c>
      <c r="C6" s="259" t="s">
        <v>70</v>
      </c>
      <c r="D6" s="82" t="s">
        <v>67</v>
      </c>
      <c r="E6" s="5" t="s">
        <v>62</v>
      </c>
      <c r="F6" s="5" t="s">
        <v>57</v>
      </c>
      <c r="G6"/>
      <c r="H6"/>
      <c r="I6"/>
      <c r="J6"/>
    </row>
    <row r="7" spans="1:10" s="74" customFormat="1" ht="14.5" customHeight="1">
      <c r="A7" s="5" t="s">
        <v>27</v>
      </c>
      <c r="B7" s="80" t="s">
        <v>28</v>
      </c>
      <c r="C7" s="259" t="s">
        <v>78</v>
      </c>
      <c r="D7" s="82" t="s">
        <v>24</v>
      </c>
      <c r="E7" s="5"/>
      <c r="F7" s="5"/>
      <c r="G7"/>
      <c r="H7"/>
      <c r="I7"/>
      <c r="J7"/>
    </row>
    <row r="8" spans="1:10" s="74" customFormat="1" ht="14.5" customHeight="1">
      <c r="A8" s="5" t="s">
        <v>27</v>
      </c>
      <c r="B8" s="80" t="s">
        <v>28</v>
      </c>
      <c r="C8" s="259" t="s">
        <v>83</v>
      </c>
      <c r="D8" s="82" t="s">
        <v>81</v>
      </c>
      <c r="E8" s="5" t="s">
        <v>62</v>
      </c>
      <c r="F8" s="5" t="s">
        <v>57</v>
      </c>
      <c r="G8"/>
      <c r="H8"/>
      <c r="I8"/>
      <c r="J8"/>
    </row>
    <row r="9" spans="1:10" s="74" customFormat="1" ht="14.5">
      <c r="A9" s="5" t="s">
        <v>27</v>
      </c>
      <c r="B9" s="80" t="s">
        <v>28</v>
      </c>
      <c r="C9" s="259" t="s">
        <v>89</v>
      </c>
      <c r="D9" s="82" t="s">
        <v>81</v>
      </c>
      <c r="E9" s="5" t="s">
        <v>62</v>
      </c>
      <c r="F9" s="5" t="s">
        <v>57</v>
      </c>
      <c r="G9"/>
      <c r="H9"/>
      <c r="I9"/>
      <c r="J9"/>
    </row>
    <row r="10" spans="1:10" ht="14.5">
      <c r="A10" s="5" t="s">
        <v>27</v>
      </c>
      <c r="B10" s="80" t="s">
        <v>28</v>
      </c>
      <c r="C10" s="259" t="s">
        <v>91</v>
      </c>
      <c r="D10" s="82" t="s">
        <v>24</v>
      </c>
      <c r="E10" s="5" t="s">
        <v>62</v>
      </c>
      <c r="F10" s="5" t="s">
        <v>57</v>
      </c>
    </row>
    <row r="11" spans="1:10" ht="14.5">
      <c r="A11" s="5" t="s">
        <v>27</v>
      </c>
      <c r="B11" s="80" t="s">
        <v>28</v>
      </c>
      <c r="C11" s="259" t="s">
        <v>95</v>
      </c>
      <c r="D11" s="82" t="s">
        <v>67</v>
      </c>
      <c r="E11" s="5" t="s">
        <v>62</v>
      </c>
      <c r="F11" s="5" t="s">
        <v>57</v>
      </c>
    </row>
    <row r="12" spans="1:10" s="74" customFormat="1" ht="14.5">
      <c r="A12" s="5" t="s">
        <v>27</v>
      </c>
      <c r="B12" s="80" t="s">
        <v>28</v>
      </c>
      <c r="C12" s="259" t="s">
        <v>100</v>
      </c>
      <c r="D12" s="82" t="s">
        <v>24</v>
      </c>
      <c r="E12" s="5" t="s">
        <v>62</v>
      </c>
      <c r="F12" s="5" t="s">
        <v>57</v>
      </c>
      <c r="G12"/>
      <c r="H12"/>
      <c r="I12"/>
      <c r="J12"/>
    </row>
    <row r="13" spans="1:10" ht="14.5">
      <c r="A13" s="5" t="s">
        <v>27</v>
      </c>
      <c r="B13" s="80" t="s">
        <v>28</v>
      </c>
      <c r="C13" s="259" t="s">
        <v>102</v>
      </c>
      <c r="D13" s="82" t="s">
        <v>67</v>
      </c>
      <c r="E13" s="5" t="s">
        <v>62</v>
      </c>
      <c r="F13" s="5" t="s">
        <v>57</v>
      </c>
    </row>
    <row r="14" spans="1:10" s="74" customFormat="1" ht="14.5">
      <c r="A14" s="5" t="s">
        <v>27</v>
      </c>
      <c r="B14" s="80" t="s">
        <v>28</v>
      </c>
      <c r="C14" s="259" t="s">
        <v>110</v>
      </c>
      <c r="D14" s="82" t="s">
        <v>67</v>
      </c>
      <c r="E14" s="5" t="s">
        <v>62</v>
      </c>
      <c r="F14" s="5" t="s">
        <v>57</v>
      </c>
      <c r="G14"/>
      <c r="H14"/>
      <c r="I14"/>
      <c r="J14"/>
    </row>
    <row r="15" spans="1:10" ht="14.5">
      <c r="A15" s="5" t="s">
        <v>27</v>
      </c>
      <c r="B15" s="80" t="s">
        <v>28</v>
      </c>
      <c r="C15" s="259" t="s">
        <v>114</v>
      </c>
      <c r="D15" s="82" t="s">
        <v>81</v>
      </c>
      <c r="E15" s="5" t="s">
        <v>62</v>
      </c>
      <c r="F15" s="5" t="s">
        <v>57</v>
      </c>
    </row>
    <row r="16" spans="1:10" ht="14.5">
      <c r="A16" s="5" t="s">
        <v>27</v>
      </c>
      <c r="B16" s="80" t="s">
        <v>28</v>
      </c>
      <c r="C16" s="259" t="s">
        <v>117</v>
      </c>
      <c r="D16" s="82" t="s">
        <v>81</v>
      </c>
      <c r="E16" s="5" t="s">
        <v>62</v>
      </c>
      <c r="F16" s="5" t="s">
        <v>57</v>
      </c>
    </row>
    <row r="17" spans="1:10" ht="14.5">
      <c r="A17" s="5" t="s">
        <v>27</v>
      </c>
      <c r="B17" s="80" t="s">
        <v>28</v>
      </c>
      <c r="C17" s="259" t="s">
        <v>124</v>
      </c>
      <c r="D17" s="82" t="s">
        <v>81</v>
      </c>
      <c r="E17" s="5" t="s">
        <v>62</v>
      </c>
      <c r="F17" s="5" t="s">
        <v>57</v>
      </c>
    </row>
    <row r="18" spans="1:10" ht="14.5">
      <c r="A18" s="5" t="s">
        <v>27</v>
      </c>
      <c r="B18" s="80" t="s">
        <v>28</v>
      </c>
      <c r="C18" s="259" t="s">
        <v>130</v>
      </c>
      <c r="D18" s="82" t="s">
        <v>81</v>
      </c>
      <c r="E18" s="5" t="s">
        <v>62</v>
      </c>
      <c r="F18" s="5" t="s">
        <v>57</v>
      </c>
    </row>
    <row r="19" spans="1:10" ht="14.5">
      <c r="A19" s="5" t="s">
        <v>27</v>
      </c>
      <c r="B19" s="80" t="s">
        <v>28</v>
      </c>
      <c r="C19" s="259" t="s">
        <v>133</v>
      </c>
      <c r="D19" s="82" t="s">
        <v>81</v>
      </c>
      <c r="E19" s="5" t="s">
        <v>62</v>
      </c>
      <c r="F19" s="5" t="s">
        <v>57</v>
      </c>
    </row>
    <row r="20" spans="1:10" s="74" customFormat="1" ht="14.5">
      <c r="A20" s="5" t="s">
        <v>27</v>
      </c>
      <c r="B20" s="80" t="s">
        <v>28</v>
      </c>
      <c r="C20" s="259" t="s">
        <v>135</v>
      </c>
      <c r="D20" s="82" t="s">
        <v>24</v>
      </c>
      <c r="E20" s="5" t="s">
        <v>62</v>
      </c>
      <c r="F20" s="5" t="s">
        <v>57</v>
      </c>
      <c r="G20"/>
      <c r="H20"/>
      <c r="I20"/>
      <c r="J20"/>
    </row>
    <row r="21" spans="1:10" s="74" customFormat="1" ht="14.5">
      <c r="A21" s="5" t="s">
        <v>27</v>
      </c>
      <c r="B21" s="80" t="s">
        <v>28</v>
      </c>
      <c r="C21" s="259" t="s">
        <v>138</v>
      </c>
      <c r="D21" s="82" t="s">
        <v>24</v>
      </c>
      <c r="E21" s="5" t="s">
        <v>62</v>
      </c>
      <c r="F21" s="5" t="s">
        <v>57</v>
      </c>
      <c r="G21"/>
      <c r="H21"/>
      <c r="I21"/>
      <c r="J21"/>
    </row>
    <row r="22" spans="1:10" ht="14.5">
      <c r="A22" s="5" t="s">
        <v>27</v>
      </c>
      <c r="B22" s="80" t="s">
        <v>28</v>
      </c>
      <c r="C22" s="259" t="s">
        <v>139</v>
      </c>
      <c r="D22" s="82" t="s">
        <v>67</v>
      </c>
      <c r="E22" s="5" t="s">
        <v>62</v>
      </c>
      <c r="F22" s="5" t="s">
        <v>57</v>
      </c>
    </row>
    <row r="23" spans="1:10" s="74" customFormat="1" ht="14.5">
      <c r="A23" s="5" t="s">
        <v>27</v>
      </c>
      <c r="B23" s="80" t="s">
        <v>28</v>
      </c>
      <c r="C23" s="259" t="s">
        <v>148</v>
      </c>
      <c r="D23" s="82" t="s">
        <v>24</v>
      </c>
      <c r="E23" s="5" t="s">
        <v>62</v>
      </c>
      <c r="F23" s="5" t="s">
        <v>57</v>
      </c>
      <c r="G23"/>
      <c r="H23"/>
      <c r="I23"/>
      <c r="J23"/>
    </row>
    <row r="24" spans="1:10" ht="14.5">
      <c r="A24" s="5" t="s">
        <v>27</v>
      </c>
      <c r="B24" s="80" t="s">
        <v>28</v>
      </c>
      <c r="C24" s="259" t="s">
        <v>152</v>
      </c>
      <c r="D24" s="82" t="s">
        <v>24</v>
      </c>
      <c r="E24" s="5" t="s">
        <v>62</v>
      </c>
      <c r="F24" s="5" t="s">
        <v>57</v>
      </c>
    </row>
    <row r="25" spans="1:10" ht="14.5">
      <c r="A25" s="5" t="s">
        <v>27</v>
      </c>
      <c r="B25" s="80" t="s">
        <v>28</v>
      </c>
      <c r="C25" s="259" t="s">
        <v>155</v>
      </c>
      <c r="D25" s="82" t="s">
        <v>67</v>
      </c>
      <c r="E25" s="5" t="s">
        <v>62</v>
      </c>
      <c r="F25" s="5" t="s">
        <v>57</v>
      </c>
    </row>
    <row r="26" spans="1:10" ht="14.5">
      <c r="A26" s="5" t="s">
        <v>27</v>
      </c>
      <c r="B26" s="80" t="s">
        <v>28</v>
      </c>
      <c r="C26" s="259" t="s">
        <v>156</v>
      </c>
      <c r="D26" s="82" t="s">
        <v>24</v>
      </c>
      <c r="E26" s="5" t="s">
        <v>62</v>
      </c>
      <c r="F26" s="5" t="s">
        <v>57</v>
      </c>
    </row>
    <row r="27" spans="1:10" s="74" customFormat="1" ht="14.5">
      <c r="A27" s="5" t="s">
        <v>27</v>
      </c>
      <c r="B27" s="80" t="s">
        <v>28</v>
      </c>
      <c r="C27" s="259" t="s">
        <v>158</v>
      </c>
      <c r="D27" s="82" t="s">
        <v>81</v>
      </c>
      <c r="E27" s="5" t="s">
        <v>62</v>
      </c>
      <c r="F27" s="5" t="s">
        <v>57</v>
      </c>
      <c r="G27"/>
      <c r="H27"/>
      <c r="I27"/>
      <c r="J27"/>
    </row>
    <row r="28" spans="1:10" s="74" customFormat="1" ht="14.5">
      <c r="A28" s="5" t="s">
        <v>27</v>
      </c>
      <c r="B28" s="80" t="s">
        <v>28</v>
      </c>
      <c r="C28" s="259" t="s">
        <v>160</v>
      </c>
      <c r="D28" s="82" t="s">
        <v>67</v>
      </c>
      <c r="E28" s="5" t="s">
        <v>62</v>
      </c>
      <c r="F28" s="5" t="s">
        <v>57</v>
      </c>
      <c r="G28"/>
      <c r="H28"/>
    </row>
    <row r="29" spans="1:10" s="74" customFormat="1" ht="14.5">
      <c r="A29" s="5" t="s">
        <v>27</v>
      </c>
      <c r="B29" s="80" t="s">
        <v>28</v>
      </c>
      <c r="C29" s="259" t="s">
        <v>163</v>
      </c>
      <c r="D29" s="82" t="s">
        <v>67</v>
      </c>
      <c r="E29" s="5" t="s">
        <v>62</v>
      </c>
      <c r="F29" s="5" t="s">
        <v>57</v>
      </c>
      <c r="G29"/>
      <c r="H29"/>
    </row>
    <row r="30" spans="1:10" s="74" customFormat="1" ht="14.5">
      <c r="A30" s="5" t="s">
        <v>27</v>
      </c>
      <c r="B30" s="80" t="s">
        <v>28</v>
      </c>
      <c r="C30" s="259" t="s">
        <v>166</v>
      </c>
      <c r="D30" s="82" t="s">
        <v>81</v>
      </c>
      <c r="E30" s="5" t="s">
        <v>62</v>
      </c>
      <c r="F30" s="5" t="s">
        <v>57</v>
      </c>
      <c r="G30"/>
      <c r="H30"/>
    </row>
    <row r="31" spans="1:10" s="74" customFormat="1" ht="14.5">
      <c r="A31" s="5" t="s">
        <v>27</v>
      </c>
      <c r="B31" s="80" t="s">
        <v>28</v>
      </c>
      <c r="C31" s="259" t="s">
        <v>168</v>
      </c>
      <c r="D31" s="82" t="s">
        <v>24</v>
      </c>
      <c r="E31" s="5" t="s">
        <v>62</v>
      </c>
      <c r="F31" s="5" t="s">
        <v>57</v>
      </c>
      <c r="G31"/>
      <c r="H31"/>
    </row>
    <row r="32" spans="1:10" ht="14.5">
      <c r="A32" s="5" t="s">
        <v>27</v>
      </c>
      <c r="B32" s="80" t="s">
        <v>28</v>
      </c>
      <c r="C32" s="259" t="s">
        <v>172</v>
      </c>
      <c r="D32" s="82" t="s">
        <v>81</v>
      </c>
      <c r="E32" s="5" t="s">
        <v>62</v>
      </c>
      <c r="F32" s="5" t="s">
        <v>57</v>
      </c>
    </row>
    <row r="33" spans="1:8" s="74" customFormat="1" ht="14.5">
      <c r="A33" s="5" t="s">
        <v>27</v>
      </c>
      <c r="B33" s="80" t="s">
        <v>28</v>
      </c>
      <c r="C33" s="259" t="s">
        <v>178</v>
      </c>
      <c r="D33" s="82" t="s">
        <v>24</v>
      </c>
      <c r="E33" s="5" t="s">
        <v>62</v>
      </c>
      <c r="F33" s="5" t="s">
        <v>57</v>
      </c>
      <c r="G33"/>
      <c r="H33"/>
    </row>
    <row r="34" spans="1:8" s="74" customFormat="1" ht="14.5">
      <c r="A34" s="5" t="s">
        <v>27</v>
      </c>
      <c r="B34" s="80" t="s">
        <v>28</v>
      </c>
      <c r="C34" s="259" t="s">
        <v>181</v>
      </c>
      <c r="D34" s="82" t="s">
        <v>24</v>
      </c>
      <c r="E34" s="5" t="s">
        <v>62</v>
      </c>
      <c r="F34" s="5" t="s">
        <v>57</v>
      </c>
      <c r="G34"/>
      <c r="H34"/>
    </row>
    <row r="35" spans="1:8" s="74" customFormat="1" ht="14.5">
      <c r="A35" s="5" t="s">
        <v>27</v>
      </c>
      <c r="B35" s="80" t="s">
        <v>28</v>
      </c>
      <c r="C35" s="259" t="s">
        <v>185</v>
      </c>
      <c r="D35" s="82" t="s">
        <v>24</v>
      </c>
      <c r="E35" s="5" t="s">
        <v>62</v>
      </c>
      <c r="F35" s="5" t="s">
        <v>57</v>
      </c>
      <c r="G35"/>
      <c r="H35"/>
    </row>
    <row r="36" spans="1:8" s="74" customFormat="1" ht="14.5">
      <c r="A36" s="5" t="s">
        <v>27</v>
      </c>
      <c r="B36" s="80" t="s">
        <v>28</v>
      </c>
      <c r="C36" s="259" t="s">
        <v>198</v>
      </c>
      <c r="D36" s="82" t="s">
        <v>24</v>
      </c>
      <c r="E36" s="5" t="s">
        <v>62</v>
      </c>
      <c r="F36" s="5" t="s">
        <v>57</v>
      </c>
      <c r="G36"/>
      <c r="H36"/>
    </row>
    <row r="37" spans="1:8" s="74" customFormat="1" ht="14.5">
      <c r="A37" s="5" t="s">
        <v>27</v>
      </c>
      <c r="B37" s="80" t="s">
        <v>28</v>
      </c>
      <c r="C37" s="259" t="s">
        <v>202</v>
      </c>
      <c r="D37" s="82" t="s">
        <v>24</v>
      </c>
      <c r="E37" s="5" t="s">
        <v>62</v>
      </c>
      <c r="F37" s="5" t="s">
        <v>57</v>
      </c>
      <c r="G37"/>
      <c r="H37"/>
    </row>
    <row r="38" spans="1:8" s="74" customFormat="1" ht="14.5">
      <c r="A38" s="5" t="s">
        <v>27</v>
      </c>
      <c r="B38" s="80" t="s">
        <v>28</v>
      </c>
      <c r="C38" s="259" t="s">
        <v>208</v>
      </c>
      <c r="D38" s="82" t="s">
        <v>67</v>
      </c>
      <c r="E38" s="5" t="s">
        <v>62</v>
      </c>
      <c r="F38" s="5" t="s">
        <v>57</v>
      </c>
      <c r="G38"/>
      <c r="H38"/>
    </row>
    <row r="39" spans="1:8" s="74" customFormat="1" ht="14.5">
      <c r="A39" s="5" t="s">
        <v>27</v>
      </c>
      <c r="B39" s="80" t="s">
        <v>28</v>
      </c>
      <c r="C39" s="259" t="s">
        <v>217</v>
      </c>
      <c r="D39" s="82" t="s">
        <v>67</v>
      </c>
      <c r="E39" s="5" t="s">
        <v>62</v>
      </c>
      <c r="F39" s="5" t="s">
        <v>250</v>
      </c>
      <c r="G39"/>
      <c r="H39"/>
    </row>
    <row r="40" spans="1:8" s="74" customFormat="1" ht="14.5">
      <c r="A40" s="5" t="s">
        <v>27</v>
      </c>
      <c r="B40" s="80" t="s">
        <v>28</v>
      </c>
      <c r="C40" s="259" t="s">
        <v>223</v>
      </c>
      <c r="D40" s="82" t="s">
        <v>24</v>
      </c>
      <c r="E40" s="5" t="s">
        <v>62</v>
      </c>
      <c r="F40" s="5" t="s">
        <v>57</v>
      </c>
      <c r="G40"/>
      <c r="H40"/>
    </row>
    <row r="41" spans="1:8" s="74" customFormat="1" ht="14.5">
      <c r="A41" s="5" t="s">
        <v>27</v>
      </c>
      <c r="B41" s="80" t="s">
        <v>28</v>
      </c>
      <c r="C41" s="259" t="s">
        <v>227</v>
      </c>
      <c r="D41" s="82" t="s">
        <v>67</v>
      </c>
      <c r="E41" s="5" t="s">
        <v>62</v>
      </c>
      <c r="F41" s="5" t="s">
        <v>57</v>
      </c>
      <c r="G41"/>
      <c r="H41"/>
    </row>
    <row r="42" spans="1:8" s="74" customFormat="1" ht="14.5">
      <c r="A42" s="5" t="s">
        <v>27</v>
      </c>
      <c r="B42" s="80" t="s">
        <v>28</v>
      </c>
      <c r="C42" s="259" t="s">
        <v>161</v>
      </c>
      <c r="D42" s="82" t="s">
        <v>67</v>
      </c>
      <c r="E42" s="5" t="s">
        <v>62</v>
      </c>
      <c r="F42" s="5" t="s">
        <v>57</v>
      </c>
      <c r="G42"/>
      <c r="H42"/>
    </row>
    <row r="43" spans="1:8" ht="14.5">
      <c r="A43" s="5" t="s">
        <v>27</v>
      </c>
      <c r="B43" s="80" t="s">
        <v>28</v>
      </c>
      <c r="C43" s="259" t="s">
        <v>243</v>
      </c>
      <c r="D43" s="82" t="s">
        <v>24</v>
      </c>
      <c r="E43" s="5" t="s">
        <v>62</v>
      </c>
      <c r="F43" s="5" t="s">
        <v>57</v>
      </c>
    </row>
    <row r="44" spans="1:8" ht="14.5">
      <c r="A44" s="5" t="s">
        <v>27</v>
      </c>
      <c r="B44" s="80" t="s">
        <v>28</v>
      </c>
      <c r="C44" s="259" t="s">
        <v>256</v>
      </c>
      <c r="D44" s="82" t="s">
        <v>24</v>
      </c>
      <c r="E44" s="5" t="s">
        <v>62</v>
      </c>
      <c r="F44" s="5" t="s">
        <v>57</v>
      </c>
    </row>
    <row r="45" spans="1:8" s="74" customFormat="1" ht="14.5">
      <c r="A45" s="5" t="s">
        <v>27</v>
      </c>
      <c r="B45" s="80" t="s">
        <v>28</v>
      </c>
      <c r="C45" s="259" t="s">
        <v>257</v>
      </c>
      <c r="D45" s="82" t="s">
        <v>67</v>
      </c>
      <c r="E45" s="5" t="s">
        <v>62</v>
      </c>
      <c r="F45" s="5" t="s">
        <v>57</v>
      </c>
      <c r="G45"/>
      <c r="H45"/>
    </row>
    <row r="46" spans="1:8" ht="14.5" hidden="1">
      <c r="A46" s="5" t="s">
        <v>27</v>
      </c>
      <c r="B46" s="80" t="s">
        <v>28</v>
      </c>
      <c r="C46" s="259" t="s">
        <v>257</v>
      </c>
      <c r="D46" s="82" t="s">
        <v>67</v>
      </c>
      <c r="E46" s="5" t="s">
        <v>62</v>
      </c>
      <c r="F46" s="5" t="s">
        <v>57</v>
      </c>
    </row>
    <row r="47" spans="1:8" s="74" customFormat="1" ht="14.5">
      <c r="A47" s="5" t="s">
        <v>27</v>
      </c>
      <c r="B47" s="80" t="s">
        <v>28</v>
      </c>
      <c r="C47" s="259" t="s">
        <v>262</v>
      </c>
      <c r="D47" s="82" t="s">
        <v>24</v>
      </c>
      <c r="E47" s="5" t="s">
        <v>62</v>
      </c>
      <c r="F47" s="5" t="s">
        <v>57</v>
      </c>
      <c r="G47"/>
      <c r="H47"/>
    </row>
    <row r="48" spans="1:8" ht="14.5">
      <c r="A48" s="5" t="s">
        <v>27</v>
      </c>
      <c r="B48" s="80" t="s">
        <v>28</v>
      </c>
      <c r="C48" s="259" t="s">
        <v>266</v>
      </c>
      <c r="D48" s="82" t="s">
        <v>24</v>
      </c>
      <c r="E48" s="5" t="s">
        <v>62</v>
      </c>
      <c r="F48" s="5" t="s">
        <v>57</v>
      </c>
    </row>
    <row r="49" spans="1:6" ht="14.5">
      <c r="A49" s="5" t="s">
        <v>27</v>
      </c>
      <c r="B49" s="80" t="s">
        <v>28</v>
      </c>
      <c r="C49" s="259" t="s">
        <v>269</v>
      </c>
      <c r="D49" s="82" t="s">
        <v>24</v>
      </c>
      <c r="E49" s="5" t="s">
        <v>62</v>
      </c>
      <c r="F49" s="5" t="s">
        <v>57</v>
      </c>
    </row>
    <row r="50" spans="1:6" ht="14.5">
      <c r="A50" s="5" t="s">
        <v>27</v>
      </c>
      <c r="B50" s="80" t="s">
        <v>28</v>
      </c>
      <c r="C50" s="259" t="s">
        <v>273</v>
      </c>
      <c r="D50" s="82" t="s">
        <v>67</v>
      </c>
      <c r="E50" s="5" t="s">
        <v>62</v>
      </c>
      <c r="F50" s="5" t="s">
        <v>57</v>
      </c>
    </row>
    <row r="51" spans="1:6" ht="14.5">
      <c r="A51" s="5" t="s">
        <v>27</v>
      </c>
      <c r="B51" s="80" t="s">
        <v>28</v>
      </c>
      <c r="C51" s="259" t="s">
        <v>275</v>
      </c>
      <c r="D51" s="82" t="s">
        <v>24</v>
      </c>
      <c r="E51" s="5" t="s">
        <v>62</v>
      </c>
      <c r="F51" s="5" t="s">
        <v>57</v>
      </c>
    </row>
    <row r="52" spans="1:6" ht="15" customHeight="1">
      <c r="E52" s="5" t="s">
        <v>62</v>
      </c>
      <c r="F52" s="5" t="s">
        <v>57</v>
      </c>
    </row>
    <row r="53" spans="1:6" ht="15" customHeight="1">
      <c r="E53" s="5" t="s">
        <v>62</v>
      </c>
      <c r="F53" s="5" t="s">
        <v>57</v>
      </c>
    </row>
  </sheetData>
  <autoFilter ref="A2:F51" xr:uid="{3F327A72-0D34-4335-A738-BEB6E78C226A}"/>
  <mergeCells count="1">
    <mergeCell ref="A1:F1"/>
  </mergeCells>
  <conditionalFormatting sqref="F3:F53">
    <cfRule type="containsText" dxfId="72" priority="2" operator="containsText" text="No">
      <formula>NOT(ISERROR(SEARCH("No",F3)))</formula>
    </cfRule>
    <cfRule type="containsText" dxfId="71" priority="3" operator="containsText" text="Yes">
      <formula>NOT(ISERROR(SEARCH("Yes",F3)))</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53B96-A818-4DF3-9E56-2B6D2A08C15F}">
  <dimension ref="A1:Q242"/>
  <sheetViews>
    <sheetView workbookViewId="0">
      <selection activeCell="O246" sqref="O246"/>
    </sheetView>
  </sheetViews>
  <sheetFormatPr defaultRowHeight="14.5"/>
  <cols>
    <col min="1" max="1" width="19.26953125" customWidth="1"/>
    <col min="2" max="2" width="21.81640625" customWidth="1"/>
    <col min="3" max="3" width="33.453125" customWidth="1"/>
    <col min="4" max="4" width="27.26953125" customWidth="1"/>
    <col min="6" max="6" width="14.54296875" customWidth="1"/>
    <col min="7" max="7" width="25.453125" customWidth="1"/>
    <col min="8" max="8" width="27.453125" customWidth="1"/>
    <col min="9" max="9" width="30.54296875" customWidth="1"/>
    <col min="10" max="10" width="21.81640625" customWidth="1"/>
    <col min="11" max="11" width="26.81640625" customWidth="1"/>
    <col min="12" max="12" width="24" customWidth="1"/>
    <col min="13" max="13" width="37.7265625" customWidth="1"/>
    <col min="14" max="14" width="20.7265625" customWidth="1"/>
    <col min="15" max="15" width="21.7265625" customWidth="1"/>
    <col min="16" max="16" width="18.7265625" customWidth="1"/>
    <col min="17" max="17" width="41.7265625" customWidth="1"/>
  </cols>
  <sheetData>
    <row r="1" spans="1:17" ht="18.5">
      <c r="A1" s="273" t="s">
        <v>0</v>
      </c>
      <c r="B1" s="274"/>
      <c r="C1" s="274"/>
      <c r="D1" s="274"/>
      <c r="E1" s="275"/>
      <c r="F1" s="274"/>
      <c r="G1" s="276"/>
      <c r="H1" s="277" t="s">
        <v>1</v>
      </c>
      <c r="I1" s="278"/>
      <c r="J1" s="279" t="s">
        <v>2</v>
      </c>
      <c r="K1" s="279"/>
      <c r="L1" s="279"/>
      <c r="M1" s="279"/>
      <c r="N1" s="279"/>
      <c r="O1" s="279"/>
      <c r="P1" s="279"/>
      <c r="Q1" s="279"/>
    </row>
    <row r="2" spans="1:17" ht="24">
      <c r="A2" s="128" t="s">
        <v>3</v>
      </c>
      <c r="B2" s="128" t="s">
        <v>4</v>
      </c>
      <c r="C2" s="128" t="s">
        <v>5</v>
      </c>
      <c r="D2" s="128" t="s">
        <v>6</v>
      </c>
      <c r="E2" s="249" t="s">
        <v>7</v>
      </c>
      <c r="F2" s="250" t="s">
        <v>8</v>
      </c>
      <c r="G2" s="128" t="s">
        <v>9</v>
      </c>
      <c r="H2" s="252" t="s">
        <v>10</v>
      </c>
      <c r="I2" s="252" t="s">
        <v>11</v>
      </c>
      <c r="J2" s="129" t="s">
        <v>12</v>
      </c>
      <c r="K2" s="129" t="s">
        <v>13</v>
      </c>
      <c r="L2" s="129" t="s">
        <v>14</v>
      </c>
      <c r="M2" s="129" t="s">
        <v>15</v>
      </c>
      <c r="N2" s="129" t="s">
        <v>16</v>
      </c>
      <c r="O2" s="129" t="s">
        <v>17</v>
      </c>
      <c r="P2" s="129" t="s">
        <v>18</v>
      </c>
      <c r="Q2" s="251" t="s">
        <v>19</v>
      </c>
    </row>
    <row r="3" spans="1:17" ht="14.25" customHeight="1">
      <c r="A3" s="71" t="s">
        <v>20</v>
      </c>
      <c r="B3" s="71" t="s">
        <v>21</v>
      </c>
      <c r="C3" s="71" t="s">
        <v>22</v>
      </c>
      <c r="D3" s="123" t="s">
        <v>23</v>
      </c>
      <c r="E3" s="111">
        <v>0</v>
      </c>
      <c r="F3" s="71" t="s">
        <v>24</v>
      </c>
      <c r="G3" s="238" t="s">
        <v>25</v>
      </c>
      <c r="H3" s="71"/>
      <c r="I3" s="71"/>
      <c r="J3" s="71" t="s">
        <v>26</v>
      </c>
      <c r="K3" s="71" t="s">
        <v>27</v>
      </c>
      <c r="L3" s="150" t="s">
        <v>28</v>
      </c>
      <c r="M3" s="130" t="s">
        <v>29</v>
      </c>
      <c r="N3" s="157" t="s">
        <v>24</v>
      </c>
      <c r="O3" s="71" t="s">
        <v>30</v>
      </c>
      <c r="P3" s="76" t="s">
        <v>31</v>
      </c>
      <c r="Q3" s="169"/>
    </row>
    <row r="4" spans="1:17" ht="14.25" customHeight="1">
      <c r="A4" s="71" t="s">
        <v>20</v>
      </c>
      <c r="B4" s="71" t="s">
        <v>21</v>
      </c>
      <c r="C4" s="71" t="s">
        <v>22</v>
      </c>
      <c r="D4" s="71" t="s">
        <v>47</v>
      </c>
      <c r="E4" s="111">
        <v>1</v>
      </c>
      <c r="F4" s="71" t="s">
        <v>48</v>
      </c>
      <c r="G4" s="238" t="s">
        <v>49</v>
      </c>
      <c r="H4" s="71"/>
      <c r="I4" s="71"/>
      <c r="J4" s="71" t="s">
        <v>50</v>
      </c>
      <c r="K4" s="71" t="s">
        <v>27</v>
      </c>
      <c r="L4" s="150" t="s">
        <v>28</v>
      </c>
      <c r="M4" s="130" t="s">
        <v>51</v>
      </c>
      <c r="N4" s="157" t="s">
        <v>24</v>
      </c>
      <c r="O4" s="71" t="s">
        <v>30</v>
      </c>
      <c r="P4" s="71" t="str">
        <f>IF(J4="Direct pull", "Yes", "No")</f>
        <v>Yes</v>
      </c>
      <c r="Q4" s="169"/>
    </row>
    <row r="5" spans="1:17" ht="14.25" customHeight="1">
      <c r="A5" s="71" t="s">
        <v>20</v>
      </c>
      <c r="B5" s="71" t="s">
        <v>21</v>
      </c>
      <c r="C5" s="71" t="s">
        <v>22</v>
      </c>
      <c r="D5" s="71" t="s">
        <v>59</v>
      </c>
      <c r="E5" s="111">
        <v>1.2</v>
      </c>
      <c r="F5" s="71" t="s">
        <v>24</v>
      </c>
      <c r="G5" s="238" t="s">
        <v>60</v>
      </c>
      <c r="H5" s="71"/>
      <c r="I5" s="71"/>
      <c r="J5" s="71" t="s">
        <v>50</v>
      </c>
      <c r="K5" s="71" t="s">
        <v>27</v>
      </c>
      <c r="L5" s="71" t="s">
        <v>28</v>
      </c>
      <c r="M5" s="149" t="s">
        <v>61</v>
      </c>
      <c r="N5" s="71" t="s">
        <v>24</v>
      </c>
      <c r="O5" s="71" t="s">
        <v>62</v>
      </c>
      <c r="P5" s="71" t="str">
        <f>IF(J5="Direct pull", "Yes", "No")</f>
        <v>Yes</v>
      </c>
      <c r="Q5" s="169"/>
    </row>
    <row r="6" spans="1:17" ht="14.25" customHeight="1">
      <c r="A6" s="71" t="s">
        <v>20</v>
      </c>
      <c r="B6" s="71" t="s">
        <v>21</v>
      </c>
      <c r="C6" s="71" t="s">
        <v>22</v>
      </c>
      <c r="D6" s="71" t="s">
        <v>68</v>
      </c>
      <c r="E6" s="111">
        <v>2</v>
      </c>
      <c r="F6" s="71" t="s">
        <v>24</v>
      </c>
      <c r="G6" s="238" t="s">
        <v>69</v>
      </c>
      <c r="H6" s="71"/>
      <c r="I6" s="71"/>
      <c r="J6" s="71" t="s">
        <v>50</v>
      </c>
      <c r="K6" s="71" t="s">
        <v>27</v>
      </c>
      <c r="L6" s="71" t="s">
        <v>28</v>
      </c>
      <c r="M6" s="149" t="s">
        <v>70</v>
      </c>
      <c r="N6" s="71" t="s">
        <v>67</v>
      </c>
      <c r="O6" s="71" t="s">
        <v>71</v>
      </c>
      <c r="P6" s="71" t="str">
        <f>IF(J6="Direct pull", "Yes", "No")</f>
        <v>Yes</v>
      </c>
      <c r="Q6" s="169"/>
    </row>
    <row r="7" spans="1:17" ht="14.25" customHeight="1">
      <c r="A7" s="71" t="s">
        <v>20</v>
      </c>
      <c r="B7" s="71" t="s">
        <v>21</v>
      </c>
      <c r="C7" s="71" t="s">
        <v>22</v>
      </c>
      <c r="D7" s="88"/>
      <c r="E7" s="71">
        <v>2.1</v>
      </c>
      <c r="F7" s="71" t="s">
        <v>67</v>
      </c>
      <c r="G7" s="238" t="s">
        <v>77</v>
      </c>
      <c r="H7" s="71"/>
      <c r="I7" s="71"/>
      <c r="J7" s="71" t="s">
        <v>50</v>
      </c>
      <c r="K7" s="71" t="s">
        <v>27</v>
      </c>
      <c r="L7" s="150" t="s">
        <v>28</v>
      </c>
      <c r="M7" s="130" t="s">
        <v>78</v>
      </c>
      <c r="N7" s="157" t="s">
        <v>24</v>
      </c>
      <c r="O7" s="71" t="s">
        <v>62</v>
      </c>
      <c r="P7" s="71" t="s">
        <v>31</v>
      </c>
      <c r="Q7" s="169"/>
    </row>
    <row r="8" spans="1:17" ht="14.25" customHeight="1">
      <c r="A8" s="71" t="s">
        <v>20</v>
      </c>
      <c r="B8" s="71" t="s">
        <v>21</v>
      </c>
      <c r="C8" s="71" t="s">
        <v>22</v>
      </c>
      <c r="D8" s="71" t="s">
        <v>80</v>
      </c>
      <c r="E8" s="111">
        <v>3</v>
      </c>
      <c r="F8" s="71" t="s">
        <v>81</v>
      </c>
      <c r="G8" s="238" t="s">
        <v>82</v>
      </c>
      <c r="H8" s="71"/>
      <c r="I8" s="71"/>
      <c r="J8" s="71" t="s">
        <v>50</v>
      </c>
      <c r="K8" s="71" t="s">
        <v>27</v>
      </c>
      <c r="L8" s="71" t="s">
        <v>28</v>
      </c>
      <c r="M8" s="149" t="s">
        <v>83</v>
      </c>
      <c r="N8" s="71" t="s">
        <v>81</v>
      </c>
      <c r="O8" s="71" t="s">
        <v>62</v>
      </c>
      <c r="P8" s="71" t="str">
        <f>IF(J8="Direct pull", "Yes", "No")</f>
        <v>Yes</v>
      </c>
      <c r="Q8" s="169"/>
    </row>
    <row r="9" spans="1:17" ht="14.25" customHeight="1">
      <c r="A9" s="71" t="s">
        <v>20</v>
      </c>
      <c r="B9" s="71" t="s">
        <v>21</v>
      </c>
      <c r="C9" s="71" t="s">
        <v>22</v>
      </c>
      <c r="D9" s="88"/>
      <c r="E9" s="111">
        <v>4.0999999999999996</v>
      </c>
      <c r="F9" s="71" t="s">
        <v>81</v>
      </c>
      <c r="G9" s="238" t="s">
        <v>88</v>
      </c>
      <c r="H9" s="71"/>
      <c r="I9" s="71"/>
      <c r="J9" s="71" t="s">
        <v>50</v>
      </c>
      <c r="K9" s="71" t="s">
        <v>27</v>
      </c>
      <c r="L9" s="150" t="s">
        <v>28</v>
      </c>
      <c r="M9" s="130" t="s">
        <v>89</v>
      </c>
      <c r="N9" s="157" t="s">
        <v>81</v>
      </c>
      <c r="O9" s="71" t="s">
        <v>71</v>
      </c>
      <c r="P9" s="72" t="s">
        <v>31</v>
      </c>
      <c r="Q9" s="169"/>
    </row>
    <row r="10" spans="1:17" ht="14.25" customHeight="1">
      <c r="A10" s="71" t="s">
        <v>20</v>
      </c>
      <c r="B10" s="71" t="s">
        <v>21</v>
      </c>
      <c r="C10" s="71" t="s">
        <v>22</v>
      </c>
      <c r="D10" s="88"/>
      <c r="E10" s="111">
        <v>6.1</v>
      </c>
      <c r="F10" s="71" t="s">
        <v>24</v>
      </c>
      <c r="G10" s="238" t="s">
        <v>90</v>
      </c>
      <c r="H10" s="71"/>
      <c r="I10" s="71"/>
      <c r="J10" s="71" t="s">
        <v>50</v>
      </c>
      <c r="K10" s="71" t="s">
        <v>27</v>
      </c>
      <c r="L10" s="150" t="s">
        <v>28</v>
      </c>
      <c r="M10" s="130" t="s">
        <v>91</v>
      </c>
      <c r="N10" s="157" t="s">
        <v>24</v>
      </c>
      <c r="O10" s="71" t="s">
        <v>71</v>
      </c>
      <c r="P10" s="72" t="s">
        <v>31</v>
      </c>
      <c r="Q10" s="169"/>
    </row>
    <row r="11" spans="1:17" ht="14.25" customHeight="1">
      <c r="A11" s="71" t="s">
        <v>20</v>
      </c>
      <c r="B11" s="71" t="s">
        <v>21</v>
      </c>
      <c r="C11" s="71" t="s">
        <v>22</v>
      </c>
      <c r="D11" s="71" t="s">
        <v>93</v>
      </c>
      <c r="E11" s="111">
        <v>8</v>
      </c>
      <c r="F11" s="71" t="s">
        <v>24</v>
      </c>
      <c r="G11" s="238" t="s">
        <v>94</v>
      </c>
      <c r="H11" s="71"/>
      <c r="I11" s="71"/>
      <c r="J11" s="71" t="s">
        <v>50</v>
      </c>
      <c r="K11" s="71" t="s">
        <v>27</v>
      </c>
      <c r="L11" s="150" t="s">
        <v>28</v>
      </c>
      <c r="M11" s="130" t="s">
        <v>276</v>
      </c>
      <c r="N11" s="157" t="s">
        <v>67</v>
      </c>
      <c r="O11" s="71" t="s">
        <v>71</v>
      </c>
      <c r="P11" s="71" t="str">
        <f>IF(J11="Direct pull", "Yes", "No")</f>
        <v>Yes</v>
      </c>
      <c r="Q11" s="169"/>
    </row>
    <row r="12" spans="1:17" ht="14.25" customHeight="1">
      <c r="A12" s="71" t="s">
        <v>20</v>
      </c>
      <c r="B12" s="71" t="s">
        <v>21</v>
      </c>
      <c r="C12" s="71" t="s">
        <v>22</v>
      </c>
      <c r="D12" s="88"/>
      <c r="E12" s="111">
        <v>8.1</v>
      </c>
      <c r="F12" s="71" t="s">
        <v>24</v>
      </c>
      <c r="G12" s="238" t="s">
        <v>99</v>
      </c>
      <c r="H12" s="71"/>
      <c r="I12" s="71"/>
      <c r="J12" s="71" t="s">
        <v>50</v>
      </c>
      <c r="K12" s="71" t="s">
        <v>27</v>
      </c>
      <c r="L12" s="150" t="s">
        <v>28</v>
      </c>
      <c r="M12" s="130" t="s">
        <v>100</v>
      </c>
      <c r="N12" s="157" t="s">
        <v>24</v>
      </c>
      <c r="O12" s="71" t="s">
        <v>71</v>
      </c>
      <c r="P12" s="73" t="s">
        <v>31</v>
      </c>
      <c r="Q12" s="169"/>
    </row>
    <row r="13" spans="1:17" ht="14.25" customHeight="1">
      <c r="A13" s="71" t="s">
        <v>20</v>
      </c>
      <c r="B13" s="71" t="s">
        <v>21</v>
      </c>
      <c r="C13" s="71" t="s">
        <v>22</v>
      </c>
      <c r="D13" s="71" t="s">
        <v>102</v>
      </c>
      <c r="E13" s="111">
        <v>9.1</v>
      </c>
      <c r="F13" s="71" t="s">
        <v>24</v>
      </c>
      <c r="G13" s="238" t="s">
        <v>103</v>
      </c>
      <c r="H13" s="71"/>
      <c r="I13" s="71"/>
      <c r="J13" s="71" t="s">
        <v>50</v>
      </c>
      <c r="K13" s="71" t="s">
        <v>27</v>
      </c>
      <c r="L13" s="71" t="s">
        <v>28</v>
      </c>
      <c r="M13" s="149" t="s">
        <v>102</v>
      </c>
      <c r="N13" s="71" t="s">
        <v>67</v>
      </c>
      <c r="O13" s="71" t="s">
        <v>30</v>
      </c>
      <c r="P13" s="71" t="str">
        <f>IF(J13="Direct pull", "Yes", "No")</f>
        <v>Yes</v>
      </c>
      <c r="Q13" s="169"/>
    </row>
    <row r="14" spans="1:17" ht="14.25" customHeight="1">
      <c r="A14" s="71" t="s">
        <v>20</v>
      </c>
      <c r="B14" s="71" t="s">
        <v>21</v>
      </c>
      <c r="C14" s="71" t="s">
        <v>22</v>
      </c>
      <c r="D14" s="71" t="s">
        <v>108</v>
      </c>
      <c r="E14" s="111">
        <v>9.11</v>
      </c>
      <c r="F14" s="71" t="s">
        <v>24</v>
      </c>
      <c r="G14" s="238" t="s">
        <v>109</v>
      </c>
      <c r="H14" s="71"/>
      <c r="I14" s="71"/>
      <c r="J14" s="71" t="s">
        <v>50</v>
      </c>
      <c r="K14" s="71" t="s">
        <v>27</v>
      </c>
      <c r="L14" s="150" t="s">
        <v>28</v>
      </c>
      <c r="M14" s="130" t="s">
        <v>110</v>
      </c>
      <c r="N14" s="157" t="s">
        <v>67</v>
      </c>
      <c r="O14" s="71" t="s">
        <v>71</v>
      </c>
      <c r="P14" s="71" t="str">
        <f>IF(J14="Direct pull", "Yes", "No")</f>
        <v>Yes</v>
      </c>
      <c r="Q14" s="169"/>
    </row>
    <row r="15" spans="1:17" ht="14.25" customHeight="1">
      <c r="A15" s="71" t="s">
        <v>20</v>
      </c>
      <c r="B15" s="71" t="s">
        <v>21</v>
      </c>
      <c r="C15" s="71" t="s">
        <v>22</v>
      </c>
      <c r="D15" s="88"/>
      <c r="E15" s="111">
        <v>10.1</v>
      </c>
      <c r="F15" s="71" t="s">
        <v>81</v>
      </c>
      <c r="G15" s="238" t="s">
        <v>113</v>
      </c>
      <c r="H15" s="71"/>
      <c r="I15" s="71"/>
      <c r="J15" s="71" t="s">
        <v>50</v>
      </c>
      <c r="K15" s="71" t="s">
        <v>27</v>
      </c>
      <c r="L15" s="150" t="s">
        <v>28</v>
      </c>
      <c r="M15" s="130" t="s">
        <v>114</v>
      </c>
      <c r="N15" s="157" t="s">
        <v>81</v>
      </c>
      <c r="O15" s="71" t="s">
        <v>71</v>
      </c>
      <c r="P15" s="56" t="s">
        <v>31</v>
      </c>
      <c r="Q15" s="170"/>
    </row>
    <row r="16" spans="1:17" ht="14.25" customHeight="1">
      <c r="A16" s="71" t="s">
        <v>20</v>
      </c>
      <c r="B16" s="71" t="s">
        <v>21</v>
      </c>
      <c r="C16" s="71" t="s">
        <v>22</v>
      </c>
      <c r="D16" s="71" t="s">
        <v>115</v>
      </c>
      <c r="E16" s="111">
        <v>11</v>
      </c>
      <c r="F16" s="71" t="s">
        <v>81</v>
      </c>
      <c r="G16" s="238" t="s">
        <v>116</v>
      </c>
      <c r="H16" s="71"/>
      <c r="I16" s="71"/>
      <c r="J16" s="71" t="s">
        <v>50</v>
      </c>
      <c r="K16" s="71" t="s">
        <v>27</v>
      </c>
      <c r="L16" s="150" t="s">
        <v>28</v>
      </c>
      <c r="M16" s="130" t="s">
        <v>117</v>
      </c>
      <c r="N16" s="157" t="s">
        <v>81</v>
      </c>
      <c r="O16" s="71" t="s">
        <v>71</v>
      </c>
      <c r="P16" s="71" t="str">
        <f>IF(J16="Direct pull", "Yes", "No")</f>
        <v>Yes</v>
      </c>
      <c r="Q16" s="169"/>
    </row>
    <row r="17" spans="1:17" ht="14.25" customHeight="1">
      <c r="A17" s="71" t="s">
        <v>20</v>
      </c>
      <c r="B17" s="71" t="s">
        <v>21</v>
      </c>
      <c r="C17" s="71" t="s">
        <v>22</v>
      </c>
      <c r="D17" s="71" t="s">
        <v>122</v>
      </c>
      <c r="E17" s="111">
        <v>12</v>
      </c>
      <c r="F17" s="71" t="s">
        <v>81</v>
      </c>
      <c r="G17" s="241" t="s">
        <v>123</v>
      </c>
      <c r="H17" s="71"/>
      <c r="I17" s="71"/>
      <c r="J17" s="71" t="s">
        <v>50</v>
      </c>
      <c r="K17" s="71" t="s">
        <v>27</v>
      </c>
      <c r="L17" s="150" t="s">
        <v>28</v>
      </c>
      <c r="M17" s="130" t="s">
        <v>124</v>
      </c>
      <c r="N17" s="157" t="s">
        <v>81</v>
      </c>
      <c r="O17" s="71" t="s">
        <v>71</v>
      </c>
      <c r="P17" s="71" t="str">
        <f>IF(J17="Direct pull", "Yes", "No")</f>
        <v>Yes</v>
      </c>
      <c r="Q17" s="169"/>
    </row>
    <row r="18" spans="1:17" ht="14.25" customHeight="1">
      <c r="A18" s="71" t="s">
        <v>20</v>
      </c>
      <c r="B18" s="71" t="s">
        <v>21</v>
      </c>
      <c r="C18" s="71" t="s">
        <v>22</v>
      </c>
      <c r="D18" s="88"/>
      <c r="E18" s="111">
        <v>13</v>
      </c>
      <c r="F18" s="71" t="s">
        <v>81</v>
      </c>
      <c r="G18" s="238" t="s">
        <v>129</v>
      </c>
      <c r="H18" s="71"/>
      <c r="I18" s="71"/>
      <c r="J18" s="71" t="s">
        <v>50</v>
      </c>
      <c r="K18" s="71" t="s">
        <v>27</v>
      </c>
      <c r="L18" s="150" t="s">
        <v>28</v>
      </c>
      <c r="M18" s="130" t="s">
        <v>130</v>
      </c>
      <c r="N18" s="157" t="s">
        <v>81</v>
      </c>
      <c r="O18" s="71" t="s">
        <v>71</v>
      </c>
      <c r="P18" s="71" t="s">
        <v>31</v>
      </c>
      <c r="Q18" s="169"/>
    </row>
    <row r="19" spans="1:17" ht="14.25" customHeight="1">
      <c r="A19" s="71" t="s">
        <v>20</v>
      </c>
      <c r="B19" s="71" t="s">
        <v>21</v>
      </c>
      <c r="C19" s="71" t="s">
        <v>22</v>
      </c>
      <c r="D19" s="88"/>
      <c r="E19" s="111">
        <v>14</v>
      </c>
      <c r="F19" s="71" t="s">
        <v>81</v>
      </c>
      <c r="G19" s="238" t="s">
        <v>132</v>
      </c>
      <c r="H19" s="71"/>
      <c r="I19" s="71"/>
      <c r="J19" s="71" t="s">
        <v>50</v>
      </c>
      <c r="K19" s="71" t="s">
        <v>27</v>
      </c>
      <c r="L19" s="150" t="s">
        <v>28</v>
      </c>
      <c r="M19" s="130" t="s">
        <v>133</v>
      </c>
      <c r="N19" s="157" t="s">
        <v>81</v>
      </c>
      <c r="O19" s="71" t="s">
        <v>71</v>
      </c>
      <c r="P19" s="71" t="s">
        <v>31</v>
      </c>
      <c r="Q19" s="169"/>
    </row>
    <row r="20" spans="1:17" ht="14.25" customHeight="1">
      <c r="A20" s="71" t="s">
        <v>20</v>
      </c>
      <c r="B20" s="71" t="s">
        <v>21</v>
      </c>
      <c r="C20" s="71" t="s">
        <v>22</v>
      </c>
      <c r="D20" s="88"/>
      <c r="E20" s="111">
        <v>15.1</v>
      </c>
      <c r="F20" s="71" t="s">
        <v>24</v>
      </c>
      <c r="G20" s="238" t="s">
        <v>134</v>
      </c>
      <c r="H20" s="71"/>
      <c r="I20" s="71"/>
      <c r="J20" s="71" t="s">
        <v>50</v>
      </c>
      <c r="K20" s="71" t="s">
        <v>27</v>
      </c>
      <c r="L20" s="150" t="s">
        <v>28</v>
      </c>
      <c r="M20" s="130" t="s">
        <v>135</v>
      </c>
      <c r="N20" s="157" t="s">
        <v>24</v>
      </c>
      <c r="O20" s="71" t="s">
        <v>71</v>
      </c>
      <c r="P20" s="71" t="s">
        <v>31</v>
      </c>
      <c r="Q20" s="169"/>
    </row>
    <row r="21" spans="1:17" ht="14.25" customHeight="1">
      <c r="A21" s="71" t="s">
        <v>20</v>
      </c>
      <c r="B21" s="71" t="s">
        <v>21</v>
      </c>
      <c r="C21" s="71" t="s">
        <v>22</v>
      </c>
      <c r="D21" s="88"/>
      <c r="E21" s="111">
        <v>18.100000000000001</v>
      </c>
      <c r="F21" s="71" t="s">
        <v>24</v>
      </c>
      <c r="G21" s="238" t="s">
        <v>137</v>
      </c>
      <c r="H21" s="71"/>
      <c r="I21" s="71"/>
      <c r="J21" s="71" t="s">
        <v>50</v>
      </c>
      <c r="K21" s="71" t="s">
        <v>27</v>
      </c>
      <c r="L21" s="71" t="s">
        <v>28</v>
      </c>
      <c r="M21" s="149" t="s">
        <v>138</v>
      </c>
      <c r="N21" s="71" t="s">
        <v>24</v>
      </c>
      <c r="O21" s="71" t="s">
        <v>71</v>
      </c>
      <c r="P21" s="71" t="s">
        <v>31</v>
      </c>
      <c r="Q21" s="169"/>
    </row>
    <row r="22" spans="1:17" ht="14.25" customHeight="1">
      <c r="A22" s="71" t="s">
        <v>20</v>
      </c>
      <c r="B22" s="71" t="s">
        <v>21</v>
      </c>
      <c r="C22" s="71" t="s">
        <v>22</v>
      </c>
      <c r="D22" s="71" t="s">
        <v>139</v>
      </c>
      <c r="E22" s="111">
        <v>19.100000000000001</v>
      </c>
      <c r="F22" s="71" t="s">
        <v>24</v>
      </c>
      <c r="G22" s="238" t="s">
        <v>140</v>
      </c>
      <c r="H22" s="71"/>
      <c r="I22" s="71"/>
      <c r="J22" s="71" t="s">
        <v>50</v>
      </c>
      <c r="K22" s="71" t="s">
        <v>27</v>
      </c>
      <c r="L22" s="150" t="s">
        <v>28</v>
      </c>
      <c r="M22" s="130" t="s">
        <v>141</v>
      </c>
      <c r="N22" s="157" t="s">
        <v>67</v>
      </c>
      <c r="O22" s="71" t="s">
        <v>30</v>
      </c>
      <c r="P22" s="71" t="str">
        <f>IF(J22="Direct pull", "Yes", "No")</f>
        <v>Yes</v>
      </c>
      <c r="Q22" s="170"/>
    </row>
    <row r="23" spans="1:17" ht="14.25" customHeight="1">
      <c r="A23" s="71" t="s">
        <v>20</v>
      </c>
      <c r="B23" s="71" t="s">
        <v>21</v>
      </c>
      <c r="C23" s="71" t="s">
        <v>22</v>
      </c>
      <c r="D23" s="88"/>
      <c r="E23" s="111">
        <v>20.100000000000001</v>
      </c>
      <c r="F23" s="71" t="s">
        <v>24</v>
      </c>
      <c r="G23" s="238" t="s">
        <v>147</v>
      </c>
      <c r="H23" s="71"/>
      <c r="I23" s="71"/>
      <c r="J23" s="71" t="s">
        <v>50</v>
      </c>
      <c r="K23" s="71" t="s">
        <v>27</v>
      </c>
      <c r="L23" s="150" t="s">
        <v>28</v>
      </c>
      <c r="M23" s="130" t="s">
        <v>148</v>
      </c>
      <c r="N23" s="157" t="s">
        <v>24</v>
      </c>
      <c r="O23" s="71" t="s">
        <v>71</v>
      </c>
      <c r="P23" s="73" t="s">
        <v>31</v>
      </c>
      <c r="Q23" s="169"/>
    </row>
    <row r="24" spans="1:17" ht="14.25" customHeight="1">
      <c r="A24" s="71" t="s">
        <v>20</v>
      </c>
      <c r="B24" s="71" t="s">
        <v>21</v>
      </c>
      <c r="C24" s="71" t="s">
        <v>22</v>
      </c>
      <c r="D24" s="88"/>
      <c r="E24" s="111">
        <v>21.1</v>
      </c>
      <c r="F24" s="71" t="s">
        <v>24</v>
      </c>
      <c r="G24" s="238" t="s">
        <v>151</v>
      </c>
      <c r="H24" s="71"/>
      <c r="I24" s="71"/>
      <c r="J24" s="71" t="s">
        <v>50</v>
      </c>
      <c r="K24" s="71" t="s">
        <v>27</v>
      </c>
      <c r="L24" s="150" t="s">
        <v>28</v>
      </c>
      <c r="M24" s="130" t="s">
        <v>152</v>
      </c>
      <c r="N24" s="157" t="s">
        <v>24</v>
      </c>
      <c r="O24" s="71" t="s">
        <v>71</v>
      </c>
      <c r="P24" s="72" t="s">
        <v>31</v>
      </c>
      <c r="Q24" s="169"/>
    </row>
    <row r="25" spans="1:17" ht="14.25" customHeight="1">
      <c r="A25" s="71" t="s">
        <v>20</v>
      </c>
      <c r="B25" s="71" t="s">
        <v>21</v>
      </c>
      <c r="C25" s="71" t="s">
        <v>22</v>
      </c>
      <c r="D25" s="88"/>
      <c r="E25" s="111">
        <v>22.1</v>
      </c>
      <c r="F25" s="71" t="s">
        <v>67</v>
      </c>
      <c r="G25" s="238" t="s">
        <v>154</v>
      </c>
      <c r="H25" s="71"/>
      <c r="I25" s="71"/>
      <c r="J25" s="71" t="s">
        <v>50</v>
      </c>
      <c r="K25" s="71" t="s">
        <v>27</v>
      </c>
      <c r="L25" s="150" t="s">
        <v>28</v>
      </c>
      <c r="M25" s="130" t="s">
        <v>155</v>
      </c>
      <c r="N25" s="157" t="s">
        <v>67</v>
      </c>
      <c r="O25" s="71" t="s">
        <v>71</v>
      </c>
      <c r="P25" s="72" t="s">
        <v>31</v>
      </c>
      <c r="Q25" s="169"/>
    </row>
    <row r="26" spans="1:17" ht="14.25" customHeight="1">
      <c r="A26" s="71" t="s">
        <v>20</v>
      </c>
      <c r="B26" s="71" t="s">
        <v>21</v>
      </c>
      <c r="C26" s="71" t="s">
        <v>22</v>
      </c>
      <c r="D26" s="88"/>
      <c r="E26" s="111">
        <v>23.1</v>
      </c>
      <c r="F26" s="71" t="s">
        <v>24</v>
      </c>
      <c r="G26" s="238" t="s">
        <v>151</v>
      </c>
      <c r="H26" s="71"/>
      <c r="I26" s="71"/>
      <c r="J26" s="71" t="s">
        <v>50</v>
      </c>
      <c r="K26" s="71" t="s">
        <v>27</v>
      </c>
      <c r="L26" s="71" t="s">
        <v>28</v>
      </c>
      <c r="M26" s="149" t="s">
        <v>156</v>
      </c>
      <c r="N26" s="71" t="s">
        <v>24</v>
      </c>
      <c r="O26" s="71" t="s">
        <v>71</v>
      </c>
      <c r="P26" s="72" t="s">
        <v>31</v>
      </c>
      <c r="Q26" s="169"/>
    </row>
    <row r="27" spans="1:17" ht="14.25" customHeight="1">
      <c r="A27" s="71" t="s">
        <v>20</v>
      </c>
      <c r="B27" s="71" t="s">
        <v>21</v>
      </c>
      <c r="C27" s="71" t="s">
        <v>22</v>
      </c>
      <c r="D27" s="88"/>
      <c r="E27" s="111">
        <v>24.1</v>
      </c>
      <c r="F27" s="71" t="s">
        <v>81</v>
      </c>
      <c r="G27" s="238" t="s">
        <v>157</v>
      </c>
      <c r="H27" s="71"/>
      <c r="I27" s="71"/>
      <c r="J27" s="71" t="s">
        <v>50</v>
      </c>
      <c r="K27" s="71" t="s">
        <v>27</v>
      </c>
      <c r="L27" s="71" t="s">
        <v>28</v>
      </c>
      <c r="M27" s="149" t="s">
        <v>158</v>
      </c>
      <c r="N27" s="71" t="s">
        <v>81</v>
      </c>
      <c r="O27" s="71" t="s">
        <v>71</v>
      </c>
      <c r="P27" s="72" t="s">
        <v>31</v>
      </c>
      <c r="Q27" s="169"/>
    </row>
    <row r="28" spans="1:17" ht="14.25" customHeight="1">
      <c r="A28" s="71" t="s">
        <v>20</v>
      </c>
      <c r="B28" s="71" t="s">
        <v>21</v>
      </c>
      <c r="C28" s="71" t="s">
        <v>22</v>
      </c>
      <c r="D28" s="88"/>
      <c r="E28" s="111">
        <v>25.1</v>
      </c>
      <c r="F28" s="71" t="s">
        <v>24</v>
      </c>
      <c r="G28" s="238" t="s">
        <v>159</v>
      </c>
      <c r="H28" s="71"/>
      <c r="I28" s="71"/>
      <c r="J28" s="71" t="s">
        <v>50</v>
      </c>
      <c r="K28" s="71" t="s">
        <v>27</v>
      </c>
      <c r="L28" s="71" t="s">
        <v>28</v>
      </c>
      <c r="M28" s="149" t="s">
        <v>160</v>
      </c>
      <c r="N28" s="71" t="s">
        <v>24</v>
      </c>
      <c r="O28" s="71" t="s">
        <v>71</v>
      </c>
      <c r="P28" s="56" t="s">
        <v>31</v>
      </c>
      <c r="Q28" s="169"/>
    </row>
    <row r="29" spans="1:17" ht="14.25" customHeight="1">
      <c r="A29" s="71" t="s">
        <v>20</v>
      </c>
      <c r="B29" s="71" t="s">
        <v>21</v>
      </c>
      <c r="C29" s="71" t="s">
        <v>22</v>
      </c>
      <c r="D29" s="88"/>
      <c r="E29" s="111">
        <v>26.1</v>
      </c>
      <c r="F29" s="71" t="s">
        <v>67</v>
      </c>
      <c r="G29" s="238" t="s">
        <v>162</v>
      </c>
      <c r="H29" s="71"/>
      <c r="I29" s="71"/>
      <c r="J29" s="71" t="s">
        <v>50</v>
      </c>
      <c r="K29" s="71" t="s">
        <v>27</v>
      </c>
      <c r="L29" s="71" t="s">
        <v>28</v>
      </c>
      <c r="M29" s="149" t="s">
        <v>163</v>
      </c>
      <c r="N29" s="71" t="s">
        <v>67</v>
      </c>
      <c r="O29" s="71" t="s">
        <v>71</v>
      </c>
      <c r="P29" s="56" t="s">
        <v>31</v>
      </c>
      <c r="Q29" s="169"/>
    </row>
    <row r="30" spans="1:17" ht="14.25" customHeight="1">
      <c r="A30" s="71" t="s">
        <v>20</v>
      </c>
      <c r="B30" s="71" t="s">
        <v>21</v>
      </c>
      <c r="C30" s="71" t="s">
        <v>22</v>
      </c>
      <c r="D30" s="88"/>
      <c r="E30" s="111">
        <v>27.1</v>
      </c>
      <c r="F30" s="71" t="s">
        <v>81</v>
      </c>
      <c r="G30" s="238" t="s">
        <v>165</v>
      </c>
      <c r="H30" s="71"/>
      <c r="I30" s="71"/>
      <c r="J30" s="71" t="s">
        <v>50</v>
      </c>
      <c r="K30" s="71" t="s">
        <v>27</v>
      </c>
      <c r="L30" s="71" t="s">
        <v>28</v>
      </c>
      <c r="M30" s="149" t="s">
        <v>166</v>
      </c>
      <c r="N30" s="71" t="s">
        <v>81</v>
      </c>
      <c r="O30" s="71" t="s">
        <v>71</v>
      </c>
      <c r="P30" s="56" t="s">
        <v>31</v>
      </c>
      <c r="Q30" s="169"/>
    </row>
    <row r="31" spans="1:17" ht="14.25" customHeight="1">
      <c r="A31" s="71" t="s">
        <v>20</v>
      </c>
      <c r="B31" s="71" t="s">
        <v>21</v>
      </c>
      <c r="C31" s="71" t="s">
        <v>22</v>
      </c>
      <c r="D31" s="88"/>
      <c r="E31" s="111">
        <v>28.1</v>
      </c>
      <c r="F31" s="71" t="s">
        <v>24</v>
      </c>
      <c r="G31" s="238" t="s">
        <v>167</v>
      </c>
      <c r="H31" s="71"/>
      <c r="I31" s="71"/>
      <c r="J31" s="71" t="s">
        <v>50</v>
      </c>
      <c r="K31" s="71" t="s">
        <v>27</v>
      </c>
      <c r="L31" s="150" t="s">
        <v>28</v>
      </c>
      <c r="M31" s="130" t="s">
        <v>168</v>
      </c>
      <c r="N31" s="157" t="s">
        <v>24</v>
      </c>
      <c r="O31" s="71" t="s">
        <v>71</v>
      </c>
      <c r="P31" s="56" t="s">
        <v>31</v>
      </c>
      <c r="Q31" s="169"/>
    </row>
    <row r="32" spans="1:17" ht="14.25" customHeight="1">
      <c r="A32" s="71" t="s">
        <v>20</v>
      </c>
      <c r="B32" s="71" t="s">
        <v>21</v>
      </c>
      <c r="C32" s="71" t="s">
        <v>22</v>
      </c>
      <c r="D32" s="71" t="s">
        <v>170</v>
      </c>
      <c r="E32" s="111">
        <v>29</v>
      </c>
      <c r="F32" s="71" t="s">
        <v>81</v>
      </c>
      <c r="G32" s="238" t="s">
        <v>171</v>
      </c>
      <c r="H32" s="71"/>
      <c r="I32" s="71"/>
      <c r="J32" s="71" t="s">
        <v>50</v>
      </c>
      <c r="K32" s="71" t="s">
        <v>27</v>
      </c>
      <c r="L32" s="71" t="s">
        <v>28</v>
      </c>
      <c r="M32" s="149" t="s">
        <v>172</v>
      </c>
      <c r="N32" s="71" t="s">
        <v>81</v>
      </c>
      <c r="O32" s="71" t="s">
        <v>62</v>
      </c>
      <c r="P32" s="71" t="str">
        <f>IF(J32="Direct pull", "Yes", "No")</f>
        <v>Yes</v>
      </c>
      <c r="Q32" s="169"/>
    </row>
    <row r="33" spans="1:17" ht="14.25" customHeight="1">
      <c r="A33" s="71" t="s">
        <v>20</v>
      </c>
      <c r="B33" s="71" t="s">
        <v>21</v>
      </c>
      <c r="C33" s="71" t="s">
        <v>22</v>
      </c>
      <c r="D33" s="88"/>
      <c r="E33" s="111">
        <v>29.1</v>
      </c>
      <c r="F33" s="71" t="s">
        <v>24</v>
      </c>
      <c r="G33" s="238" t="s">
        <v>177</v>
      </c>
      <c r="H33" s="71"/>
      <c r="I33" s="71"/>
      <c r="J33" s="71" t="s">
        <v>50</v>
      </c>
      <c r="K33" s="71" t="s">
        <v>27</v>
      </c>
      <c r="L33" s="150" t="s">
        <v>28</v>
      </c>
      <c r="M33" s="130" t="s">
        <v>178</v>
      </c>
      <c r="N33" s="157" t="s">
        <v>24</v>
      </c>
      <c r="O33" s="71" t="s">
        <v>62</v>
      </c>
      <c r="P33" s="56" t="s">
        <v>31</v>
      </c>
      <c r="Q33" s="170"/>
    </row>
    <row r="34" spans="1:17" ht="14.25" customHeight="1">
      <c r="A34" s="71" t="s">
        <v>20</v>
      </c>
      <c r="B34" s="71" t="s">
        <v>21</v>
      </c>
      <c r="C34" s="71" t="s">
        <v>22</v>
      </c>
      <c r="D34" s="71" t="s">
        <v>179</v>
      </c>
      <c r="E34" s="111">
        <v>30.1</v>
      </c>
      <c r="F34" s="71" t="s">
        <v>24</v>
      </c>
      <c r="G34" s="71" t="s">
        <v>180</v>
      </c>
      <c r="H34" s="71"/>
      <c r="I34" s="71"/>
      <c r="J34" s="71" t="s">
        <v>50</v>
      </c>
      <c r="K34" s="71" t="s">
        <v>27</v>
      </c>
      <c r="L34" s="71" t="s">
        <v>28</v>
      </c>
      <c r="M34" s="149" t="s">
        <v>181</v>
      </c>
      <c r="N34" s="71" t="s">
        <v>24</v>
      </c>
      <c r="O34" s="71" t="s">
        <v>62</v>
      </c>
      <c r="P34" s="150" t="str">
        <f>IF(J34="Direct pull", "Yes", "No")</f>
        <v>Yes</v>
      </c>
      <c r="Q34" s="193"/>
    </row>
    <row r="35" spans="1:17" ht="14.25" customHeight="1">
      <c r="A35" s="71" t="s">
        <v>20</v>
      </c>
      <c r="B35" s="71" t="s">
        <v>21</v>
      </c>
      <c r="C35" s="71" t="s">
        <v>22</v>
      </c>
      <c r="D35" s="71" t="s">
        <v>183</v>
      </c>
      <c r="E35" s="111">
        <v>30.6</v>
      </c>
      <c r="F35" s="71" t="s">
        <v>24</v>
      </c>
      <c r="G35" s="238" t="s">
        <v>184</v>
      </c>
      <c r="H35" s="71"/>
      <c r="I35" s="71"/>
      <c r="J35" s="71" t="s">
        <v>50</v>
      </c>
      <c r="K35" s="71" t="s">
        <v>27</v>
      </c>
      <c r="L35" s="150" t="s">
        <v>28</v>
      </c>
      <c r="M35" s="130" t="s">
        <v>185</v>
      </c>
      <c r="N35" s="157" t="s">
        <v>67</v>
      </c>
      <c r="O35" s="71" t="s">
        <v>71</v>
      </c>
      <c r="P35" s="169" t="str">
        <f>IF(J35="Direct pull", "Yes", "No")</f>
        <v>Yes</v>
      </c>
      <c r="Q35" s="234"/>
    </row>
    <row r="36" spans="1:17" ht="14.25" customHeight="1">
      <c r="A36" s="71" t="s">
        <v>20</v>
      </c>
      <c r="B36" s="71" t="s">
        <v>21</v>
      </c>
      <c r="C36" s="71" t="s">
        <v>22</v>
      </c>
      <c r="D36" s="88"/>
      <c r="E36" s="71">
        <v>31</v>
      </c>
      <c r="F36" s="71" t="s">
        <v>24</v>
      </c>
      <c r="G36" s="238" t="s">
        <v>197</v>
      </c>
      <c r="H36" s="71"/>
      <c r="I36" s="71"/>
      <c r="J36" s="71" t="s">
        <v>50</v>
      </c>
      <c r="K36" s="71" t="s">
        <v>27</v>
      </c>
      <c r="L36" s="150" t="s">
        <v>28</v>
      </c>
      <c r="M36" s="130" t="s">
        <v>198</v>
      </c>
      <c r="N36" s="157" t="s">
        <v>24</v>
      </c>
      <c r="O36" s="71" t="s">
        <v>62</v>
      </c>
      <c r="P36" s="56" t="s">
        <v>31</v>
      </c>
      <c r="Q36" s="71"/>
    </row>
    <row r="37" spans="1:17" ht="14.25" customHeight="1">
      <c r="A37" s="71" t="s">
        <v>20</v>
      </c>
      <c r="B37" s="71" t="s">
        <v>21</v>
      </c>
      <c r="C37" s="71" t="s">
        <v>22</v>
      </c>
      <c r="D37" s="88"/>
      <c r="E37" s="71">
        <v>32.1</v>
      </c>
      <c r="F37" s="71" t="s">
        <v>24</v>
      </c>
      <c r="G37" s="238" t="s">
        <v>201</v>
      </c>
      <c r="H37" s="71"/>
      <c r="I37" s="71"/>
      <c r="J37" s="71" t="s">
        <v>50</v>
      </c>
      <c r="K37" s="71" t="s">
        <v>27</v>
      </c>
      <c r="L37" s="150" t="s">
        <v>28</v>
      </c>
      <c r="M37" s="130" t="s">
        <v>202</v>
      </c>
      <c r="N37" s="157" t="s">
        <v>67</v>
      </c>
      <c r="O37" s="71" t="s">
        <v>71</v>
      </c>
      <c r="P37" s="152" t="s">
        <v>31</v>
      </c>
      <c r="Q37" s="193"/>
    </row>
    <row r="38" spans="1:17" ht="14.25" customHeight="1">
      <c r="A38" s="71" t="s">
        <v>20</v>
      </c>
      <c r="B38" s="71" t="s">
        <v>21</v>
      </c>
      <c r="C38" s="71" t="s">
        <v>22</v>
      </c>
      <c r="D38" s="150" t="s">
        <v>206</v>
      </c>
      <c r="E38" s="150">
        <v>33.01</v>
      </c>
      <c r="F38" s="150" t="s">
        <v>24</v>
      </c>
      <c r="G38" s="244" t="s">
        <v>207</v>
      </c>
      <c r="H38" s="150"/>
      <c r="I38" s="150"/>
      <c r="J38" s="150" t="s">
        <v>50</v>
      </c>
      <c r="K38" s="150" t="s">
        <v>27</v>
      </c>
      <c r="L38" s="150" t="s">
        <v>28</v>
      </c>
      <c r="M38" s="130" t="s">
        <v>208</v>
      </c>
      <c r="N38" s="150" t="s">
        <v>67</v>
      </c>
      <c r="O38" s="150" t="s">
        <v>71</v>
      </c>
      <c r="P38" s="56" t="s">
        <v>57</v>
      </c>
      <c r="Q38" s="169"/>
    </row>
    <row r="39" spans="1:17" ht="14.25" customHeight="1">
      <c r="A39" s="71" t="s">
        <v>20</v>
      </c>
      <c r="B39" s="71" t="s">
        <v>21</v>
      </c>
      <c r="C39" s="71" t="s">
        <v>22</v>
      </c>
      <c r="D39" s="150" t="s">
        <v>215</v>
      </c>
      <c r="E39" s="150">
        <v>33.049999999999997</v>
      </c>
      <c r="F39" s="150" t="s">
        <v>24</v>
      </c>
      <c r="G39" s="244" t="s">
        <v>216</v>
      </c>
      <c r="H39" s="150"/>
      <c r="I39" s="150"/>
      <c r="J39" s="150" t="s">
        <v>50</v>
      </c>
      <c r="K39" s="150" t="s">
        <v>27</v>
      </c>
      <c r="L39" s="150" t="s">
        <v>28</v>
      </c>
      <c r="M39" s="130" t="s">
        <v>217</v>
      </c>
      <c r="N39" s="150" t="s">
        <v>24</v>
      </c>
      <c r="O39" s="150" t="s">
        <v>62</v>
      </c>
      <c r="P39" s="56" t="s">
        <v>57</v>
      </c>
      <c r="Q39" s="169"/>
    </row>
    <row r="40" spans="1:17" ht="14.25" customHeight="1">
      <c r="A40" s="71" t="s">
        <v>20</v>
      </c>
      <c r="B40" s="71" t="s">
        <v>21</v>
      </c>
      <c r="C40" s="71" t="s">
        <v>22</v>
      </c>
      <c r="D40" s="88"/>
      <c r="E40" s="111">
        <v>35.11</v>
      </c>
      <c r="F40" s="71" t="s">
        <v>24</v>
      </c>
      <c r="G40" s="238" t="s">
        <v>222</v>
      </c>
      <c r="H40" s="71"/>
      <c r="I40" s="71"/>
      <c r="J40" s="71" t="s">
        <v>50</v>
      </c>
      <c r="K40" s="71" t="s">
        <v>27</v>
      </c>
      <c r="L40" s="150" t="s">
        <v>28</v>
      </c>
      <c r="M40" s="130" t="s">
        <v>223</v>
      </c>
      <c r="N40" s="157" t="s">
        <v>24</v>
      </c>
      <c r="O40" s="71" t="s">
        <v>71</v>
      </c>
      <c r="P40" s="72" t="s">
        <v>31</v>
      </c>
      <c r="Q40" s="173"/>
    </row>
    <row r="41" spans="1:17" ht="14.25" customHeight="1">
      <c r="A41" s="71" t="s">
        <v>20</v>
      </c>
      <c r="B41" s="71" t="s">
        <v>21</v>
      </c>
      <c r="C41" s="71" t="s">
        <v>22</v>
      </c>
      <c r="D41" s="88"/>
      <c r="E41" s="111">
        <v>35.21</v>
      </c>
      <c r="F41" s="71" t="s">
        <v>24</v>
      </c>
      <c r="G41" s="238" t="s">
        <v>226</v>
      </c>
      <c r="H41" s="71"/>
      <c r="I41" s="71"/>
      <c r="J41" s="71" t="s">
        <v>50</v>
      </c>
      <c r="K41" s="71" t="s">
        <v>27</v>
      </c>
      <c r="L41" s="71" t="s">
        <v>28</v>
      </c>
      <c r="M41" s="130" t="s">
        <v>227</v>
      </c>
      <c r="N41" s="191" t="s">
        <v>24</v>
      </c>
      <c r="O41" s="191" t="s">
        <v>71</v>
      </c>
      <c r="P41" s="179" t="s">
        <v>31</v>
      </c>
      <c r="Q41" s="191"/>
    </row>
    <row r="42" spans="1:17" ht="14.25" customHeight="1">
      <c r="A42" s="71" t="s">
        <v>20</v>
      </c>
      <c r="B42" s="71" t="s">
        <v>21</v>
      </c>
      <c r="C42" s="71" t="s">
        <v>22</v>
      </c>
      <c r="D42" s="71" t="s">
        <v>232</v>
      </c>
      <c r="E42" s="111">
        <v>36.1</v>
      </c>
      <c r="F42" s="71" t="s">
        <v>24</v>
      </c>
      <c r="G42" s="238" t="s">
        <v>233</v>
      </c>
      <c r="H42" s="71"/>
      <c r="I42" s="71"/>
      <c r="J42" s="71" t="s">
        <v>50</v>
      </c>
      <c r="K42" s="71" t="s">
        <v>27</v>
      </c>
      <c r="L42" s="150" t="s">
        <v>28</v>
      </c>
      <c r="M42" s="130" t="s">
        <v>161</v>
      </c>
      <c r="N42" s="157" t="s">
        <v>24</v>
      </c>
      <c r="O42" s="71" t="s">
        <v>71</v>
      </c>
      <c r="P42" s="169" t="str">
        <f>IF(J42="Direct pull", "Yes", "No")</f>
        <v>Yes</v>
      </c>
      <c r="Q42" s="191"/>
    </row>
    <row r="43" spans="1:17" ht="14.25" customHeight="1">
      <c r="A43" s="71" t="s">
        <v>20</v>
      </c>
      <c r="B43" s="71" t="s">
        <v>21</v>
      </c>
      <c r="C43" s="71" t="s">
        <v>239</v>
      </c>
      <c r="D43" s="71" t="s">
        <v>240</v>
      </c>
      <c r="E43" s="111">
        <v>37.1</v>
      </c>
      <c r="F43" s="71" t="s">
        <v>24</v>
      </c>
      <c r="G43" s="238" t="s">
        <v>241</v>
      </c>
      <c r="H43" s="71"/>
      <c r="I43" s="71" t="s">
        <v>242</v>
      </c>
      <c r="J43" s="71" t="s">
        <v>50</v>
      </c>
      <c r="K43" s="71" t="s">
        <v>27</v>
      </c>
      <c r="L43" s="150" t="s">
        <v>28</v>
      </c>
      <c r="M43" s="130" t="s">
        <v>243</v>
      </c>
      <c r="N43" s="157" t="s">
        <v>67</v>
      </c>
      <c r="O43" s="71" t="s">
        <v>30</v>
      </c>
      <c r="P43" s="169" t="str">
        <f>IF(J43="Direct pull", "Yes", "No")</f>
        <v>Yes</v>
      </c>
      <c r="Q43" s="157" t="s">
        <v>244</v>
      </c>
    </row>
    <row r="44" spans="1:17" ht="14.25" customHeight="1">
      <c r="A44" s="71" t="s">
        <v>20</v>
      </c>
      <c r="B44" s="71" t="s">
        <v>21</v>
      </c>
      <c r="C44" s="71" t="s">
        <v>239</v>
      </c>
      <c r="D44" s="88"/>
      <c r="E44" s="111">
        <v>38.1</v>
      </c>
      <c r="F44" s="71" t="s">
        <v>24</v>
      </c>
      <c r="G44" s="238" t="s">
        <v>254</v>
      </c>
      <c r="H44" s="71"/>
      <c r="I44" s="71"/>
      <c r="J44" s="71" t="s">
        <v>255</v>
      </c>
      <c r="K44" s="71" t="s">
        <v>27</v>
      </c>
      <c r="L44" s="150" t="s">
        <v>28</v>
      </c>
      <c r="M44" s="130" t="s">
        <v>256</v>
      </c>
      <c r="N44" s="157" t="s">
        <v>24</v>
      </c>
      <c r="O44" s="71" t="s">
        <v>30</v>
      </c>
      <c r="P44" s="71" t="s">
        <v>31</v>
      </c>
      <c r="Q44" s="169"/>
    </row>
    <row r="45" spans="1:17" ht="14.25" customHeight="1">
      <c r="A45" s="71" t="s">
        <v>20</v>
      </c>
      <c r="B45" s="71" t="s">
        <v>21</v>
      </c>
      <c r="C45" s="71" t="s">
        <v>22</v>
      </c>
      <c r="D45" s="71" t="s">
        <v>257</v>
      </c>
      <c r="E45" s="111">
        <v>39.1</v>
      </c>
      <c r="F45" s="71" t="s">
        <v>24</v>
      </c>
      <c r="G45" s="238" t="s">
        <v>258</v>
      </c>
      <c r="H45" s="71"/>
      <c r="I45" s="71"/>
      <c r="J45" s="71" t="s">
        <v>50</v>
      </c>
      <c r="K45" s="71" t="s">
        <v>27</v>
      </c>
      <c r="L45" s="150" t="s">
        <v>28</v>
      </c>
      <c r="M45" s="130" t="s">
        <v>257</v>
      </c>
      <c r="N45" s="157" t="s">
        <v>67</v>
      </c>
      <c r="O45" s="71" t="s">
        <v>30</v>
      </c>
      <c r="P45" s="71" t="str">
        <f>IF(J45="Direct pull", "Yes", "No")</f>
        <v>Yes</v>
      </c>
      <c r="Q45" s="206"/>
    </row>
    <row r="46" spans="1:17" ht="14.25" customHeight="1">
      <c r="A46" s="71" t="s">
        <v>20</v>
      </c>
      <c r="B46" s="71" t="s">
        <v>21</v>
      </c>
      <c r="C46" s="71" t="s">
        <v>22</v>
      </c>
      <c r="D46" s="232"/>
      <c r="E46" s="111">
        <v>40.1</v>
      </c>
      <c r="F46" s="71" t="s">
        <v>24</v>
      </c>
      <c r="G46" s="238" t="s">
        <v>261</v>
      </c>
      <c r="H46" s="71"/>
      <c r="I46" s="71"/>
      <c r="J46" s="71" t="s">
        <v>50</v>
      </c>
      <c r="K46" s="71" t="s">
        <v>27</v>
      </c>
      <c r="L46" s="150" t="s">
        <v>28</v>
      </c>
      <c r="M46" s="130" t="s">
        <v>262</v>
      </c>
      <c r="N46" s="157" t="s">
        <v>24</v>
      </c>
      <c r="O46" s="71" t="s">
        <v>30</v>
      </c>
      <c r="P46" s="56" t="s">
        <v>31</v>
      </c>
      <c r="Q46" s="168"/>
    </row>
    <row r="47" spans="1:17" ht="14.25" customHeight="1">
      <c r="A47" s="71" t="s">
        <v>20</v>
      </c>
      <c r="B47" s="71" t="s">
        <v>21</v>
      </c>
      <c r="C47" s="71" t="s">
        <v>22</v>
      </c>
      <c r="D47" s="88"/>
      <c r="E47" s="111">
        <v>41.1</v>
      </c>
      <c r="F47" s="71" t="s">
        <v>24</v>
      </c>
      <c r="G47" s="238" t="s">
        <v>265</v>
      </c>
      <c r="H47" s="71"/>
      <c r="I47" s="71"/>
      <c r="J47" s="71" t="s">
        <v>50</v>
      </c>
      <c r="K47" s="71" t="s">
        <v>27</v>
      </c>
      <c r="L47" s="150" t="s">
        <v>28</v>
      </c>
      <c r="M47" s="130" t="s">
        <v>266</v>
      </c>
      <c r="N47" s="157" t="s">
        <v>24</v>
      </c>
      <c r="O47" s="71" t="s">
        <v>30</v>
      </c>
      <c r="P47" s="176" t="s">
        <v>31</v>
      </c>
      <c r="Q47" s="170"/>
    </row>
    <row r="48" spans="1:17" ht="14.25" customHeight="1">
      <c r="A48" s="71" t="s">
        <v>20</v>
      </c>
      <c r="B48" s="71" t="s">
        <v>21</v>
      </c>
      <c r="C48" s="71" t="s">
        <v>22</v>
      </c>
      <c r="D48" s="88"/>
      <c r="E48" s="111">
        <v>42.1</v>
      </c>
      <c r="F48" s="71" t="s">
        <v>24</v>
      </c>
      <c r="G48" s="238" t="s">
        <v>268</v>
      </c>
      <c r="H48" s="71"/>
      <c r="I48" s="71"/>
      <c r="J48" s="71" t="s">
        <v>50</v>
      </c>
      <c r="K48" s="71" t="s">
        <v>27</v>
      </c>
      <c r="L48" s="150" t="s">
        <v>28</v>
      </c>
      <c r="M48" s="130" t="s">
        <v>269</v>
      </c>
      <c r="N48" s="157" t="s">
        <v>24</v>
      </c>
      <c r="O48" s="71" t="s">
        <v>30</v>
      </c>
      <c r="P48" s="73" t="s">
        <v>31</v>
      </c>
      <c r="Q48" s="187"/>
    </row>
    <row r="49" spans="1:17" ht="14.25" customHeight="1">
      <c r="A49" s="71" t="s">
        <v>20</v>
      </c>
      <c r="B49" s="71" t="s">
        <v>21</v>
      </c>
      <c r="C49" s="71" t="s">
        <v>22</v>
      </c>
      <c r="D49" s="88"/>
      <c r="E49" s="111">
        <v>43.1</v>
      </c>
      <c r="F49" s="71" t="s">
        <v>67</v>
      </c>
      <c r="G49" s="238" t="s">
        <v>272</v>
      </c>
      <c r="H49" s="71"/>
      <c r="I49" s="71"/>
      <c r="J49" s="71" t="s">
        <v>50</v>
      </c>
      <c r="K49" s="71" t="s">
        <v>27</v>
      </c>
      <c r="L49" s="150" t="s">
        <v>28</v>
      </c>
      <c r="M49" s="130" t="s">
        <v>273</v>
      </c>
      <c r="N49" s="157" t="s">
        <v>67</v>
      </c>
      <c r="O49" s="71" t="s">
        <v>71</v>
      </c>
      <c r="P49" s="71" t="s">
        <v>31</v>
      </c>
      <c r="Q49" s="193"/>
    </row>
    <row r="50" spans="1:17" ht="14.25" customHeight="1">
      <c r="A50" s="71" t="s">
        <v>20</v>
      </c>
      <c r="B50" s="71" t="s">
        <v>21</v>
      </c>
      <c r="C50" s="71" t="s">
        <v>22</v>
      </c>
      <c r="D50" s="88"/>
      <c r="E50" s="111">
        <v>44.1</v>
      </c>
      <c r="F50" s="71" t="s">
        <v>24</v>
      </c>
      <c r="G50" s="238" t="s">
        <v>274</v>
      </c>
      <c r="H50" s="71"/>
      <c r="I50" s="71"/>
      <c r="J50" s="71" t="s">
        <v>50</v>
      </c>
      <c r="K50" s="71" t="s">
        <v>27</v>
      </c>
      <c r="L50" s="150" t="s">
        <v>28</v>
      </c>
      <c r="M50" s="130" t="s">
        <v>275</v>
      </c>
      <c r="N50" s="157" t="s">
        <v>24</v>
      </c>
      <c r="O50" s="71" t="s">
        <v>71</v>
      </c>
      <c r="P50" s="150" t="s">
        <v>31</v>
      </c>
      <c r="Q50" s="187"/>
    </row>
    <row r="51" spans="1:17" ht="14.25" customHeight="1">
      <c r="A51" s="56" t="s">
        <v>35</v>
      </c>
      <c r="B51" s="56" t="s">
        <v>21</v>
      </c>
      <c r="C51" s="56" t="s">
        <v>36</v>
      </c>
      <c r="D51" s="122" t="s">
        <v>23</v>
      </c>
      <c r="E51" s="113">
        <v>0</v>
      </c>
      <c r="F51" s="56" t="s">
        <v>24</v>
      </c>
      <c r="G51" s="240" t="s">
        <v>25</v>
      </c>
      <c r="H51" s="56"/>
      <c r="I51" s="56"/>
      <c r="J51" s="56" t="s">
        <v>37</v>
      </c>
      <c r="K51" s="56" t="s">
        <v>27</v>
      </c>
      <c r="L51" s="152" t="s">
        <v>28</v>
      </c>
      <c r="M51" s="130" t="s">
        <v>29</v>
      </c>
      <c r="N51" s="159" t="s">
        <v>24</v>
      </c>
      <c r="O51" s="56" t="s">
        <v>30</v>
      </c>
      <c r="P51" s="77" t="s">
        <v>31</v>
      </c>
      <c r="Q51" s="56"/>
    </row>
    <row r="52" spans="1:17" ht="14.25" customHeight="1">
      <c r="A52" s="56" t="s">
        <v>35</v>
      </c>
      <c r="B52" s="56" t="s">
        <v>21</v>
      </c>
      <c r="C52" s="56" t="s">
        <v>36</v>
      </c>
      <c r="D52" s="56" t="s">
        <v>47</v>
      </c>
      <c r="E52" s="113">
        <v>1</v>
      </c>
      <c r="F52" s="56" t="str">
        <f>VLOOKUP(D52,'[2]UAT DB Attributes'!$A:$B,2,FALSE)</f>
        <v>int</v>
      </c>
      <c r="G52" s="240" t="s">
        <v>49</v>
      </c>
      <c r="H52" s="56"/>
      <c r="I52" s="56"/>
      <c r="J52" s="56" t="s">
        <v>50</v>
      </c>
      <c r="K52" s="56" t="s">
        <v>27</v>
      </c>
      <c r="L52" s="152" t="s">
        <v>28</v>
      </c>
      <c r="M52" s="130" t="s">
        <v>51</v>
      </c>
      <c r="N52" s="159" t="s">
        <v>24</v>
      </c>
      <c r="O52" s="56" t="s">
        <v>30</v>
      </c>
      <c r="P52" s="56" t="str">
        <f>IFERROR(IF(VLOOKUP(D52,'[2]UAT DB Attributes'!$A:$A,1,FALSE)=D52,"Yes","No"),"No")</f>
        <v>Yes</v>
      </c>
      <c r="Q52" s="56"/>
    </row>
    <row r="53" spans="1:17" ht="14.25" customHeight="1">
      <c r="A53" s="56" t="s">
        <v>35</v>
      </c>
      <c r="B53" s="56" t="s">
        <v>21</v>
      </c>
      <c r="C53" s="56" t="s">
        <v>36</v>
      </c>
      <c r="D53" s="56" t="s">
        <v>65</v>
      </c>
      <c r="E53" s="113">
        <v>1.2</v>
      </c>
      <c r="F53" s="56" t="str">
        <f>VLOOKUP(D53,'[2]UAT DB Attributes'!$A:$B,2,FALSE)</f>
        <v>string</v>
      </c>
      <c r="G53" s="240" t="s">
        <v>60</v>
      </c>
      <c r="H53" s="56"/>
      <c r="I53" s="56"/>
      <c r="J53" s="56" t="s">
        <v>50</v>
      </c>
      <c r="K53" s="56" t="s">
        <v>27</v>
      </c>
      <c r="L53" s="152" t="s">
        <v>28</v>
      </c>
      <c r="M53" s="130" t="s">
        <v>61</v>
      </c>
      <c r="N53" s="159" t="s">
        <v>24</v>
      </c>
      <c r="O53" s="56" t="s">
        <v>62</v>
      </c>
      <c r="P53" s="56" t="str">
        <f>IFERROR(IF(VLOOKUP(D53,'[2]UAT DB Attributes'!$A:$A,1,FALSE)=D53,"Yes","No"),"No")</f>
        <v>Yes</v>
      </c>
      <c r="Q53" s="56"/>
    </row>
    <row r="54" spans="1:17" ht="14.25" customHeight="1">
      <c r="A54" s="56" t="s">
        <v>35</v>
      </c>
      <c r="B54" s="56" t="s">
        <v>21</v>
      </c>
      <c r="C54" s="56" t="s">
        <v>36</v>
      </c>
      <c r="D54" s="56" t="s">
        <v>74</v>
      </c>
      <c r="E54" s="113">
        <v>2</v>
      </c>
      <c r="F54" s="56" t="str">
        <f>VLOOKUP(D54,'[2]UAT DB Attributes'!$A:$B,2,FALSE)</f>
        <v>string</v>
      </c>
      <c r="G54" s="240" t="s">
        <v>69</v>
      </c>
      <c r="H54" s="56"/>
      <c r="I54" s="56"/>
      <c r="J54" s="56" t="s">
        <v>50</v>
      </c>
      <c r="K54" s="56" t="s">
        <v>27</v>
      </c>
      <c r="L54" s="152" t="s">
        <v>28</v>
      </c>
      <c r="M54" s="130" t="s">
        <v>70</v>
      </c>
      <c r="N54" s="159" t="s">
        <v>67</v>
      </c>
      <c r="O54" s="56" t="s">
        <v>71</v>
      </c>
      <c r="P54" s="56" t="str">
        <f>IFERROR(IF(VLOOKUP(D54,'[2]UAT DB Attributes'!$A:$A,1,FALSE)=D54,"Yes","No"),"No")</f>
        <v>Yes</v>
      </c>
      <c r="Q54" s="56"/>
    </row>
    <row r="55" spans="1:17" ht="14.25" customHeight="1">
      <c r="A55" s="56" t="s">
        <v>35</v>
      </c>
      <c r="B55" s="56" t="s">
        <v>21</v>
      </c>
      <c r="C55" s="56" t="s">
        <v>36</v>
      </c>
      <c r="D55" s="89"/>
      <c r="E55" s="163">
        <v>2.2999999999999998</v>
      </c>
      <c r="F55" s="119" t="s">
        <v>24</v>
      </c>
      <c r="G55" s="240" t="s">
        <v>77</v>
      </c>
      <c r="H55" s="56"/>
      <c r="I55" s="56"/>
      <c r="J55" s="119" t="s">
        <v>50</v>
      </c>
      <c r="K55" s="56" t="s">
        <v>27</v>
      </c>
      <c r="L55" s="152" t="s">
        <v>28</v>
      </c>
      <c r="M55" s="130" t="s">
        <v>78</v>
      </c>
      <c r="N55" s="159" t="s">
        <v>24</v>
      </c>
      <c r="O55" s="56" t="s">
        <v>62</v>
      </c>
      <c r="P55" s="71" t="s">
        <v>31</v>
      </c>
      <c r="Q55" s="56"/>
    </row>
    <row r="56" spans="1:17" ht="14.25" customHeight="1">
      <c r="A56" s="56" t="s">
        <v>35</v>
      </c>
      <c r="B56" s="56" t="s">
        <v>21</v>
      </c>
      <c r="C56" s="56" t="s">
        <v>36</v>
      </c>
      <c r="D56" s="56" t="s">
        <v>80</v>
      </c>
      <c r="E56" s="113">
        <v>3</v>
      </c>
      <c r="F56" s="56" t="s">
        <v>81</v>
      </c>
      <c r="G56" s="240" t="s">
        <v>82</v>
      </c>
      <c r="H56" s="56"/>
      <c r="I56" s="56"/>
      <c r="J56" s="56" t="s">
        <v>50</v>
      </c>
      <c r="K56" s="56" t="s">
        <v>27</v>
      </c>
      <c r="L56" s="56" t="s">
        <v>28</v>
      </c>
      <c r="M56" s="149" t="s">
        <v>83</v>
      </c>
      <c r="N56" s="56" t="s">
        <v>81</v>
      </c>
      <c r="O56" s="56" t="s">
        <v>62</v>
      </c>
      <c r="P56" s="56" t="str">
        <f>IFERROR(IF(VLOOKUP(D56,'[2]UAT DB Attributes'!$A:$A,1,FALSE)=D56,"Yes","No"),"No")</f>
        <v>Yes</v>
      </c>
      <c r="Q56" s="56"/>
    </row>
    <row r="57" spans="1:17" ht="14.25" customHeight="1">
      <c r="A57" s="56" t="s">
        <v>35</v>
      </c>
      <c r="B57" s="56" t="s">
        <v>21</v>
      </c>
      <c r="C57" s="56" t="s">
        <v>36</v>
      </c>
      <c r="D57" s="89"/>
      <c r="E57" s="113">
        <v>5</v>
      </c>
      <c r="F57" s="56" t="s">
        <v>81</v>
      </c>
      <c r="G57" s="240" t="s">
        <v>88</v>
      </c>
      <c r="H57" s="56"/>
      <c r="I57" s="56"/>
      <c r="J57" s="56" t="s">
        <v>50</v>
      </c>
      <c r="K57" s="56" t="s">
        <v>27</v>
      </c>
      <c r="L57" s="56" t="s">
        <v>28</v>
      </c>
      <c r="M57" s="149" t="s">
        <v>89</v>
      </c>
      <c r="N57" s="56" t="s">
        <v>81</v>
      </c>
      <c r="O57" s="56" t="s">
        <v>71</v>
      </c>
      <c r="P57" s="72" t="s">
        <v>31</v>
      </c>
      <c r="Q57" s="56"/>
    </row>
    <row r="58" spans="1:17" ht="14.25" customHeight="1">
      <c r="A58" s="56" t="s">
        <v>35</v>
      </c>
      <c r="B58" s="56" t="s">
        <v>21</v>
      </c>
      <c r="C58" s="56" t="s">
        <v>36</v>
      </c>
      <c r="D58" s="89"/>
      <c r="E58" s="113">
        <v>6.3</v>
      </c>
      <c r="F58" s="56" t="s">
        <v>24</v>
      </c>
      <c r="G58" s="240" t="s">
        <v>90</v>
      </c>
      <c r="H58" s="56"/>
      <c r="I58" s="56"/>
      <c r="J58" s="56" t="s">
        <v>50</v>
      </c>
      <c r="K58" s="56" t="s">
        <v>27</v>
      </c>
      <c r="L58" s="152" t="s">
        <v>28</v>
      </c>
      <c r="M58" s="130" t="s">
        <v>91</v>
      </c>
      <c r="N58" s="159" t="s">
        <v>24</v>
      </c>
      <c r="O58" s="56" t="s">
        <v>71</v>
      </c>
      <c r="P58" s="72" t="s">
        <v>31</v>
      </c>
      <c r="Q58" s="175"/>
    </row>
    <row r="59" spans="1:17" ht="14.25" customHeight="1">
      <c r="A59" s="56" t="s">
        <v>35</v>
      </c>
      <c r="B59" s="56" t="s">
        <v>21</v>
      </c>
      <c r="C59" s="56" t="s">
        <v>36</v>
      </c>
      <c r="D59" s="56" t="s">
        <v>93</v>
      </c>
      <c r="E59" s="113">
        <v>8</v>
      </c>
      <c r="F59" s="56" t="str">
        <f>VLOOKUP(D59,'[2]UAT DB Attributes'!$A:$B,2,FALSE)</f>
        <v>string</v>
      </c>
      <c r="G59" s="240" t="s">
        <v>94</v>
      </c>
      <c r="H59" s="56"/>
      <c r="I59" s="56"/>
      <c r="J59" s="56" t="s">
        <v>50</v>
      </c>
      <c r="K59" s="56" t="s">
        <v>27</v>
      </c>
      <c r="L59" s="152" t="s">
        <v>28</v>
      </c>
      <c r="M59" s="130" t="s">
        <v>276</v>
      </c>
      <c r="N59" s="159" t="s">
        <v>67</v>
      </c>
      <c r="O59" s="56" t="s">
        <v>71</v>
      </c>
      <c r="P59" s="56" t="str">
        <f>IFERROR(IF(VLOOKUP(D59,'[2]UAT DB Attributes'!$A:$A,1,FALSE)=D59,"Yes","No"),"No")</f>
        <v>Yes</v>
      </c>
      <c r="Q59" s="56"/>
    </row>
    <row r="60" spans="1:17" ht="14.25" customHeight="1">
      <c r="A60" s="56" t="s">
        <v>35</v>
      </c>
      <c r="B60" s="56" t="s">
        <v>21</v>
      </c>
      <c r="C60" s="56" t="s">
        <v>36</v>
      </c>
      <c r="D60" s="89"/>
      <c r="E60" s="113">
        <v>8.3000000000000007</v>
      </c>
      <c r="F60" s="56" t="s">
        <v>24</v>
      </c>
      <c r="G60" s="240" t="s">
        <v>99</v>
      </c>
      <c r="H60" s="56"/>
      <c r="I60" s="56"/>
      <c r="J60" s="56" t="s">
        <v>50</v>
      </c>
      <c r="K60" s="56" t="s">
        <v>27</v>
      </c>
      <c r="L60" s="152" t="s">
        <v>28</v>
      </c>
      <c r="M60" s="130" t="s">
        <v>100</v>
      </c>
      <c r="N60" s="159" t="s">
        <v>24</v>
      </c>
      <c r="O60" s="56" t="s">
        <v>71</v>
      </c>
      <c r="P60" s="73" t="s">
        <v>31</v>
      </c>
      <c r="Q60" s="56"/>
    </row>
    <row r="61" spans="1:17" ht="14.25" customHeight="1">
      <c r="A61" s="56" t="s">
        <v>35</v>
      </c>
      <c r="B61" s="56" t="s">
        <v>21</v>
      </c>
      <c r="C61" s="56" t="s">
        <v>36</v>
      </c>
      <c r="D61" s="56" t="s">
        <v>102</v>
      </c>
      <c r="E61" s="113">
        <v>9.1</v>
      </c>
      <c r="F61" s="56" t="str">
        <f>VLOOKUP(D61,'[2]UAT DB Attributes'!$A:$B,2,FALSE)</f>
        <v>string</v>
      </c>
      <c r="G61" s="240" t="s">
        <v>103</v>
      </c>
      <c r="H61" s="56"/>
      <c r="I61" s="56"/>
      <c r="J61" s="56" t="s">
        <v>50</v>
      </c>
      <c r="K61" s="56" t="s">
        <v>27</v>
      </c>
      <c r="L61" s="152" t="s">
        <v>28</v>
      </c>
      <c r="M61" s="130" t="s">
        <v>102</v>
      </c>
      <c r="N61" s="159" t="s">
        <v>67</v>
      </c>
      <c r="O61" s="56" t="s">
        <v>30</v>
      </c>
      <c r="P61" s="56" t="str">
        <f>IFERROR(IF(VLOOKUP(D61,'[2]UAT DB Attributes'!$A:$A,1,FALSE)=D61,"Yes","No"),"No")</f>
        <v>Yes</v>
      </c>
      <c r="Q61" s="56"/>
    </row>
    <row r="62" spans="1:17" ht="14.25" customHeight="1">
      <c r="A62" s="56" t="s">
        <v>35</v>
      </c>
      <c r="B62" s="56" t="s">
        <v>21</v>
      </c>
      <c r="C62" s="56" t="s">
        <v>36</v>
      </c>
      <c r="D62" s="56" t="s">
        <v>111</v>
      </c>
      <c r="E62" s="113">
        <v>9.1300000000000008</v>
      </c>
      <c r="F62" s="56" t="s">
        <v>24</v>
      </c>
      <c r="G62" s="240" t="s">
        <v>109</v>
      </c>
      <c r="H62" s="56"/>
      <c r="I62" s="56"/>
      <c r="J62" s="56" t="s">
        <v>50</v>
      </c>
      <c r="K62" s="56" t="s">
        <v>27</v>
      </c>
      <c r="L62" s="152" t="s">
        <v>28</v>
      </c>
      <c r="M62" s="130" t="s">
        <v>110</v>
      </c>
      <c r="N62" s="159" t="s">
        <v>67</v>
      </c>
      <c r="O62" s="56" t="s">
        <v>71</v>
      </c>
      <c r="P62" s="56" t="str">
        <f>IFERROR(IF(VLOOKUP(D62,'[2]UAT DB Attributes'!$A:$A,1,FALSE)=D62,"Yes","No"),"No")</f>
        <v>Yes</v>
      </c>
      <c r="Q62" s="56"/>
    </row>
    <row r="63" spans="1:17" ht="14.25" customHeight="1">
      <c r="A63" s="56" t="s">
        <v>35</v>
      </c>
      <c r="B63" s="56" t="s">
        <v>21</v>
      </c>
      <c r="C63" s="56" t="s">
        <v>36</v>
      </c>
      <c r="D63" s="89"/>
      <c r="E63" s="113">
        <v>10.220000000000001</v>
      </c>
      <c r="F63" s="56" t="s">
        <v>81</v>
      </c>
      <c r="G63" s="240" t="s">
        <v>113</v>
      </c>
      <c r="H63" s="56"/>
      <c r="I63" s="56"/>
      <c r="J63" s="56" t="s">
        <v>50</v>
      </c>
      <c r="K63" s="56" t="s">
        <v>27</v>
      </c>
      <c r="L63" s="152" t="s">
        <v>28</v>
      </c>
      <c r="M63" s="130" t="s">
        <v>114</v>
      </c>
      <c r="N63" s="159" t="s">
        <v>81</v>
      </c>
      <c r="O63" s="56" t="s">
        <v>71</v>
      </c>
      <c r="P63" s="56" t="s">
        <v>31</v>
      </c>
      <c r="Q63" s="56"/>
    </row>
    <row r="64" spans="1:17" ht="14.25" customHeight="1">
      <c r="A64" s="56" t="s">
        <v>35</v>
      </c>
      <c r="B64" s="56" t="s">
        <v>21</v>
      </c>
      <c r="C64" s="56" t="s">
        <v>36</v>
      </c>
      <c r="D64" s="56" t="s">
        <v>115</v>
      </c>
      <c r="E64" s="113">
        <v>11</v>
      </c>
      <c r="F64" s="56" t="s">
        <v>81</v>
      </c>
      <c r="G64" s="240" t="s">
        <v>116</v>
      </c>
      <c r="H64" s="56"/>
      <c r="I64" s="56"/>
      <c r="J64" s="56" t="s">
        <v>50</v>
      </c>
      <c r="K64" s="56" t="s">
        <v>27</v>
      </c>
      <c r="L64" s="152" t="s">
        <v>28</v>
      </c>
      <c r="M64" s="130" t="s">
        <v>117</v>
      </c>
      <c r="N64" s="159" t="s">
        <v>81</v>
      </c>
      <c r="O64" s="56" t="s">
        <v>71</v>
      </c>
      <c r="P64" s="56" t="str">
        <f>IFERROR(IF(VLOOKUP(D64,'[2]UAT DB Attributes'!$A:$A,1,FALSE)=D64,"Yes","No"),"No")</f>
        <v>Yes</v>
      </c>
      <c r="Q64" s="56"/>
    </row>
    <row r="65" spans="1:17" ht="14.25" customHeight="1">
      <c r="A65" s="56" t="s">
        <v>35</v>
      </c>
      <c r="B65" s="56" t="s">
        <v>21</v>
      </c>
      <c r="C65" s="56" t="s">
        <v>36</v>
      </c>
      <c r="D65" s="56" t="s">
        <v>122</v>
      </c>
      <c r="E65" s="113">
        <v>12</v>
      </c>
      <c r="F65" s="56" t="s">
        <v>81</v>
      </c>
      <c r="G65" s="242" t="s">
        <v>123</v>
      </c>
      <c r="H65" s="56"/>
      <c r="I65" s="56"/>
      <c r="J65" s="56" t="s">
        <v>50</v>
      </c>
      <c r="K65" s="56" t="s">
        <v>27</v>
      </c>
      <c r="L65" s="152" t="s">
        <v>28</v>
      </c>
      <c r="M65" s="130" t="s">
        <v>124</v>
      </c>
      <c r="N65" s="159" t="s">
        <v>81</v>
      </c>
      <c r="O65" s="56" t="s">
        <v>71</v>
      </c>
      <c r="P65" s="56" t="str">
        <f>IFERROR(IF(VLOOKUP(D65,'[2]UAT DB Attributes'!$A:$A,1,FALSE)=D65,"Yes","No"),"No")</f>
        <v>Yes</v>
      </c>
      <c r="Q65" s="171"/>
    </row>
    <row r="66" spans="1:17" ht="14.25" customHeight="1">
      <c r="A66" s="56" t="s">
        <v>35</v>
      </c>
      <c r="B66" s="56" t="s">
        <v>21</v>
      </c>
      <c r="C66" s="56" t="s">
        <v>36</v>
      </c>
      <c r="D66" s="89"/>
      <c r="E66" s="113">
        <v>13.2</v>
      </c>
      <c r="F66" s="56" t="s">
        <v>81</v>
      </c>
      <c r="G66" s="240" t="s">
        <v>129</v>
      </c>
      <c r="H66" s="56"/>
      <c r="I66" s="56"/>
      <c r="J66" s="56" t="s">
        <v>50</v>
      </c>
      <c r="K66" s="56" t="s">
        <v>27</v>
      </c>
      <c r="L66" s="152" t="s">
        <v>28</v>
      </c>
      <c r="M66" s="130" t="s">
        <v>130</v>
      </c>
      <c r="N66" s="159" t="s">
        <v>81</v>
      </c>
      <c r="O66" s="56" t="s">
        <v>71</v>
      </c>
      <c r="P66" s="71" t="s">
        <v>31</v>
      </c>
      <c r="Q66" s="171"/>
    </row>
    <row r="67" spans="1:17" ht="14.25" customHeight="1">
      <c r="A67" s="56" t="s">
        <v>35</v>
      </c>
      <c r="B67" s="56" t="s">
        <v>21</v>
      </c>
      <c r="C67" s="56" t="s">
        <v>36</v>
      </c>
      <c r="D67" s="89"/>
      <c r="E67" s="113">
        <v>14.3</v>
      </c>
      <c r="F67" s="56" t="s">
        <v>81</v>
      </c>
      <c r="G67" s="240" t="s">
        <v>132</v>
      </c>
      <c r="H67" s="56"/>
      <c r="I67" s="56"/>
      <c r="J67" s="56" t="s">
        <v>50</v>
      </c>
      <c r="K67" s="56" t="s">
        <v>27</v>
      </c>
      <c r="L67" s="152" t="s">
        <v>28</v>
      </c>
      <c r="M67" s="130" t="s">
        <v>133</v>
      </c>
      <c r="N67" s="159" t="s">
        <v>81</v>
      </c>
      <c r="O67" s="56" t="s">
        <v>71</v>
      </c>
      <c r="P67" s="71" t="s">
        <v>31</v>
      </c>
      <c r="Q67" s="175"/>
    </row>
    <row r="68" spans="1:17" ht="14.25" customHeight="1">
      <c r="A68" s="56" t="s">
        <v>35</v>
      </c>
      <c r="B68" s="56" t="s">
        <v>21</v>
      </c>
      <c r="C68" s="56" t="s">
        <v>36</v>
      </c>
      <c r="D68" s="89"/>
      <c r="E68" s="113">
        <v>15.3</v>
      </c>
      <c r="F68" s="56" t="s">
        <v>24</v>
      </c>
      <c r="G68" s="240" t="s">
        <v>134</v>
      </c>
      <c r="H68" s="56"/>
      <c r="I68" s="56"/>
      <c r="J68" s="56" t="s">
        <v>50</v>
      </c>
      <c r="K68" s="56" t="s">
        <v>27</v>
      </c>
      <c r="L68" s="152" t="s">
        <v>28</v>
      </c>
      <c r="M68" s="130" t="s">
        <v>135</v>
      </c>
      <c r="N68" s="159" t="s">
        <v>24</v>
      </c>
      <c r="O68" s="56" t="s">
        <v>71</v>
      </c>
      <c r="P68" s="71" t="s">
        <v>31</v>
      </c>
      <c r="Q68" s="56"/>
    </row>
    <row r="69" spans="1:17" ht="14.25" customHeight="1">
      <c r="A69" s="56" t="s">
        <v>35</v>
      </c>
      <c r="B69" s="56" t="s">
        <v>21</v>
      </c>
      <c r="C69" s="56" t="s">
        <v>36</v>
      </c>
      <c r="D69" s="89"/>
      <c r="E69" s="113">
        <v>18.3</v>
      </c>
      <c r="F69" s="56" t="s">
        <v>24</v>
      </c>
      <c r="G69" s="240" t="s">
        <v>134</v>
      </c>
      <c r="H69" s="56"/>
      <c r="I69" s="56"/>
      <c r="J69" s="56" t="s">
        <v>50</v>
      </c>
      <c r="K69" s="56" t="s">
        <v>27</v>
      </c>
      <c r="L69" s="152" t="s">
        <v>28</v>
      </c>
      <c r="M69" s="130" t="s">
        <v>138</v>
      </c>
      <c r="N69" s="159" t="s">
        <v>24</v>
      </c>
      <c r="O69" s="56" t="s">
        <v>71</v>
      </c>
      <c r="P69" s="71" t="s">
        <v>31</v>
      </c>
      <c r="Q69" s="56"/>
    </row>
    <row r="70" spans="1:17" ht="14.25" customHeight="1">
      <c r="A70" s="56" t="s">
        <v>35</v>
      </c>
      <c r="B70" s="56" t="s">
        <v>21</v>
      </c>
      <c r="C70" s="56" t="s">
        <v>36</v>
      </c>
      <c r="D70" s="56" t="s">
        <v>139</v>
      </c>
      <c r="E70" s="113">
        <v>19.3</v>
      </c>
      <c r="F70" s="56" t="s">
        <v>24</v>
      </c>
      <c r="G70" s="240" t="s">
        <v>140</v>
      </c>
      <c r="H70" s="56"/>
      <c r="I70" s="56"/>
      <c r="J70" s="56" t="s">
        <v>50</v>
      </c>
      <c r="K70" s="56" t="s">
        <v>27</v>
      </c>
      <c r="L70" s="152" t="s">
        <v>28</v>
      </c>
      <c r="M70" s="130" t="s">
        <v>139</v>
      </c>
      <c r="N70" s="159" t="s">
        <v>67</v>
      </c>
      <c r="O70" s="56" t="s">
        <v>30</v>
      </c>
      <c r="P70" s="56" t="s">
        <v>57</v>
      </c>
      <c r="Q70" s="56"/>
    </row>
    <row r="71" spans="1:17" ht="14.25" customHeight="1">
      <c r="A71" s="56" t="s">
        <v>35</v>
      </c>
      <c r="B71" s="56" t="s">
        <v>21</v>
      </c>
      <c r="C71" s="56" t="s">
        <v>36</v>
      </c>
      <c r="D71" s="89"/>
      <c r="E71" s="113">
        <v>20.3</v>
      </c>
      <c r="F71" s="56" t="s">
        <v>24</v>
      </c>
      <c r="G71" s="240" t="s">
        <v>147</v>
      </c>
      <c r="H71" s="56"/>
      <c r="I71" s="56"/>
      <c r="J71" s="56" t="s">
        <v>50</v>
      </c>
      <c r="K71" s="56" t="s">
        <v>27</v>
      </c>
      <c r="L71" s="152" t="s">
        <v>28</v>
      </c>
      <c r="M71" s="130" t="s">
        <v>148</v>
      </c>
      <c r="N71" s="159" t="s">
        <v>24</v>
      </c>
      <c r="O71" s="56" t="s">
        <v>71</v>
      </c>
      <c r="P71" s="73" t="s">
        <v>31</v>
      </c>
      <c r="Q71" s="56"/>
    </row>
    <row r="72" spans="1:17" ht="14.25" customHeight="1">
      <c r="A72" s="56" t="s">
        <v>35</v>
      </c>
      <c r="B72" s="56" t="s">
        <v>21</v>
      </c>
      <c r="C72" s="56" t="s">
        <v>36</v>
      </c>
      <c r="D72" s="89"/>
      <c r="E72" s="113">
        <v>21.3</v>
      </c>
      <c r="F72" s="56" t="s">
        <v>24</v>
      </c>
      <c r="G72" s="240" t="s">
        <v>151</v>
      </c>
      <c r="H72" s="56"/>
      <c r="I72" s="56"/>
      <c r="J72" s="56" t="s">
        <v>50</v>
      </c>
      <c r="K72" s="56" t="s">
        <v>27</v>
      </c>
      <c r="L72" s="152" t="s">
        <v>28</v>
      </c>
      <c r="M72" s="130" t="s">
        <v>152</v>
      </c>
      <c r="N72" s="159" t="s">
        <v>24</v>
      </c>
      <c r="O72" s="56" t="s">
        <v>71</v>
      </c>
      <c r="P72" s="72" t="s">
        <v>31</v>
      </c>
      <c r="Q72" s="56"/>
    </row>
    <row r="73" spans="1:17" ht="14.25" customHeight="1">
      <c r="A73" s="56" t="s">
        <v>35</v>
      </c>
      <c r="B73" s="56" t="s">
        <v>21</v>
      </c>
      <c r="C73" s="56" t="s">
        <v>36</v>
      </c>
      <c r="D73" s="89"/>
      <c r="E73" s="113">
        <v>22.3</v>
      </c>
      <c r="F73" s="56" t="s">
        <v>67</v>
      </c>
      <c r="G73" s="240" t="s">
        <v>154</v>
      </c>
      <c r="H73" s="56"/>
      <c r="I73" s="56"/>
      <c r="J73" s="56" t="s">
        <v>50</v>
      </c>
      <c r="K73" s="56" t="s">
        <v>27</v>
      </c>
      <c r="L73" s="152" t="s">
        <v>28</v>
      </c>
      <c r="M73" s="130" t="s">
        <v>155</v>
      </c>
      <c r="N73" s="159" t="s">
        <v>67</v>
      </c>
      <c r="O73" s="56" t="s">
        <v>71</v>
      </c>
      <c r="P73" s="72" t="s">
        <v>31</v>
      </c>
      <c r="Q73" s="56"/>
    </row>
    <row r="74" spans="1:17" ht="14.25" customHeight="1">
      <c r="A74" s="56" t="s">
        <v>35</v>
      </c>
      <c r="B74" s="56" t="s">
        <v>21</v>
      </c>
      <c r="C74" s="56" t="s">
        <v>36</v>
      </c>
      <c r="D74" s="89"/>
      <c r="E74" s="113">
        <v>23.3</v>
      </c>
      <c r="F74" s="56" t="s">
        <v>24</v>
      </c>
      <c r="G74" s="240" t="s">
        <v>151</v>
      </c>
      <c r="H74" s="56"/>
      <c r="I74" s="56"/>
      <c r="J74" s="56" t="s">
        <v>50</v>
      </c>
      <c r="K74" s="56" t="s">
        <v>27</v>
      </c>
      <c r="L74" s="152" t="s">
        <v>28</v>
      </c>
      <c r="M74" s="130" t="s">
        <v>156</v>
      </c>
      <c r="N74" s="159" t="s">
        <v>24</v>
      </c>
      <c r="O74" s="56" t="s">
        <v>71</v>
      </c>
      <c r="P74" s="72" t="s">
        <v>31</v>
      </c>
      <c r="Q74" s="175"/>
    </row>
    <row r="75" spans="1:17" ht="14.25" customHeight="1">
      <c r="A75" s="56" t="s">
        <v>35</v>
      </c>
      <c r="B75" s="56" t="s">
        <v>21</v>
      </c>
      <c r="C75" s="56" t="s">
        <v>36</v>
      </c>
      <c r="D75" s="89"/>
      <c r="E75" s="113">
        <v>24.3</v>
      </c>
      <c r="F75" s="56" t="s">
        <v>81</v>
      </c>
      <c r="G75" s="240" t="s">
        <v>157</v>
      </c>
      <c r="H75" s="56"/>
      <c r="I75" s="56"/>
      <c r="J75" s="56" t="s">
        <v>50</v>
      </c>
      <c r="K75" s="56" t="s">
        <v>27</v>
      </c>
      <c r="L75" s="152" t="s">
        <v>28</v>
      </c>
      <c r="M75" s="130" t="s">
        <v>158</v>
      </c>
      <c r="N75" s="159" t="s">
        <v>81</v>
      </c>
      <c r="O75" s="56" t="s">
        <v>71</v>
      </c>
      <c r="P75" s="72" t="s">
        <v>31</v>
      </c>
      <c r="Q75" s="56"/>
    </row>
    <row r="76" spans="1:17" ht="14.25" customHeight="1">
      <c r="A76" s="56" t="s">
        <v>35</v>
      </c>
      <c r="B76" s="56" t="s">
        <v>21</v>
      </c>
      <c r="C76" s="56" t="s">
        <v>36</v>
      </c>
      <c r="D76" s="89"/>
      <c r="E76" s="113">
        <v>25.3</v>
      </c>
      <c r="F76" s="56" t="s">
        <v>24</v>
      </c>
      <c r="G76" s="240" t="s">
        <v>159</v>
      </c>
      <c r="H76" s="56"/>
      <c r="I76" s="56"/>
      <c r="J76" s="56" t="s">
        <v>50</v>
      </c>
      <c r="K76" s="56" t="s">
        <v>27</v>
      </c>
      <c r="L76" s="152" t="s">
        <v>28</v>
      </c>
      <c r="M76" s="130" t="s">
        <v>160</v>
      </c>
      <c r="N76" s="159" t="s">
        <v>24</v>
      </c>
      <c r="O76" s="56" t="s">
        <v>71</v>
      </c>
      <c r="P76" s="56" t="s">
        <v>31</v>
      </c>
      <c r="Q76" s="56"/>
    </row>
    <row r="77" spans="1:17" ht="14.25" customHeight="1">
      <c r="A77" s="56" t="s">
        <v>35</v>
      </c>
      <c r="B77" s="56" t="s">
        <v>21</v>
      </c>
      <c r="C77" s="56" t="s">
        <v>36</v>
      </c>
      <c r="D77" s="89"/>
      <c r="E77" s="113">
        <v>26.3</v>
      </c>
      <c r="F77" s="56" t="s">
        <v>67</v>
      </c>
      <c r="G77" s="240" t="s">
        <v>162</v>
      </c>
      <c r="H77" s="56"/>
      <c r="I77" s="56"/>
      <c r="J77" s="56" t="s">
        <v>50</v>
      </c>
      <c r="K77" s="56" t="s">
        <v>27</v>
      </c>
      <c r="L77" s="152" t="s">
        <v>28</v>
      </c>
      <c r="M77" s="130" t="s">
        <v>163</v>
      </c>
      <c r="N77" s="159" t="s">
        <v>67</v>
      </c>
      <c r="O77" s="56" t="s">
        <v>71</v>
      </c>
      <c r="P77" s="56" t="s">
        <v>31</v>
      </c>
      <c r="Q77" s="56"/>
    </row>
    <row r="78" spans="1:17" ht="14.25" customHeight="1">
      <c r="A78" s="56" t="s">
        <v>35</v>
      </c>
      <c r="B78" s="56" t="s">
        <v>21</v>
      </c>
      <c r="C78" s="56" t="s">
        <v>36</v>
      </c>
      <c r="D78" s="89"/>
      <c r="E78" s="113">
        <v>27.3</v>
      </c>
      <c r="F78" s="56" t="s">
        <v>81</v>
      </c>
      <c r="G78" s="240" t="s">
        <v>165</v>
      </c>
      <c r="H78" s="56"/>
      <c r="I78" s="56"/>
      <c r="J78" s="56" t="s">
        <v>50</v>
      </c>
      <c r="K78" s="56" t="s">
        <v>27</v>
      </c>
      <c r="L78" s="56" t="s">
        <v>28</v>
      </c>
      <c r="M78" s="149" t="s">
        <v>166</v>
      </c>
      <c r="N78" s="56" t="s">
        <v>81</v>
      </c>
      <c r="O78" s="56" t="s">
        <v>71</v>
      </c>
      <c r="P78" s="56" t="s">
        <v>31</v>
      </c>
      <c r="Q78" s="56"/>
    </row>
    <row r="79" spans="1:17" ht="14.25" customHeight="1">
      <c r="A79" s="56" t="s">
        <v>35</v>
      </c>
      <c r="B79" s="56" t="s">
        <v>21</v>
      </c>
      <c r="C79" s="56" t="s">
        <v>36</v>
      </c>
      <c r="D79" s="89"/>
      <c r="E79" s="113">
        <v>28.3</v>
      </c>
      <c r="F79" s="56" t="s">
        <v>24</v>
      </c>
      <c r="G79" s="240" t="s">
        <v>167</v>
      </c>
      <c r="H79" s="56"/>
      <c r="I79" s="56"/>
      <c r="J79" s="56" t="s">
        <v>50</v>
      </c>
      <c r="K79" s="56" t="s">
        <v>27</v>
      </c>
      <c r="L79" s="152" t="s">
        <v>28</v>
      </c>
      <c r="M79" s="130" t="s">
        <v>168</v>
      </c>
      <c r="N79" s="159" t="s">
        <v>24</v>
      </c>
      <c r="O79" s="56" t="s">
        <v>71</v>
      </c>
      <c r="P79" s="56" t="s">
        <v>31</v>
      </c>
      <c r="Q79" s="175"/>
    </row>
    <row r="80" spans="1:17" ht="14.25" customHeight="1">
      <c r="A80" s="56" t="s">
        <v>35</v>
      </c>
      <c r="B80" s="56" t="s">
        <v>21</v>
      </c>
      <c r="C80" s="56" t="s">
        <v>36</v>
      </c>
      <c r="D80" s="56" t="s">
        <v>170</v>
      </c>
      <c r="E80" s="113">
        <v>29</v>
      </c>
      <c r="F80" s="56" t="s">
        <v>81</v>
      </c>
      <c r="G80" s="240" t="s">
        <v>171</v>
      </c>
      <c r="H80" s="56"/>
      <c r="I80" s="56"/>
      <c r="J80" s="56" t="s">
        <v>50</v>
      </c>
      <c r="K80" s="56" t="s">
        <v>27</v>
      </c>
      <c r="L80" s="56" t="s">
        <v>28</v>
      </c>
      <c r="M80" s="149" t="s">
        <v>172</v>
      </c>
      <c r="N80" s="56" t="s">
        <v>81</v>
      </c>
      <c r="O80" s="56" t="s">
        <v>62</v>
      </c>
      <c r="P80" s="56" t="str">
        <f>IFERROR(IF(VLOOKUP(D80,'[2]UAT DB Attributes'!$A:$A,1,FALSE)=D80,"Yes","No"),"No")</f>
        <v>Yes</v>
      </c>
      <c r="Q80" s="56"/>
    </row>
    <row r="81" spans="1:17" ht="14.25" customHeight="1">
      <c r="A81" s="56" t="s">
        <v>35</v>
      </c>
      <c r="B81" s="56" t="s">
        <v>21</v>
      </c>
      <c r="C81" s="56" t="s">
        <v>36</v>
      </c>
      <c r="D81" s="89"/>
      <c r="E81" s="113">
        <v>29.3</v>
      </c>
      <c r="F81" s="56" t="s">
        <v>24</v>
      </c>
      <c r="G81" s="240" t="s">
        <v>177</v>
      </c>
      <c r="H81" s="56"/>
      <c r="I81" s="56"/>
      <c r="J81" s="56" t="s">
        <v>50</v>
      </c>
      <c r="K81" s="56" t="s">
        <v>27</v>
      </c>
      <c r="L81" s="152" t="s">
        <v>28</v>
      </c>
      <c r="M81" s="130" t="s">
        <v>178</v>
      </c>
      <c r="N81" s="159" t="s">
        <v>24</v>
      </c>
      <c r="O81" s="56" t="s">
        <v>62</v>
      </c>
      <c r="P81" s="56" t="s">
        <v>31</v>
      </c>
      <c r="Q81" s="56"/>
    </row>
    <row r="82" spans="1:17" ht="14.25" customHeight="1">
      <c r="A82" s="56" t="s">
        <v>35</v>
      </c>
      <c r="B82" s="56" t="s">
        <v>21</v>
      </c>
      <c r="C82" s="56" t="s">
        <v>36</v>
      </c>
      <c r="D82" s="56" t="s">
        <v>179</v>
      </c>
      <c r="E82" s="113">
        <v>30.4</v>
      </c>
      <c r="F82" s="56" t="str">
        <f>VLOOKUP(D82,'[2]UAT DB Attributes'!$A:$B,2,FALSE)</f>
        <v>int</v>
      </c>
      <c r="G82" s="56" t="s">
        <v>180</v>
      </c>
      <c r="H82" s="56"/>
      <c r="I82" s="56"/>
      <c r="J82" s="56" t="s">
        <v>50</v>
      </c>
      <c r="K82" s="56" t="s">
        <v>27</v>
      </c>
      <c r="L82" s="152" t="s">
        <v>28</v>
      </c>
      <c r="M82" s="130" t="s">
        <v>181</v>
      </c>
      <c r="N82" s="159" t="s">
        <v>24</v>
      </c>
      <c r="O82" s="56" t="s">
        <v>62</v>
      </c>
      <c r="P82" s="174" t="str">
        <f>IFERROR(IF(VLOOKUP(D82,'[2]UAT DB Attributes'!$A:$A,1,FALSE)=D82,"Yes","No"),"No")</f>
        <v>Yes</v>
      </c>
      <c r="Q82" s="209"/>
    </row>
    <row r="83" spans="1:17" ht="14.25" customHeight="1">
      <c r="A83" s="56" t="s">
        <v>35</v>
      </c>
      <c r="B83" s="56" t="s">
        <v>21</v>
      </c>
      <c r="C83" s="56" t="s">
        <v>191</v>
      </c>
      <c r="D83" s="56" t="s">
        <v>192</v>
      </c>
      <c r="E83" s="113">
        <v>30.8</v>
      </c>
      <c r="F83" s="56" t="s">
        <v>24</v>
      </c>
      <c r="G83" s="240" t="s">
        <v>184</v>
      </c>
      <c r="H83" s="56"/>
      <c r="I83" s="56" t="s">
        <v>193</v>
      </c>
      <c r="J83" s="56" t="s">
        <v>50</v>
      </c>
      <c r="K83" s="56" t="s">
        <v>27</v>
      </c>
      <c r="L83" s="152" t="s">
        <v>28</v>
      </c>
      <c r="M83" s="130" t="s">
        <v>185</v>
      </c>
      <c r="N83" s="159" t="s">
        <v>67</v>
      </c>
      <c r="O83" s="56" t="s">
        <v>71</v>
      </c>
      <c r="P83" s="56" t="s">
        <v>57</v>
      </c>
      <c r="Q83" s="56" t="s">
        <v>194</v>
      </c>
    </row>
    <row r="84" spans="1:17" ht="14.25" customHeight="1">
      <c r="A84" s="56" t="s">
        <v>35</v>
      </c>
      <c r="B84" s="56" t="s">
        <v>21</v>
      </c>
      <c r="C84" s="56" t="s">
        <v>36</v>
      </c>
      <c r="D84" s="89"/>
      <c r="E84" s="56">
        <v>31.06</v>
      </c>
      <c r="F84" s="56" t="s">
        <v>24</v>
      </c>
      <c r="G84" s="240" t="s">
        <v>197</v>
      </c>
      <c r="H84" s="56"/>
      <c r="I84" s="56"/>
      <c r="J84" s="56" t="s">
        <v>50</v>
      </c>
      <c r="K84" s="56" t="s">
        <v>27</v>
      </c>
      <c r="L84" s="152" t="s">
        <v>28</v>
      </c>
      <c r="M84" s="130" t="s">
        <v>198</v>
      </c>
      <c r="N84" s="152" t="s">
        <v>24</v>
      </c>
      <c r="O84" s="152" t="s">
        <v>62</v>
      </c>
      <c r="P84" s="174" t="s">
        <v>31</v>
      </c>
      <c r="Q84" s="209"/>
    </row>
    <row r="85" spans="1:17" ht="14.25" customHeight="1">
      <c r="A85" s="56" t="s">
        <v>35</v>
      </c>
      <c r="B85" s="56" t="s">
        <v>21</v>
      </c>
      <c r="C85" s="56" t="s">
        <v>36</v>
      </c>
      <c r="D85" s="230" t="s">
        <v>203</v>
      </c>
      <c r="E85" s="113">
        <v>32.299999999999997</v>
      </c>
      <c r="F85" s="56" t="s">
        <v>24</v>
      </c>
      <c r="G85" s="240" t="s">
        <v>201</v>
      </c>
      <c r="H85" s="56"/>
      <c r="I85" s="56"/>
      <c r="J85" s="56" t="s">
        <v>204</v>
      </c>
      <c r="K85" s="56" t="s">
        <v>27</v>
      </c>
      <c r="L85" s="152" t="s">
        <v>28</v>
      </c>
      <c r="M85" s="130" t="s">
        <v>202</v>
      </c>
      <c r="N85" s="159" t="s">
        <v>67</v>
      </c>
      <c r="O85" s="56" t="s">
        <v>71</v>
      </c>
      <c r="P85" s="56" t="s">
        <v>31</v>
      </c>
      <c r="Q85" s="56" t="s">
        <v>205</v>
      </c>
    </row>
    <row r="86" spans="1:17" ht="14.25" customHeight="1">
      <c r="A86" s="56" t="s">
        <v>35</v>
      </c>
      <c r="B86" s="56" t="s">
        <v>21</v>
      </c>
      <c r="C86" s="56" t="s">
        <v>210</v>
      </c>
      <c r="D86" s="56" t="s">
        <v>211</v>
      </c>
      <c r="E86" s="113">
        <v>33.03</v>
      </c>
      <c r="F86" s="56" t="s">
        <v>24</v>
      </c>
      <c r="G86" s="240" t="s">
        <v>212</v>
      </c>
      <c r="H86" s="56"/>
      <c r="I86" s="56" t="s">
        <v>213</v>
      </c>
      <c r="J86" s="56" t="s">
        <v>50</v>
      </c>
      <c r="K86" s="56" t="s">
        <v>27</v>
      </c>
      <c r="L86" s="56" t="s">
        <v>28</v>
      </c>
      <c r="M86" s="130" t="s">
        <v>208</v>
      </c>
      <c r="N86" s="56" t="s">
        <v>67</v>
      </c>
      <c r="O86" s="56" t="s">
        <v>71</v>
      </c>
      <c r="P86" s="56" t="s">
        <v>57</v>
      </c>
      <c r="Q86" s="56" t="s">
        <v>214</v>
      </c>
    </row>
    <row r="87" spans="1:17" ht="14.25" customHeight="1">
      <c r="A87" s="56" t="s">
        <v>35</v>
      </c>
      <c r="B87" s="56" t="s">
        <v>21</v>
      </c>
      <c r="C87" s="56" t="s">
        <v>36</v>
      </c>
      <c r="D87" s="152" t="s">
        <v>221</v>
      </c>
      <c r="E87" s="152">
        <v>33.06</v>
      </c>
      <c r="F87" s="152" t="s">
        <v>24</v>
      </c>
      <c r="G87" s="246" t="s">
        <v>216</v>
      </c>
      <c r="H87" s="152"/>
      <c r="I87" s="152"/>
      <c r="J87" s="152" t="s">
        <v>50</v>
      </c>
      <c r="K87" s="152" t="s">
        <v>27</v>
      </c>
      <c r="L87" s="152" t="s">
        <v>28</v>
      </c>
      <c r="M87" s="130" t="s">
        <v>217</v>
      </c>
      <c r="N87" s="56" t="s">
        <v>24</v>
      </c>
      <c r="O87" s="56" t="s">
        <v>62</v>
      </c>
      <c r="P87" s="56" t="s">
        <v>57</v>
      </c>
      <c r="Q87" s="56" t="s">
        <v>218</v>
      </c>
    </row>
    <row r="88" spans="1:17" ht="14.25" customHeight="1">
      <c r="A88" s="56" t="s">
        <v>35</v>
      </c>
      <c r="B88" s="56" t="s">
        <v>21</v>
      </c>
      <c r="C88" s="56" t="s">
        <v>36</v>
      </c>
      <c r="D88" s="89"/>
      <c r="E88" s="56">
        <v>35.14</v>
      </c>
      <c r="F88" s="56" t="s">
        <v>24</v>
      </c>
      <c r="G88" s="240" t="s">
        <v>222</v>
      </c>
      <c r="H88" s="56"/>
      <c r="I88" s="56"/>
      <c r="J88" s="56" t="s">
        <v>50</v>
      </c>
      <c r="K88" s="56" t="s">
        <v>27</v>
      </c>
      <c r="L88" s="152" t="s">
        <v>28</v>
      </c>
      <c r="M88" s="130" t="s">
        <v>223</v>
      </c>
      <c r="N88" s="152" t="s">
        <v>24</v>
      </c>
      <c r="O88" s="152" t="s">
        <v>62</v>
      </c>
      <c r="P88" s="72" t="s">
        <v>31</v>
      </c>
      <c r="Q88" s="174"/>
    </row>
    <row r="89" spans="1:17" ht="14.25" customHeight="1">
      <c r="A89" s="56" t="s">
        <v>35</v>
      </c>
      <c r="B89" s="56" t="s">
        <v>21</v>
      </c>
      <c r="C89" s="56" t="s">
        <v>228</v>
      </c>
      <c r="D89" s="56" t="s">
        <v>229</v>
      </c>
      <c r="E89" s="113">
        <v>35.229999999999997</v>
      </c>
      <c r="F89" s="56" t="s">
        <v>24</v>
      </c>
      <c r="G89" s="240" t="s">
        <v>226</v>
      </c>
      <c r="H89" s="56"/>
      <c r="I89" s="56" t="s">
        <v>230</v>
      </c>
      <c r="J89" s="56" t="s">
        <v>50</v>
      </c>
      <c r="K89" s="56" t="s">
        <v>27</v>
      </c>
      <c r="L89" s="152" t="s">
        <v>28</v>
      </c>
      <c r="M89" s="130" t="s">
        <v>227</v>
      </c>
      <c r="N89" s="159" t="s">
        <v>67</v>
      </c>
      <c r="O89" s="56" t="s">
        <v>71</v>
      </c>
      <c r="P89" s="152" t="s">
        <v>57</v>
      </c>
      <c r="Q89" s="212" t="s">
        <v>231</v>
      </c>
    </row>
    <row r="90" spans="1:17" ht="14.25" customHeight="1">
      <c r="A90" s="56" t="s">
        <v>35</v>
      </c>
      <c r="B90" s="56" t="s">
        <v>21</v>
      </c>
      <c r="C90" s="56" t="s">
        <v>228</v>
      </c>
      <c r="D90" s="230" t="s">
        <v>203</v>
      </c>
      <c r="E90" s="113">
        <v>36.299999999999997</v>
      </c>
      <c r="F90" s="56" t="s">
        <v>24</v>
      </c>
      <c r="G90" s="240" t="s">
        <v>233</v>
      </c>
      <c r="H90" s="56"/>
      <c r="I90" s="56" t="s">
        <v>236</v>
      </c>
      <c r="J90" s="56" t="s">
        <v>50</v>
      </c>
      <c r="K90" s="56" t="s">
        <v>27</v>
      </c>
      <c r="L90" s="152" t="s">
        <v>28</v>
      </c>
      <c r="M90" s="130" t="s">
        <v>161</v>
      </c>
      <c r="N90" s="159" t="s">
        <v>24</v>
      </c>
      <c r="O90" s="56" t="s">
        <v>71</v>
      </c>
      <c r="P90" s="174" t="s">
        <v>31</v>
      </c>
      <c r="Q90" s="209" t="s">
        <v>203</v>
      </c>
    </row>
    <row r="91" spans="1:17" ht="14.25" customHeight="1">
      <c r="A91" s="56" t="s">
        <v>35</v>
      </c>
      <c r="B91" s="56" t="s">
        <v>21</v>
      </c>
      <c r="C91" s="56" t="s">
        <v>228</v>
      </c>
      <c r="D91" s="56" t="s">
        <v>248</v>
      </c>
      <c r="E91" s="113">
        <v>37.299999999999997</v>
      </c>
      <c r="F91" s="56" t="s">
        <v>24</v>
      </c>
      <c r="G91" s="240" t="s">
        <v>241</v>
      </c>
      <c r="H91" s="56"/>
      <c r="I91" s="56" t="s">
        <v>249</v>
      </c>
      <c r="J91" s="56" t="s">
        <v>50</v>
      </c>
      <c r="K91" s="56" t="s">
        <v>27</v>
      </c>
      <c r="L91" s="152" t="s">
        <v>28</v>
      </c>
      <c r="M91" s="130" t="s">
        <v>243</v>
      </c>
      <c r="N91" s="159" t="s">
        <v>67</v>
      </c>
      <c r="O91" s="56" t="s">
        <v>30</v>
      </c>
      <c r="P91" s="56" t="s">
        <v>250</v>
      </c>
      <c r="Q91" s="56" t="s">
        <v>231</v>
      </c>
    </row>
    <row r="92" spans="1:17" ht="14.25" customHeight="1">
      <c r="A92" s="56" t="s">
        <v>35</v>
      </c>
      <c r="B92" s="56" t="s">
        <v>21</v>
      </c>
      <c r="C92" s="56" t="s">
        <v>228</v>
      </c>
      <c r="D92" s="89"/>
      <c r="E92" s="113">
        <v>38.299999999999997</v>
      </c>
      <c r="F92" s="56" t="s">
        <v>24</v>
      </c>
      <c r="G92" s="240" t="s">
        <v>254</v>
      </c>
      <c r="H92" s="56"/>
      <c r="I92" s="56"/>
      <c r="J92" s="56" t="s">
        <v>252</v>
      </c>
      <c r="K92" s="56" t="s">
        <v>27</v>
      </c>
      <c r="L92" s="152" t="s">
        <v>28</v>
      </c>
      <c r="M92" s="130" t="s">
        <v>256</v>
      </c>
      <c r="N92" s="159" t="s">
        <v>24</v>
      </c>
      <c r="O92" s="56" t="s">
        <v>30</v>
      </c>
      <c r="P92" s="169" t="s">
        <v>31</v>
      </c>
      <c r="Q92" s="171"/>
    </row>
    <row r="93" spans="1:17" ht="14.25" customHeight="1">
      <c r="A93" s="56" t="s">
        <v>35</v>
      </c>
      <c r="B93" s="56" t="s">
        <v>21</v>
      </c>
      <c r="C93" s="56" t="s">
        <v>36</v>
      </c>
      <c r="D93" s="56" t="s">
        <v>257</v>
      </c>
      <c r="E93" s="113">
        <v>39.299999999999997</v>
      </c>
      <c r="F93" s="56" t="str">
        <f>VLOOKUP(D93,'[2]UAT DB Attributes'!$A:$B,2,FALSE)</f>
        <v>string</v>
      </c>
      <c r="G93" s="240" t="s">
        <v>258</v>
      </c>
      <c r="H93" s="56"/>
      <c r="I93" s="56"/>
      <c r="J93" s="56" t="s">
        <v>50</v>
      </c>
      <c r="K93" s="56" t="s">
        <v>27</v>
      </c>
      <c r="L93" s="152" t="s">
        <v>28</v>
      </c>
      <c r="M93" s="130" t="s">
        <v>257</v>
      </c>
      <c r="N93" s="159" t="s">
        <v>67</v>
      </c>
      <c r="O93" s="56" t="s">
        <v>30</v>
      </c>
      <c r="P93" s="56" t="str">
        <f>IFERROR(IF(VLOOKUP(D93,'[2]UAT DB Attributes'!$A:$A,1,FALSE)=D93,"Yes","No"),"No")</f>
        <v>Yes</v>
      </c>
      <c r="Q93" s="174"/>
    </row>
    <row r="94" spans="1:17" ht="14.25" customHeight="1">
      <c r="A94" s="56" t="s">
        <v>35</v>
      </c>
      <c r="B94" s="56" t="s">
        <v>21</v>
      </c>
      <c r="C94" s="56" t="s">
        <v>36</v>
      </c>
      <c r="D94" s="89"/>
      <c r="E94" s="113">
        <v>40.299999999999997</v>
      </c>
      <c r="F94" s="56" t="s">
        <v>24</v>
      </c>
      <c r="G94" s="240" t="s">
        <v>261</v>
      </c>
      <c r="H94" s="56"/>
      <c r="I94" s="56"/>
      <c r="J94" s="56" t="s">
        <v>50</v>
      </c>
      <c r="K94" s="56" t="s">
        <v>27</v>
      </c>
      <c r="L94" s="152" t="s">
        <v>28</v>
      </c>
      <c r="M94" s="130" t="s">
        <v>262</v>
      </c>
      <c r="N94" s="159" t="s">
        <v>24</v>
      </c>
      <c r="O94" s="56" t="s">
        <v>30</v>
      </c>
      <c r="P94" s="174" t="s">
        <v>31</v>
      </c>
      <c r="Q94" s="209"/>
    </row>
    <row r="95" spans="1:17" ht="14.25" customHeight="1">
      <c r="A95" s="56" t="s">
        <v>35</v>
      </c>
      <c r="B95" s="56" t="s">
        <v>21</v>
      </c>
      <c r="C95" s="56" t="s">
        <v>36</v>
      </c>
      <c r="D95" s="89"/>
      <c r="E95" s="113">
        <v>41.3</v>
      </c>
      <c r="F95" s="56" t="s">
        <v>24</v>
      </c>
      <c r="G95" s="240" t="s">
        <v>265</v>
      </c>
      <c r="H95" s="56"/>
      <c r="I95" s="56"/>
      <c r="J95" s="56" t="s">
        <v>50</v>
      </c>
      <c r="K95" s="56" t="s">
        <v>27</v>
      </c>
      <c r="L95" s="152" t="s">
        <v>28</v>
      </c>
      <c r="M95" s="130" t="s">
        <v>266</v>
      </c>
      <c r="N95" s="159" t="s">
        <v>24</v>
      </c>
      <c r="O95" s="56" t="s">
        <v>30</v>
      </c>
      <c r="P95" s="176" t="s">
        <v>31</v>
      </c>
      <c r="Q95" s="209"/>
    </row>
    <row r="96" spans="1:17" ht="14.25" customHeight="1">
      <c r="A96" s="56" t="s">
        <v>35</v>
      </c>
      <c r="B96" s="56" t="s">
        <v>21</v>
      </c>
      <c r="C96" s="56" t="s">
        <v>36</v>
      </c>
      <c r="D96" s="89"/>
      <c r="E96" s="113">
        <v>42.3</v>
      </c>
      <c r="F96" s="56" t="s">
        <v>24</v>
      </c>
      <c r="G96" s="240" t="s">
        <v>268</v>
      </c>
      <c r="H96" s="56"/>
      <c r="I96" s="56"/>
      <c r="J96" s="56" t="s">
        <v>50</v>
      </c>
      <c r="K96" s="56" t="s">
        <v>27</v>
      </c>
      <c r="L96" s="152" t="s">
        <v>28</v>
      </c>
      <c r="M96" s="130" t="s">
        <v>269</v>
      </c>
      <c r="N96" s="159" t="s">
        <v>24</v>
      </c>
      <c r="O96" s="56" t="s">
        <v>30</v>
      </c>
      <c r="P96" s="179" t="s">
        <v>31</v>
      </c>
      <c r="Q96" s="209"/>
    </row>
    <row r="97" spans="1:17" ht="14.25" customHeight="1">
      <c r="A97" s="56" t="s">
        <v>35</v>
      </c>
      <c r="B97" s="56" t="s">
        <v>21</v>
      </c>
      <c r="C97" s="56" t="s">
        <v>36</v>
      </c>
      <c r="D97" s="89"/>
      <c r="E97" s="113">
        <v>43.3</v>
      </c>
      <c r="F97" s="56" t="s">
        <v>67</v>
      </c>
      <c r="G97" s="240" t="s">
        <v>272</v>
      </c>
      <c r="H97" s="56"/>
      <c r="I97" s="56"/>
      <c r="J97" s="56" t="s">
        <v>50</v>
      </c>
      <c r="K97" s="56" t="s">
        <v>27</v>
      </c>
      <c r="L97" s="152" t="s">
        <v>28</v>
      </c>
      <c r="M97" s="130" t="s">
        <v>273</v>
      </c>
      <c r="N97" s="159" t="s">
        <v>24</v>
      </c>
      <c r="O97" s="56" t="s">
        <v>71</v>
      </c>
      <c r="P97" s="169" t="s">
        <v>31</v>
      </c>
      <c r="Q97" s="209"/>
    </row>
    <row r="98" spans="1:17" ht="14.25" customHeight="1">
      <c r="A98" s="56" t="s">
        <v>35</v>
      </c>
      <c r="B98" s="56" t="s">
        <v>21</v>
      </c>
      <c r="C98" s="56" t="s">
        <v>36</v>
      </c>
      <c r="D98" s="89"/>
      <c r="E98" s="113">
        <v>44.3</v>
      </c>
      <c r="F98" s="56" t="s">
        <v>24</v>
      </c>
      <c r="G98" s="246" t="s">
        <v>274</v>
      </c>
      <c r="H98" s="201"/>
      <c r="I98" s="56"/>
      <c r="J98" s="56" t="s">
        <v>50</v>
      </c>
      <c r="K98" s="56" t="s">
        <v>27</v>
      </c>
      <c r="L98" s="152" t="s">
        <v>28</v>
      </c>
      <c r="M98" s="130" t="s">
        <v>275</v>
      </c>
      <c r="N98" s="159" t="s">
        <v>24</v>
      </c>
      <c r="O98" s="56" t="s">
        <v>71</v>
      </c>
      <c r="P98" s="169" t="s">
        <v>31</v>
      </c>
      <c r="Q98" s="209"/>
    </row>
    <row r="99" spans="1:17" ht="14.25" customHeight="1">
      <c r="A99" s="72" t="s">
        <v>32</v>
      </c>
      <c r="B99" s="72" t="s">
        <v>21</v>
      </c>
      <c r="C99" s="72" t="s">
        <v>33</v>
      </c>
      <c r="D99" s="124" t="s">
        <v>23</v>
      </c>
      <c r="E99" s="112">
        <v>0</v>
      </c>
      <c r="F99" s="72" t="s">
        <v>24</v>
      </c>
      <c r="G99" s="239" t="s">
        <v>25</v>
      </c>
      <c r="H99" s="72"/>
      <c r="I99" s="72"/>
      <c r="J99" s="72" t="s">
        <v>34</v>
      </c>
      <c r="K99" s="72" t="s">
        <v>27</v>
      </c>
      <c r="L99" s="151" t="s">
        <v>28</v>
      </c>
      <c r="M99" s="130" t="s">
        <v>29</v>
      </c>
      <c r="N99" s="158" t="s">
        <v>24</v>
      </c>
      <c r="O99" s="72" t="s">
        <v>30</v>
      </c>
      <c r="P99" s="176" t="s">
        <v>31</v>
      </c>
      <c r="Q99" s="178"/>
    </row>
    <row r="100" spans="1:17" ht="14.25" customHeight="1">
      <c r="A100" s="72" t="s">
        <v>32</v>
      </c>
      <c r="B100" s="72" t="s">
        <v>21</v>
      </c>
      <c r="C100" s="72" t="s">
        <v>33</v>
      </c>
      <c r="D100" s="72" t="s">
        <v>52</v>
      </c>
      <c r="E100" s="112">
        <v>1</v>
      </c>
      <c r="F100" s="72" t="s">
        <v>48</v>
      </c>
      <c r="G100" s="239" t="s">
        <v>53</v>
      </c>
      <c r="H100" s="72" t="s">
        <v>54</v>
      </c>
      <c r="I100" s="72"/>
      <c r="J100" s="72" t="s">
        <v>50</v>
      </c>
      <c r="K100" s="72" t="s">
        <v>27</v>
      </c>
      <c r="L100" s="151" t="s">
        <v>28</v>
      </c>
      <c r="M100" s="130" t="s">
        <v>51</v>
      </c>
      <c r="N100" s="158" t="s">
        <v>24</v>
      </c>
      <c r="O100" s="72" t="s">
        <v>30</v>
      </c>
      <c r="P100" s="176" t="str">
        <f>IFERROR(IF(VLOOKUP(D100,'[1]UAT DB Attributes'!$A:$A,1,FALSE)=D100,"Yes","No"),"No")</f>
        <v>Yes</v>
      </c>
      <c r="Q100" s="178"/>
    </row>
    <row r="101" spans="1:17" ht="14.25" customHeight="1">
      <c r="A101" s="72" t="s">
        <v>32</v>
      </c>
      <c r="B101" s="72" t="s">
        <v>21</v>
      </c>
      <c r="C101" s="72" t="s">
        <v>33</v>
      </c>
      <c r="D101" s="72" t="s">
        <v>63</v>
      </c>
      <c r="E101" s="112">
        <v>1.2</v>
      </c>
      <c r="F101" s="72" t="s">
        <v>24</v>
      </c>
      <c r="G101" s="239" t="s">
        <v>64</v>
      </c>
      <c r="H101" s="72" t="s">
        <v>54</v>
      </c>
      <c r="I101" s="72"/>
      <c r="J101" s="72" t="s">
        <v>50</v>
      </c>
      <c r="K101" s="72" t="s">
        <v>27</v>
      </c>
      <c r="L101" s="151" t="s">
        <v>28</v>
      </c>
      <c r="M101" s="130" t="s">
        <v>61</v>
      </c>
      <c r="N101" s="158" t="s">
        <v>24</v>
      </c>
      <c r="O101" s="72" t="s">
        <v>62</v>
      </c>
      <c r="P101" s="176" t="str">
        <f>IFERROR(IF(VLOOKUP(D101,'[1]UAT DB Attributes'!$A:$A,1,FALSE)=D101,"Yes","No"),"No")</f>
        <v>Yes</v>
      </c>
      <c r="Q101" s="177"/>
    </row>
    <row r="102" spans="1:17" ht="14.25" customHeight="1">
      <c r="A102" s="72" t="s">
        <v>32</v>
      </c>
      <c r="B102" s="72" t="s">
        <v>21</v>
      </c>
      <c r="C102" s="72" t="s">
        <v>33</v>
      </c>
      <c r="D102" s="72" t="s">
        <v>72</v>
      </c>
      <c r="E102" s="112">
        <v>2</v>
      </c>
      <c r="F102" s="72" t="s">
        <v>24</v>
      </c>
      <c r="G102" s="239" t="s">
        <v>73</v>
      </c>
      <c r="H102" s="72" t="s">
        <v>54</v>
      </c>
      <c r="I102" s="72"/>
      <c r="J102" s="72" t="s">
        <v>50</v>
      </c>
      <c r="K102" s="72" t="s">
        <v>27</v>
      </c>
      <c r="L102" s="151" t="s">
        <v>28</v>
      </c>
      <c r="M102" s="130" t="s">
        <v>70</v>
      </c>
      <c r="N102" s="158" t="s">
        <v>67</v>
      </c>
      <c r="O102" s="72" t="s">
        <v>62</v>
      </c>
      <c r="P102" s="176" t="str">
        <f>IFERROR(IF(VLOOKUP(D102,'[1]UAT DB Attributes'!$A:$A,1,FALSE)=D102,"Yes","No"),"No")</f>
        <v>Yes</v>
      </c>
      <c r="Q102" s="178"/>
    </row>
    <row r="103" spans="1:17" ht="14.25" customHeight="1">
      <c r="A103" s="72" t="s">
        <v>32</v>
      </c>
      <c r="B103" s="72" t="s">
        <v>21</v>
      </c>
      <c r="C103" s="72" t="s">
        <v>33</v>
      </c>
      <c r="D103" s="90"/>
      <c r="E103" s="162">
        <v>2.2000000000000002</v>
      </c>
      <c r="F103" s="120" t="s">
        <v>24</v>
      </c>
      <c r="G103" s="239" t="s">
        <v>77</v>
      </c>
      <c r="H103" s="72"/>
      <c r="I103" s="72"/>
      <c r="J103" s="120" t="s">
        <v>50</v>
      </c>
      <c r="K103" s="72" t="s">
        <v>27</v>
      </c>
      <c r="L103" s="72" t="s">
        <v>28</v>
      </c>
      <c r="M103" s="149" t="s">
        <v>78</v>
      </c>
      <c r="N103" s="72" t="s">
        <v>24</v>
      </c>
      <c r="O103" s="72" t="s">
        <v>62</v>
      </c>
      <c r="P103" s="169" t="s">
        <v>31</v>
      </c>
      <c r="Q103" s="178"/>
    </row>
    <row r="104" spans="1:17" ht="14.25" customHeight="1">
      <c r="A104" s="72" t="s">
        <v>32</v>
      </c>
      <c r="B104" s="72" t="s">
        <v>21</v>
      </c>
      <c r="C104" s="72" t="s">
        <v>33</v>
      </c>
      <c r="D104" s="72" t="s">
        <v>84</v>
      </c>
      <c r="E104" s="112">
        <v>3</v>
      </c>
      <c r="F104" s="72" t="s">
        <v>81</v>
      </c>
      <c r="G104" s="239" t="s">
        <v>85</v>
      </c>
      <c r="H104" s="72" t="s">
        <v>54</v>
      </c>
      <c r="I104" s="72"/>
      <c r="J104" s="72" t="s">
        <v>50</v>
      </c>
      <c r="K104" s="72" t="s">
        <v>27</v>
      </c>
      <c r="L104" s="151" t="s">
        <v>28</v>
      </c>
      <c r="M104" s="130" t="s">
        <v>83</v>
      </c>
      <c r="N104" s="158" t="s">
        <v>81</v>
      </c>
      <c r="O104" s="72" t="s">
        <v>62</v>
      </c>
      <c r="P104" s="176" t="str">
        <f>IFERROR(IF(VLOOKUP(D104,'[1]UAT DB Attributes'!$A:$A,1,FALSE)=D104,"Yes","No"),"No")</f>
        <v>Yes</v>
      </c>
      <c r="Q104" s="178"/>
    </row>
    <row r="105" spans="1:17" ht="14.25" customHeight="1">
      <c r="A105" s="72" t="s">
        <v>32</v>
      </c>
      <c r="B105" s="72" t="s">
        <v>21</v>
      </c>
      <c r="C105" s="72" t="s">
        <v>33</v>
      </c>
      <c r="D105" s="90"/>
      <c r="E105" s="112">
        <v>4.2</v>
      </c>
      <c r="F105" s="72" t="s">
        <v>81</v>
      </c>
      <c r="G105" s="239" t="s">
        <v>88</v>
      </c>
      <c r="H105" s="72"/>
      <c r="I105" s="72"/>
      <c r="J105" s="72" t="s">
        <v>50</v>
      </c>
      <c r="K105" s="72" t="s">
        <v>27</v>
      </c>
      <c r="L105" s="151" t="s">
        <v>28</v>
      </c>
      <c r="M105" s="130" t="s">
        <v>89</v>
      </c>
      <c r="N105" s="158" t="s">
        <v>81</v>
      </c>
      <c r="O105" s="72" t="s">
        <v>71</v>
      </c>
      <c r="P105" s="176" t="s">
        <v>31</v>
      </c>
      <c r="Q105" s="177"/>
    </row>
    <row r="106" spans="1:17" ht="14.25" customHeight="1">
      <c r="A106" s="72" t="s">
        <v>32</v>
      </c>
      <c r="B106" s="72" t="s">
        <v>21</v>
      </c>
      <c r="C106" s="72" t="s">
        <v>33</v>
      </c>
      <c r="D106" s="90"/>
      <c r="E106" s="112">
        <v>6.2</v>
      </c>
      <c r="F106" s="72" t="s">
        <v>24</v>
      </c>
      <c r="G106" s="239" t="s">
        <v>90</v>
      </c>
      <c r="H106" s="72"/>
      <c r="I106" s="72"/>
      <c r="J106" s="72" t="s">
        <v>50</v>
      </c>
      <c r="K106" s="72" t="s">
        <v>27</v>
      </c>
      <c r="L106" s="151" t="s">
        <v>28</v>
      </c>
      <c r="M106" s="130" t="s">
        <v>91</v>
      </c>
      <c r="N106" s="158" t="s">
        <v>24</v>
      </c>
      <c r="O106" s="72" t="s">
        <v>71</v>
      </c>
      <c r="P106" s="176" t="s">
        <v>31</v>
      </c>
      <c r="Q106" s="178"/>
    </row>
    <row r="107" spans="1:17" ht="14.25" customHeight="1">
      <c r="A107" s="72" t="s">
        <v>32</v>
      </c>
      <c r="B107" s="72" t="s">
        <v>21</v>
      </c>
      <c r="C107" s="72" t="s">
        <v>33</v>
      </c>
      <c r="D107" s="72" t="s">
        <v>96</v>
      </c>
      <c r="E107" s="112">
        <v>8</v>
      </c>
      <c r="F107" s="72" t="s">
        <v>24</v>
      </c>
      <c r="G107" s="239" t="s">
        <v>97</v>
      </c>
      <c r="H107" s="72" t="s">
        <v>54</v>
      </c>
      <c r="I107" s="72"/>
      <c r="J107" s="72" t="s">
        <v>50</v>
      </c>
      <c r="K107" s="72" t="s">
        <v>27</v>
      </c>
      <c r="L107" s="151" t="s">
        <v>28</v>
      </c>
      <c r="M107" s="130" t="s">
        <v>276</v>
      </c>
      <c r="N107" s="158" t="s">
        <v>67</v>
      </c>
      <c r="O107" s="72" t="s">
        <v>30</v>
      </c>
      <c r="P107" s="176" t="str">
        <f>IFERROR(IF(VLOOKUP(D107,'[1]UAT DB Attributes'!$A:$A,1,FALSE)=D107,"Yes","No"),"No")</f>
        <v>Yes</v>
      </c>
      <c r="Q107" s="178"/>
    </row>
    <row r="108" spans="1:17" ht="14.25" customHeight="1">
      <c r="A108" s="72" t="s">
        <v>32</v>
      </c>
      <c r="B108" s="72" t="s">
        <v>21</v>
      </c>
      <c r="C108" s="72" t="s">
        <v>33</v>
      </c>
      <c r="D108" s="90"/>
      <c r="E108" s="112">
        <v>8.1999999999999993</v>
      </c>
      <c r="F108" s="72" t="s">
        <v>24</v>
      </c>
      <c r="G108" s="239" t="s">
        <v>99</v>
      </c>
      <c r="H108" s="72"/>
      <c r="I108" s="72"/>
      <c r="J108" s="72" t="s">
        <v>50</v>
      </c>
      <c r="K108" s="72" t="s">
        <v>27</v>
      </c>
      <c r="L108" s="72" t="s">
        <v>28</v>
      </c>
      <c r="M108" s="149" t="s">
        <v>100</v>
      </c>
      <c r="N108" s="72" t="s">
        <v>24</v>
      </c>
      <c r="O108" s="72" t="s">
        <v>71</v>
      </c>
      <c r="P108" s="179" t="s">
        <v>31</v>
      </c>
      <c r="Q108" s="178"/>
    </row>
    <row r="109" spans="1:17" ht="14.25" customHeight="1">
      <c r="A109" s="72" t="s">
        <v>32</v>
      </c>
      <c r="B109" s="72" t="s">
        <v>21</v>
      </c>
      <c r="C109" s="72" t="s">
        <v>33</v>
      </c>
      <c r="D109" s="72" t="s">
        <v>104</v>
      </c>
      <c r="E109" s="112">
        <v>9.1</v>
      </c>
      <c r="F109" s="72" t="s">
        <v>24</v>
      </c>
      <c r="G109" s="239" t="s">
        <v>105</v>
      </c>
      <c r="H109" s="72" t="s">
        <v>54</v>
      </c>
      <c r="I109" s="72"/>
      <c r="J109" s="72" t="s">
        <v>50</v>
      </c>
      <c r="K109" s="72" t="s">
        <v>27</v>
      </c>
      <c r="L109" s="151" t="s">
        <v>28</v>
      </c>
      <c r="M109" s="130" t="s">
        <v>102</v>
      </c>
      <c r="N109" s="158" t="s">
        <v>67</v>
      </c>
      <c r="O109" s="72" t="s">
        <v>30</v>
      </c>
      <c r="P109" s="176" t="str">
        <f>IFERROR(IF(VLOOKUP(D109,'[1]UAT DB Attributes'!$A:$A,1,FALSE)=D109,"Yes","No"),"No")</f>
        <v>Yes</v>
      </c>
      <c r="Q109" s="178"/>
    </row>
    <row r="110" spans="1:17" ht="14.25" customHeight="1">
      <c r="A110" s="72" t="s">
        <v>32</v>
      </c>
      <c r="B110" s="72" t="s">
        <v>21</v>
      </c>
      <c r="C110" s="72" t="s">
        <v>33</v>
      </c>
      <c r="D110" s="90"/>
      <c r="E110" s="112">
        <v>9.1199999999999992</v>
      </c>
      <c r="F110" s="72" t="s">
        <v>24</v>
      </c>
      <c r="G110" s="239" t="s">
        <v>109</v>
      </c>
      <c r="H110" s="72"/>
      <c r="I110" s="72"/>
      <c r="J110" s="72" t="s">
        <v>50</v>
      </c>
      <c r="K110" s="72" t="s">
        <v>27</v>
      </c>
      <c r="L110" s="72" t="s">
        <v>28</v>
      </c>
      <c r="M110" s="149" t="s">
        <v>110</v>
      </c>
      <c r="N110" s="72" t="s">
        <v>24</v>
      </c>
      <c r="O110" s="72" t="s">
        <v>71</v>
      </c>
      <c r="P110" s="179" t="s">
        <v>31</v>
      </c>
      <c r="Q110" s="178"/>
    </row>
    <row r="111" spans="1:17" ht="14.25" customHeight="1">
      <c r="A111" s="72" t="s">
        <v>32</v>
      </c>
      <c r="B111" s="72" t="s">
        <v>21</v>
      </c>
      <c r="C111" s="72" t="s">
        <v>33</v>
      </c>
      <c r="D111" s="90"/>
      <c r="E111" s="112">
        <v>10.199999999999999</v>
      </c>
      <c r="F111" s="72" t="s">
        <v>81</v>
      </c>
      <c r="G111" s="239" t="s">
        <v>113</v>
      </c>
      <c r="H111" s="72"/>
      <c r="I111" s="72"/>
      <c r="J111" s="72" t="s">
        <v>50</v>
      </c>
      <c r="K111" s="72" t="s">
        <v>27</v>
      </c>
      <c r="L111" s="151" t="s">
        <v>28</v>
      </c>
      <c r="M111" s="130" t="s">
        <v>114</v>
      </c>
      <c r="N111" s="158" t="s">
        <v>81</v>
      </c>
      <c r="O111" s="72" t="s">
        <v>71</v>
      </c>
      <c r="P111" s="174" t="s">
        <v>31</v>
      </c>
      <c r="Q111" s="178"/>
    </row>
    <row r="112" spans="1:17" ht="14.25" customHeight="1">
      <c r="A112" s="72" t="s">
        <v>32</v>
      </c>
      <c r="B112" s="72" t="s">
        <v>21</v>
      </c>
      <c r="C112" s="72" t="s">
        <v>33</v>
      </c>
      <c r="D112" s="72" t="s">
        <v>118</v>
      </c>
      <c r="E112" s="112">
        <v>11</v>
      </c>
      <c r="F112" s="72" t="s">
        <v>81</v>
      </c>
      <c r="G112" s="239" t="s">
        <v>119</v>
      </c>
      <c r="H112" s="72" t="s">
        <v>54</v>
      </c>
      <c r="I112" s="72"/>
      <c r="J112" s="72" t="s">
        <v>50</v>
      </c>
      <c r="K112" s="72" t="s">
        <v>27</v>
      </c>
      <c r="L112" s="151" t="s">
        <v>28</v>
      </c>
      <c r="M112" s="130" t="s">
        <v>117</v>
      </c>
      <c r="N112" s="158" t="s">
        <v>81</v>
      </c>
      <c r="O112" s="72" t="s">
        <v>71</v>
      </c>
      <c r="P112" s="176" t="str">
        <f>IFERROR(IF(VLOOKUP(D112,'[1]UAT DB Attributes'!$A:$A,1,FALSE)=D112,"Yes","No"),"No")</f>
        <v>Yes</v>
      </c>
      <c r="Q112" s="177"/>
    </row>
    <row r="113" spans="1:17" ht="14.25" customHeight="1">
      <c r="A113" s="72" t="s">
        <v>32</v>
      </c>
      <c r="B113" s="72" t="s">
        <v>21</v>
      </c>
      <c r="C113" s="72" t="s">
        <v>33</v>
      </c>
      <c r="D113" s="72" t="s">
        <v>125</v>
      </c>
      <c r="E113" s="112">
        <v>12</v>
      </c>
      <c r="F113" s="72" t="s">
        <v>81</v>
      </c>
      <c r="G113" s="239" t="s">
        <v>126</v>
      </c>
      <c r="H113" s="72" t="s">
        <v>54</v>
      </c>
      <c r="I113" s="72"/>
      <c r="J113" s="72" t="s">
        <v>50</v>
      </c>
      <c r="K113" s="72" t="s">
        <v>27</v>
      </c>
      <c r="L113" s="151" t="s">
        <v>28</v>
      </c>
      <c r="M113" s="130" t="s">
        <v>124</v>
      </c>
      <c r="N113" s="158" t="s">
        <v>81</v>
      </c>
      <c r="O113" s="72" t="s">
        <v>62</v>
      </c>
      <c r="P113" s="176" t="str">
        <f>IFERROR(IF(VLOOKUP(D113,'[1]UAT DB Attributes'!$A:$A,1,FALSE)=D113,"Yes","No"),"No")</f>
        <v>Yes</v>
      </c>
      <c r="Q113" s="178"/>
    </row>
    <row r="114" spans="1:17" ht="14.25" customHeight="1">
      <c r="A114" s="72" t="s">
        <v>32</v>
      </c>
      <c r="B114" s="72" t="s">
        <v>21</v>
      </c>
      <c r="C114" s="72" t="s">
        <v>33</v>
      </c>
      <c r="D114" s="90"/>
      <c r="E114" s="112">
        <v>13.1</v>
      </c>
      <c r="F114" s="72" t="s">
        <v>81</v>
      </c>
      <c r="G114" s="239" t="s">
        <v>129</v>
      </c>
      <c r="H114" s="72"/>
      <c r="I114" s="72"/>
      <c r="J114" s="72" t="s">
        <v>50</v>
      </c>
      <c r="K114" s="72" t="s">
        <v>27</v>
      </c>
      <c r="L114" s="151" t="s">
        <v>28</v>
      </c>
      <c r="M114" s="130" t="s">
        <v>130</v>
      </c>
      <c r="N114" s="158" t="s">
        <v>81</v>
      </c>
      <c r="O114" s="72" t="s">
        <v>71</v>
      </c>
      <c r="P114" s="169" t="s">
        <v>31</v>
      </c>
      <c r="Q114" s="178"/>
    </row>
    <row r="115" spans="1:17" ht="14.25" customHeight="1">
      <c r="A115" s="72" t="s">
        <v>32</v>
      </c>
      <c r="B115" s="72" t="s">
        <v>21</v>
      </c>
      <c r="C115" s="72" t="s">
        <v>33</v>
      </c>
      <c r="D115" s="90"/>
      <c r="E115" s="112">
        <v>14.2</v>
      </c>
      <c r="F115" s="72" t="s">
        <v>81</v>
      </c>
      <c r="G115" s="239" t="s">
        <v>132</v>
      </c>
      <c r="H115" s="72"/>
      <c r="I115" s="72"/>
      <c r="J115" s="72" t="s">
        <v>50</v>
      </c>
      <c r="K115" s="72" t="s">
        <v>27</v>
      </c>
      <c r="L115" s="151" t="s">
        <v>28</v>
      </c>
      <c r="M115" s="130" t="s">
        <v>133</v>
      </c>
      <c r="N115" s="158" t="s">
        <v>81</v>
      </c>
      <c r="O115" s="72" t="s">
        <v>71</v>
      </c>
      <c r="P115" s="169" t="s">
        <v>31</v>
      </c>
      <c r="Q115" s="178"/>
    </row>
    <row r="116" spans="1:17" ht="14.25" customHeight="1">
      <c r="A116" s="72" t="s">
        <v>32</v>
      </c>
      <c r="B116" s="72" t="s">
        <v>21</v>
      </c>
      <c r="C116" s="72" t="s">
        <v>33</v>
      </c>
      <c r="D116" s="90"/>
      <c r="E116" s="112">
        <v>15.2</v>
      </c>
      <c r="F116" s="72" t="s">
        <v>24</v>
      </c>
      <c r="G116" s="239" t="s">
        <v>134</v>
      </c>
      <c r="H116" s="72"/>
      <c r="I116" s="72"/>
      <c r="J116" s="72" t="s">
        <v>50</v>
      </c>
      <c r="K116" s="72" t="s">
        <v>27</v>
      </c>
      <c r="L116" s="151" t="s">
        <v>28</v>
      </c>
      <c r="M116" s="130" t="s">
        <v>135</v>
      </c>
      <c r="N116" s="158" t="s">
        <v>24</v>
      </c>
      <c r="O116" s="72" t="s">
        <v>71</v>
      </c>
      <c r="P116" s="169" t="s">
        <v>31</v>
      </c>
      <c r="Q116" s="178"/>
    </row>
    <row r="117" spans="1:17" ht="14.25" customHeight="1">
      <c r="A117" s="72" t="s">
        <v>32</v>
      </c>
      <c r="B117" s="72" t="s">
        <v>21</v>
      </c>
      <c r="C117" s="72" t="s">
        <v>33</v>
      </c>
      <c r="D117" s="90"/>
      <c r="E117" s="112">
        <v>18.2</v>
      </c>
      <c r="F117" s="72" t="s">
        <v>24</v>
      </c>
      <c r="G117" s="239" t="s">
        <v>134</v>
      </c>
      <c r="H117" s="72"/>
      <c r="I117" s="72"/>
      <c r="J117" s="72" t="s">
        <v>50</v>
      </c>
      <c r="K117" s="72" t="s">
        <v>27</v>
      </c>
      <c r="L117" s="151" t="s">
        <v>28</v>
      </c>
      <c r="M117" s="130" t="s">
        <v>138</v>
      </c>
      <c r="N117" s="158" t="s">
        <v>24</v>
      </c>
      <c r="O117" s="72" t="s">
        <v>71</v>
      </c>
      <c r="P117" s="169" t="s">
        <v>31</v>
      </c>
      <c r="Q117" s="178"/>
    </row>
    <row r="118" spans="1:17" ht="14.25" customHeight="1">
      <c r="A118" s="72" t="s">
        <v>32</v>
      </c>
      <c r="B118" s="72" t="s">
        <v>21</v>
      </c>
      <c r="C118" s="72" t="s">
        <v>33</v>
      </c>
      <c r="D118" s="72" t="s">
        <v>142</v>
      </c>
      <c r="E118" s="112">
        <v>19.2</v>
      </c>
      <c r="F118" s="72" t="s">
        <v>24</v>
      </c>
      <c r="G118" s="239" t="s">
        <v>143</v>
      </c>
      <c r="H118" s="72" t="s">
        <v>54</v>
      </c>
      <c r="I118" s="72"/>
      <c r="J118" s="72" t="s">
        <v>50</v>
      </c>
      <c r="K118" s="72" t="s">
        <v>27</v>
      </c>
      <c r="L118" s="151" t="s">
        <v>28</v>
      </c>
      <c r="M118" s="130" t="s">
        <v>139</v>
      </c>
      <c r="N118" s="158" t="s">
        <v>67</v>
      </c>
      <c r="O118" s="72" t="s">
        <v>30</v>
      </c>
      <c r="P118" s="176" t="str">
        <f>IFERROR(IF(VLOOKUP(D118,'[1]UAT DB Attributes'!$A:$A,1,FALSE)=D118,"Yes","No"),"No")</f>
        <v>Yes</v>
      </c>
      <c r="Q118" s="178"/>
    </row>
    <row r="119" spans="1:17" ht="14.25" customHeight="1">
      <c r="A119" s="72" t="s">
        <v>32</v>
      </c>
      <c r="B119" s="72" t="s">
        <v>21</v>
      </c>
      <c r="C119" s="72" t="s">
        <v>33</v>
      </c>
      <c r="D119" s="90"/>
      <c r="E119" s="112">
        <v>20.2</v>
      </c>
      <c r="F119" s="72" t="s">
        <v>24</v>
      </c>
      <c r="G119" s="239" t="s">
        <v>147</v>
      </c>
      <c r="H119" s="72"/>
      <c r="I119" s="72"/>
      <c r="J119" s="72" t="s">
        <v>50</v>
      </c>
      <c r="K119" s="72" t="s">
        <v>27</v>
      </c>
      <c r="L119" s="151" t="s">
        <v>28</v>
      </c>
      <c r="M119" s="130" t="s">
        <v>148</v>
      </c>
      <c r="N119" s="158" t="s">
        <v>24</v>
      </c>
      <c r="O119" s="72" t="s">
        <v>71</v>
      </c>
      <c r="P119" s="179" t="s">
        <v>31</v>
      </c>
      <c r="Q119" s="253"/>
    </row>
    <row r="120" spans="1:17" ht="14.25" customHeight="1">
      <c r="A120" s="72" t="s">
        <v>32</v>
      </c>
      <c r="B120" s="72" t="s">
        <v>21</v>
      </c>
      <c r="C120" s="72" t="s">
        <v>33</v>
      </c>
      <c r="D120" s="90"/>
      <c r="E120" s="112">
        <v>21.2</v>
      </c>
      <c r="F120" s="72" t="s">
        <v>24</v>
      </c>
      <c r="G120" s="239" t="s">
        <v>151</v>
      </c>
      <c r="H120" s="72"/>
      <c r="I120" s="72"/>
      <c r="J120" s="72" t="s">
        <v>50</v>
      </c>
      <c r="K120" s="72" t="s">
        <v>27</v>
      </c>
      <c r="L120" s="151" t="s">
        <v>28</v>
      </c>
      <c r="M120" s="130" t="s">
        <v>152</v>
      </c>
      <c r="N120" s="158" t="s">
        <v>24</v>
      </c>
      <c r="O120" s="72" t="s">
        <v>71</v>
      </c>
      <c r="P120" s="176" t="s">
        <v>31</v>
      </c>
      <c r="Q120" s="253"/>
    </row>
    <row r="121" spans="1:17" ht="14.25" customHeight="1">
      <c r="A121" s="72" t="s">
        <v>32</v>
      </c>
      <c r="B121" s="72" t="s">
        <v>21</v>
      </c>
      <c r="C121" s="72" t="s">
        <v>33</v>
      </c>
      <c r="D121" s="90"/>
      <c r="E121" s="112">
        <v>22.2</v>
      </c>
      <c r="F121" s="72" t="s">
        <v>24</v>
      </c>
      <c r="G121" s="239" t="s">
        <v>154</v>
      </c>
      <c r="H121" s="72"/>
      <c r="I121" s="72"/>
      <c r="J121" s="72" t="s">
        <v>50</v>
      </c>
      <c r="K121" s="72" t="s">
        <v>27</v>
      </c>
      <c r="L121" s="151" t="s">
        <v>28</v>
      </c>
      <c r="M121" s="130" t="s">
        <v>155</v>
      </c>
      <c r="N121" s="158" t="s">
        <v>67</v>
      </c>
      <c r="O121" s="72" t="s">
        <v>71</v>
      </c>
      <c r="P121" s="176" t="s">
        <v>31</v>
      </c>
      <c r="Q121" s="177"/>
    </row>
    <row r="122" spans="1:17" ht="14.25" customHeight="1">
      <c r="A122" s="72" t="s">
        <v>32</v>
      </c>
      <c r="B122" s="72" t="s">
        <v>21</v>
      </c>
      <c r="C122" s="72" t="s">
        <v>33</v>
      </c>
      <c r="D122" s="90"/>
      <c r="E122" s="112">
        <v>23.2</v>
      </c>
      <c r="F122" s="72" t="s">
        <v>24</v>
      </c>
      <c r="G122" s="239" t="s">
        <v>151</v>
      </c>
      <c r="H122" s="72"/>
      <c r="I122" s="72"/>
      <c r="J122" s="72" t="s">
        <v>50</v>
      </c>
      <c r="K122" s="72" t="s">
        <v>27</v>
      </c>
      <c r="L122" s="151" t="s">
        <v>28</v>
      </c>
      <c r="M122" s="130" t="s">
        <v>156</v>
      </c>
      <c r="N122" s="158" t="s">
        <v>24</v>
      </c>
      <c r="O122" s="72" t="s">
        <v>71</v>
      </c>
      <c r="P122" s="176" t="s">
        <v>31</v>
      </c>
      <c r="Q122" s="178"/>
    </row>
    <row r="123" spans="1:17" ht="14.25" customHeight="1">
      <c r="A123" s="72" t="s">
        <v>32</v>
      </c>
      <c r="B123" s="72" t="s">
        <v>21</v>
      </c>
      <c r="C123" s="72" t="s">
        <v>33</v>
      </c>
      <c r="D123" s="90"/>
      <c r="E123" s="112">
        <v>24.2</v>
      </c>
      <c r="F123" s="72" t="s">
        <v>81</v>
      </c>
      <c r="G123" s="239" t="s">
        <v>157</v>
      </c>
      <c r="H123" s="72"/>
      <c r="I123" s="72"/>
      <c r="J123" s="72" t="s">
        <v>50</v>
      </c>
      <c r="K123" s="72" t="s">
        <v>27</v>
      </c>
      <c r="L123" s="151" t="s">
        <v>28</v>
      </c>
      <c r="M123" s="130" t="s">
        <v>158</v>
      </c>
      <c r="N123" s="158" t="s">
        <v>81</v>
      </c>
      <c r="O123" s="72" t="s">
        <v>71</v>
      </c>
      <c r="P123" s="176" t="s">
        <v>31</v>
      </c>
      <c r="Q123" s="178"/>
    </row>
    <row r="124" spans="1:17" ht="14.25" customHeight="1">
      <c r="A124" s="72" t="s">
        <v>32</v>
      </c>
      <c r="B124" s="72" t="s">
        <v>21</v>
      </c>
      <c r="C124" s="72" t="s">
        <v>33</v>
      </c>
      <c r="D124" s="90"/>
      <c r="E124" s="112">
        <v>25.2</v>
      </c>
      <c r="F124" s="72" t="s">
        <v>24</v>
      </c>
      <c r="G124" s="239" t="s">
        <v>159</v>
      </c>
      <c r="H124" s="72"/>
      <c r="I124" s="72"/>
      <c r="J124" s="72" t="s">
        <v>50</v>
      </c>
      <c r="K124" s="72" t="s">
        <v>27</v>
      </c>
      <c r="L124" s="151" t="s">
        <v>28</v>
      </c>
      <c r="M124" s="130" t="s">
        <v>160</v>
      </c>
      <c r="N124" s="158" t="s">
        <v>24</v>
      </c>
      <c r="O124" s="72" t="s">
        <v>71</v>
      </c>
      <c r="P124" s="174" t="s">
        <v>31</v>
      </c>
      <c r="Q124" s="178"/>
    </row>
    <row r="125" spans="1:17" ht="14.25" customHeight="1">
      <c r="A125" s="72" t="s">
        <v>32</v>
      </c>
      <c r="B125" s="72" t="s">
        <v>21</v>
      </c>
      <c r="C125" s="72" t="s">
        <v>33</v>
      </c>
      <c r="D125" s="90"/>
      <c r="E125" s="112">
        <v>26.2</v>
      </c>
      <c r="F125" s="72" t="s">
        <v>67</v>
      </c>
      <c r="G125" s="239" t="s">
        <v>162</v>
      </c>
      <c r="H125" s="72"/>
      <c r="I125" s="72"/>
      <c r="J125" s="72" t="s">
        <v>50</v>
      </c>
      <c r="K125" s="72" t="s">
        <v>27</v>
      </c>
      <c r="L125" s="151" t="s">
        <v>28</v>
      </c>
      <c r="M125" s="130" t="s">
        <v>163</v>
      </c>
      <c r="N125" s="158" t="s">
        <v>67</v>
      </c>
      <c r="O125" s="72" t="s">
        <v>71</v>
      </c>
      <c r="P125" s="174" t="s">
        <v>31</v>
      </c>
      <c r="Q125" s="178"/>
    </row>
    <row r="126" spans="1:17" ht="14.25" customHeight="1">
      <c r="A126" s="72" t="s">
        <v>32</v>
      </c>
      <c r="B126" s="72" t="s">
        <v>21</v>
      </c>
      <c r="C126" s="72" t="s">
        <v>33</v>
      </c>
      <c r="D126" s="90"/>
      <c r="E126" s="112">
        <v>27.2</v>
      </c>
      <c r="F126" s="72" t="s">
        <v>81</v>
      </c>
      <c r="G126" s="239" t="s">
        <v>165</v>
      </c>
      <c r="H126" s="72"/>
      <c r="I126" s="72"/>
      <c r="J126" s="72" t="s">
        <v>50</v>
      </c>
      <c r="K126" s="72" t="s">
        <v>27</v>
      </c>
      <c r="L126" s="151" t="s">
        <v>28</v>
      </c>
      <c r="M126" s="130" t="s">
        <v>166</v>
      </c>
      <c r="N126" s="158" t="s">
        <v>81</v>
      </c>
      <c r="O126" s="72" t="s">
        <v>71</v>
      </c>
      <c r="P126" s="174" t="s">
        <v>31</v>
      </c>
      <c r="Q126" s="177"/>
    </row>
    <row r="127" spans="1:17" ht="14.25" customHeight="1">
      <c r="A127" s="72" t="s">
        <v>32</v>
      </c>
      <c r="B127" s="72" t="s">
        <v>21</v>
      </c>
      <c r="C127" s="72" t="s">
        <v>33</v>
      </c>
      <c r="D127" s="90"/>
      <c r="E127" s="112">
        <v>28.2</v>
      </c>
      <c r="F127" s="72" t="s">
        <v>24</v>
      </c>
      <c r="G127" s="239" t="s">
        <v>169</v>
      </c>
      <c r="H127" s="72"/>
      <c r="I127" s="72"/>
      <c r="J127" s="72" t="s">
        <v>50</v>
      </c>
      <c r="K127" s="72" t="s">
        <v>27</v>
      </c>
      <c r="L127" s="151" t="s">
        <v>28</v>
      </c>
      <c r="M127" s="130" t="s">
        <v>168</v>
      </c>
      <c r="N127" s="158" t="s">
        <v>24</v>
      </c>
      <c r="O127" s="72" t="s">
        <v>71</v>
      </c>
      <c r="P127" s="174" t="s">
        <v>31</v>
      </c>
      <c r="Q127" s="178"/>
    </row>
    <row r="128" spans="1:17" ht="14.25" customHeight="1">
      <c r="A128" s="72" t="s">
        <v>32</v>
      </c>
      <c r="B128" s="72" t="s">
        <v>21</v>
      </c>
      <c r="C128" s="72" t="s">
        <v>33</v>
      </c>
      <c r="D128" s="72" t="s">
        <v>173</v>
      </c>
      <c r="E128" s="112">
        <v>29</v>
      </c>
      <c r="F128" s="72" t="s">
        <v>81</v>
      </c>
      <c r="G128" s="239" t="s">
        <v>174</v>
      </c>
      <c r="H128" s="72" t="s">
        <v>54</v>
      </c>
      <c r="I128" s="72"/>
      <c r="J128" s="72" t="s">
        <v>50</v>
      </c>
      <c r="K128" s="72" t="s">
        <v>27</v>
      </c>
      <c r="L128" s="151" t="s">
        <v>28</v>
      </c>
      <c r="M128" s="130" t="s">
        <v>172</v>
      </c>
      <c r="N128" s="158" t="s">
        <v>81</v>
      </c>
      <c r="O128" s="72" t="s">
        <v>62</v>
      </c>
      <c r="P128" s="176" t="str">
        <f>IFERROR(IF(VLOOKUP(D128,'[1]UAT DB Attributes'!$A:$A,1,FALSE)=D128,"Yes","No"),"No")</f>
        <v>Yes</v>
      </c>
      <c r="Q128" s="178"/>
    </row>
    <row r="129" spans="1:17" ht="14.25" customHeight="1">
      <c r="A129" s="72" t="s">
        <v>32</v>
      </c>
      <c r="B129" s="72" t="s">
        <v>21</v>
      </c>
      <c r="C129" s="72" t="s">
        <v>33</v>
      </c>
      <c r="D129" s="90"/>
      <c r="E129" s="112">
        <v>29.2</v>
      </c>
      <c r="F129" s="72" t="s">
        <v>24</v>
      </c>
      <c r="G129" s="239" t="s">
        <v>177</v>
      </c>
      <c r="H129" s="72"/>
      <c r="I129" s="72"/>
      <c r="J129" s="72" t="s">
        <v>50</v>
      </c>
      <c r="K129" s="72" t="s">
        <v>27</v>
      </c>
      <c r="L129" s="151" t="s">
        <v>28</v>
      </c>
      <c r="M129" s="130" t="s">
        <v>178</v>
      </c>
      <c r="N129" s="158" t="s">
        <v>24</v>
      </c>
      <c r="O129" s="72" t="s">
        <v>62</v>
      </c>
      <c r="P129" s="174" t="s">
        <v>31</v>
      </c>
      <c r="Q129" s="178"/>
    </row>
    <row r="130" spans="1:17" ht="14.25" customHeight="1">
      <c r="A130" s="72" t="s">
        <v>32</v>
      </c>
      <c r="B130" s="72" t="s">
        <v>21</v>
      </c>
      <c r="C130" s="72" t="s">
        <v>33</v>
      </c>
      <c r="D130" s="72" t="s">
        <v>182</v>
      </c>
      <c r="E130" s="112">
        <v>30.2</v>
      </c>
      <c r="F130" s="72" t="s">
        <v>48</v>
      </c>
      <c r="G130" s="72" t="s">
        <v>180</v>
      </c>
      <c r="H130" s="72" t="s">
        <v>54</v>
      </c>
      <c r="I130" s="72"/>
      <c r="J130" s="72" t="s">
        <v>50</v>
      </c>
      <c r="K130" s="72" t="s">
        <v>27</v>
      </c>
      <c r="L130" s="151" t="s">
        <v>28</v>
      </c>
      <c r="M130" s="130" t="s">
        <v>181</v>
      </c>
      <c r="N130" s="158" t="s">
        <v>24</v>
      </c>
      <c r="O130" s="72" t="s">
        <v>62</v>
      </c>
      <c r="P130" s="72" t="str">
        <f>IFERROR(IF(VLOOKUP(D130,'[1]UAT DB Attributes'!$A:$A,1,FALSE)=D130,"Yes","No"),"No")</f>
        <v>Yes</v>
      </c>
      <c r="Q130" s="176"/>
    </row>
    <row r="131" spans="1:17" ht="14.25" customHeight="1">
      <c r="A131" s="72" t="s">
        <v>32</v>
      </c>
      <c r="B131" s="72" t="s">
        <v>21</v>
      </c>
      <c r="C131" s="72" t="s">
        <v>186</v>
      </c>
      <c r="D131" s="72" t="s">
        <v>187</v>
      </c>
      <c r="E131" s="112">
        <v>30.7</v>
      </c>
      <c r="F131" s="72" t="s">
        <v>24</v>
      </c>
      <c r="G131" s="239" t="s">
        <v>188</v>
      </c>
      <c r="H131" s="72" t="s">
        <v>54</v>
      </c>
      <c r="I131" s="72" t="s">
        <v>189</v>
      </c>
      <c r="J131" s="72" t="s">
        <v>190</v>
      </c>
      <c r="K131" s="72" t="s">
        <v>27</v>
      </c>
      <c r="L131" s="151" t="s">
        <v>28</v>
      </c>
      <c r="M131" s="130" t="s">
        <v>185</v>
      </c>
      <c r="N131" s="158" t="s">
        <v>67</v>
      </c>
      <c r="O131" s="72" t="s">
        <v>71</v>
      </c>
      <c r="P131" s="151" t="str">
        <f>IFERROR(IF(VLOOKUP(D131,'[1]UAT DB Attributes'!$A:$A,1,FALSE)=D131,"Yes","No"),"No")</f>
        <v>Yes</v>
      </c>
      <c r="Q131" s="210"/>
    </row>
    <row r="132" spans="1:17" ht="14.25" customHeight="1">
      <c r="A132" s="72" t="s">
        <v>32</v>
      </c>
      <c r="B132" s="72" t="s">
        <v>21</v>
      </c>
      <c r="C132" s="72" t="s">
        <v>33</v>
      </c>
      <c r="D132" s="90"/>
      <c r="E132" s="72">
        <v>31.05</v>
      </c>
      <c r="F132" s="72" t="s">
        <v>24</v>
      </c>
      <c r="G132" s="239" t="s">
        <v>197</v>
      </c>
      <c r="H132" s="72"/>
      <c r="I132" s="72"/>
      <c r="J132" s="72" t="s">
        <v>50</v>
      </c>
      <c r="K132" s="72" t="s">
        <v>27</v>
      </c>
      <c r="L132" s="151" t="s">
        <v>28</v>
      </c>
      <c r="M132" s="130" t="s">
        <v>198</v>
      </c>
      <c r="N132" s="151" t="s">
        <v>24</v>
      </c>
      <c r="O132" s="151" t="s">
        <v>62</v>
      </c>
      <c r="P132" s="56" t="s">
        <v>31</v>
      </c>
      <c r="Q132" s="176"/>
    </row>
    <row r="133" spans="1:17" ht="14.25" customHeight="1">
      <c r="A133" s="72" t="s">
        <v>32</v>
      </c>
      <c r="B133" s="72" t="s">
        <v>21</v>
      </c>
      <c r="C133" s="72" t="s">
        <v>186</v>
      </c>
      <c r="D133" s="90"/>
      <c r="E133" s="72">
        <v>32.200000000000003</v>
      </c>
      <c r="F133" s="72" t="s">
        <v>24</v>
      </c>
      <c r="G133" s="239" t="s">
        <v>201</v>
      </c>
      <c r="H133" s="72"/>
      <c r="I133" s="72"/>
      <c r="J133" s="72" t="s">
        <v>50</v>
      </c>
      <c r="K133" s="72" t="s">
        <v>27</v>
      </c>
      <c r="L133" s="151" t="s">
        <v>28</v>
      </c>
      <c r="M133" s="130" t="s">
        <v>202</v>
      </c>
      <c r="N133" s="158" t="s">
        <v>67</v>
      </c>
      <c r="O133" s="72" t="s">
        <v>71</v>
      </c>
      <c r="P133" s="56" t="s">
        <v>31</v>
      </c>
      <c r="Q133" s="72"/>
    </row>
    <row r="134" spans="1:17" ht="14.25" customHeight="1">
      <c r="A134" s="72" t="s">
        <v>32</v>
      </c>
      <c r="B134" s="72" t="s">
        <v>21</v>
      </c>
      <c r="C134" s="72" t="s">
        <v>186</v>
      </c>
      <c r="D134" s="158" t="s">
        <v>209</v>
      </c>
      <c r="E134" s="158">
        <v>33.020000000000003</v>
      </c>
      <c r="F134" s="158" t="s">
        <v>24</v>
      </c>
      <c r="G134" s="245" t="s">
        <v>207</v>
      </c>
      <c r="H134" s="158"/>
      <c r="I134" s="158"/>
      <c r="J134" s="158" t="s">
        <v>50</v>
      </c>
      <c r="K134" s="158" t="s">
        <v>27</v>
      </c>
      <c r="L134" s="158" t="s">
        <v>28</v>
      </c>
      <c r="M134" s="130" t="s">
        <v>208</v>
      </c>
      <c r="N134" s="158" t="s">
        <v>24</v>
      </c>
      <c r="O134" s="158" t="s">
        <v>71</v>
      </c>
      <c r="P134" s="56" t="s">
        <v>57</v>
      </c>
      <c r="Q134" s="178"/>
    </row>
    <row r="135" spans="1:17" ht="14.25" customHeight="1">
      <c r="A135" s="72" t="s">
        <v>32</v>
      </c>
      <c r="B135" s="72" t="s">
        <v>21</v>
      </c>
      <c r="C135" s="72" t="s">
        <v>186</v>
      </c>
      <c r="D135" s="72" t="s">
        <v>219</v>
      </c>
      <c r="E135" s="198">
        <v>33.055</v>
      </c>
      <c r="F135" s="158" t="s">
        <v>24</v>
      </c>
      <c r="G135" s="245" t="s">
        <v>216</v>
      </c>
      <c r="H135" s="158" t="s">
        <v>54</v>
      </c>
      <c r="I135" s="158" t="s">
        <v>220</v>
      </c>
      <c r="J135" s="158" t="s">
        <v>190</v>
      </c>
      <c r="K135" s="158" t="s">
        <v>27</v>
      </c>
      <c r="L135" s="158" t="s">
        <v>28</v>
      </c>
      <c r="M135" s="130" t="s">
        <v>217</v>
      </c>
      <c r="N135" s="158" t="s">
        <v>67</v>
      </c>
      <c r="O135" s="158" t="s">
        <v>30</v>
      </c>
      <c r="P135" s="176" t="str">
        <f>IFERROR(IF(VLOOKUP(D135,'[1]UAT DB Attributes'!$A:$A,1,FALSE)=D135,"Yes","No"),"No")</f>
        <v>Yes</v>
      </c>
      <c r="Q135" s="178"/>
    </row>
    <row r="136" spans="1:17" ht="14.25" customHeight="1">
      <c r="A136" s="72" t="s">
        <v>32</v>
      </c>
      <c r="B136" s="72" t="s">
        <v>21</v>
      </c>
      <c r="C136" s="72" t="s">
        <v>33</v>
      </c>
      <c r="D136" s="90"/>
      <c r="E136" s="112">
        <v>35.119999999999997</v>
      </c>
      <c r="F136" s="72" t="s">
        <v>24</v>
      </c>
      <c r="G136" s="239" t="s">
        <v>222</v>
      </c>
      <c r="H136" s="72"/>
      <c r="I136" s="72"/>
      <c r="J136" s="72" t="s">
        <v>50</v>
      </c>
      <c r="K136" s="72" t="s">
        <v>27</v>
      </c>
      <c r="L136" s="151" t="s">
        <v>28</v>
      </c>
      <c r="M136" s="130" t="s">
        <v>223</v>
      </c>
      <c r="N136" s="158" t="s">
        <v>24</v>
      </c>
      <c r="O136" s="72" t="s">
        <v>71</v>
      </c>
      <c r="P136" s="72" t="s">
        <v>31</v>
      </c>
      <c r="Q136" s="253"/>
    </row>
    <row r="137" spans="1:17" ht="14.25" customHeight="1">
      <c r="A137" s="72" t="s">
        <v>32</v>
      </c>
      <c r="B137" s="72" t="s">
        <v>21</v>
      </c>
      <c r="C137" s="72" t="s">
        <v>33</v>
      </c>
      <c r="D137" s="90"/>
      <c r="E137" s="112">
        <v>35.22</v>
      </c>
      <c r="F137" s="72" t="s">
        <v>67</v>
      </c>
      <c r="G137" s="239" t="s">
        <v>226</v>
      </c>
      <c r="H137" s="72"/>
      <c r="I137" s="72"/>
      <c r="J137" s="72" t="s">
        <v>50</v>
      </c>
      <c r="K137" s="72" t="s">
        <v>27</v>
      </c>
      <c r="L137" s="151" t="s">
        <v>28</v>
      </c>
      <c r="M137" s="130" t="s">
        <v>227</v>
      </c>
      <c r="N137" s="158" t="s">
        <v>24</v>
      </c>
      <c r="O137" s="72" t="s">
        <v>62</v>
      </c>
      <c r="P137" s="73" t="s">
        <v>31</v>
      </c>
      <c r="Q137" s="177"/>
    </row>
    <row r="138" spans="1:17" ht="14.25" customHeight="1">
      <c r="A138" s="72" t="s">
        <v>32</v>
      </c>
      <c r="B138" s="72" t="s">
        <v>21</v>
      </c>
      <c r="C138" s="72" t="s">
        <v>33</v>
      </c>
      <c r="D138" s="72" t="s">
        <v>234</v>
      </c>
      <c r="E138" s="112">
        <v>36.200000000000003</v>
      </c>
      <c r="F138" s="72" t="str">
        <f>N138</f>
        <v xml:space="preserve">string </v>
      </c>
      <c r="G138" s="239" t="s">
        <v>235</v>
      </c>
      <c r="H138" s="72" t="s">
        <v>54</v>
      </c>
      <c r="I138" s="72"/>
      <c r="J138" s="72" t="s">
        <v>50</v>
      </c>
      <c r="K138" s="72" t="s">
        <v>27</v>
      </c>
      <c r="L138" s="151" t="s">
        <v>28</v>
      </c>
      <c r="M138" s="130" t="s">
        <v>161</v>
      </c>
      <c r="N138" s="151" t="s">
        <v>67</v>
      </c>
      <c r="O138" s="151" t="s">
        <v>62</v>
      </c>
      <c r="P138" s="72" t="str">
        <f>IFERROR(IF(VLOOKUP(D138,'[1]UAT DB Attributes'!$A:$A,1,FALSE)=D138,"Yes","No"),"No")</f>
        <v>Yes</v>
      </c>
      <c r="Q138" s="72"/>
    </row>
    <row r="139" spans="1:17" ht="14.25" customHeight="1">
      <c r="A139" s="72" t="s">
        <v>32</v>
      </c>
      <c r="B139" s="72" t="s">
        <v>21</v>
      </c>
      <c r="C139" s="72" t="s">
        <v>186</v>
      </c>
      <c r="D139" s="72" t="s">
        <v>245</v>
      </c>
      <c r="E139" s="112">
        <v>37.200000000000003</v>
      </c>
      <c r="F139" s="72" t="s">
        <v>24</v>
      </c>
      <c r="G139" s="239" t="s">
        <v>246</v>
      </c>
      <c r="H139" s="72" t="s">
        <v>54</v>
      </c>
      <c r="I139" s="72" t="s">
        <v>247</v>
      </c>
      <c r="J139" s="72" t="s">
        <v>190</v>
      </c>
      <c r="K139" s="72" t="s">
        <v>27</v>
      </c>
      <c r="L139" s="151" t="s">
        <v>28</v>
      </c>
      <c r="M139" s="130" t="s">
        <v>243</v>
      </c>
      <c r="N139" s="158" t="s">
        <v>67</v>
      </c>
      <c r="O139" s="72" t="s">
        <v>30</v>
      </c>
      <c r="P139" s="72" t="str">
        <f>IFERROR(IF(VLOOKUP(D139,'[1]UAT DB Attributes'!$A:$A,1,FALSE)=D139,"Yes","No"),"No")</f>
        <v>Yes</v>
      </c>
      <c r="Q139" s="177"/>
    </row>
    <row r="140" spans="1:17" ht="14.25" customHeight="1">
      <c r="A140" s="72" t="s">
        <v>32</v>
      </c>
      <c r="B140" s="72" t="s">
        <v>21</v>
      </c>
      <c r="C140" s="72" t="s">
        <v>186</v>
      </c>
      <c r="D140" s="90"/>
      <c r="E140" s="112">
        <v>38.200000000000003</v>
      </c>
      <c r="F140" s="72" t="s">
        <v>24</v>
      </c>
      <c r="G140" s="239" t="s">
        <v>254</v>
      </c>
      <c r="H140" s="72"/>
      <c r="I140" s="72"/>
      <c r="J140" s="72" t="s">
        <v>252</v>
      </c>
      <c r="K140" s="72" t="s">
        <v>27</v>
      </c>
      <c r="L140" s="151" t="s">
        <v>28</v>
      </c>
      <c r="M140" s="130" t="s">
        <v>256</v>
      </c>
      <c r="N140" s="158" t="s">
        <v>24</v>
      </c>
      <c r="O140" s="72" t="s">
        <v>30</v>
      </c>
      <c r="P140" s="169" t="s">
        <v>31</v>
      </c>
      <c r="Q140" s="178"/>
    </row>
    <row r="141" spans="1:17" ht="14.25" customHeight="1">
      <c r="A141" s="72" t="s">
        <v>32</v>
      </c>
      <c r="B141" s="72" t="s">
        <v>21</v>
      </c>
      <c r="C141" s="72" t="s">
        <v>33</v>
      </c>
      <c r="D141" s="72" t="s">
        <v>259</v>
      </c>
      <c r="E141" s="112">
        <v>39.200000000000003</v>
      </c>
      <c r="F141" s="72" t="s">
        <v>24</v>
      </c>
      <c r="G141" s="239" t="s">
        <v>260</v>
      </c>
      <c r="H141" s="72" t="s">
        <v>54</v>
      </c>
      <c r="I141" s="72"/>
      <c r="J141" s="72" t="s">
        <v>50</v>
      </c>
      <c r="K141" s="72" t="s">
        <v>27</v>
      </c>
      <c r="L141" s="151" t="s">
        <v>28</v>
      </c>
      <c r="M141" s="130" t="s">
        <v>257</v>
      </c>
      <c r="N141" s="158" t="s">
        <v>67</v>
      </c>
      <c r="O141" s="72" t="s">
        <v>30</v>
      </c>
      <c r="P141" s="176" t="str">
        <f>IFERROR(IF(VLOOKUP(D141,'[1]UAT DB Attributes'!$A:$A,1,FALSE)=D141,"Yes","No"),"No")</f>
        <v>Yes</v>
      </c>
      <c r="Q141" s="178"/>
    </row>
    <row r="142" spans="1:17" ht="14.25" customHeight="1">
      <c r="A142" s="72" t="s">
        <v>32</v>
      </c>
      <c r="B142" s="72" t="s">
        <v>21</v>
      </c>
      <c r="C142" s="72" t="s">
        <v>33</v>
      </c>
      <c r="D142" s="90"/>
      <c r="E142" s="112">
        <v>40.200000000000003</v>
      </c>
      <c r="F142" s="72" t="s">
        <v>24</v>
      </c>
      <c r="G142" s="239" t="s">
        <v>261</v>
      </c>
      <c r="H142" s="72"/>
      <c r="I142" s="72"/>
      <c r="J142" s="72" t="s">
        <v>50</v>
      </c>
      <c r="K142" s="72" t="s">
        <v>27</v>
      </c>
      <c r="L142" s="151" t="s">
        <v>28</v>
      </c>
      <c r="M142" s="130" t="s">
        <v>262</v>
      </c>
      <c r="N142" s="158" t="s">
        <v>24</v>
      </c>
      <c r="O142" s="72" t="s">
        <v>30</v>
      </c>
      <c r="P142" s="56" t="s">
        <v>31</v>
      </c>
      <c r="Q142" s="213"/>
    </row>
    <row r="143" spans="1:17" ht="14.25" customHeight="1">
      <c r="A143" s="72" t="s">
        <v>32</v>
      </c>
      <c r="B143" s="72" t="s">
        <v>21</v>
      </c>
      <c r="C143" s="72" t="s">
        <v>33</v>
      </c>
      <c r="D143" s="90"/>
      <c r="E143" s="112">
        <v>41.2</v>
      </c>
      <c r="F143" s="72" t="s">
        <v>24</v>
      </c>
      <c r="G143" s="239" t="s">
        <v>265</v>
      </c>
      <c r="H143" s="72"/>
      <c r="I143" s="72"/>
      <c r="J143" s="72" t="s">
        <v>50</v>
      </c>
      <c r="K143" s="72" t="s">
        <v>27</v>
      </c>
      <c r="L143" s="151" t="s">
        <v>28</v>
      </c>
      <c r="M143" s="130" t="s">
        <v>266</v>
      </c>
      <c r="N143" s="158" t="s">
        <v>24</v>
      </c>
      <c r="O143" s="72" t="s">
        <v>30</v>
      </c>
      <c r="P143" s="72" t="s">
        <v>31</v>
      </c>
      <c r="Q143" s="176"/>
    </row>
    <row r="144" spans="1:17" ht="14.25" customHeight="1">
      <c r="A144" s="72" t="s">
        <v>32</v>
      </c>
      <c r="B144" s="72" t="s">
        <v>21</v>
      </c>
      <c r="C144" s="72" t="s">
        <v>33</v>
      </c>
      <c r="D144" s="90"/>
      <c r="E144" s="112">
        <v>42.2</v>
      </c>
      <c r="F144" s="72" t="s">
        <v>24</v>
      </c>
      <c r="G144" s="239" t="s">
        <v>268</v>
      </c>
      <c r="H144" s="72"/>
      <c r="I144" s="72"/>
      <c r="J144" s="72" t="s">
        <v>50</v>
      </c>
      <c r="K144" s="72" t="s">
        <v>27</v>
      </c>
      <c r="L144" s="151" t="s">
        <v>28</v>
      </c>
      <c r="M144" s="130" t="s">
        <v>269</v>
      </c>
      <c r="N144" s="158" t="s">
        <v>24</v>
      </c>
      <c r="O144" s="72" t="s">
        <v>30</v>
      </c>
      <c r="P144" s="73" t="s">
        <v>31</v>
      </c>
      <c r="Q144" s="176"/>
    </row>
    <row r="145" spans="1:17" ht="14.25" customHeight="1">
      <c r="A145" s="72" t="s">
        <v>32</v>
      </c>
      <c r="B145" s="72" t="s">
        <v>21</v>
      </c>
      <c r="C145" s="72" t="s">
        <v>33</v>
      </c>
      <c r="D145" s="90"/>
      <c r="E145" s="112">
        <v>43.2</v>
      </c>
      <c r="F145" s="72" t="s">
        <v>67</v>
      </c>
      <c r="G145" s="239" t="s">
        <v>272</v>
      </c>
      <c r="H145" s="72"/>
      <c r="I145" s="72"/>
      <c r="J145" s="72" t="s">
        <v>50</v>
      </c>
      <c r="K145" s="72" t="s">
        <v>27</v>
      </c>
      <c r="L145" s="151" t="s">
        <v>28</v>
      </c>
      <c r="M145" s="130" t="s">
        <v>273</v>
      </c>
      <c r="N145" s="158" t="s">
        <v>67</v>
      </c>
      <c r="O145" s="72" t="s">
        <v>71</v>
      </c>
      <c r="P145" s="71" t="s">
        <v>31</v>
      </c>
      <c r="Q145" s="176"/>
    </row>
    <row r="146" spans="1:17" ht="14.25" customHeight="1">
      <c r="A146" s="72" t="s">
        <v>32</v>
      </c>
      <c r="B146" s="72" t="s">
        <v>21</v>
      </c>
      <c r="C146" s="72" t="s">
        <v>33</v>
      </c>
      <c r="D146" s="90"/>
      <c r="E146" s="112">
        <v>44.2</v>
      </c>
      <c r="F146" s="72" t="s">
        <v>24</v>
      </c>
      <c r="G146" s="239" t="s">
        <v>274</v>
      </c>
      <c r="H146" s="72"/>
      <c r="I146" s="72"/>
      <c r="J146" s="72" t="s">
        <v>50</v>
      </c>
      <c r="K146" s="72" t="s">
        <v>27</v>
      </c>
      <c r="L146" s="151" t="s">
        <v>28</v>
      </c>
      <c r="M146" s="130" t="s">
        <v>275</v>
      </c>
      <c r="N146" s="158" t="s">
        <v>24</v>
      </c>
      <c r="O146" s="72" t="s">
        <v>71</v>
      </c>
      <c r="P146" s="71" t="s">
        <v>31</v>
      </c>
      <c r="Q146" s="176"/>
    </row>
    <row r="147" spans="1:17" ht="14.25" customHeight="1">
      <c r="A147" s="73" t="s">
        <v>38</v>
      </c>
      <c r="B147" s="73" t="s">
        <v>39</v>
      </c>
      <c r="C147" s="73" t="s">
        <v>40</v>
      </c>
      <c r="D147" s="125" t="s">
        <v>23</v>
      </c>
      <c r="E147" s="114">
        <v>0</v>
      </c>
      <c r="F147" s="73" t="s">
        <v>24</v>
      </c>
      <c r="G147" s="139" t="s">
        <v>25</v>
      </c>
      <c r="H147" s="73"/>
      <c r="I147" s="73"/>
      <c r="J147" s="73" t="s">
        <v>41</v>
      </c>
      <c r="K147" s="73" t="s">
        <v>27</v>
      </c>
      <c r="L147" s="153" t="s">
        <v>28</v>
      </c>
      <c r="M147" s="130" t="s">
        <v>29</v>
      </c>
      <c r="N147" s="160" t="s">
        <v>24</v>
      </c>
      <c r="O147" s="73" t="s">
        <v>30</v>
      </c>
      <c r="P147" s="179" t="s">
        <v>31</v>
      </c>
      <c r="Q147" s="183"/>
    </row>
    <row r="148" spans="1:17" ht="14.25" customHeight="1">
      <c r="A148" s="73" t="s">
        <v>38</v>
      </c>
      <c r="B148" s="73" t="s">
        <v>39</v>
      </c>
      <c r="C148" s="73" t="s">
        <v>40</v>
      </c>
      <c r="D148" s="73" t="s">
        <v>55</v>
      </c>
      <c r="E148" s="114">
        <v>1</v>
      </c>
      <c r="F148" s="73" t="s">
        <v>24</v>
      </c>
      <c r="G148" s="139" t="s">
        <v>56</v>
      </c>
      <c r="H148" s="73" t="s">
        <v>54</v>
      </c>
      <c r="I148" s="73"/>
      <c r="J148" s="73" t="s">
        <v>50</v>
      </c>
      <c r="K148" s="73" t="s">
        <v>27</v>
      </c>
      <c r="L148" s="73" t="s">
        <v>28</v>
      </c>
      <c r="M148" s="149" t="s">
        <v>51</v>
      </c>
      <c r="N148" s="73" t="str">
        <f>F148</f>
        <v>string</v>
      </c>
      <c r="O148" s="73" t="s">
        <v>30</v>
      </c>
      <c r="P148" s="179" t="s">
        <v>57</v>
      </c>
      <c r="Q148" s="183"/>
    </row>
    <row r="149" spans="1:17" ht="14.25" customHeight="1">
      <c r="A149" s="73" t="s">
        <v>38</v>
      </c>
      <c r="B149" s="73" t="s">
        <v>39</v>
      </c>
      <c r="C149" s="73" t="s">
        <v>40</v>
      </c>
      <c r="D149" s="73" t="s">
        <v>61</v>
      </c>
      <c r="E149" s="114">
        <v>1.2</v>
      </c>
      <c r="F149" s="73" t="s">
        <v>24</v>
      </c>
      <c r="G149" s="139" t="s">
        <v>66</v>
      </c>
      <c r="H149" s="73" t="s">
        <v>54</v>
      </c>
      <c r="I149" s="73"/>
      <c r="J149" s="73" t="s">
        <v>50</v>
      </c>
      <c r="K149" s="73" t="s">
        <v>27</v>
      </c>
      <c r="L149" s="153" t="s">
        <v>28</v>
      </c>
      <c r="M149" s="130" t="str">
        <f>VLOOKUP(D149,[3]Actions!$J$2:$J$89, 1, FALSE)</f>
        <v>title</v>
      </c>
      <c r="N149" s="160" t="str">
        <f>F149</f>
        <v>string</v>
      </c>
      <c r="O149" s="73" t="s">
        <v>62</v>
      </c>
      <c r="P149" s="179" t="s">
        <v>57</v>
      </c>
      <c r="Q149" s="183"/>
    </row>
    <row r="150" spans="1:17" ht="14.25" customHeight="1">
      <c r="A150" s="73" t="s">
        <v>38</v>
      </c>
      <c r="B150" s="73" t="s">
        <v>39</v>
      </c>
      <c r="C150" s="73" t="s">
        <v>40</v>
      </c>
      <c r="D150" s="73" t="s">
        <v>70</v>
      </c>
      <c r="E150" s="114">
        <v>2</v>
      </c>
      <c r="F150" s="73" t="s">
        <v>24</v>
      </c>
      <c r="G150" s="139" t="s">
        <v>75</v>
      </c>
      <c r="H150" s="73" t="s">
        <v>54</v>
      </c>
      <c r="I150" s="73"/>
      <c r="J150" s="73" t="s">
        <v>50</v>
      </c>
      <c r="K150" s="73" t="s">
        <v>27</v>
      </c>
      <c r="L150" s="153" t="s">
        <v>28</v>
      </c>
      <c r="M150" s="130" t="str">
        <f>VLOOKUP(D150,[3]Actions!$J$2:$J$89, 1, FALSE)</f>
        <v>description</v>
      </c>
      <c r="N150" s="160" t="str">
        <f>F150</f>
        <v>string</v>
      </c>
      <c r="O150" s="73" t="s">
        <v>71</v>
      </c>
      <c r="P150" s="179" t="s">
        <v>57</v>
      </c>
      <c r="Q150" s="183"/>
    </row>
    <row r="151" spans="1:17" ht="14.25" customHeight="1">
      <c r="A151" s="73" t="s">
        <v>38</v>
      </c>
      <c r="B151" s="73" t="s">
        <v>39</v>
      </c>
      <c r="C151" s="73" t="s">
        <v>40</v>
      </c>
      <c r="D151" s="91"/>
      <c r="E151" s="166">
        <v>2.4</v>
      </c>
      <c r="F151" s="121" t="s">
        <v>24</v>
      </c>
      <c r="G151" s="121" t="s">
        <v>77</v>
      </c>
      <c r="H151" s="121"/>
      <c r="I151" s="121"/>
      <c r="J151" s="121" t="s">
        <v>50</v>
      </c>
      <c r="K151" s="73" t="s">
        <v>27</v>
      </c>
      <c r="L151" s="73" t="s">
        <v>28</v>
      </c>
      <c r="M151" s="149" t="s">
        <v>78</v>
      </c>
      <c r="N151" s="73" t="s">
        <v>24</v>
      </c>
      <c r="O151" s="73" t="s">
        <v>62</v>
      </c>
      <c r="P151" s="169" t="s">
        <v>31</v>
      </c>
      <c r="Q151" s="183"/>
    </row>
    <row r="152" spans="1:17" ht="14.25" customHeight="1">
      <c r="A152" s="73" t="s">
        <v>38</v>
      </c>
      <c r="B152" s="73" t="s">
        <v>39</v>
      </c>
      <c r="C152" s="73" t="s">
        <v>40</v>
      </c>
      <c r="D152" s="73" t="s">
        <v>83</v>
      </c>
      <c r="E152" s="114">
        <v>3</v>
      </c>
      <c r="F152" s="73" t="s">
        <v>81</v>
      </c>
      <c r="G152" s="139" t="s">
        <v>86</v>
      </c>
      <c r="H152" s="73" t="s">
        <v>54</v>
      </c>
      <c r="I152" s="73"/>
      <c r="J152" s="73" t="s">
        <v>50</v>
      </c>
      <c r="K152" s="73" t="s">
        <v>27</v>
      </c>
      <c r="L152" s="153" t="s">
        <v>28</v>
      </c>
      <c r="M152" s="130" t="str">
        <f>VLOOKUP(D152,[3]Actions!$J$2:$J$89, 1, FALSE)</f>
        <v>creation_date</v>
      </c>
      <c r="N152" s="160" t="str">
        <f t="shared" ref="N152:N157" si="0">F152</f>
        <v>string (dd/mm/yyyy hh:mm:ss)</v>
      </c>
      <c r="O152" s="73" t="s">
        <v>71</v>
      </c>
      <c r="P152" s="179" t="s">
        <v>57</v>
      </c>
      <c r="Q152" s="183"/>
    </row>
    <row r="153" spans="1:17" ht="14.25" customHeight="1">
      <c r="A153" s="73" t="s">
        <v>38</v>
      </c>
      <c r="B153" s="73" t="s">
        <v>39</v>
      </c>
      <c r="C153" s="73" t="s">
        <v>40</v>
      </c>
      <c r="D153" s="73" t="s">
        <v>89</v>
      </c>
      <c r="E153" s="114">
        <v>5</v>
      </c>
      <c r="F153" s="73" t="s">
        <v>81</v>
      </c>
      <c r="G153" s="139" t="s">
        <v>88</v>
      </c>
      <c r="H153" s="73" t="s">
        <v>54</v>
      </c>
      <c r="I153" s="73"/>
      <c r="J153" s="73" t="s">
        <v>50</v>
      </c>
      <c r="K153" s="73" t="s">
        <v>27</v>
      </c>
      <c r="L153" s="153" t="s">
        <v>28</v>
      </c>
      <c r="M153" s="130" t="str">
        <f>VLOOKUP(D153,[3]Actions!$J$2:$J$89, 1, FALSE)</f>
        <v>expected_reopen_closure_date</v>
      </c>
      <c r="N153" s="160" t="str">
        <f t="shared" si="0"/>
        <v>string (dd/mm/yyyy hh:mm:ss)</v>
      </c>
      <c r="O153" s="73" t="s">
        <v>71</v>
      </c>
      <c r="P153" s="179" t="s">
        <v>57</v>
      </c>
      <c r="Q153" s="183"/>
    </row>
    <row r="154" spans="1:17" ht="14.25" customHeight="1">
      <c r="A154" s="73" t="s">
        <v>38</v>
      </c>
      <c r="B154" s="73" t="s">
        <v>39</v>
      </c>
      <c r="C154" s="73" t="s">
        <v>40</v>
      </c>
      <c r="D154" s="73" t="s">
        <v>91</v>
      </c>
      <c r="E154" s="114">
        <v>7</v>
      </c>
      <c r="F154" s="73" t="s">
        <v>24</v>
      </c>
      <c r="G154" s="139" t="s">
        <v>90</v>
      </c>
      <c r="H154" s="73" t="s">
        <v>54</v>
      </c>
      <c r="I154" s="73"/>
      <c r="J154" s="73" t="s">
        <v>50</v>
      </c>
      <c r="K154" s="73" t="s">
        <v>27</v>
      </c>
      <c r="L154" s="153" t="s">
        <v>28</v>
      </c>
      <c r="M154" s="130" t="str">
        <f>VLOOKUP(D154,[3]Actions!$J$2:$J$89, 1, FALSE)</f>
        <v>other_reopen_reason</v>
      </c>
      <c r="N154" s="160" t="str">
        <f t="shared" si="0"/>
        <v>string</v>
      </c>
      <c r="O154" s="73" t="s">
        <v>71</v>
      </c>
      <c r="P154" s="179" t="s">
        <v>57</v>
      </c>
      <c r="Q154" s="183"/>
    </row>
    <row r="155" spans="1:17" ht="14.25" customHeight="1">
      <c r="A155" s="73" t="s">
        <v>38</v>
      </c>
      <c r="B155" s="73" t="s">
        <v>39</v>
      </c>
      <c r="C155" s="73" t="s">
        <v>40</v>
      </c>
      <c r="D155" s="73" t="s">
        <v>95</v>
      </c>
      <c r="E155" s="114">
        <v>8</v>
      </c>
      <c r="F155" s="73" t="s">
        <v>24</v>
      </c>
      <c r="G155" s="139" t="s">
        <v>98</v>
      </c>
      <c r="H155" s="73" t="s">
        <v>54</v>
      </c>
      <c r="I155" s="73"/>
      <c r="J155" s="73" t="s">
        <v>50</v>
      </c>
      <c r="K155" s="73" t="s">
        <v>27</v>
      </c>
      <c r="L155" s="153" t="s">
        <v>28</v>
      </c>
      <c r="M155" s="130" t="s">
        <v>276</v>
      </c>
      <c r="N155" s="160" t="str">
        <f t="shared" si="0"/>
        <v>string</v>
      </c>
      <c r="O155" s="73" t="s">
        <v>71</v>
      </c>
      <c r="P155" s="179" t="s">
        <v>57</v>
      </c>
      <c r="Q155" s="183"/>
    </row>
    <row r="156" spans="1:17" ht="14.25" customHeight="1">
      <c r="A156" s="73" t="s">
        <v>38</v>
      </c>
      <c r="B156" s="73" t="s">
        <v>39</v>
      </c>
      <c r="C156" s="73" t="s">
        <v>40</v>
      </c>
      <c r="D156" s="73" t="s">
        <v>100</v>
      </c>
      <c r="E156" s="114">
        <v>9</v>
      </c>
      <c r="F156" s="73" t="s">
        <v>24</v>
      </c>
      <c r="G156" s="139" t="s">
        <v>99</v>
      </c>
      <c r="H156" s="73" t="s">
        <v>54</v>
      </c>
      <c r="I156" s="73"/>
      <c r="J156" s="73" t="s">
        <v>50</v>
      </c>
      <c r="K156" s="73" t="s">
        <v>27</v>
      </c>
      <c r="L156" s="153" t="s">
        <v>28</v>
      </c>
      <c r="M156" s="130" t="str">
        <f>VLOOKUP(D156,[3]Actions!$J$2:$J$89, 1, FALSE)</f>
        <v>overdue_action_comment</v>
      </c>
      <c r="N156" s="160" t="str">
        <f t="shared" si="0"/>
        <v>string</v>
      </c>
      <c r="O156" s="73" t="s">
        <v>71</v>
      </c>
      <c r="P156" s="179" t="s">
        <v>57</v>
      </c>
      <c r="Q156" s="180"/>
    </row>
    <row r="157" spans="1:17" ht="14.25" customHeight="1">
      <c r="A157" s="73" t="s">
        <v>38</v>
      </c>
      <c r="B157" s="73" t="s">
        <v>39</v>
      </c>
      <c r="C157" s="73" t="s">
        <v>40</v>
      </c>
      <c r="D157" s="73" t="s">
        <v>110</v>
      </c>
      <c r="E157" s="114">
        <v>9.1</v>
      </c>
      <c r="F157" s="73" t="s">
        <v>24</v>
      </c>
      <c r="G157" s="139" t="s">
        <v>106</v>
      </c>
      <c r="H157" s="73" t="s">
        <v>54</v>
      </c>
      <c r="I157" s="73"/>
      <c r="J157" s="73" t="s">
        <v>50</v>
      </c>
      <c r="K157" s="73" t="s">
        <v>27</v>
      </c>
      <c r="L157" s="153" t="s">
        <v>28</v>
      </c>
      <c r="M157" s="130" t="s">
        <v>102</v>
      </c>
      <c r="N157" s="160" t="str">
        <f t="shared" si="0"/>
        <v>string</v>
      </c>
      <c r="O157" s="73" t="s">
        <v>71</v>
      </c>
      <c r="P157" s="179" t="s">
        <v>57</v>
      </c>
      <c r="Q157" s="183"/>
    </row>
    <row r="158" spans="1:17" ht="14.25" customHeight="1">
      <c r="A158" s="73" t="s">
        <v>38</v>
      </c>
      <c r="B158" s="73" t="s">
        <v>39</v>
      </c>
      <c r="C158" s="73" t="s">
        <v>40</v>
      </c>
      <c r="D158" s="91"/>
      <c r="E158" s="114">
        <v>9.14</v>
      </c>
      <c r="F158" s="73" t="s">
        <v>24</v>
      </c>
      <c r="G158" s="139" t="s">
        <v>109</v>
      </c>
      <c r="H158" s="73"/>
      <c r="I158" s="73"/>
      <c r="J158" s="73" t="s">
        <v>50</v>
      </c>
      <c r="K158" s="73" t="s">
        <v>27</v>
      </c>
      <c r="L158" s="153" t="s">
        <v>28</v>
      </c>
      <c r="M158" s="130" t="s">
        <v>110</v>
      </c>
      <c r="N158" s="160" t="s">
        <v>24</v>
      </c>
      <c r="O158" s="73" t="s">
        <v>71</v>
      </c>
      <c r="P158" s="179" t="s">
        <v>31</v>
      </c>
      <c r="Q158" s="183"/>
    </row>
    <row r="159" spans="1:17" ht="14.25" customHeight="1">
      <c r="A159" s="73" t="s">
        <v>38</v>
      </c>
      <c r="B159" s="73" t="s">
        <v>39</v>
      </c>
      <c r="C159" s="73" t="s">
        <v>40</v>
      </c>
      <c r="D159" s="73" t="s">
        <v>114</v>
      </c>
      <c r="E159" s="114">
        <v>10.3</v>
      </c>
      <c r="F159" s="73" t="s">
        <v>81</v>
      </c>
      <c r="G159" s="139" t="s">
        <v>113</v>
      </c>
      <c r="H159" s="73" t="s">
        <v>54</v>
      </c>
      <c r="I159" s="73"/>
      <c r="J159" s="73" t="s">
        <v>50</v>
      </c>
      <c r="K159" s="73" t="s">
        <v>27</v>
      </c>
      <c r="L159" s="153" t="s">
        <v>28</v>
      </c>
      <c r="M159" s="130" t="str">
        <f>VLOOKUP(D159,[3]Actions!$J$2:$J$89, 1, FALSE)</f>
        <v>original_due_date</v>
      </c>
      <c r="N159" s="160" t="str">
        <f>F159</f>
        <v>string (dd/mm/yyyy hh:mm:ss)</v>
      </c>
      <c r="O159" s="73" t="s">
        <v>71</v>
      </c>
      <c r="P159" s="179" t="s">
        <v>57</v>
      </c>
      <c r="Q159" s="183"/>
    </row>
    <row r="160" spans="1:17" ht="14.25" customHeight="1">
      <c r="A160" s="73" t="s">
        <v>38</v>
      </c>
      <c r="B160" s="73" t="s">
        <v>39</v>
      </c>
      <c r="C160" s="73" t="s">
        <v>40</v>
      </c>
      <c r="D160" s="73" t="s">
        <v>117</v>
      </c>
      <c r="E160" s="114">
        <v>11</v>
      </c>
      <c r="F160" s="73" t="s">
        <v>81</v>
      </c>
      <c r="G160" s="139" t="s">
        <v>120</v>
      </c>
      <c r="H160" s="73" t="s">
        <v>54</v>
      </c>
      <c r="I160" s="73"/>
      <c r="J160" s="73" t="s">
        <v>50</v>
      </c>
      <c r="K160" s="73" t="s">
        <v>27</v>
      </c>
      <c r="L160" s="153" t="s">
        <v>28</v>
      </c>
      <c r="M160" s="130" t="s">
        <v>117</v>
      </c>
      <c r="N160" s="160" t="s">
        <v>81</v>
      </c>
      <c r="O160" s="73" t="s">
        <v>71</v>
      </c>
      <c r="P160" s="179" t="s">
        <v>57</v>
      </c>
      <c r="Q160" s="183"/>
    </row>
    <row r="161" spans="1:17" ht="14.25" customHeight="1">
      <c r="A161" s="73" t="s">
        <v>38</v>
      </c>
      <c r="B161" s="73" t="s">
        <v>39</v>
      </c>
      <c r="C161" s="73" t="s">
        <v>40</v>
      </c>
      <c r="D161" s="73" t="s">
        <v>124</v>
      </c>
      <c r="E161" s="114">
        <v>12</v>
      </c>
      <c r="F161" s="73" t="s">
        <v>81</v>
      </c>
      <c r="G161" s="139" t="s">
        <v>127</v>
      </c>
      <c r="H161" s="73" t="s">
        <v>54</v>
      </c>
      <c r="I161" s="73"/>
      <c r="J161" s="73" t="s">
        <v>50</v>
      </c>
      <c r="K161" s="73" t="s">
        <v>27</v>
      </c>
      <c r="L161" s="153" t="s">
        <v>28</v>
      </c>
      <c r="M161" s="130" t="str">
        <f>VLOOKUP(D161,[3]Actions!$J$2:$J$89, 1, FALSE)</f>
        <v>actual_completion_date</v>
      </c>
      <c r="N161" s="160" t="str">
        <f t="shared" ref="N161:N172" si="1">F161</f>
        <v>string (dd/mm/yyyy hh:mm:ss)</v>
      </c>
      <c r="O161" s="73" t="s">
        <v>71</v>
      </c>
      <c r="P161" s="179" t="s">
        <v>57</v>
      </c>
      <c r="Q161" s="184"/>
    </row>
    <row r="162" spans="1:17" ht="14.25" customHeight="1">
      <c r="A162" s="73" t="s">
        <v>38</v>
      </c>
      <c r="B162" s="73" t="s">
        <v>39</v>
      </c>
      <c r="C162" s="73" t="s">
        <v>40</v>
      </c>
      <c r="D162" s="73" t="s">
        <v>130</v>
      </c>
      <c r="E162" s="114">
        <v>13.4</v>
      </c>
      <c r="F162" s="73" t="s">
        <v>81</v>
      </c>
      <c r="G162" s="139" t="s">
        <v>129</v>
      </c>
      <c r="H162" s="73" t="s">
        <v>54</v>
      </c>
      <c r="I162" s="73"/>
      <c r="J162" s="73" t="s">
        <v>50</v>
      </c>
      <c r="K162" s="73" t="s">
        <v>27</v>
      </c>
      <c r="L162" s="153" t="s">
        <v>28</v>
      </c>
      <c r="M162" s="130" t="str">
        <f>VLOOKUP(D162,[3]Actions!$J$2:$J$89, 1, FALSE)</f>
        <v>date_closed</v>
      </c>
      <c r="N162" s="160" t="str">
        <f t="shared" si="1"/>
        <v>string (dd/mm/yyyy hh:mm:ss)</v>
      </c>
      <c r="O162" s="73" t="s">
        <v>71</v>
      </c>
      <c r="P162" s="179" t="s">
        <v>57</v>
      </c>
      <c r="Q162" s="184"/>
    </row>
    <row r="163" spans="1:17" ht="14.25" customHeight="1">
      <c r="A163" s="73" t="s">
        <v>38</v>
      </c>
      <c r="B163" s="73" t="s">
        <v>39</v>
      </c>
      <c r="C163" s="73" t="s">
        <v>40</v>
      </c>
      <c r="D163" s="73" t="s">
        <v>133</v>
      </c>
      <c r="E163" s="114">
        <v>14.4</v>
      </c>
      <c r="F163" s="73" t="s">
        <v>81</v>
      </c>
      <c r="G163" s="139" t="s">
        <v>132</v>
      </c>
      <c r="H163" s="73" t="s">
        <v>54</v>
      </c>
      <c r="I163" s="73"/>
      <c r="J163" s="73" t="s">
        <v>50</v>
      </c>
      <c r="K163" s="73" t="s">
        <v>27</v>
      </c>
      <c r="L163" s="73" t="s">
        <v>28</v>
      </c>
      <c r="M163" s="149" t="str">
        <f>VLOOKUP(D163,[3]Actions!$J$2:$J$89, 1, FALSE)</f>
        <v>date_last_reopened</v>
      </c>
      <c r="N163" s="73" t="str">
        <f t="shared" si="1"/>
        <v>string (dd/mm/yyyy hh:mm:ss)</v>
      </c>
      <c r="O163" s="73" t="s">
        <v>71</v>
      </c>
      <c r="P163" s="179" t="s">
        <v>57</v>
      </c>
      <c r="Q163" s="183"/>
    </row>
    <row r="164" spans="1:17" ht="14.25" customHeight="1">
      <c r="A164" s="73" t="s">
        <v>38</v>
      </c>
      <c r="B164" s="73" t="s">
        <v>39</v>
      </c>
      <c r="C164" s="73" t="s">
        <v>40</v>
      </c>
      <c r="D164" s="73" t="s">
        <v>135</v>
      </c>
      <c r="E164" s="114">
        <v>15.4</v>
      </c>
      <c r="F164" s="73" t="s">
        <v>24</v>
      </c>
      <c r="G164" s="139" t="s">
        <v>136</v>
      </c>
      <c r="H164" s="73" t="s">
        <v>54</v>
      </c>
      <c r="I164" s="73"/>
      <c r="J164" s="73" t="s">
        <v>50</v>
      </c>
      <c r="K164" s="73" t="s">
        <v>27</v>
      </c>
      <c r="L164" s="73" t="s">
        <v>28</v>
      </c>
      <c r="M164" s="149" t="str">
        <f>VLOOKUP(D164,[3]Actions!$J$2:$J$89, 1, FALSE)</f>
        <v>reason_reopened</v>
      </c>
      <c r="N164" s="73" t="str">
        <f t="shared" si="1"/>
        <v>string</v>
      </c>
      <c r="O164" s="73" t="s">
        <v>71</v>
      </c>
      <c r="P164" s="179" t="s">
        <v>57</v>
      </c>
      <c r="Q164" s="183"/>
    </row>
    <row r="165" spans="1:17" ht="14.25" customHeight="1">
      <c r="A165" s="73" t="s">
        <v>38</v>
      </c>
      <c r="B165" s="73" t="s">
        <v>39</v>
      </c>
      <c r="C165" s="73" t="s">
        <v>40</v>
      </c>
      <c r="D165" s="73" t="s">
        <v>138</v>
      </c>
      <c r="E165" s="114">
        <v>18.399999999999999</v>
      </c>
      <c r="F165" s="73" t="s">
        <v>24</v>
      </c>
      <c r="G165" s="139" t="s">
        <v>134</v>
      </c>
      <c r="H165" s="73" t="s">
        <v>54</v>
      </c>
      <c r="I165" s="73"/>
      <c r="J165" s="73" t="s">
        <v>50</v>
      </c>
      <c r="K165" s="73" t="s">
        <v>27</v>
      </c>
      <c r="L165" s="153" t="s">
        <v>28</v>
      </c>
      <c r="M165" s="130" t="str">
        <f>VLOOKUP(D165,[3]Actions!$J$2:$J$89, 1, FALSE)</f>
        <v>action_overdue</v>
      </c>
      <c r="N165" s="160" t="str">
        <f t="shared" si="1"/>
        <v>string</v>
      </c>
      <c r="O165" s="73" t="s">
        <v>71</v>
      </c>
      <c r="P165" s="179" t="s">
        <v>57</v>
      </c>
      <c r="Q165" s="183"/>
    </row>
    <row r="166" spans="1:17" ht="14.25" customHeight="1">
      <c r="A166" s="73" t="s">
        <v>38</v>
      </c>
      <c r="B166" s="73" t="s">
        <v>39</v>
      </c>
      <c r="C166" s="73" t="s">
        <v>40</v>
      </c>
      <c r="D166" s="73" t="s">
        <v>144</v>
      </c>
      <c r="E166" s="114">
        <v>19.399999999999999</v>
      </c>
      <c r="F166" s="73" t="s">
        <v>24</v>
      </c>
      <c r="G166" s="139" t="s">
        <v>145</v>
      </c>
      <c r="H166" s="73" t="s">
        <v>54</v>
      </c>
      <c r="I166" s="73"/>
      <c r="J166" s="73" t="s">
        <v>50</v>
      </c>
      <c r="K166" s="73" t="s">
        <v>27</v>
      </c>
      <c r="L166" s="73" t="s">
        <v>28</v>
      </c>
      <c r="M166" s="149" t="s">
        <v>141</v>
      </c>
      <c r="N166" s="73" t="str">
        <f t="shared" si="1"/>
        <v>string</v>
      </c>
      <c r="O166" s="73" t="s">
        <v>71</v>
      </c>
      <c r="P166" s="179" t="s">
        <v>57</v>
      </c>
      <c r="Q166" s="183"/>
    </row>
    <row r="167" spans="1:17" ht="14.25" customHeight="1">
      <c r="A167" s="73" t="s">
        <v>38</v>
      </c>
      <c r="B167" s="73" t="s">
        <v>39</v>
      </c>
      <c r="C167" s="73" t="s">
        <v>40</v>
      </c>
      <c r="D167" s="73" t="s">
        <v>148</v>
      </c>
      <c r="E167" s="114">
        <v>20.399999999999999</v>
      </c>
      <c r="F167" s="73" t="s">
        <v>24</v>
      </c>
      <c r="G167" s="139" t="s">
        <v>147</v>
      </c>
      <c r="H167" s="73" t="s">
        <v>54</v>
      </c>
      <c r="I167" s="73"/>
      <c r="J167" s="73" t="s">
        <v>50</v>
      </c>
      <c r="K167" s="73" t="s">
        <v>27</v>
      </c>
      <c r="L167" s="153" t="s">
        <v>28</v>
      </c>
      <c r="M167" s="130" t="str">
        <f>VLOOKUP(D167,[3]Actions!$J$2:$J$89, 1, FALSE)</f>
        <v>action_owner_name</v>
      </c>
      <c r="N167" s="160" t="str">
        <f t="shared" si="1"/>
        <v>string</v>
      </c>
      <c r="O167" s="73" t="s">
        <v>71</v>
      </c>
      <c r="P167" s="179" t="s">
        <v>57</v>
      </c>
      <c r="Q167" s="183"/>
    </row>
    <row r="168" spans="1:17" ht="14.25" customHeight="1">
      <c r="A168" s="73" t="s">
        <v>38</v>
      </c>
      <c r="B168" s="73" t="s">
        <v>39</v>
      </c>
      <c r="C168" s="73" t="s">
        <v>40</v>
      </c>
      <c r="D168" s="73" t="s">
        <v>152</v>
      </c>
      <c r="E168" s="114">
        <v>21.4</v>
      </c>
      <c r="F168" s="73" t="s">
        <v>24</v>
      </c>
      <c r="G168" s="139" t="s">
        <v>153</v>
      </c>
      <c r="H168" s="73" t="s">
        <v>54</v>
      </c>
      <c r="I168" s="73"/>
      <c r="J168" s="73" t="s">
        <v>50</v>
      </c>
      <c r="K168" s="73" t="s">
        <v>27</v>
      </c>
      <c r="L168" s="153" t="s">
        <v>28</v>
      </c>
      <c r="M168" s="130" t="str">
        <f>VLOOKUP(D168,[3]Actions!$J$2:$J$89, 1, FALSE)</f>
        <v>reopened</v>
      </c>
      <c r="N168" s="160" t="str">
        <f t="shared" si="1"/>
        <v>string</v>
      </c>
      <c r="O168" s="73" t="s">
        <v>71</v>
      </c>
      <c r="P168" s="179" t="s">
        <v>57</v>
      </c>
      <c r="Q168" s="183"/>
    </row>
    <row r="169" spans="1:17" ht="14.25" customHeight="1">
      <c r="A169" s="73" t="s">
        <v>38</v>
      </c>
      <c r="B169" s="73" t="s">
        <v>39</v>
      </c>
      <c r="C169" s="73" t="s">
        <v>40</v>
      </c>
      <c r="D169" s="73" t="s">
        <v>155</v>
      </c>
      <c r="E169" s="114">
        <v>22.4</v>
      </c>
      <c r="F169" s="73" t="s">
        <v>67</v>
      </c>
      <c r="G169" s="139" t="s">
        <v>154</v>
      </c>
      <c r="H169" s="73" t="s">
        <v>54</v>
      </c>
      <c r="I169" s="73"/>
      <c r="J169" s="73" t="s">
        <v>50</v>
      </c>
      <c r="K169" s="73" t="s">
        <v>27</v>
      </c>
      <c r="L169" s="153" t="s">
        <v>28</v>
      </c>
      <c r="M169" s="130" t="str">
        <f>VLOOKUP(D169,[3]Actions!$J$2:$J$89, 1, FALSE)</f>
        <v>request_due_date_extension</v>
      </c>
      <c r="N169" s="160" t="str">
        <f t="shared" si="1"/>
        <v xml:space="preserve">string </v>
      </c>
      <c r="O169" s="73" t="s">
        <v>71</v>
      </c>
      <c r="P169" s="179" t="s">
        <v>57</v>
      </c>
      <c r="Q169" s="183"/>
    </row>
    <row r="170" spans="1:17" ht="14.25" customHeight="1">
      <c r="A170" s="73" t="s">
        <v>38</v>
      </c>
      <c r="B170" s="73" t="s">
        <v>39</v>
      </c>
      <c r="C170" s="73" t="s">
        <v>40</v>
      </c>
      <c r="D170" s="73" t="s">
        <v>156</v>
      </c>
      <c r="E170" s="114">
        <v>23.4</v>
      </c>
      <c r="F170" s="73" t="s">
        <v>24</v>
      </c>
      <c r="G170" s="139" t="s">
        <v>151</v>
      </c>
      <c r="H170" s="73" t="s">
        <v>54</v>
      </c>
      <c r="I170" s="73"/>
      <c r="J170" s="73" t="s">
        <v>50</v>
      </c>
      <c r="K170" s="73" t="s">
        <v>27</v>
      </c>
      <c r="L170" s="153" t="s">
        <v>28</v>
      </c>
      <c r="M170" s="130" t="str">
        <f>VLOOKUP(D170,[3]Actions!$J$2:$J$89, 1, FALSE)</f>
        <v>request_reopen</v>
      </c>
      <c r="N170" s="160" t="str">
        <f t="shared" si="1"/>
        <v>string</v>
      </c>
      <c r="O170" s="73" t="s">
        <v>71</v>
      </c>
      <c r="P170" s="179" t="s">
        <v>57</v>
      </c>
      <c r="Q170" s="183"/>
    </row>
    <row r="171" spans="1:17" ht="14.25" customHeight="1">
      <c r="A171" s="73" t="s">
        <v>38</v>
      </c>
      <c r="B171" s="73" t="s">
        <v>39</v>
      </c>
      <c r="C171" s="73" t="s">
        <v>40</v>
      </c>
      <c r="D171" s="73" t="s">
        <v>158</v>
      </c>
      <c r="E171" s="114">
        <v>24.4</v>
      </c>
      <c r="F171" s="73" t="s">
        <v>81</v>
      </c>
      <c r="G171" s="139" t="s">
        <v>157</v>
      </c>
      <c r="H171" s="73" t="s">
        <v>54</v>
      </c>
      <c r="I171" s="73"/>
      <c r="J171" s="73" t="s">
        <v>50</v>
      </c>
      <c r="K171" s="73" t="s">
        <v>27</v>
      </c>
      <c r="L171" s="153" t="s">
        <v>28</v>
      </c>
      <c r="M171" s="130" t="str">
        <f>VLOOKUP(D171,[3]Actions!$J$2:$J$89, 1, FALSE)</f>
        <v>requested_due_date</v>
      </c>
      <c r="N171" s="160" t="str">
        <f t="shared" si="1"/>
        <v>string (dd/mm/yyyy hh:mm:ss)</v>
      </c>
      <c r="O171" s="73" t="s">
        <v>71</v>
      </c>
      <c r="P171" s="179" t="s">
        <v>57</v>
      </c>
      <c r="Q171" s="180"/>
    </row>
    <row r="172" spans="1:17" ht="14.25" customHeight="1">
      <c r="A172" s="73" t="s">
        <v>38</v>
      </c>
      <c r="B172" s="73" t="s">
        <v>39</v>
      </c>
      <c r="C172" s="73" t="s">
        <v>40</v>
      </c>
      <c r="D172" s="73" t="s">
        <v>161</v>
      </c>
      <c r="E172" s="114">
        <v>25.4</v>
      </c>
      <c r="F172" s="73" t="s">
        <v>67</v>
      </c>
      <c r="G172" s="139" t="s">
        <v>159</v>
      </c>
      <c r="H172" s="73" t="s">
        <v>54</v>
      </c>
      <c r="I172" s="73"/>
      <c r="J172" s="73" t="s">
        <v>50</v>
      </c>
      <c r="K172" s="73" t="s">
        <v>27</v>
      </c>
      <c r="L172" s="153" t="s">
        <v>28</v>
      </c>
      <c r="M172" s="130" t="s">
        <v>160</v>
      </c>
      <c r="N172" s="160" t="str">
        <f t="shared" si="1"/>
        <v xml:space="preserve">string </v>
      </c>
      <c r="O172" s="73" t="s">
        <v>71</v>
      </c>
      <c r="P172" s="179" t="s">
        <v>57</v>
      </c>
      <c r="Q172" s="183"/>
    </row>
    <row r="173" spans="1:17" ht="14.25" customHeight="1">
      <c r="A173" s="73" t="s">
        <v>38</v>
      </c>
      <c r="B173" s="73" t="s">
        <v>39</v>
      </c>
      <c r="C173" s="73" t="s">
        <v>40</v>
      </c>
      <c r="D173" s="73" t="s">
        <v>163</v>
      </c>
      <c r="E173" s="114">
        <v>26.4</v>
      </c>
      <c r="F173" s="73" t="s">
        <v>67</v>
      </c>
      <c r="G173" s="139" t="s">
        <v>162</v>
      </c>
      <c r="H173" s="73" t="s">
        <v>54</v>
      </c>
      <c r="I173" s="73"/>
      <c r="J173" s="73" t="s">
        <v>50</v>
      </c>
      <c r="K173" s="73" t="s">
        <v>27</v>
      </c>
      <c r="L173" s="153" t="s">
        <v>28</v>
      </c>
      <c r="M173" s="130" t="str">
        <f>VLOOKUP(D173,[3]Actions!$J$2:$J$89, 1, FALSE)</f>
        <v>due_in</v>
      </c>
      <c r="N173" s="160" t="s">
        <v>67</v>
      </c>
      <c r="O173" s="73" t="s">
        <v>71</v>
      </c>
      <c r="P173" s="179" t="s">
        <v>57</v>
      </c>
      <c r="Q173" s="183"/>
    </row>
    <row r="174" spans="1:17" ht="14.25" customHeight="1">
      <c r="A174" s="73" t="s">
        <v>38</v>
      </c>
      <c r="B174" s="73" t="s">
        <v>39</v>
      </c>
      <c r="C174" s="73" t="s">
        <v>40</v>
      </c>
      <c r="D174" s="73" t="s">
        <v>166</v>
      </c>
      <c r="E174" s="114">
        <v>27.4</v>
      </c>
      <c r="F174" s="73" t="s">
        <v>81</v>
      </c>
      <c r="G174" s="139" t="s">
        <v>165</v>
      </c>
      <c r="H174" s="73" t="s">
        <v>54</v>
      </c>
      <c r="I174" s="73"/>
      <c r="J174" s="73" t="s">
        <v>50</v>
      </c>
      <c r="K174" s="73" t="s">
        <v>27</v>
      </c>
      <c r="L174" s="153" t="s">
        <v>28</v>
      </c>
      <c r="M174" s="130" t="str">
        <f>VLOOKUP(D174,[3]Actions!$J$2:$J$89, 1, FALSE)</f>
        <v>expected_action_closure_date</v>
      </c>
      <c r="N174" s="160" t="str">
        <f>F174</f>
        <v>string (dd/mm/yyyy hh:mm:ss)</v>
      </c>
      <c r="O174" s="73" t="s">
        <v>71</v>
      </c>
      <c r="P174" s="179" t="s">
        <v>57</v>
      </c>
      <c r="Q174" s="183"/>
    </row>
    <row r="175" spans="1:17" ht="14.25" customHeight="1">
      <c r="A175" s="73" t="s">
        <v>38</v>
      </c>
      <c r="B175" s="73" t="s">
        <v>39</v>
      </c>
      <c r="C175" s="73" t="s">
        <v>40</v>
      </c>
      <c r="D175" s="73" t="s">
        <v>168</v>
      </c>
      <c r="E175" s="114">
        <v>28.4</v>
      </c>
      <c r="F175" s="73" t="s">
        <v>24</v>
      </c>
      <c r="G175" s="139" t="s">
        <v>167</v>
      </c>
      <c r="H175" s="73" t="s">
        <v>54</v>
      </c>
      <c r="I175" s="73"/>
      <c r="J175" s="73" t="s">
        <v>50</v>
      </c>
      <c r="K175" s="73" t="s">
        <v>27</v>
      </c>
      <c r="L175" s="153" t="s">
        <v>28</v>
      </c>
      <c r="M175" s="130" t="str">
        <f>VLOOKUP(D175,[3]Actions!$J$2:$J$89, 1, FALSE)</f>
        <v>revised_action_status</v>
      </c>
      <c r="N175" s="160" t="str">
        <f>F175</f>
        <v>string</v>
      </c>
      <c r="O175" s="73" t="s">
        <v>71</v>
      </c>
      <c r="P175" s="179" t="s">
        <v>57</v>
      </c>
      <c r="Q175" s="183"/>
    </row>
    <row r="176" spans="1:17" ht="14.25" customHeight="1">
      <c r="A176" s="73" t="s">
        <v>38</v>
      </c>
      <c r="B176" s="73" t="s">
        <v>39</v>
      </c>
      <c r="C176" s="73" t="s">
        <v>40</v>
      </c>
      <c r="D176" s="73" t="s">
        <v>172</v>
      </c>
      <c r="E176" s="114">
        <v>29</v>
      </c>
      <c r="F176" s="73" t="s">
        <v>81</v>
      </c>
      <c r="G176" s="139" t="s">
        <v>175</v>
      </c>
      <c r="H176" s="73" t="s">
        <v>54</v>
      </c>
      <c r="I176" s="73"/>
      <c r="J176" s="73" t="s">
        <v>50</v>
      </c>
      <c r="K176" s="73" t="s">
        <v>27</v>
      </c>
      <c r="L176" s="153" t="s">
        <v>28</v>
      </c>
      <c r="M176" s="130" t="str">
        <f>VLOOKUP(D176,[3]Actions!$J$2:$J$89, 1, FALSE)</f>
        <v>last_modification_date</v>
      </c>
      <c r="N176" s="160" t="str">
        <f>F176</f>
        <v>string (dd/mm/yyyy hh:mm:ss)</v>
      </c>
      <c r="O176" s="73" t="s">
        <v>62</v>
      </c>
      <c r="P176" s="179" t="s">
        <v>57</v>
      </c>
      <c r="Q176" s="183"/>
    </row>
    <row r="177" spans="1:17" ht="14.25" customHeight="1">
      <c r="A177" s="73" t="s">
        <v>38</v>
      </c>
      <c r="B177" s="73" t="s">
        <v>39</v>
      </c>
      <c r="C177" s="73" t="s">
        <v>40</v>
      </c>
      <c r="D177" s="73" t="s">
        <v>178</v>
      </c>
      <c r="E177" s="114">
        <v>29.4</v>
      </c>
      <c r="F177" s="73" t="s">
        <v>24</v>
      </c>
      <c r="G177" s="139" t="s">
        <v>177</v>
      </c>
      <c r="H177" s="73" t="s">
        <v>54</v>
      </c>
      <c r="I177" s="73"/>
      <c r="J177" s="73" t="s">
        <v>50</v>
      </c>
      <c r="K177" s="73" t="s">
        <v>27</v>
      </c>
      <c r="L177" s="153" t="s">
        <v>28</v>
      </c>
      <c r="M177" s="130" t="str">
        <f>VLOOKUP(D177,[3]Actions!$J$2:$J$89, 1, FALSE)</f>
        <v>issue_name</v>
      </c>
      <c r="N177" s="160" t="str">
        <f>F177</f>
        <v>string</v>
      </c>
      <c r="O177" s="73" t="s">
        <v>62</v>
      </c>
      <c r="P177" s="73" t="s">
        <v>57</v>
      </c>
      <c r="Q177" s="73"/>
    </row>
    <row r="178" spans="1:17" ht="14.25" customHeight="1">
      <c r="A178" s="73" t="s">
        <v>38</v>
      </c>
      <c r="B178" s="73" t="s">
        <v>39</v>
      </c>
      <c r="C178" s="73" t="s">
        <v>40</v>
      </c>
      <c r="D178" s="73" t="s">
        <v>181</v>
      </c>
      <c r="E178" s="114">
        <v>30.5</v>
      </c>
      <c r="F178" s="73" t="s">
        <v>24</v>
      </c>
      <c r="G178" s="139" t="s">
        <v>180</v>
      </c>
      <c r="H178" s="73" t="s">
        <v>54</v>
      </c>
      <c r="I178" s="73"/>
      <c r="J178" s="73" t="s">
        <v>50</v>
      </c>
      <c r="K178" s="73" t="s">
        <v>27</v>
      </c>
      <c r="L178" s="153" t="s">
        <v>28</v>
      </c>
      <c r="M178" s="130" t="str">
        <f>VLOOKUP(D178,[3]Actions!$J$2:$J$89, 1, FALSE)</f>
        <v>linked_actions_requiring_closure</v>
      </c>
      <c r="N178" s="160" t="str">
        <f>F178</f>
        <v>string</v>
      </c>
      <c r="O178" s="73" t="s">
        <v>62</v>
      </c>
      <c r="P178" s="73" t="s">
        <v>57</v>
      </c>
      <c r="Q178" s="172"/>
    </row>
    <row r="179" spans="1:17" ht="14.25" customHeight="1">
      <c r="A179" s="73" t="s">
        <v>38</v>
      </c>
      <c r="B179" s="73" t="s">
        <v>39</v>
      </c>
      <c r="C179" s="73" t="s">
        <v>195</v>
      </c>
      <c r="D179" s="91"/>
      <c r="E179" s="73">
        <v>30.9</v>
      </c>
      <c r="F179" s="73" t="s">
        <v>67</v>
      </c>
      <c r="G179" s="139" t="s">
        <v>184</v>
      </c>
      <c r="H179" s="73"/>
      <c r="I179" s="73"/>
      <c r="J179" s="73" t="s">
        <v>50</v>
      </c>
      <c r="K179" s="73" t="s">
        <v>27</v>
      </c>
      <c r="L179" s="153" t="s">
        <v>28</v>
      </c>
      <c r="M179" s="130" t="s">
        <v>185</v>
      </c>
      <c r="N179" s="160" t="s">
        <v>67</v>
      </c>
      <c r="O179" s="73" t="s">
        <v>71</v>
      </c>
      <c r="P179" s="56" t="s">
        <v>31</v>
      </c>
      <c r="Q179" s="73"/>
    </row>
    <row r="180" spans="1:17" ht="14.25" customHeight="1">
      <c r="A180" s="73" t="s">
        <v>38</v>
      </c>
      <c r="B180" s="73" t="s">
        <v>39</v>
      </c>
      <c r="C180" s="73" t="s">
        <v>195</v>
      </c>
      <c r="D180" s="73" t="s">
        <v>198</v>
      </c>
      <c r="E180" s="114">
        <v>31.07</v>
      </c>
      <c r="F180" s="73" t="s">
        <v>24</v>
      </c>
      <c r="G180" s="139" t="s">
        <v>197</v>
      </c>
      <c r="H180" s="73" t="s">
        <v>54</v>
      </c>
      <c r="I180" s="73" t="s">
        <v>199</v>
      </c>
      <c r="J180" s="73" t="s">
        <v>50</v>
      </c>
      <c r="K180" s="73" t="s">
        <v>27</v>
      </c>
      <c r="L180" s="153" t="s">
        <v>28</v>
      </c>
      <c r="M180" s="130" t="s">
        <v>198</v>
      </c>
      <c r="N180" s="153" t="str">
        <f>F180</f>
        <v>string</v>
      </c>
      <c r="O180" s="153" t="s">
        <v>71</v>
      </c>
      <c r="P180" s="73" t="s">
        <v>57</v>
      </c>
      <c r="Q180" s="233" t="s">
        <v>200</v>
      </c>
    </row>
    <row r="181" spans="1:17" ht="14.25" customHeight="1">
      <c r="A181" s="73" t="s">
        <v>38</v>
      </c>
      <c r="B181" s="73" t="s">
        <v>39</v>
      </c>
      <c r="C181" s="73" t="s">
        <v>195</v>
      </c>
      <c r="D181" s="91"/>
      <c r="E181" s="114">
        <v>32.4</v>
      </c>
      <c r="F181" s="73" t="s">
        <v>24</v>
      </c>
      <c r="G181" s="139" t="s">
        <v>201</v>
      </c>
      <c r="H181" s="73"/>
      <c r="I181" s="73"/>
      <c r="J181" s="73" t="s">
        <v>50</v>
      </c>
      <c r="K181" s="73" t="s">
        <v>27</v>
      </c>
      <c r="L181" s="153" t="s">
        <v>28</v>
      </c>
      <c r="M181" s="130" t="s">
        <v>202</v>
      </c>
      <c r="N181" s="160" t="s">
        <v>67</v>
      </c>
      <c r="O181" s="73" t="s">
        <v>71</v>
      </c>
      <c r="P181" s="56" t="s">
        <v>31</v>
      </c>
      <c r="Q181" s="73"/>
    </row>
    <row r="182" spans="1:17" ht="14.25" customHeight="1">
      <c r="A182" s="73" t="s">
        <v>38</v>
      </c>
      <c r="B182" s="73" t="s">
        <v>39</v>
      </c>
      <c r="C182" s="73" t="s">
        <v>195</v>
      </c>
      <c r="D182" s="91"/>
      <c r="E182" s="73">
        <v>33.04</v>
      </c>
      <c r="F182" s="73" t="s">
        <v>24</v>
      </c>
      <c r="G182" s="139" t="s">
        <v>207</v>
      </c>
      <c r="H182" s="73"/>
      <c r="I182" s="73"/>
      <c r="J182" s="73" t="s">
        <v>50</v>
      </c>
      <c r="K182" s="73" t="s">
        <v>27</v>
      </c>
      <c r="L182" s="153" t="s">
        <v>28</v>
      </c>
      <c r="M182" s="130" t="s">
        <v>208</v>
      </c>
      <c r="N182" s="160" t="s">
        <v>24</v>
      </c>
      <c r="O182" s="73" t="s">
        <v>71</v>
      </c>
      <c r="P182" s="174" t="s">
        <v>31</v>
      </c>
      <c r="Q182" s="183"/>
    </row>
    <row r="183" spans="1:17" ht="14.25" customHeight="1">
      <c r="A183" s="73" t="s">
        <v>38</v>
      </c>
      <c r="B183" s="73" t="s">
        <v>39</v>
      </c>
      <c r="C183" s="73" t="s">
        <v>195</v>
      </c>
      <c r="D183" s="91"/>
      <c r="E183" s="73">
        <v>33.07</v>
      </c>
      <c r="F183" s="73" t="s">
        <v>24</v>
      </c>
      <c r="G183" s="139" t="s">
        <v>216</v>
      </c>
      <c r="H183" s="73"/>
      <c r="I183" s="73"/>
      <c r="J183" s="73" t="s">
        <v>50</v>
      </c>
      <c r="K183" s="73" t="s">
        <v>27</v>
      </c>
      <c r="L183" s="73" t="s">
        <v>28</v>
      </c>
      <c r="M183" s="130" t="s">
        <v>217</v>
      </c>
      <c r="N183" s="153" t="s">
        <v>24</v>
      </c>
      <c r="O183" s="153" t="s">
        <v>62</v>
      </c>
      <c r="P183" s="176" t="s">
        <v>31</v>
      </c>
      <c r="Q183" s="183"/>
    </row>
    <row r="184" spans="1:17" ht="14.25" customHeight="1">
      <c r="A184" s="73" t="s">
        <v>38</v>
      </c>
      <c r="B184" s="73" t="s">
        <v>39</v>
      </c>
      <c r="C184" s="73" t="s">
        <v>195</v>
      </c>
      <c r="D184" s="73" t="s">
        <v>223</v>
      </c>
      <c r="E184" s="114">
        <v>35.15</v>
      </c>
      <c r="F184" s="73" t="s">
        <v>24</v>
      </c>
      <c r="G184" s="139" t="s">
        <v>222</v>
      </c>
      <c r="H184" s="73" t="s">
        <v>54</v>
      </c>
      <c r="I184" s="73" t="s">
        <v>224</v>
      </c>
      <c r="J184" s="73" t="s">
        <v>50</v>
      </c>
      <c r="K184" s="73" t="s">
        <v>27</v>
      </c>
      <c r="L184" s="153" t="s">
        <v>28</v>
      </c>
      <c r="M184" s="130" t="s">
        <v>223</v>
      </c>
      <c r="N184" s="153" t="str">
        <f>F184</f>
        <v>string</v>
      </c>
      <c r="O184" s="153" t="s">
        <v>71</v>
      </c>
      <c r="P184" s="179" t="s">
        <v>57</v>
      </c>
      <c r="Q184" s="183" t="s">
        <v>225</v>
      </c>
    </row>
    <row r="185" spans="1:17" ht="14.25" customHeight="1">
      <c r="A185" s="73" t="s">
        <v>38</v>
      </c>
      <c r="B185" s="73" t="s">
        <v>39</v>
      </c>
      <c r="C185" s="73" t="s">
        <v>195</v>
      </c>
      <c r="D185" s="91"/>
      <c r="E185" s="114">
        <v>35.24</v>
      </c>
      <c r="F185" s="73" t="s">
        <v>24</v>
      </c>
      <c r="G185" s="139" t="s">
        <v>226</v>
      </c>
      <c r="H185" s="73"/>
      <c r="I185" s="73"/>
      <c r="J185" s="73" t="s">
        <v>50</v>
      </c>
      <c r="K185" s="73" t="s">
        <v>27</v>
      </c>
      <c r="L185" s="153" t="s">
        <v>28</v>
      </c>
      <c r="M185" s="130" t="s">
        <v>227</v>
      </c>
      <c r="N185" s="160" t="s">
        <v>24</v>
      </c>
      <c r="O185" s="73" t="s">
        <v>71</v>
      </c>
      <c r="P185" s="73" t="s">
        <v>31</v>
      </c>
      <c r="Q185" s="73"/>
    </row>
    <row r="186" spans="1:17" ht="14.25" customHeight="1">
      <c r="A186" s="73" t="s">
        <v>38</v>
      </c>
      <c r="B186" s="73" t="s">
        <v>39</v>
      </c>
      <c r="C186" s="73" t="s">
        <v>195</v>
      </c>
      <c r="D186" s="231" t="s">
        <v>203</v>
      </c>
      <c r="E186" s="114">
        <v>36.35</v>
      </c>
      <c r="F186" s="73" t="s">
        <v>67</v>
      </c>
      <c r="G186" s="139" t="s">
        <v>159</v>
      </c>
      <c r="H186" s="73" t="s">
        <v>54</v>
      </c>
      <c r="I186" s="73" t="s">
        <v>237</v>
      </c>
      <c r="J186" s="73" t="s">
        <v>50</v>
      </c>
      <c r="K186" s="73" t="s">
        <v>27</v>
      </c>
      <c r="L186" s="153" t="s">
        <v>28</v>
      </c>
      <c r="M186" s="130" t="s">
        <v>161</v>
      </c>
      <c r="N186" s="160" t="s">
        <v>67</v>
      </c>
      <c r="O186" s="73" t="s">
        <v>71</v>
      </c>
      <c r="P186" s="153" t="s">
        <v>31</v>
      </c>
      <c r="Q186" s="214" t="s">
        <v>238</v>
      </c>
    </row>
    <row r="187" spans="1:17" ht="14.25" customHeight="1">
      <c r="A187" s="73" t="s">
        <v>38</v>
      </c>
      <c r="B187" s="73" t="s">
        <v>39</v>
      </c>
      <c r="C187" s="73" t="s">
        <v>195</v>
      </c>
      <c r="D187" s="231" t="s">
        <v>203</v>
      </c>
      <c r="E187" s="114">
        <v>37.4</v>
      </c>
      <c r="F187" s="73" t="s">
        <v>24</v>
      </c>
      <c r="G187" s="139" t="s">
        <v>251</v>
      </c>
      <c r="H187" s="73" t="s">
        <v>54</v>
      </c>
      <c r="I187" s="73"/>
      <c r="J187" s="73" t="s">
        <v>252</v>
      </c>
      <c r="K187" s="73" t="s">
        <v>27</v>
      </c>
      <c r="L187" s="153" t="s">
        <v>28</v>
      </c>
      <c r="M187" s="130" t="s">
        <v>243</v>
      </c>
      <c r="N187" s="185" t="s">
        <v>24</v>
      </c>
      <c r="O187" s="183" t="s">
        <v>30</v>
      </c>
      <c r="P187" s="56" t="s">
        <v>250</v>
      </c>
      <c r="Q187" s="183" t="s">
        <v>253</v>
      </c>
    </row>
    <row r="188" spans="1:17" ht="14.25" customHeight="1">
      <c r="A188" s="73" t="s">
        <v>38</v>
      </c>
      <c r="B188" s="73" t="s">
        <v>39</v>
      </c>
      <c r="C188" s="73" t="s">
        <v>195</v>
      </c>
      <c r="D188" s="231" t="s">
        <v>203</v>
      </c>
      <c r="E188" s="114">
        <v>38.4</v>
      </c>
      <c r="F188" s="73" t="s">
        <v>24</v>
      </c>
      <c r="G188" s="139" t="s">
        <v>254</v>
      </c>
      <c r="H188" s="73" t="s">
        <v>54</v>
      </c>
      <c r="I188" s="73"/>
      <c r="J188" s="73" t="s">
        <v>252</v>
      </c>
      <c r="K188" s="73" t="s">
        <v>27</v>
      </c>
      <c r="L188" s="153" t="s">
        <v>28</v>
      </c>
      <c r="M188" s="130" t="s">
        <v>256</v>
      </c>
      <c r="N188" s="160" t="s">
        <v>24</v>
      </c>
      <c r="O188" s="73" t="s">
        <v>30</v>
      </c>
      <c r="P188" s="56" t="s">
        <v>57</v>
      </c>
      <c r="Q188" s="172" t="s">
        <v>253</v>
      </c>
    </row>
    <row r="189" spans="1:17" ht="14.25" customHeight="1">
      <c r="A189" s="73" t="s">
        <v>38</v>
      </c>
      <c r="B189" s="73" t="s">
        <v>39</v>
      </c>
      <c r="C189" s="153" t="s">
        <v>40</v>
      </c>
      <c r="D189" s="256"/>
      <c r="E189" s="114">
        <v>39.4</v>
      </c>
      <c r="F189" s="73" t="s">
        <v>24</v>
      </c>
      <c r="G189" s="139" t="s">
        <v>258</v>
      </c>
      <c r="H189" s="73"/>
      <c r="I189" s="73"/>
      <c r="J189" s="73" t="s">
        <v>50</v>
      </c>
      <c r="K189" s="73" t="s">
        <v>27</v>
      </c>
      <c r="L189" s="153" t="s">
        <v>28</v>
      </c>
      <c r="M189" s="130" t="s">
        <v>257</v>
      </c>
      <c r="N189" s="160" t="s">
        <v>24</v>
      </c>
      <c r="O189" s="73" t="s">
        <v>30</v>
      </c>
      <c r="P189" s="71" t="s">
        <v>31</v>
      </c>
      <c r="Q189" s="73"/>
    </row>
    <row r="190" spans="1:17" ht="14.25" customHeight="1">
      <c r="A190" s="73" t="s">
        <v>38</v>
      </c>
      <c r="B190" s="73" t="s">
        <v>39</v>
      </c>
      <c r="C190" s="73" t="s">
        <v>40</v>
      </c>
      <c r="D190" s="73" t="s">
        <v>263</v>
      </c>
      <c r="E190" s="114">
        <v>40.4</v>
      </c>
      <c r="F190" s="73" t="s">
        <v>24</v>
      </c>
      <c r="G190" s="139" t="s">
        <v>261</v>
      </c>
      <c r="H190" s="73" t="s">
        <v>54</v>
      </c>
      <c r="I190" s="73"/>
      <c r="J190" s="73" t="s">
        <v>50</v>
      </c>
      <c r="K190" s="73" t="s">
        <v>27</v>
      </c>
      <c r="L190" s="153" t="s">
        <v>28</v>
      </c>
      <c r="M190" s="130" t="str">
        <f>VLOOKUP(D190,[3]Actions!$J$2:$J$89, 1, FALSE)</f>
        <v>parent_path</v>
      </c>
      <c r="N190" s="160" t="s">
        <v>24</v>
      </c>
      <c r="O190" s="73" t="s">
        <v>30</v>
      </c>
      <c r="P190" s="73" t="s">
        <v>57</v>
      </c>
      <c r="Q190" s="73" t="s">
        <v>264</v>
      </c>
    </row>
    <row r="191" spans="1:17" ht="14.25" customHeight="1">
      <c r="A191" s="73" t="s">
        <v>38</v>
      </c>
      <c r="B191" s="73" t="s">
        <v>39</v>
      </c>
      <c r="C191" s="73" t="s">
        <v>40</v>
      </c>
      <c r="D191" s="73" t="s">
        <v>267</v>
      </c>
      <c r="E191" s="114">
        <v>41.4</v>
      </c>
      <c r="F191" s="73" t="s">
        <v>24</v>
      </c>
      <c r="G191" s="139" t="s">
        <v>265</v>
      </c>
      <c r="H191" s="73" t="s">
        <v>54</v>
      </c>
      <c r="I191" s="73"/>
      <c r="J191" s="73" t="s">
        <v>50</v>
      </c>
      <c r="K191" s="73" t="s">
        <v>27</v>
      </c>
      <c r="L191" s="153" t="s">
        <v>28</v>
      </c>
      <c r="M191" s="130" t="s">
        <v>266</v>
      </c>
      <c r="N191" s="160" t="str">
        <f>F191</f>
        <v>string</v>
      </c>
      <c r="O191" s="73" t="s">
        <v>30</v>
      </c>
      <c r="P191" s="73" t="s">
        <v>57</v>
      </c>
      <c r="Q191" s="73"/>
    </row>
    <row r="192" spans="1:17" ht="14.25" customHeight="1">
      <c r="A192" s="73" t="s">
        <v>38</v>
      </c>
      <c r="B192" s="73" t="s">
        <v>39</v>
      </c>
      <c r="C192" s="73" t="s">
        <v>40</v>
      </c>
      <c r="D192" s="73" t="s">
        <v>270</v>
      </c>
      <c r="E192" s="114">
        <v>42.4</v>
      </c>
      <c r="F192" s="73" t="s">
        <v>24</v>
      </c>
      <c r="G192" s="139" t="s">
        <v>268</v>
      </c>
      <c r="H192" s="73" t="s">
        <v>54</v>
      </c>
      <c r="I192" s="73"/>
      <c r="J192" s="73" t="s">
        <v>50</v>
      </c>
      <c r="K192" s="73" t="s">
        <v>27</v>
      </c>
      <c r="L192" s="153" t="s">
        <v>28</v>
      </c>
      <c r="M192" s="130" t="str">
        <f>VLOOKUP(D192,[3]Actions!$J$2:$J$89, 1, FALSE)</f>
        <v>parent_objects</v>
      </c>
      <c r="N192" s="160" t="str">
        <f>F192</f>
        <v>string</v>
      </c>
      <c r="O192" s="73" t="s">
        <v>30</v>
      </c>
      <c r="P192" s="73" t="s">
        <v>57</v>
      </c>
      <c r="Q192" s="73"/>
    </row>
    <row r="193" spans="1:17" ht="14.25" customHeight="1">
      <c r="A193" s="73" t="s">
        <v>38</v>
      </c>
      <c r="B193" s="73" t="s">
        <v>39</v>
      </c>
      <c r="C193" s="73" t="s">
        <v>40</v>
      </c>
      <c r="D193" s="73" t="s">
        <v>273</v>
      </c>
      <c r="E193" s="114">
        <v>43.4</v>
      </c>
      <c r="F193" s="73" t="s">
        <v>67</v>
      </c>
      <c r="G193" s="139" t="s">
        <v>272</v>
      </c>
      <c r="H193" s="73" t="s">
        <v>54</v>
      </c>
      <c r="I193" s="73"/>
      <c r="J193" s="73" t="s">
        <v>50</v>
      </c>
      <c r="K193" s="73" t="s">
        <v>27</v>
      </c>
      <c r="L193" s="153" t="s">
        <v>28</v>
      </c>
      <c r="M193" s="130" t="str">
        <f>VLOOKUP(D193,[3]Actions!$J$2:$J$89, 1, FALSE)</f>
        <v>number_of_date_changes</v>
      </c>
      <c r="N193" s="202" t="s">
        <v>24</v>
      </c>
      <c r="O193" s="204" t="s">
        <v>71</v>
      </c>
      <c r="P193" s="204" t="s">
        <v>57</v>
      </c>
      <c r="Q193" s="204"/>
    </row>
    <row r="194" spans="1:17" ht="14.25" customHeight="1">
      <c r="A194" s="127" t="s">
        <v>38</v>
      </c>
      <c r="B194" s="73" t="s">
        <v>39</v>
      </c>
      <c r="C194" s="73" t="s">
        <v>40</v>
      </c>
      <c r="D194" s="127" t="s">
        <v>275</v>
      </c>
      <c r="E194" s="257">
        <v>44.4</v>
      </c>
      <c r="F194" s="147" t="s">
        <v>24</v>
      </c>
      <c r="G194" s="247" t="s">
        <v>274</v>
      </c>
      <c r="H194" s="147" t="s">
        <v>54</v>
      </c>
      <c r="I194" s="147"/>
      <c r="J194" s="147" t="s">
        <v>50</v>
      </c>
      <c r="K194" s="192" t="s">
        <v>27</v>
      </c>
      <c r="L194" s="127" t="s">
        <v>28</v>
      </c>
      <c r="M194" s="130" t="str">
        <f>VLOOKUP(D194,[3]Actions!$J$2:$J$89, 1, FALSE)</f>
        <v>number_of_times_reopened</v>
      </c>
      <c r="N194" s="172" t="str">
        <f>F194</f>
        <v>string</v>
      </c>
      <c r="O194" s="172" t="s">
        <v>71</v>
      </c>
      <c r="P194" s="172" t="s">
        <v>57</v>
      </c>
      <c r="Q194" s="172"/>
    </row>
    <row r="195" spans="1:17" ht="14.25" customHeight="1">
      <c r="A195" s="106" t="s">
        <v>42</v>
      </c>
      <c r="B195" s="105" t="s">
        <v>43</v>
      </c>
      <c r="C195" s="105" t="s">
        <v>44</v>
      </c>
      <c r="D195" s="165" t="s">
        <v>23</v>
      </c>
      <c r="E195" s="115">
        <v>0</v>
      </c>
      <c r="F195" s="118" t="s">
        <v>24</v>
      </c>
      <c r="G195" s="118" t="s">
        <v>25</v>
      </c>
      <c r="H195" s="115"/>
      <c r="I195" s="115"/>
      <c r="J195" s="118" t="s">
        <v>45</v>
      </c>
      <c r="K195" s="115" t="s">
        <v>27</v>
      </c>
      <c r="L195" s="164" t="s">
        <v>28</v>
      </c>
      <c r="M195" s="130" t="s">
        <v>46</v>
      </c>
      <c r="N195" s="161" t="s">
        <v>24</v>
      </c>
      <c r="O195" s="106" t="s">
        <v>30</v>
      </c>
      <c r="P195" s="80" t="s">
        <v>31</v>
      </c>
      <c r="Q195" s="188"/>
    </row>
    <row r="196" spans="1:17" ht="14.25" customHeight="1">
      <c r="A196" s="106" t="s">
        <v>42</v>
      </c>
      <c r="B196" s="105" t="s">
        <v>43</v>
      </c>
      <c r="C196" s="105" t="s">
        <v>44</v>
      </c>
      <c r="D196" s="105" t="s">
        <v>58</v>
      </c>
      <c r="E196" s="109">
        <v>1</v>
      </c>
      <c r="F196" s="105" t="s">
        <v>24</v>
      </c>
      <c r="G196" s="105" t="s">
        <v>49</v>
      </c>
      <c r="H196" s="109"/>
      <c r="I196" s="109"/>
      <c r="J196" s="105" t="s">
        <v>50</v>
      </c>
      <c r="K196" s="115" t="s">
        <v>27</v>
      </c>
      <c r="L196" s="154" t="s">
        <v>28</v>
      </c>
      <c r="M196" s="130" t="s">
        <v>51</v>
      </c>
      <c r="N196" s="161" t="s">
        <v>24</v>
      </c>
      <c r="O196" s="106" t="s">
        <v>30</v>
      </c>
      <c r="P196" s="80" t="s">
        <v>57</v>
      </c>
      <c r="Q196" s="189"/>
    </row>
    <row r="197" spans="1:17" ht="14.25" customHeight="1">
      <c r="A197" s="106" t="s">
        <v>42</v>
      </c>
      <c r="B197" s="105" t="s">
        <v>43</v>
      </c>
      <c r="C197" s="105" t="s">
        <v>44</v>
      </c>
      <c r="D197" s="105" t="s">
        <v>61</v>
      </c>
      <c r="E197" s="117">
        <v>1.2</v>
      </c>
      <c r="F197" s="106" t="s">
        <v>67</v>
      </c>
      <c r="G197" s="264" t="s">
        <v>60</v>
      </c>
      <c r="H197" s="106"/>
      <c r="I197" s="106"/>
      <c r="J197" s="105" t="s">
        <v>50</v>
      </c>
      <c r="K197" s="106" t="s">
        <v>27</v>
      </c>
      <c r="L197" s="155" t="s">
        <v>28</v>
      </c>
      <c r="M197" s="130" t="s">
        <v>61</v>
      </c>
      <c r="N197" s="161" t="s">
        <v>24</v>
      </c>
      <c r="O197" s="106" t="s">
        <v>30</v>
      </c>
      <c r="P197" s="80" t="s">
        <v>57</v>
      </c>
      <c r="Q197" s="189"/>
    </row>
    <row r="198" spans="1:17" ht="14.25" customHeight="1">
      <c r="A198" s="106" t="s">
        <v>42</v>
      </c>
      <c r="B198" s="105" t="s">
        <v>43</v>
      </c>
      <c r="C198" s="105" t="s">
        <v>44</v>
      </c>
      <c r="D198" s="105" t="s">
        <v>76</v>
      </c>
      <c r="E198" s="109">
        <v>2</v>
      </c>
      <c r="F198" s="105" t="s">
        <v>24</v>
      </c>
      <c r="G198" s="118" t="s">
        <v>75</v>
      </c>
      <c r="H198" s="106"/>
      <c r="I198" s="106"/>
      <c r="J198" s="105" t="s">
        <v>50</v>
      </c>
      <c r="K198" s="106" t="s">
        <v>27</v>
      </c>
      <c r="L198" s="155" t="s">
        <v>28</v>
      </c>
      <c r="M198" s="130" t="s">
        <v>70</v>
      </c>
      <c r="N198" s="161" t="s">
        <v>24</v>
      </c>
      <c r="O198" s="106" t="s">
        <v>62</v>
      </c>
      <c r="P198" s="80" t="s">
        <v>57</v>
      </c>
      <c r="Q198" s="189"/>
    </row>
    <row r="199" spans="1:17" ht="14.25" customHeight="1">
      <c r="A199" s="106" t="s">
        <v>42</v>
      </c>
      <c r="B199" s="105" t="s">
        <v>43</v>
      </c>
      <c r="C199" s="105" t="s">
        <v>44</v>
      </c>
      <c r="D199" s="105" t="s">
        <v>79</v>
      </c>
      <c r="E199" s="109">
        <v>2.5</v>
      </c>
      <c r="F199" s="105" t="s">
        <v>24</v>
      </c>
      <c r="G199" s="118" t="s">
        <v>77</v>
      </c>
      <c r="H199" s="106"/>
      <c r="I199" s="106"/>
      <c r="J199" s="105" t="s">
        <v>50</v>
      </c>
      <c r="K199" s="106" t="s">
        <v>27</v>
      </c>
      <c r="L199" s="155" t="s">
        <v>28</v>
      </c>
      <c r="M199" s="130" t="s">
        <v>78</v>
      </c>
      <c r="N199" s="161" t="s">
        <v>24</v>
      </c>
      <c r="O199" s="106" t="s">
        <v>62</v>
      </c>
      <c r="P199" s="80" t="s">
        <v>57</v>
      </c>
      <c r="Q199" s="188"/>
    </row>
    <row r="200" spans="1:17" ht="14.25" customHeight="1">
      <c r="A200" s="106" t="s">
        <v>42</v>
      </c>
      <c r="B200" s="105" t="s">
        <v>43</v>
      </c>
      <c r="C200" s="105" t="s">
        <v>44</v>
      </c>
      <c r="D200" s="105" t="s">
        <v>87</v>
      </c>
      <c r="E200" s="109">
        <v>3</v>
      </c>
      <c r="F200" s="265" t="s">
        <v>81</v>
      </c>
      <c r="G200" s="264" t="s">
        <v>85</v>
      </c>
      <c r="H200" s="106"/>
      <c r="I200" s="106"/>
      <c r="J200" s="105" t="s">
        <v>50</v>
      </c>
      <c r="K200" s="106" t="s">
        <v>27</v>
      </c>
      <c r="L200" s="155" t="s">
        <v>28</v>
      </c>
      <c r="M200" s="130" t="s">
        <v>83</v>
      </c>
      <c r="N200" s="161" t="s">
        <v>81</v>
      </c>
      <c r="O200" s="106" t="s">
        <v>62</v>
      </c>
      <c r="P200" s="80" t="s">
        <v>57</v>
      </c>
      <c r="Q200" s="189"/>
    </row>
    <row r="201" spans="1:17" ht="14.25" customHeight="1">
      <c r="A201" s="106" t="s">
        <v>42</v>
      </c>
      <c r="B201" s="105" t="s">
        <v>43</v>
      </c>
      <c r="C201" s="105" t="s">
        <v>44</v>
      </c>
      <c r="D201" s="103"/>
      <c r="E201" s="115">
        <v>5</v>
      </c>
      <c r="F201" s="265" t="s">
        <v>81</v>
      </c>
      <c r="G201" s="118" t="s">
        <v>88</v>
      </c>
      <c r="H201" s="106"/>
      <c r="I201" s="106"/>
      <c r="J201" s="105" t="s">
        <v>50</v>
      </c>
      <c r="K201" s="106" t="s">
        <v>27</v>
      </c>
      <c r="L201" s="155" t="s">
        <v>28</v>
      </c>
      <c r="M201" s="237" t="s">
        <v>89</v>
      </c>
      <c r="N201" s="236" t="s">
        <v>81</v>
      </c>
      <c r="O201" s="106" t="s">
        <v>62</v>
      </c>
      <c r="P201" s="72" t="s">
        <v>31</v>
      </c>
      <c r="Q201" s="189"/>
    </row>
    <row r="202" spans="1:17" ht="14.25" customHeight="1">
      <c r="A202" s="106" t="s">
        <v>42</v>
      </c>
      <c r="B202" s="105" t="s">
        <v>43</v>
      </c>
      <c r="C202" s="105" t="s">
        <v>44</v>
      </c>
      <c r="D202" s="103"/>
      <c r="E202" s="109">
        <v>7</v>
      </c>
      <c r="F202" s="105" t="s">
        <v>24</v>
      </c>
      <c r="G202" s="118" t="s">
        <v>92</v>
      </c>
      <c r="H202" s="106"/>
      <c r="I202" s="106"/>
      <c r="J202" s="105" t="s">
        <v>50</v>
      </c>
      <c r="K202" s="106" t="s">
        <v>27</v>
      </c>
      <c r="L202" s="106" t="s">
        <v>28</v>
      </c>
      <c r="M202" s="149" t="s">
        <v>91</v>
      </c>
      <c r="N202" s="106" t="s">
        <v>24</v>
      </c>
      <c r="O202" s="106" t="s">
        <v>62</v>
      </c>
      <c r="P202" s="72" t="s">
        <v>31</v>
      </c>
      <c r="Q202" s="189"/>
    </row>
    <row r="203" spans="1:17" ht="14.25" customHeight="1">
      <c r="A203" s="106" t="s">
        <v>42</v>
      </c>
      <c r="B203" s="105" t="s">
        <v>43</v>
      </c>
      <c r="C203" s="105" t="s">
        <v>44</v>
      </c>
      <c r="D203" s="103"/>
      <c r="E203" s="109">
        <v>8</v>
      </c>
      <c r="F203" s="105" t="s">
        <v>24</v>
      </c>
      <c r="G203" s="264" t="s">
        <v>94</v>
      </c>
      <c r="H203" s="106"/>
      <c r="I203" s="106"/>
      <c r="J203" s="105" t="s">
        <v>50</v>
      </c>
      <c r="K203" s="106" t="s">
        <v>27</v>
      </c>
      <c r="L203" s="155" t="s">
        <v>28</v>
      </c>
      <c r="M203" s="130" t="s">
        <v>276</v>
      </c>
      <c r="N203" s="161" t="s">
        <v>24</v>
      </c>
      <c r="O203" s="106" t="s">
        <v>62</v>
      </c>
      <c r="P203" s="56" t="s">
        <v>31</v>
      </c>
      <c r="Q203" s="189"/>
    </row>
    <row r="204" spans="1:17" ht="14.25" customHeight="1">
      <c r="A204" s="106" t="s">
        <v>42</v>
      </c>
      <c r="B204" s="105" t="s">
        <v>43</v>
      </c>
      <c r="C204" s="105" t="s">
        <v>44</v>
      </c>
      <c r="D204" s="103"/>
      <c r="E204" s="109">
        <v>9</v>
      </c>
      <c r="F204" s="105" t="s">
        <v>24</v>
      </c>
      <c r="G204" s="118" t="s">
        <v>101</v>
      </c>
      <c r="H204" s="106"/>
      <c r="I204" s="106"/>
      <c r="J204" s="105" t="s">
        <v>50</v>
      </c>
      <c r="K204" s="106" t="s">
        <v>27</v>
      </c>
      <c r="L204" s="155" t="s">
        <v>28</v>
      </c>
      <c r="M204" s="130" t="s">
        <v>100</v>
      </c>
      <c r="N204" s="161" t="s">
        <v>24</v>
      </c>
      <c r="O204" s="106" t="s">
        <v>62</v>
      </c>
      <c r="P204" s="73" t="s">
        <v>31</v>
      </c>
      <c r="Q204" s="189"/>
    </row>
    <row r="205" spans="1:17" ht="14.25" customHeight="1">
      <c r="A205" s="106" t="s">
        <v>42</v>
      </c>
      <c r="B205" s="105" t="s">
        <v>43</v>
      </c>
      <c r="C205" s="105" t="s">
        <v>44</v>
      </c>
      <c r="D205" s="105" t="s">
        <v>277</v>
      </c>
      <c r="E205" s="109">
        <v>9.1</v>
      </c>
      <c r="F205" s="105" t="s">
        <v>24</v>
      </c>
      <c r="G205" s="118" t="s">
        <v>107</v>
      </c>
      <c r="H205" s="106"/>
      <c r="I205" s="106"/>
      <c r="J205" s="105" t="s">
        <v>50</v>
      </c>
      <c r="K205" s="106" t="s">
        <v>27</v>
      </c>
      <c r="L205" s="155" t="s">
        <v>28</v>
      </c>
      <c r="M205" s="130" t="s">
        <v>102</v>
      </c>
      <c r="N205" s="161" t="s">
        <v>24</v>
      </c>
      <c r="O205" s="106" t="s">
        <v>62</v>
      </c>
      <c r="P205" s="80" t="s">
        <v>57</v>
      </c>
      <c r="Q205" s="188"/>
    </row>
    <row r="206" spans="1:17" ht="14.25" customHeight="1">
      <c r="A206" s="106" t="s">
        <v>42</v>
      </c>
      <c r="B206" s="105" t="s">
        <v>43</v>
      </c>
      <c r="C206" s="105" t="s">
        <v>44</v>
      </c>
      <c r="D206" s="105" t="s">
        <v>112</v>
      </c>
      <c r="E206" s="115">
        <v>9.1999999999999993</v>
      </c>
      <c r="F206" s="105" t="s">
        <v>24</v>
      </c>
      <c r="G206" s="118" t="s">
        <v>109</v>
      </c>
      <c r="H206" s="106"/>
      <c r="I206" s="106"/>
      <c r="J206" s="105" t="s">
        <v>50</v>
      </c>
      <c r="K206" s="106" t="s">
        <v>27</v>
      </c>
      <c r="L206" s="155" t="s">
        <v>28</v>
      </c>
      <c r="M206" s="130" t="s">
        <v>110</v>
      </c>
      <c r="N206" s="161" t="s">
        <v>24</v>
      </c>
      <c r="O206" s="106" t="s">
        <v>62</v>
      </c>
      <c r="P206" s="71" t="str">
        <f>IF(J206="Direct pull", "Yes", "No")</f>
        <v>Yes</v>
      </c>
      <c r="Q206" s="189"/>
    </row>
    <row r="207" spans="1:17" ht="14.25" customHeight="1">
      <c r="A207" s="106" t="s">
        <v>42</v>
      </c>
      <c r="B207" s="105" t="s">
        <v>43</v>
      </c>
      <c r="C207" s="105" t="s">
        <v>44</v>
      </c>
      <c r="D207" s="103"/>
      <c r="E207" s="115">
        <v>10.4</v>
      </c>
      <c r="F207" s="106" t="s">
        <v>81</v>
      </c>
      <c r="G207" s="264" t="s">
        <v>113</v>
      </c>
      <c r="H207" s="106"/>
      <c r="I207" s="106"/>
      <c r="J207" s="105" t="s">
        <v>50</v>
      </c>
      <c r="K207" s="106" t="s">
        <v>27</v>
      </c>
      <c r="L207" s="106" t="s">
        <v>28</v>
      </c>
      <c r="M207" s="149" t="s">
        <v>114</v>
      </c>
      <c r="N207" s="106" t="s">
        <v>81</v>
      </c>
      <c r="O207" s="106" t="s">
        <v>62</v>
      </c>
      <c r="P207" s="56" t="s">
        <v>31</v>
      </c>
      <c r="Q207" s="189"/>
    </row>
    <row r="208" spans="1:17" ht="14.25" customHeight="1">
      <c r="A208" s="106" t="s">
        <v>42</v>
      </c>
      <c r="B208" s="105" t="s">
        <v>43</v>
      </c>
      <c r="C208" s="105" t="s">
        <v>44</v>
      </c>
      <c r="D208" s="105" t="s">
        <v>121</v>
      </c>
      <c r="E208" s="109">
        <v>11</v>
      </c>
      <c r="F208" s="106" t="s">
        <v>81</v>
      </c>
      <c r="G208" s="118" t="s">
        <v>113</v>
      </c>
      <c r="H208" s="106"/>
      <c r="I208" s="106"/>
      <c r="J208" s="105" t="s">
        <v>50</v>
      </c>
      <c r="K208" s="106" t="s">
        <v>27</v>
      </c>
      <c r="L208" s="106" t="s">
        <v>28</v>
      </c>
      <c r="M208" s="149" t="s">
        <v>117</v>
      </c>
      <c r="N208" s="106" t="s">
        <v>81</v>
      </c>
      <c r="O208" s="106" t="s">
        <v>62</v>
      </c>
      <c r="P208" s="80" t="s">
        <v>57</v>
      </c>
      <c r="Q208" s="189"/>
    </row>
    <row r="209" spans="1:17" ht="14.25" customHeight="1">
      <c r="A209" s="106" t="s">
        <v>42</v>
      </c>
      <c r="B209" s="105" t="s">
        <v>43</v>
      </c>
      <c r="C209" s="105" t="s">
        <v>44</v>
      </c>
      <c r="D209" s="105" t="s">
        <v>128</v>
      </c>
      <c r="E209" s="109">
        <v>12</v>
      </c>
      <c r="F209" s="161" t="s">
        <v>81</v>
      </c>
      <c r="G209" s="243" t="s">
        <v>123</v>
      </c>
      <c r="H209" s="106"/>
      <c r="I209" s="106"/>
      <c r="J209" s="105" t="s">
        <v>50</v>
      </c>
      <c r="K209" s="106" t="s">
        <v>27</v>
      </c>
      <c r="L209" s="155" t="s">
        <v>28</v>
      </c>
      <c r="M209" s="130" t="s">
        <v>124</v>
      </c>
      <c r="N209" s="161" t="s">
        <v>81</v>
      </c>
      <c r="O209" s="106" t="s">
        <v>62</v>
      </c>
      <c r="P209" s="80" t="s">
        <v>57</v>
      </c>
      <c r="Q209" s="189"/>
    </row>
    <row r="210" spans="1:17" ht="14.25" customHeight="1">
      <c r="A210" s="106" t="s">
        <v>42</v>
      </c>
      <c r="B210" s="105" t="s">
        <v>43</v>
      </c>
      <c r="C210" s="105" t="s">
        <v>44</v>
      </c>
      <c r="D210" s="105" t="s">
        <v>130</v>
      </c>
      <c r="E210" s="109">
        <v>13.5</v>
      </c>
      <c r="F210" s="161" t="s">
        <v>81</v>
      </c>
      <c r="G210" s="118" t="s">
        <v>131</v>
      </c>
      <c r="H210" s="106"/>
      <c r="I210" s="106"/>
      <c r="J210" s="105" t="s">
        <v>50</v>
      </c>
      <c r="K210" s="106" t="s">
        <v>27</v>
      </c>
      <c r="L210" s="155" t="s">
        <v>28</v>
      </c>
      <c r="M210" s="130" t="s">
        <v>130</v>
      </c>
      <c r="N210" s="161" t="s">
        <v>81</v>
      </c>
      <c r="O210" s="106" t="s">
        <v>62</v>
      </c>
      <c r="P210" s="80" t="s">
        <v>57</v>
      </c>
      <c r="Q210" s="189"/>
    </row>
    <row r="211" spans="1:17" ht="14.25" customHeight="1">
      <c r="A211" s="106" t="s">
        <v>42</v>
      </c>
      <c r="B211" s="105" t="s">
        <v>43</v>
      </c>
      <c r="C211" s="105" t="s">
        <v>44</v>
      </c>
      <c r="D211" s="103"/>
      <c r="E211" s="115">
        <v>14.5</v>
      </c>
      <c r="F211" s="161" t="s">
        <v>81</v>
      </c>
      <c r="G211" s="118" t="s">
        <v>132</v>
      </c>
      <c r="H211" s="106"/>
      <c r="I211" s="106"/>
      <c r="J211" s="105" t="s">
        <v>50</v>
      </c>
      <c r="K211" s="106" t="s">
        <v>27</v>
      </c>
      <c r="L211" s="155" t="s">
        <v>28</v>
      </c>
      <c r="M211" s="130" t="s">
        <v>133</v>
      </c>
      <c r="N211" s="161" t="s">
        <v>81</v>
      </c>
      <c r="O211" s="106" t="s">
        <v>62</v>
      </c>
      <c r="P211" s="71" t="s">
        <v>31</v>
      </c>
      <c r="Q211" s="189"/>
    </row>
    <row r="212" spans="1:17" ht="14.25" customHeight="1">
      <c r="A212" s="106" t="s">
        <v>42</v>
      </c>
      <c r="B212" s="105" t="s">
        <v>43</v>
      </c>
      <c r="C212" s="105" t="s">
        <v>44</v>
      </c>
      <c r="D212" s="103"/>
      <c r="E212" s="115">
        <v>15.5</v>
      </c>
      <c r="F212" s="105" t="s">
        <v>24</v>
      </c>
      <c r="G212" s="118" t="s">
        <v>136</v>
      </c>
      <c r="H212" s="106"/>
      <c r="I212" s="106"/>
      <c r="J212" s="105" t="s">
        <v>50</v>
      </c>
      <c r="K212" s="106" t="s">
        <v>27</v>
      </c>
      <c r="L212" s="155" t="s">
        <v>28</v>
      </c>
      <c r="M212" s="130" t="s">
        <v>135</v>
      </c>
      <c r="N212" s="161" t="s">
        <v>24</v>
      </c>
      <c r="O212" s="106" t="s">
        <v>62</v>
      </c>
      <c r="P212" s="71" t="s">
        <v>31</v>
      </c>
      <c r="Q212" s="188"/>
    </row>
    <row r="213" spans="1:17" ht="14.25" customHeight="1">
      <c r="A213" s="106" t="s">
        <v>42</v>
      </c>
      <c r="B213" s="105" t="s">
        <v>43</v>
      </c>
      <c r="C213" s="105" t="s">
        <v>44</v>
      </c>
      <c r="D213" s="103"/>
      <c r="E213" s="115">
        <v>18.5</v>
      </c>
      <c r="F213" s="105" t="s">
        <v>24</v>
      </c>
      <c r="G213" s="118" t="s">
        <v>134</v>
      </c>
      <c r="H213" s="106"/>
      <c r="I213" s="106"/>
      <c r="J213" s="105" t="s">
        <v>50</v>
      </c>
      <c r="K213" s="106" t="s">
        <v>27</v>
      </c>
      <c r="L213" s="155" t="s">
        <v>28</v>
      </c>
      <c r="M213" s="130" t="s">
        <v>138</v>
      </c>
      <c r="N213" s="161" t="s">
        <v>24</v>
      </c>
      <c r="O213" s="106" t="s">
        <v>62</v>
      </c>
      <c r="P213" s="71" t="s">
        <v>31</v>
      </c>
      <c r="Q213" s="189"/>
    </row>
    <row r="214" spans="1:17" ht="14.25" customHeight="1">
      <c r="A214" s="106" t="s">
        <v>42</v>
      </c>
      <c r="B214" s="105" t="s">
        <v>43</v>
      </c>
      <c r="C214" s="105" t="s">
        <v>44</v>
      </c>
      <c r="D214" s="105" t="s">
        <v>146</v>
      </c>
      <c r="E214" s="109">
        <v>19.5</v>
      </c>
      <c r="F214" s="105" t="s">
        <v>24</v>
      </c>
      <c r="G214" s="118" t="s">
        <v>145</v>
      </c>
      <c r="H214" s="106"/>
      <c r="I214" s="106"/>
      <c r="J214" s="105" t="s">
        <v>50</v>
      </c>
      <c r="K214" s="106" t="s">
        <v>27</v>
      </c>
      <c r="L214" s="155" t="s">
        <v>28</v>
      </c>
      <c r="M214" s="130" t="s">
        <v>141</v>
      </c>
      <c r="N214" s="161" t="s">
        <v>24</v>
      </c>
      <c r="O214" s="106" t="s">
        <v>62</v>
      </c>
      <c r="P214" s="80" t="s">
        <v>57</v>
      </c>
      <c r="Q214" s="189"/>
    </row>
    <row r="215" spans="1:17" ht="14.25" customHeight="1">
      <c r="A215" s="106" t="s">
        <v>42</v>
      </c>
      <c r="B215" s="105" t="s">
        <v>43</v>
      </c>
      <c r="C215" s="105" t="s">
        <v>44</v>
      </c>
      <c r="D215" s="105" t="s">
        <v>149</v>
      </c>
      <c r="E215" s="109">
        <v>20.5</v>
      </c>
      <c r="F215" s="105" t="s">
        <v>24</v>
      </c>
      <c r="G215" s="118" t="s">
        <v>150</v>
      </c>
      <c r="H215" s="106"/>
      <c r="I215" s="106"/>
      <c r="J215" s="105" t="s">
        <v>50</v>
      </c>
      <c r="K215" s="106" t="s">
        <v>27</v>
      </c>
      <c r="L215" s="155" t="s">
        <v>28</v>
      </c>
      <c r="M215" s="130" t="s">
        <v>148</v>
      </c>
      <c r="N215" s="161" t="s">
        <v>24</v>
      </c>
      <c r="O215" s="106" t="s">
        <v>62</v>
      </c>
      <c r="P215" s="80" t="s">
        <v>57</v>
      </c>
      <c r="Q215" s="189"/>
    </row>
    <row r="216" spans="1:17" ht="14.25" customHeight="1">
      <c r="A216" s="106" t="s">
        <v>42</v>
      </c>
      <c r="B216" s="105" t="s">
        <v>43</v>
      </c>
      <c r="C216" s="105" t="s">
        <v>44</v>
      </c>
      <c r="D216" s="103"/>
      <c r="E216" s="115">
        <v>21.5</v>
      </c>
      <c r="F216" s="105" t="s">
        <v>24</v>
      </c>
      <c r="G216" s="118" t="s">
        <v>151</v>
      </c>
      <c r="H216" s="106"/>
      <c r="I216" s="106"/>
      <c r="J216" s="105" t="s">
        <v>50</v>
      </c>
      <c r="K216" s="106" t="s">
        <v>27</v>
      </c>
      <c r="L216" s="155" t="s">
        <v>28</v>
      </c>
      <c r="M216" s="130" t="s">
        <v>152</v>
      </c>
      <c r="N216" s="161" t="s">
        <v>24</v>
      </c>
      <c r="O216" s="106" t="s">
        <v>62</v>
      </c>
      <c r="P216" s="71" t="s">
        <v>31</v>
      </c>
      <c r="Q216" s="189"/>
    </row>
    <row r="217" spans="1:17" ht="14.25" customHeight="1">
      <c r="A217" s="106" t="s">
        <v>42</v>
      </c>
      <c r="B217" s="105" t="s">
        <v>43</v>
      </c>
      <c r="C217" s="105" t="s">
        <v>44</v>
      </c>
      <c r="D217" s="103"/>
      <c r="E217" s="115">
        <v>22.5</v>
      </c>
      <c r="F217" s="105" t="s">
        <v>24</v>
      </c>
      <c r="G217" s="118" t="s">
        <v>154</v>
      </c>
      <c r="H217" s="106"/>
      <c r="I217" s="106"/>
      <c r="J217" s="105" t="s">
        <v>50</v>
      </c>
      <c r="K217" s="106" t="s">
        <v>27</v>
      </c>
      <c r="L217" s="155" t="s">
        <v>28</v>
      </c>
      <c r="M217" s="130" t="s">
        <v>155</v>
      </c>
      <c r="N217" s="161" t="s">
        <v>24</v>
      </c>
      <c r="O217" s="106" t="s">
        <v>62</v>
      </c>
      <c r="P217" s="72" t="s">
        <v>31</v>
      </c>
      <c r="Q217" s="189"/>
    </row>
    <row r="218" spans="1:17" ht="14.25" customHeight="1">
      <c r="A218" s="106" t="s">
        <v>42</v>
      </c>
      <c r="B218" s="105" t="s">
        <v>43</v>
      </c>
      <c r="C218" s="105" t="s">
        <v>44</v>
      </c>
      <c r="D218" s="103"/>
      <c r="E218" s="115">
        <v>23.5</v>
      </c>
      <c r="F218" s="105" t="s">
        <v>24</v>
      </c>
      <c r="G218" s="118" t="s">
        <v>151</v>
      </c>
      <c r="H218" s="106"/>
      <c r="I218" s="106"/>
      <c r="J218" s="105" t="s">
        <v>50</v>
      </c>
      <c r="K218" s="106" t="s">
        <v>27</v>
      </c>
      <c r="L218" s="155" t="s">
        <v>28</v>
      </c>
      <c r="M218" s="130" t="s">
        <v>156</v>
      </c>
      <c r="N218" s="161" t="s">
        <v>24</v>
      </c>
      <c r="O218" s="106" t="s">
        <v>62</v>
      </c>
      <c r="P218" s="71" t="s">
        <v>31</v>
      </c>
      <c r="Q218" s="189"/>
    </row>
    <row r="219" spans="1:17" ht="14.25" customHeight="1">
      <c r="A219" s="106" t="s">
        <v>42</v>
      </c>
      <c r="B219" s="105" t="s">
        <v>43</v>
      </c>
      <c r="C219" s="105" t="s">
        <v>44</v>
      </c>
      <c r="D219" s="103"/>
      <c r="E219" s="115">
        <v>24.5</v>
      </c>
      <c r="F219" s="161" t="s">
        <v>81</v>
      </c>
      <c r="G219" s="118" t="s">
        <v>157</v>
      </c>
      <c r="H219" s="106"/>
      <c r="I219" s="106"/>
      <c r="J219" s="105" t="s">
        <v>50</v>
      </c>
      <c r="K219" s="106" t="s">
        <v>27</v>
      </c>
      <c r="L219" s="155" t="s">
        <v>28</v>
      </c>
      <c r="M219" s="130" t="s">
        <v>158</v>
      </c>
      <c r="N219" s="161" t="s">
        <v>81</v>
      </c>
      <c r="O219" s="106" t="s">
        <v>62</v>
      </c>
      <c r="P219" s="71" t="s">
        <v>31</v>
      </c>
      <c r="Q219" s="189"/>
    </row>
    <row r="220" spans="1:17" ht="14.25" customHeight="1">
      <c r="A220" s="106" t="s">
        <v>42</v>
      </c>
      <c r="B220" s="105" t="s">
        <v>43</v>
      </c>
      <c r="C220" s="105" t="s">
        <v>44</v>
      </c>
      <c r="D220" s="103"/>
      <c r="E220" s="115">
        <v>25.5</v>
      </c>
      <c r="F220" s="105" t="s">
        <v>24</v>
      </c>
      <c r="G220" s="118" t="s">
        <v>159</v>
      </c>
      <c r="H220" s="106"/>
      <c r="I220" s="106"/>
      <c r="J220" s="105" t="s">
        <v>50</v>
      </c>
      <c r="K220" s="106" t="s">
        <v>27</v>
      </c>
      <c r="L220" s="155" t="s">
        <v>28</v>
      </c>
      <c r="M220" s="130" t="s">
        <v>160</v>
      </c>
      <c r="N220" s="161" t="s">
        <v>24</v>
      </c>
      <c r="O220" s="106" t="s">
        <v>62</v>
      </c>
      <c r="P220" s="56" t="s">
        <v>31</v>
      </c>
      <c r="Q220" s="188"/>
    </row>
    <row r="221" spans="1:17" ht="14.25" customHeight="1">
      <c r="A221" s="106" t="s">
        <v>42</v>
      </c>
      <c r="B221" s="105" t="s">
        <v>43</v>
      </c>
      <c r="C221" s="105" t="s">
        <v>44</v>
      </c>
      <c r="D221" s="165" t="s">
        <v>23</v>
      </c>
      <c r="E221" s="115">
        <v>26.5</v>
      </c>
      <c r="F221" s="105" t="s">
        <v>24</v>
      </c>
      <c r="G221" s="118" t="s">
        <v>162</v>
      </c>
      <c r="H221" s="106"/>
      <c r="I221" s="106"/>
      <c r="J221" s="105" t="s">
        <v>50</v>
      </c>
      <c r="K221" s="106" t="s">
        <v>27</v>
      </c>
      <c r="L221" s="155" t="s">
        <v>28</v>
      </c>
      <c r="M221" s="130" t="s">
        <v>163</v>
      </c>
      <c r="N221" s="161" t="s">
        <v>67</v>
      </c>
      <c r="O221" s="106" t="s">
        <v>62</v>
      </c>
      <c r="P221" s="179" t="s">
        <v>57</v>
      </c>
      <c r="Q221" s="211" t="s">
        <v>164</v>
      </c>
    </row>
    <row r="222" spans="1:17" ht="14.25" customHeight="1">
      <c r="A222" s="106" t="s">
        <v>42</v>
      </c>
      <c r="B222" s="105" t="s">
        <v>43</v>
      </c>
      <c r="C222" s="105" t="s">
        <v>44</v>
      </c>
      <c r="D222" s="103"/>
      <c r="E222" s="109">
        <v>27.5</v>
      </c>
      <c r="F222" s="161" t="s">
        <v>81</v>
      </c>
      <c r="G222" s="118" t="s">
        <v>165</v>
      </c>
      <c r="H222" s="106"/>
      <c r="I222" s="106"/>
      <c r="J222" s="105" t="s">
        <v>50</v>
      </c>
      <c r="K222" s="106" t="s">
        <v>27</v>
      </c>
      <c r="L222" s="155" t="s">
        <v>28</v>
      </c>
      <c r="M222" s="130" t="s">
        <v>166</v>
      </c>
      <c r="N222" s="161" t="s">
        <v>81</v>
      </c>
      <c r="O222" s="106" t="s">
        <v>62</v>
      </c>
      <c r="P222" s="56" t="s">
        <v>31</v>
      </c>
      <c r="Q222" s="189"/>
    </row>
    <row r="223" spans="1:17" ht="14.25" customHeight="1">
      <c r="A223" s="106" t="s">
        <v>42</v>
      </c>
      <c r="B223" s="105" t="s">
        <v>43</v>
      </c>
      <c r="C223" s="105" t="s">
        <v>44</v>
      </c>
      <c r="D223" s="103"/>
      <c r="E223" s="115">
        <v>28.5</v>
      </c>
      <c r="F223" s="105" t="s">
        <v>24</v>
      </c>
      <c r="G223" s="118" t="s">
        <v>167</v>
      </c>
      <c r="H223" s="106"/>
      <c r="I223" s="106"/>
      <c r="J223" s="105" t="s">
        <v>50</v>
      </c>
      <c r="K223" s="106" t="s">
        <v>27</v>
      </c>
      <c r="L223" s="155" t="s">
        <v>28</v>
      </c>
      <c r="M223" s="130" t="s">
        <v>168</v>
      </c>
      <c r="N223" s="161" t="s">
        <v>24</v>
      </c>
      <c r="O223" s="106" t="s">
        <v>62</v>
      </c>
      <c r="P223" s="71" t="s">
        <v>31</v>
      </c>
      <c r="Q223" s="189"/>
    </row>
    <row r="224" spans="1:17" ht="14.25" customHeight="1">
      <c r="A224" s="106" t="s">
        <v>42</v>
      </c>
      <c r="B224" s="105" t="s">
        <v>43</v>
      </c>
      <c r="C224" s="105" t="s">
        <v>44</v>
      </c>
      <c r="D224" s="105" t="s">
        <v>176</v>
      </c>
      <c r="E224" s="109">
        <v>29</v>
      </c>
      <c r="F224" s="161" t="s">
        <v>81</v>
      </c>
      <c r="G224" s="164" t="s">
        <v>175</v>
      </c>
      <c r="H224" s="106"/>
      <c r="I224" s="106"/>
      <c r="J224" s="105" t="s">
        <v>50</v>
      </c>
      <c r="K224" s="106" t="s">
        <v>27</v>
      </c>
      <c r="L224" s="155" t="s">
        <v>28</v>
      </c>
      <c r="M224" s="130" t="s">
        <v>172</v>
      </c>
      <c r="N224" s="161" t="s">
        <v>81</v>
      </c>
      <c r="O224" s="106" t="s">
        <v>62</v>
      </c>
      <c r="P224" s="179" t="s">
        <v>57</v>
      </c>
      <c r="Q224" s="190"/>
    </row>
    <row r="225" spans="1:17" ht="14.25" customHeight="1">
      <c r="A225" s="106" t="s">
        <v>42</v>
      </c>
      <c r="B225" s="105" t="s">
        <v>43</v>
      </c>
      <c r="C225" s="105" t="s">
        <v>44</v>
      </c>
      <c r="D225" s="165" t="s">
        <v>23</v>
      </c>
      <c r="E225" s="117">
        <v>29.5</v>
      </c>
      <c r="F225" s="106" t="s">
        <v>67</v>
      </c>
      <c r="G225" s="118" t="s">
        <v>177</v>
      </c>
      <c r="H225" s="105"/>
      <c r="I225" s="106"/>
      <c r="J225" s="105" t="s">
        <v>50</v>
      </c>
      <c r="K225" s="106" t="s">
        <v>27</v>
      </c>
      <c r="L225" s="155" t="s">
        <v>28</v>
      </c>
      <c r="M225" s="130" t="s">
        <v>178</v>
      </c>
      <c r="N225" s="161" t="s">
        <v>24</v>
      </c>
      <c r="O225" s="161" t="s">
        <v>62</v>
      </c>
      <c r="P225" s="73" t="s">
        <v>57</v>
      </c>
      <c r="Q225" s="211" t="s">
        <v>164</v>
      </c>
    </row>
    <row r="226" spans="1:17" ht="14.25" customHeight="1">
      <c r="A226" s="106" t="s">
        <v>42</v>
      </c>
      <c r="B226" s="105" t="s">
        <v>43</v>
      </c>
      <c r="C226" s="105" t="s">
        <v>44</v>
      </c>
      <c r="D226" s="165" t="s">
        <v>23</v>
      </c>
      <c r="E226" s="105">
        <v>30.6</v>
      </c>
      <c r="F226" s="105" t="s">
        <v>24</v>
      </c>
      <c r="G226" s="105" t="s">
        <v>180</v>
      </c>
      <c r="H226" s="105"/>
      <c r="I226" s="105"/>
      <c r="J226" s="105" t="s">
        <v>50</v>
      </c>
      <c r="K226" s="106" t="s">
        <v>27</v>
      </c>
      <c r="L226" s="155" t="s">
        <v>28</v>
      </c>
      <c r="M226" s="130" t="s">
        <v>181</v>
      </c>
      <c r="N226" s="161" t="s">
        <v>24</v>
      </c>
      <c r="O226" s="106" t="s">
        <v>62</v>
      </c>
      <c r="P226" s="73" t="s">
        <v>57</v>
      </c>
      <c r="Q226" s="211" t="s">
        <v>164</v>
      </c>
    </row>
    <row r="227" spans="1:17" ht="14.25" customHeight="1">
      <c r="A227" s="106" t="s">
        <v>42</v>
      </c>
      <c r="B227" s="105" t="s">
        <v>43</v>
      </c>
      <c r="C227" s="105" t="s">
        <v>44</v>
      </c>
      <c r="D227" s="165" t="s">
        <v>23</v>
      </c>
      <c r="E227" s="109">
        <v>30.95</v>
      </c>
      <c r="F227" s="105" t="s">
        <v>24</v>
      </c>
      <c r="G227" s="118" t="s">
        <v>184</v>
      </c>
      <c r="H227" s="106"/>
      <c r="I227" s="106"/>
      <c r="J227" s="105" t="s">
        <v>50</v>
      </c>
      <c r="K227" s="106" t="s">
        <v>27</v>
      </c>
      <c r="L227" s="155" t="s">
        <v>28</v>
      </c>
      <c r="M227" s="130" t="s">
        <v>185</v>
      </c>
      <c r="N227" s="161" t="s">
        <v>24</v>
      </c>
      <c r="O227" s="106" t="s">
        <v>62</v>
      </c>
      <c r="P227" s="5" t="s">
        <v>57</v>
      </c>
      <c r="Q227" s="189" t="s">
        <v>196</v>
      </c>
    </row>
    <row r="228" spans="1:17" ht="14.25" customHeight="1">
      <c r="A228" s="106" t="s">
        <v>42</v>
      </c>
      <c r="B228" s="105" t="s">
        <v>43</v>
      </c>
      <c r="C228" s="105" t="s">
        <v>44</v>
      </c>
      <c r="D228" s="165" t="s">
        <v>23</v>
      </c>
      <c r="E228" s="105">
        <v>31.08</v>
      </c>
      <c r="F228" s="105" t="s">
        <v>24</v>
      </c>
      <c r="G228" s="105" t="s">
        <v>197</v>
      </c>
      <c r="H228" s="105"/>
      <c r="I228" s="105"/>
      <c r="J228" s="105" t="s">
        <v>50</v>
      </c>
      <c r="K228" s="106" t="s">
        <v>27</v>
      </c>
      <c r="L228" s="155" t="s">
        <v>28</v>
      </c>
      <c r="M228" s="130" t="s">
        <v>198</v>
      </c>
      <c r="N228" s="161" t="s">
        <v>24</v>
      </c>
      <c r="O228" s="106" t="s">
        <v>62</v>
      </c>
      <c r="P228" s="5" t="s">
        <v>57</v>
      </c>
      <c r="Q228" s="189" t="s">
        <v>196</v>
      </c>
    </row>
    <row r="229" spans="1:17" ht="14.25" customHeight="1">
      <c r="A229" s="106" t="s">
        <v>42</v>
      </c>
      <c r="B229" s="105" t="s">
        <v>43</v>
      </c>
      <c r="C229" s="105" t="s">
        <v>44</v>
      </c>
      <c r="D229" s="103"/>
      <c r="E229" s="105">
        <v>32.5</v>
      </c>
      <c r="F229" s="105" t="s">
        <v>24</v>
      </c>
      <c r="G229" s="105" t="s">
        <v>201</v>
      </c>
      <c r="H229" s="105"/>
      <c r="I229" s="105"/>
      <c r="J229" s="105" t="s">
        <v>50</v>
      </c>
      <c r="K229" s="105" t="s">
        <v>27</v>
      </c>
      <c r="L229" s="167" t="s">
        <v>28</v>
      </c>
      <c r="M229" s="130" t="s">
        <v>202</v>
      </c>
      <c r="N229" s="203" t="s">
        <v>67</v>
      </c>
      <c r="O229" s="105" t="s">
        <v>71</v>
      </c>
      <c r="P229" s="56" t="s">
        <v>31</v>
      </c>
      <c r="Q229" s="105"/>
    </row>
    <row r="230" spans="1:17" ht="14.25" customHeight="1">
      <c r="A230" s="106" t="s">
        <v>42</v>
      </c>
      <c r="B230" s="105" t="s">
        <v>43</v>
      </c>
      <c r="C230" s="105" t="s">
        <v>44</v>
      </c>
      <c r="D230" s="165" t="s">
        <v>23</v>
      </c>
      <c r="E230" s="115">
        <v>33.049999999999997</v>
      </c>
      <c r="F230" s="105" t="s">
        <v>24</v>
      </c>
      <c r="G230" s="118" t="s">
        <v>207</v>
      </c>
      <c r="H230" s="106"/>
      <c r="I230" s="106"/>
      <c r="J230" s="105" t="s">
        <v>50</v>
      </c>
      <c r="K230" s="106" t="s">
        <v>27</v>
      </c>
      <c r="L230" s="155" t="s">
        <v>28</v>
      </c>
      <c r="M230" s="130" t="s">
        <v>208</v>
      </c>
      <c r="N230" s="161" t="s">
        <v>24</v>
      </c>
      <c r="O230" s="106" t="s">
        <v>62</v>
      </c>
      <c r="P230" s="56" t="s">
        <v>57</v>
      </c>
      <c r="Q230" s="189" t="s">
        <v>196</v>
      </c>
    </row>
    <row r="231" spans="1:17" ht="14.25" customHeight="1">
      <c r="A231" s="106" t="s">
        <v>42</v>
      </c>
      <c r="B231" s="105" t="s">
        <v>43</v>
      </c>
      <c r="C231" s="105" t="s">
        <v>44</v>
      </c>
      <c r="D231" s="165" t="s">
        <v>23</v>
      </c>
      <c r="E231" s="115">
        <v>33.08</v>
      </c>
      <c r="F231" s="105" t="s">
        <v>24</v>
      </c>
      <c r="G231" s="105" t="s">
        <v>216</v>
      </c>
      <c r="H231" s="105"/>
      <c r="I231" s="105"/>
      <c r="J231" s="105" t="s">
        <v>50</v>
      </c>
      <c r="K231" s="106" t="s">
        <v>27</v>
      </c>
      <c r="L231" s="155" t="s">
        <v>28</v>
      </c>
      <c r="M231" s="130" t="s">
        <v>217</v>
      </c>
      <c r="N231" s="161" t="s">
        <v>24</v>
      </c>
      <c r="O231" s="106" t="s">
        <v>62</v>
      </c>
      <c r="P231" s="56" t="s">
        <v>57</v>
      </c>
      <c r="Q231" s="189" t="s">
        <v>196</v>
      </c>
    </row>
    <row r="232" spans="1:17" ht="14.25" customHeight="1">
      <c r="A232" s="106" t="s">
        <v>42</v>
      </c>
      <c r="B232" s="105" t="s">
        <v>43</v>
      </c>
      <c r="C232" s="105" t="s">
        <v>44</v>
      </c>
      <c r="D232" s="103"/>
      <c r="E232" s="115">
        <v>35.159999999999997</v>
      </c>
      <c r="F232" s="105" t="s">
        <v>24</v>
      </c>
      <c r="G232" s="118" t="s">
        <v>222</v>
      </c>
      <c r="H232" s="106"/>
      <c r="I232" s="106"/>
      <c r="J232" s="105" t="s">
        <v>50</v>
      </c>
      <c r="K232" s="106" t="s">
        <v>27</v>
      </c>
      <c r="L232" s="155" t="s">
        <v>28</v>
      </c>
      <c r="M232" s="130" t="s">
        <v>223</v>
      </c>
      <c r="N232" s="106" t="s">
        <v>24</v>
      </c>
      <c r="O232" s="106" t="s">
        <v>62</v>
      </c>
      <c r="P232" s="71" t="s">
        <v>31</v>
      </c>
      <c r="Q232" s="106"/>
    </row>
    <row r="233" spans="1:17" ht="14.25" customHeight="1">
      <c r="A233" s="106" t="s">
        <v>42</v>
      </c>
      <c r="B233" s="105" t="s">
        <v>43</v>
      </c>
      <c r="C233" s="105" t="s">
        <v>44</v>
      </c>
      <c r="D233" s="103"/>
      <c r="E233" s="115">
        <v>35.25</v>
      </c>
      <c r="F233" s="105" t="s">
        <v>24</v>
      </c>
      <c r="G233" s="118" t="s">
        <v>226</v>
      </c>
      <c r="H233" s="106"/>
      <c r="I233" s="106"/>
      <c r="J233" s="105" t="s">
        <v>50</v>
      </c>
      <c r="K233" s="106" t="s">
        <v>27</v>
      </c>
      <c r="L233" s="155" t="s">
        <v>28</v>
      </c>
      <c r="M233" s="130" t="s">
        <v>227</v>
      </c>
      <c r="N233" s="161" t="s">
        <v>24</v>
      </c>
      <c r="O233" s="106" t="s">
        <v>62</v>
      </c>
      <c r="P233" s="71" t="s">
        <v>31</v>
      </c>
      <c r="Q233" s="106"/>
    </row>
    <row r="234" spans="1:17" ht="14.25" customHeight="1">
      <c r="A234" s="106" t="s">
        <v>42</v>
      </c>
      <c r="B234" s="105" t="s">
        <v>43</v>
      </c>
      <c r="C234" s="105" t="s">
        <v>44</v>
      </c>
      <c r="D234" s="235" t="s">
        <v>161</v>
      </c>
      <c r="E234" s="115">
        <v>36.4</v>
      </c>
      <c r="F234" s="105" t="s">
        <v>81</v>
      </c>
      <c r="G234" s="105" t="s">
        <v>159</v>
      </c>
      <c r="H234" s="105"/>
      <c r="I234" s="105"/>
      <c r="J234" s="105" t="s">
        <v>50</v>
      </c>
      <c r="K234" s="105" t="s">
        <v>27</v>
      </c>
      <c r="L234" s="167" t="s">
        <v>28</v>
      </c>
      <c r="M234" s="130" t="s">
        <v>161</v>
      </c>
      <c r="N234" s="161" t="s">
        <v>67</v>
      </c>
      <c r="O234" s="106" t="s">
        <v>62</v>
      </c>
      <c r="P234" s="169" t="str">
        <f>IF(J234="Direct pull", "Yes", "No")</f>
        <v>Yes</v>
      </c>
      <c r="Q234" s="215"/>
    </row>
    <row r="235" spans="1:17" ht="14.25" customHeight="1">
      <c r="A235" s="106" t="s">
        <v>42</v>
      </c>
      <c r="B235" s="105" t="s">
        <v>43</v>
      </c>
      <c r="C235" s="105" t="s">
        <v>44</v>
      </c>
      <c r="D235" s="165" t="s">
        <v>23</v>
      </c>
      <c r="E235" s="115">
        <v>37.5</v>
      </c>
      <c r="F235" s="105" t="s">
        <v>24</v>
      </c>
      <c r="G235" s="118" t="s">
        <v>241</v>
      </c>
      <c r="H235" s="106"/>
      <c r="I235" s="106"/>
      <c r="J235" s="105" t="s">
        <v>50</v>
      </c>
      <c r="K235" s="106" t="s">
        <v>27</v>
      </c>
      <c r="L235" s="155" t="s">
        <v>28</v>
      </c>
      <c r="M235" s="130" t="s">
        <v>243</v>
      </c>
      <c r="N235" s="186" t="s">
        <v>24</v>
      </c>
      <c r="O235" s="106" t="s">
        <v>62</v>
      </c>
      <c r="P235" s="56" t="s">
        <v>57</v>
      </c>
      <c r="Q235" s="189" t="s">
        <v>196</v>
      </c>
    </row>
    <row r="236" spans="1:17" ht="14.25" customHeight="1">
      <c r="A236" s="106" t="s">
        <v>42</v>
      </c>
      <c r="B236" s="105" t="s">
        <v>43</v>
      </c>
      <c r="C236" s="105" t="s">
        <v>44</v>
      </c>
      <c r="D236" s="165" t="s">
        <v>23</v>
      </c>
      <c r="E236" s="115">
        <v>38.5</v>
      </c>
      <c r="F236" s="105" t="s">
        <v>24</v>
      </c>
      <c r="G236" s="118" t="s">
        <v>254</v>
      </c>
      <c r="H236" s="106"/>
      <c r="I236" s="106"/>
      <c r="J236" s="105" t="s">
        <v>50</v>
      </c>
      <c r="K236" s="106" t="s">
        <v>27</v>
      </c>
      <c r="L236" s="155" t="s">
        <v>28</v>
      </c>
      <c r="M236" s="130" t="s">
        <v>256</v>
      </c>
      <c r="N236" s="161" t="s">
        <v>24</v>
      </c>
      <c r="O236" s="106" t="s">
        <v>62</v>
      </c>
      <c r="P236" s="56" t="s">
        <v>57</v>
      </c>
      <c r="Q236" s="189" t="s">
        <v>196</v>
      </c>
    </row>
    <row r="237" spans="1:17" ht="14.25" customHeight="1">
      <c r="A237" s="106" t="s">
        <v>42</v>
      </c>
      <c r="B237" s="105" t="s">
        <v>43</v>
      </c>
      <c r="C237" s="105" t="s">
        <v>44</v>
      </c>
      <c r="D237" s="118" t="s">
        <v>257</v>
      </c>
      <c r="E237" s="115">
        <v>39.5</v>
      </c>
      <c r="F237" s="105" t="s">
        <v>24</v>
      </c>
      <c r="G237" s="118" t="s">
        <v>260</v>
      </c>
      <c r="H237" s="106"/>
      <c r="I237" s="106"/>
      <c r="J237" s="105" t="s">
        <v>50</v>
      </c>
      <c r="K237" s="106" t="s">
        <v>27</v>
      </c>
      <c r="L237" s="106" t="s">
        <v>28</v>
      </c>
      <c r="M237" s="130" t="s">
        <v>257</v>
      </c>
      <c r="N237" s="161" t="s">
        <v>24</v>
      </c>
      <c r="O237" s="161" t="s">
        <v>62</v>
      </c>
      <c r="P237" s="207" t="s">
        <v>57</v>
      </c>
      <c r="Q237" s="161"/>
    </row>
    <row r="238" spans="1:17" ht="14.25" customHeight="1">
      <c r="A238" s="106" t="s">
        <v>42</v>
      </c>
      <c r="B238" s="105" t="s">
        <v>43</v>
      </c>
      <c r="C238" s="105" t="s">
        <v>44</v>
      </c>
      <c r="D238" s="235" t="s">
        <v>263</v>
      </c>
      <c r="E238" s="115">
        <v>40.5</v>
      </c>
      <c r="F238" s="105" t="s">
        <v>24</v>
      </c>
      <c r="G238" s="118" t="s">
        <v>261</v>
      </c>
      <c r="H238" s="106"/>
      <c r="I238" s="106"/>
      <c r="J238" s="105" t="s">
        <v>50</v>
      </c>
      <c r="K238" s="106" t="s">
        <v>27</v>
      </c>
      <c r="L238" s="155" t="s">
        <v>28</v>
      </c>
      <c r="M238" s="130" t="s">
        <v>262</v>
      </c>
      <c r="N238" s="161" t="s">
        <v>24</v>
      </c>
      <c r="O238" s="106" t="s">
        <v>62</v>
      </c>
      <c r="P238" s="80" t="s">
        <v>57</v>
      </c>
      <c r="Q238" s="190"/>
    </row>
    <row r="239" spans="1:17" ht="14.25" customHeight="1">
      <c r="A239" s="106" t="s">
        <v>42</v>
      </c>
      <c r="B239" s="105" t="s">
        <v>43</v>
      </c>
      <c r="C239" s="105" t="s">
        <v>44</v>
      </c>
      <c r="D239" s="105" t="s">
        <v>267</v>
      </c>
      <c r="E239" s="109">
        <v>41.5</v>
      </c>
      <c r="F239" s="105" t="s">
        <v>24</v>
      </c>
      <c r="G239" s="118" t="s">
        <v>265</v>
      </c>
      <c r="H239" s="106"/>
      <c r="I239" s="106"/>
      <c r="J239" s="105" t="s">
        <v>50</v>
      </c>
      <c r="K239" s="106" t="s">
        <v>27</v>
      </c>
      <c r="L239" s="155" t="s">
        <v>28</v>
      </c>
      <c r="M239" s="130" t="s">
        <v>266</v>
      </c>
      <c r="N239" s="161" t="s">
        <v>24</v>
      </c>
      <c r="O239" s="106" t="s">
        <v>62</v>
      </c>
      <c r="P239" s="207" t="s">
        <v>57</v>
      </c>
      <c r="Q239" s="211"/>
    </row>
    <row r="240" spans="1:17" ht="14.25" customHeight="1">
      <c r="A240" s="106" t="s">
        <v>42</v>
      </c>
      <c r="B240" s="105" t="s">
        <v>43</v>
      </c>
      <c r="C240" s="105" t="s">
        <v>44</v>
      </c>
      <c r="D240" s="105" t="s">
        <v>270</v>
      </c>
      <c r="E240" s="109">
        <v>42.5</v>
      </c>
      <c r="F240" s="105" t="s">
        <v>24</v>
      </c>
      <c r="G240" s="118" t="s">
        <v>268</v>
      </c>
      <c r="H240" s="106"/>
      <c r="I240" s="106"/>
      <c r="J240" s="105" t="s">
        <v>271</v>
      </c>
      <c r="K240" s="106" t="s">
        <v>27</v>
      </c>
      <c r="L240" s="155" t="s">
        <v>28</v>
      </c>
      <c r="M240" s="130" t="s">
        <v>269</v>
      </c>
      <c r="N240" s="161" t="s">
        <v>24</v>
      </c>
      <c r="O240" s="106" t="s">
        <v>62</v>
      </c>
      <c r="P240" s="207" t="s">
        <v>57</v>
      </c>
      <c r="Q240" s="208"/>
    </row>
    <row r="241" spans="1:17" ht="14.25" customHeight="1">
      <c r="A241" s="106" t="s">
        <v>42</v>
      </c>
      <c r="B241" s="105" t="s">
        <v>43</v>
      </c>
      <c r="C241" s="105" t="s">
        <v>44</v>
      </c>
      <c r="D241" s="103"/>
      <c r="E241" s="115">
        <v>43.5</v>
      </c>
      <c r="F241" s="105" t="s">
        <v>24</v>
      </c>
      <c r="G241" s="118" t="s">
        <v>272</v>
      </c>
      <c r="H241" s="106"/>
      <c r="I241" s="106"/>
      <c r="J241" s="105" t="s">
        <v>50</v>
      </c>
      <c r="K241" s="106" t="s">
        <v>27</v>
      </c>
      <c r="L241" s="155" t="s">
        <v>28</v>
      </c>
      <c r="M241" s="130" t="s">
        <v>273</v>
      </c>
      <c r="N241" s="186" t="s">
        <v>67</v>
      </c>
      <c r="O241" s="148" t="s">
        <v>62</v>
      </c>
      <c r="P241" s="181" t="s">
        <v>31</v>
      </c>
      <c r="Q241" s="211"/>
    </row>
    <row r="242" spans="1:17" ht="14.25" customHeight="1">
      <c r="A242" s="126" t="s">
        <v>42</v>
      </c>
      <c r="B242" s="105" t="s">
        <v>43</v>
      </c>
      <c r="C242" s="105" t="s">
        <v>44</v>
      </c>
      <c r="D242" s="103"/>
      <c r="E242" s="115">
        <v>44.5</v>
      </c>
      <c r="F242" s="105" t="s">
        <v>24</v>
      </c>
      <c r="G242" s="248" t="s">
        <v>274</v>
      </c>
      <c r="H242" s="126"/>
      <c r="I242" s="126"/>
      <c r="J242" s="105" t="s">
        <v>50</v>
      </c>
      <c r="K242" s="126" t="s">
        <v>27</v>
      </c>
      <c r="L242" s="156" t="s">
        <v>28</v>
      </c>
      <c r="M242" s="130" t="s">
        <v>275</v>
      </c>
      <c r="N242" s="126" t="s">
        <v>24</v>
      </c>
      <c r="O242" s="205" t="s">
        <v>62</v>
      </c>
      <c r="P242" s="173" t="s">
        <v>31</v>
      </c>
      <c r="Q242" s="211"/>
    </row>
  </sheetData>
  <mergeCells count="3">
    <mergeCell ref="A1:G1"/>
    <mergeCell ref="H1:I1"/>
    <mergeCell ref="J1:Q1"/>
  </mergeCells>
  <conditionalFormatting sqref="P3:P50">
    <cfRule type="containsText" dxfId="70" priority="9" operator="containsText" text="Yes">
      <formula>NOT(ISERROR(SEARCH("Yes",P3)))</formula>
    </cfRule>
    <cfRule type="containsText" dxfId="69" priority="10" operator="containsText" text="No">
      <formula>NOT(ISERROR(SEARCH("No",P3)))</formula>
    </cfRule>
  </conditionalFormatting>
  <conditionalFormatting sqref="P51:P98">
    <cfRule type="containsText" dxfId="68" priority="7" operator="containsText" text="Yes">
      <formula>NOT(ISERROR(SEARCH("Yes",P51)))</formula>
    </cfRule>
    <cfRule type="containsText" dxfId="67" priority="8" operator="containsText" text="No">
      <formula>NOT(ISERROR(SEARCH("No",P51)))</formula>
    </cfRule>
  </conditionalFormatting>
  <conditionalFormatting sqref="P99:P146">
    <cfRule type="containsText" dxfId="66" priority="5" operator="containsText" text="Yes">
      <formula>NOT(ISERROR(SEARCH("Yes",P99)))</formula>
    </cfRule>
    <cfRule type="containsText" dxfId="65" priority="6" operator="containsText" text="No">
      <formula>NOT(ISERROR(SEARCH("No",P99)))</formula>
    </cfRule>
  </conditionalFormatting>
  <conditionalFormatting sqref="P147:P194">
    <cfRule type="containsText" dxfId="64" priority="3" operator="containsText" text="Yes">
      <formula>NOT(ISERROR(SEARCH("Yes",P147)))</formula>
    </cfRule>
    <cfRule type="containsText" dxfId="63" priority="4" operator="containsText" text="No">
      <formula>NOT(ISERROR(SEARCH("No",P147)))</formula>
    </cfRule>
  </conditionalFormatting>
  <conditionalFormatting sqref="P195:P242">
    <cfRule type="containsText" dxfId="62" priority="1" operator="containsText" text="Yes">
      <formula>NOT(ISERROR(SEARCH("Yes",P195)))</formula>
    </cfRule>
    <cfRule type="containsText" dxfId="61" priority="2" operator="containsText" text="No">
      <formula>NOT(ISERROR(SEARCH("No",P195)))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09114-C568-4D10-9F83-AF5AAB77F460}">
  <sheetPr codeName="Sheet5"/>
  <dimension ref="A1:I43"/>
  <sheetViews>
    <sheetView topLeftCell="G20" workbookViewId="0">
      <selection activeCell="L29" sqref="L29"/>
    </sheetView>
  </sheetViews>
  <sheetFormatPr defaultRowHeight="14.5"/>
  <cols>
    <col min="1" max="1" width="37.453125" bestFit="1" customWidth="1"/>
    <col min="2" max="2" width="32.453125" bestFit="1" customWidth="1"/>
    <col min="3" max="3" width="9.54296875" bestFit="1" customWidth="1"/>
    <col min="4" max="4" width="34.7265625" bestFit="1" customWidth="1"/>
    <col min="5" max="5" width="24.7265625" bestFit="1" customWidth="1"/>
    <col min="7" max="7" width="28.1796875" bestFit="1" customWidth="1"/>
    <col min="8" max="8" width="23.54296875" bestFit="1" customWidth="1"/>
  </cols>
  <sheetData>
    <row r="1" spans="1:9">
      <c r="A1" s="280" t="s">
        <v>20</v>
      </c>
      <c r="B1" s="280"/>
      <c r="C1" s="280"/>
      <c r="D1" s="280" t="s">
        <v>278</v>
      </c>
      <c r="E1" s="280"/>
      <c r="F1" s="280"/>
      <c r="G1" s="280" t="s">
        <v>35</v>
      </c>
      <c r="H1" s="280"/>
      <c r="I1" s="280"/>
    </row>
    <row r="2" spans="1:9">
      <c r="A2" s="63" t="s">
        <v>46</v>
      </c>
      <c r="B2" s="63" t="s">
        <v>279</v>
      </c>
      <c r="C2" s="63" t="s">
        <v>280</v>
      </c>
      <c r="D2" s="63" t="s">
        <v>46</v>
      </c>
      <c r="E2" s="63" t="s">
        <v>279</v>
      </c>
      <c r="F2" s="63" t="s">
        <v>280</v>
      </c>
      <c r="G2" s="63" t="s">
        <v>46</v>
      </c>
      <c r="H2" s="63" t="s">
        <v>279</v>
      </c>
      <c r="I2" s="63" t="s">
        <v>280</v>
      </c>
    </row>
    <row r="3" spans="1:9">
      <c r="A3" s="62" t="s">
        <v>47</v>
      </c>
      <c r="B3" s="62" t="s">
        <v>58</v>
      </c>
      <c r="C3" s="62" t="e">
        <f>IF(VLOOKUP(B3,#REF!,1,FALSE)=B3,"Found")</f>
        <v>#REF!</v>
      </c>
      <c r="D3" s="62" t="s">
        <v>52</v>
      </c>
      <c r="E3" s="62" t="s">
        <v>58</v>
      </c>
      <c r="F3" s="69" t="e">
        <f>IF(VLOOKUP(E3,#REF!,1,FALSE)=E3,"Found")</f>
        <v>#REF!</v>
      </c>
      <c r="G3" s="69" t="s">
        <v>47</v>
      </c>
      <c r="H3" s="62" t="s">
        <v>58</v>
      </c>
      <c r="I3" s="70" t="e">
        <f>IF(VLOOKUP(H3,#REF!,1,FALSE)=H3,"Found")</f>
        <v>#REF!</v>
      </c>
    </row>
    <row r="4" spans="1:9">
      <c r="A4" s="62" t="s">
        <v>102</v>
      </c>
      <c r="B4" s="62" t="s">
        <v>281</v>
      </c>
      <c r="C4" s="62" t="e">
        <f>IF(VLOOKUP(B4,#REF!,1,FALSE)=B4,"Found")</f>
        <v>#REF!</v>
      </c>
      <c r="D4" s="62" t="s">
        <v>104</v>
      </c>
      <c r="E4" s="62" t="s">
        <v>277</v>
      </c>
      <c r="F4" s="69" t="e">
        <f>IF(VLOOKUP(E4,#REF!,1,FALSE)=E4,"Found")</f>
        <v>#REF!</v>
      </c>
      <c r="G4" s="69" t="s">
        <v>102</v>
      </c>
      <c r="H4" s="62" t="s">
        <v>102</v>
      </c>
      <c r="I4" s="70" t="e">
        <f>IF(VLOOKUP(H4,#REF!,1,FALSE)=H4,"Found")</f>
        <v>#REF!</v>
      </c>
    </row>
    <row r="5" spans="1:9">
      <c r="A5" s="62" t="s">
        <v>65</v>
      </c>
      <c r="B5" s="62" t="s">
        <v>282</v>
      </c>
      <c r="C5" s="62" t="e">
        <f>IF(VLOOKUP(B5,#REF!,1,FALSE)=B5,"Found")</f>
        <v>#REF!</v>
      </c>
      <c r="D5" s="62" t="s">
        <v>63</v>
      </c>
      <c r="E5" s="62" t="s">
        <v>282</v>
      </c>
      <c r="F5" s="69" t="e">
        <f>IF(VLOOKUP(E5,#REF!,1,FALSE)=E5,"Found")</f>
        <v>#REF!</v>
      </c>
      <c r="G5" s="69" t="s">
        <v>65</v>
      </c>
      <c r="H5" s="62" t="s">
        <v>283</v>
      </c>
      <c r="I5" s="70" t="s">
        <v>284</v>
      </c>
    </row>
    <row r="6" spans="1:9">
      <c r="A6" s="62" t="s">
        <v>74</v>
      </c>
      <c r="B6" s="62" t="s">
        <v>76</v>
      </c>
      <c r="C6" s="62" t="e">
        <f>IF(VLOOKUP(B6,#REF!,1,FALSE)=B6,"Found")</f>
        <v>#REF!</v>
      </c>
      <c r="D6" s="62" t="s">
        <v>72</v>
      </c>
      <c r="E6" s="62" t="s">
        <v>76</v>
      </c>
      <c r="F6" s="69" t="e">
        <f>IF(VLOOKUP(E6,#REF!,1,FALSE)=E6,"Found")</f>
        <v>#REF!</v>
      </c>
      <c r="G6" s="69" t="s">
        <v>74</v>
      </c>
      <c r="H6" s="62" t="s">
        <v>76</v>
      </c>
      <c r="I6" s="70" t="e">
        <f>IF(VLOOKUP(H6,#REF!,1,FALSE)=H6,"Found")</f>
        <v>#REF!</v>
      </c>
    </row>
    <row r="7" spans="1:9">
      <c r="A7" s="62" t="s">
        <v>80</v>
      </c>
      <c r="B7" s="62" t="s">
        <v>87</v>
      </c>
      <c r="C7" s="62" t="e">
        <f>IF(VLOOKUP(B7,#REF!,1,FALSE)=B7,"Found")</f>
        <v>#REF!</v>
      </c>
      <c r="D7" s="62" t="s">
        <v>84</v>
      </c>
      <c r="E7" s="62" t="s">
        <v>87</v>
      </c>
      <c r="F7" s="69" t="e">
        <f>IF(VLOOKUP(E7,#REF!,1,FALSE)=E7,"Found")</f>
        <v>#REF!</v>
      </c>
      <c r="G7" s="69" t="s">
        <v>80</v>
      </c>
      <c r="H7" s="62" t="s">
        <v>87</v>
      </c>
      <c r="I7" s="70" t="e">
        <f>IF(VLOOKUP(H7,#REF!,1,FALSE)=H7,"Found")</f>
        <v>#REF!</v>
      </c>
    </row>
    <row r="8" spans="1:9">
      <c r="A8" s="62" t="s">
        <v>170</v>
      </c>
      <c r="B8" s="62" t="s">
        <v>176</v>
      </c>
      <c r="C8" s="62" t="e">
        <f>IF(VLOOKUP(B8,#REF!,1,FALSE)=B8,"Found")</f>
        <v>#REF!</v>
      </c>
      <c r="D8" s="62" t="s">
        <v>173</v>
      </c>
      <c r="E8" s="62" t="s">
        <v>176</v>
      </c>
      <c r="F8" s="69" t="e">
        <f>IF(VLOOKUP(E8,#REF!,1,FALSE)=E8,"Found")</f>
        <v>#REF!</v>
      </c>
      <c r="G8" s="69" t="s">
        <v>170</v>
      </c>
      <c r="H8" s="62" t="s">
        <v>176</v>
      </c>
      <c r="I8" s="70" t="e">
        <f>IF(VLOOKUP(H8,#REF!,1,FALSE)=H8,"Found")</f>
        <v>#REF!</v>
      </c>
    </row>
    <row r="9" spans="1:9">
      <c r="A9" s="62" t="s">
        <v>115</v>
      </c>
      <c r="B9" s="62" t="s">
        <v>285</v>
      </c>
      <c r="C9" s="62" t="e">
        <f>IF(VLOOKUP(B9,#REF!,1,FALSE)=B9,"Found")</f>
        <v>#REF!</v>
      </c>
      <c r="D9" s="62" t="s">
        <v>118</v>
      </c>
      <c r="E9" s="62" t="s">
        <v>285</v>
      </c>
      <c r="F9" s="69" t="e">
        <f>IF(VLOOKUP(E9,#REF!,1,FALSE)=E9,"Found")</f>
        <v>#REF!</v>
      </c>
      <c r="G9" s="69" t="s">
        <v>115</v>
      </c>
      <c r="H9" s="62" t="s">
        <v>285</v>
      </c>
      <c r="I9" s="70" t="e">
        <f>IF(VLOOKUP(H9,#REF!,1,FALSE)=H9,"Found")</f>
        <v>#REF!</v>
      </c>
    </row>
    <row r="10" spans="1:9">
      <c r="A10" s="62" t="s">
        <v>122</v>
      </c>
      <c r="B10" s="62" t="s">
        <v>128</v>
      </c>
      <c r="C10" s="62" t="e">
        <f>IF(VLOOKUP(B10,#REF!,1,FALSE)=B10,"Found")</f>
        <v>#REF!</v>
      </c>
      <c r="D10" s="62" t="s">
        <v>125</v>
      </c>
      <c r="E10" s="62" t="s">
        <v>128</v>
      </c>
      <c r="F10" s="69" t="e">
        <f>IF(VLOOKUP(E10,#REF!,1,FALSE)=E10,"Found")</f>
        <v>#REF!</v>
      </c>
      <c r="G10" s="69" t="s">
        <v>122</v>
      </c>
      <c r="H10" s="62" t="s">
        <v>128</v>
      </c>
      <c r="I10" s="70" t="e">
        <f>IF(VLOOKUP(H10,#REF!,1,FALSE)=H10,"Found")</f>
        <v>#REF!</v>
      </c>
    </row>
    <row r="11" spans="1:9">
      <c r="A11" s="62" t="s">
        <v>93</v>
      </c>
      <c r="B11" s="62" t="s">
        <v>286</v>
      </c>
      <c r="C11" s="62" t="e">
        <f>IF(VLOOKUP(B11,#REF!,1,FALSE)=B11,"Found")</f>
        <v>#REF!</v>
      </c>
      <c r="D11" s="62" t="s">
        <v>96</v>
      </c>
      <c r="E11" s="62" t="s">
        <v>286</v>
      </c>
      <c r="F11" s="69" t="e">
        <f>IF(VLOOKUP(E11,#REF!,1,FALSE)=E11,"Found")</f>
        <v>#REF!</v>
      </c>
      <c r="G11" s="69" t="s">
        <v>93</v>
      </c>
      <c r="H11" s="62" t="s">
        <v>286</v>
      </c>
      <c r="I11" s="70" t="e">
        <f>IF(VLOOKUP(H11,#REF!,1,FALSE)=H11,"Found")</f>
        <v>#REF!</v>
      </c>
    </row>
    <row r="12" spans="1:9">
      <c r="A12" s="62" t="s">
        <v>111</v>
      </c>
      <c r="B12" s="62" t="s">
        <v>281</v>
      </c>
      <c r="C12" s="62" t="e">
        <f>IF(VLOOKUP(B12,#REF!,1,FALSE)=B12,"Found")</f>
        <v>#REF!</v>
      </c>
      <c r="D12" s="62" t="s">
        <v>182</v>
      </c>
      <c r="E12" s="62" t="s">
        <v>287</v>
      </c>
      <c r="F12" s="69" t="e">
        <f>IF(VLOOKUP(E12,#REF!,1,FALSE)=E12,"Found")</f>
        <v>#REF!</v>
      </c>
      <c r="G12" s="69" t="s">
        <v>111</v>
      </c>
      <c r="H12" s="62" t="s">
        <v>281</v>
      </c>
      <c r="I12" s="70" t="e">
        <f>IF(VLOOKUP(H12,#REF!,1,FALSE)=H12,"Found")</f>
        <v>#REF!</v>
      </c>
    </row>
    <row r="13" spans="1:9">
      <c r="A13" s="62" t="s">
        <v>179</v>
      </c>
      <c r="B13" s="62" t="s">
        <v>287</v>
      </c>
      <c r="C13" s="62" t="e">
        <f>IF(VLOOKUP(B13,#REF!,1,FALSE)=B13,"Found")</f>
        <v>#REF!</v>
      </c>
      <c r="D13" s="58" t="s">
        <v>259</v>
      </c>
      <c r="E13" s="58" t="s">
        <v>288</v>
      </c>
      <c r="F13" s="69" t="e">
        <f>IF(VLOOKUP(E13,#REF!,1,FALSE)=E13,"Found")</f>
        <v>#REF!</v>
      </c>
      <c r="G13" s="69" t="s">
        <v>179</v>
      </c>
      <c r="H13" s="62" t="s">
        <v>287</v>
      </c>
      <c r="I13" s="70" t="e">
        <f>IF(VLOOKUP(H13,#REF!,1,FALSE)=H13,"Found")</f>
        <v>#REF!</v>
      </c>
    </row>
    <row r="14" spans="1:9">
      <c r="A14" s="58" t="s">
        <v>257</v>
      </c>
      <c r="B14" s="58" t="s">
        <v>288</v>
      </c>
      <c r="C14" s="62" t="e">
        <f>IF(VLOOKUP(B14,#REF!,1,FALSE)=B14,"Found")</f>
        <v>#REF!</v>
      </c>
      <c r="D14" s="62" t="s">
        <v>142</v>
      </c>
      <c r="E14" s="62" t="s">
        <v>289</v>
      </c>
      <c r="F14" s="69" t="s">
        <v>284</v>
      </c>
      <c r="G14" s="69" t="s">
        <v>257</v>
      </c>
      <c r="H14" s="62" t="s">
        <v>257</v>
      </c>
      <c r="I14" s="70" t="e">
        <f>IF(VLOOKUP(H14,#REF!,1,FALSE)=H14,"Found")</f>
        <v>#REF!</v>
      </c>
    </row>
    <row r="15" spans="1:9">
      <c r="A15" s="62" t="s">
        <v>183</v>
      </c>
      <c r="B15" s="62" t="s">
        <v>290</v>
      </c>
      <c r="C15" s="62" t="e">
        <f>IF(VLOOKUP(B15,#REF!,1,FALSE)=B15,"Found")</f>
        <v>#REF!</v>
      </c>
      <c r="D15" s="62" t="s">
        <v>234</v>
      </c>
      <c r="E15" s="62" t="s">
        <v>291</v>
      </c>
      <c r="F15" s="69" t="e">
        <f>IF(VLOOKUP(E15,#REF!,1,FALSE)=E15,"Found")</f>
        <v>#REF!</v>
      </c>
      <c r="G15" s="69" t="s">
        <v>139</v>
      </c>
      <c r="H15" s="62" t="s">
        <v>292</v>
      </c>
      <c r="I15" s="70" t="s">
        <v>284</v>
      </c>
    </row>
    <row r="16" spans="1:9">
      <c r="A16" s="62" t="s">
        <v>139</v>
      </c>
      <c r="B16" s="62" t="s">
        <v>293</v>
      </c>
      <c r="C16" s="62" t="e">
        <f>IF(VLOOKUP(B16,#REF!,1,FALSE)=B16,"Found")</f>
        <v>#REF!</v>
      </c>
      <c r="D16" s="62" t="s">
        <v>187</v>
      </c>
      <c r="E16" s="62" t="s">
        <v>290</v>
      </c>
      <c r="F16" s="69" t="e">
        <f>IF(VLOOKUP(E16,#REF!,1,FALSE)=E16,"Found")</f>
        <v>#REF!</v>
      </c>
      <c r="G16" s="24"/>
      <c r="H16" s="62" t="s">
        <v>291</v>
      </c>
      <c r="I16" s="70" t="e">
        <f>IF(VLOOKUP(H16,#REF!,1,FALSE)=H16,"Found")</f>
        <v>#REF!</v>
      </c>
    </row>
    <row r="17" spans="1:9">
      <c r="A17" s="62" t="s">
        <v>232</v>
      </c>
      <c r="B17" s="62" t="s">
        <v>291</v>
      </c>
      <c r="C17" s="62" t="e">
        <f>IF(VLOOKUP(B17,#REF!,1,FALSE)=B17,"Found")</f>
        <v>#REF!</v>
      </c>
      <c r="D17" s="62" t="s">
        <v>209</v>
      </c>
      <c r="E17" s="62" t="s">
        <v>294</v>
      </c>
      <c r="F17" s="69" t="e">
        <f>IF(VLOOKUP(E17,#REF!,1,FALSE)=E17,"Found")</f>
        <v>#REF!</v>
      </c>
      <c r="G17" s="69" t="s">
        <v>192</v>
      </c>
      <c r="H17" s="62" t="s">
        <v>290</v>
      </c>
      <c r="I17" s="70" t="e">
        <f>IF(VLOOKUP(H17,#REF!,1,FALSE)=H17,"Found")</f>
        <v>#REF!</v>
      </c>
    </row>
    <row r="18" spans="1:9">
      <c r="A18" s="62" t="s">
        <v>240</v>
      </c>
      <c r="B18" s="62" t="s">
        <v>295</v>
      </c>
      <c r="C18" s="62" t="e">
        <f>IF(VLOOKUP(B18,#REF!,1,FALSE)=B18,"Found")</f>
        <v>#REF!</v>
      </c>
      <c r="D18" s="62" t="s">
        <v>219</v>
      </c>
      <c r="E18" s="62" t="s">
        <v>296</v>
      </c>
      <c r="F18" s="69" t="e">
        <f>IF(VLOOKUP(E18,#REF!,1,FALSE)=E18,"Found")</f>
        <v>#REF!</v>
      </c>
      <c r="G18" s="69" t="s">
        <v>248</v>
      </c>
      <c r="H18" s="62" t="s">
        <v>295</v>
      </c>
      <c r="I18" s="70" t="e">
        <f>IF(VLOOKUP(H18,#REF!,1,FALSE)=H18,"Found")</f>
        <v>#REF!</v>
      </c>
    </row>
    <row r="19" spans="1:9">
      <c r="A19" s="62" t="s">
        <v>206</v>
      </c>
      <c r="B19" s="62" t="s">
        <v>294</v>
      </c>
      <c r="C19" s="62" t="e">
        <f>IF(VLOOKUP(B19,#REF!,1,FALSE)=B19,"Found")</f>
        <v>#REF!</v>
      </c>
      <c r="D19" s="62" t="s">
        <v>245</v>
      </c>
      <c r="E19" s="62" t="s">
        <v>295</v>
      </c>
      <c r="F19" s="69" t="e">
        <f>IF(VLOOKUP(E19,#REF!,1,FALSE)=E19,"Found")</f>
        <v>#REF!</v>
      </c>
      <c r="G19" s="69" t="s">
        <v>211</v>
      </c>
      <c r="H19" s="62" t="s">
        <v>294</v>
      </c>
      <c r="I19" s="70" t="e">
        <f>IF(VLOOKUP(H19,#REF!,1,FALSE)=H19,"Found")</f>
        <v>#REF!</v>
      </c>
    </row>
    <row r="20" spans="1:9">
      <c r="A20" s="62" t="s">
        <v>215</v>
      </c>
      <c r="B20" s="62" t="s">
        <v>296</v>
      </c>
      <c r="C20" s="62" t="e">
        <f>IF(VLOOKUP(B20,#REF!,1,FALSE)=B20,"Found")</f>
        <v>#REF!</v>
      </c>
      <c r="D20" s="65" t="s">
        <v>203</v>
      </c>
      <c r="E20" s="62" t="s">
        <v>297</v>
      </c>
      <c r="F20" s="69" t="e">
        <f>IF(VLOOKUP(E20,#REF!,1,FALSE)=E20,"Found")</f>
        <v>#REF!</v>
      </c>
      <c r="G20" s="69" t="s">
        <v>221</v>
      </c>
      <c r="H20" s="62" t="s">
        <v>296</v>
      </c>
      <c r="I20" s="70" t="e">
        <f>IF(VLOOKUP(H20,#REF!,1,FALSE)=H20,"Found")</f>
        <v>#REF!</v>
      </c>
    </row>
    <row r="21" spans="1:9">
      <c r="A21" s="65" t="s">
        <v>298</v>
      </c>
      <c r="B21" s="62" t="s">
        <v>297</v>
      </c>
      <c r="C21" s="62" t="e">
        <f>IF(VLOOKUP(B21,#REF!,1,FALSE)=B21,"Found")</f>
        <v>#REF!</v>
      </c>
      <c r="G21" s="69" t="s">
        <v>229</v>
      </c>
      <c r="H21" s="62" t="s">
        <v>299</v>
      </c>
      <c r="I21" s="70" t="e">
        <f>IF(VLOOKUP(H21,#REF!,1,FALSE)=H21,"Found")</f>
        <v>#REF!</v>
      </c>
    </row>
    <row r="22" spans="1:9">
      <c r="G22" s="24"/>
      <c r="H22" s="62" t="s">
        <v>202</v>
      </c>
      <c r="I22" s="70" t="e">
        <f>IF(VLOOKUP(H22,#REF!,1,FALSE)=H22,"Found")</f>
        <v>#REF!</v>
      </c>
    </row>
    <row r="24" spans="1:9">
      <c r="A24" s="22" t="s">
        <v>47</v>
      </c>
      <c r="B24" s="17" t="s">
        <v>58</v>
      </c>
      <c r="C24" t="str">
        <f>IF(VLOOKUP(B24,$H$3:$H$22,1,FALSE)=B24,"Found")</f>
        <v>Found</v>
      </c>
    </row>
    <row r="25" spans="1:9">
      <c r="A25" s="22" t="s">
        <v>74</v>
      </c>
      <c r="B25" s="17" t="s">
        <v>76</v>
      </c>
      <c r="C25" t="str">
        <f t="shared" ref="C25:C43" si="0">IF(VLOOKUP(B25,$H$3:$H$22,1,FALSE)=B25,"Found")</f>
        <v>Found</v>
      </c>
    </row>
    <row r="26" spans="1:9">
      <c r="A26" s="22" t="s">
        <v>80</v>
      </c>
      <c r="B26" s="17" t="s">
        <v>87</v>
      </c>
      <c r="C26" t="str">
        <f t="shared" si="0"/>
        <v>Found</v>
      </c>
    </row>
    <row r="27" spans="1:9">
      <c r="A27" s="22" t="s">
        <v>65</v>
      </c>
      <c r="B27" s="17" t="s">
        <v>283</v>
      </c>
      <c r="C27" t="str">
        <f t="shared" si="0"/>
        <v>Found</v>
      </c>
    </row>
    <row r="28" spans="1:9">
      <c r="A28" s="22" t="s">
        <v>170</v>
      </c>
      <c r="B28" s="17" t="s">
        <v>176</v>
      </c>
      <c r="C28" t="str">
        <f t="shared" si="0"/>
        <v>Found</v>
      </c>
    </row>
    <row r="29" spans="1:9">
      <c r="A29" s="22" t="s">
        <v>93</v>
      </c>
      <c r="B29" s="17" t="s">
        <v>286</v>
      </c>
      <c r="C29" t="str">
        <f t="shared" si="0"/>
        <v>Found</v>
      </c>
    </row>
    <row r="30" spans="1:9">
      <c r="A30" s="22" t="s">
        <v>115</v>
      </c>
      <c r="B30" s="67" t="s">
        <v>285</v>
      </c>
      <c r="C30" t="str">
        <f t="shared" si="0"/>
        <v>Found</v>
      </c>
    </row>
    <row r="31" spans="1:9">
      <c r="A31" s="22" t="s">
        <v>122</v>
      </c>
      <c r="B31" s="17" t="s">
        <v>124</v>
      </c>
      <c r="C31" t="str">
        <f t="shared" si="0"/>
        <v>Found</v>
      </c>
    </row>
    <row r="32" spans="1:9">
      <c r="A32" s="22" t="s">
        <v>102</v>
      </c>
      <c r="B32" s="17" t="s">
        <v>281</v>
      </c>
      <c r="C32" t="str">
        <f t="shared" si="0"/>
        <v>Found</v>
      </c>
    </row>
    <row r="33" spans="1:3">
      <c r="A33" s="56" t="s">
        <v>298</v>
      </c>
      <c r="B33" s="17" t="s">
        <v>297</v>
      </c>
      <c r="C33" t="str">
        <f t="shared" si="0"/>
        <v>Found</v>
      </c>
    </row>
    <row r="34" spans="1:3">
      <c r="A34" s="22" t="s">
        <v>139</v>
      </c>
      <c r="B34" s="17" t="s">
        <v>292</v>
      </c>
      <c r="C34" t="str">
        <f t="shared" si="0"/>
        <v>Found</v>
      </c>
    </row>
    <row r="35" spans="1:3">
      <c r="A35" s="24"/>
      <c r="B35" s="60" t="s">
        <v>300</v>
      </c>
      <c r="C35" t="e">
        <f t="shared" si="0"/>
        <v>#N/A</v>
      </c>
    </row>
    <row r="36" spans="1:3">
      <c r="A36" s="22" t="s">
        <v>179</v>
      </c>
      <c r="B36" s="17" t="s">
        <v>301</v>
      </c>
      <c r="C36" t="s">
        <v>284</v>
      </c>
    </row>
    <row r="37" spans="1:3">
      <c r="A37" s="22" t="s">
        <v>192</v>
      </c>
      <c r="B37" s="17" t="s">
        <v>290</v>
      </c>
      <c r="C37" t="str">
        <f t="shared" si="0"/>
        <v>Found</v>
      </c>
    </row>
    <row r="38" spans="1:3">
      <c r="A38" s="5" t="s">
        <v>211</v>
      </c>
      <c r="B38" s="59" t="s">
        <v>294</v>
      </c>
      <c r="C38" t="str">
        <f t="shared" si="0"/>
        <v>Found</v>
      </c>
    </row>
    <row r="39" spans="1:3">
      <c r="A39" s="64" t="s">
        <v>221</v>
      </c>
      <c r="B39" s="59" t="s">
        <v>296</v>
      </c>
      <c r="C39" t="str">
        <f t="shared" si="0"/>
        <v>Found</v>
      </c>
    </row>
    <row r="40" spans="1:3">
      <c r="A40" s="64" t="s">
        <v>229</v>
      </c>
      <c r="B40" s="17" t="s">
        <v>299</v>
      </c>
      <c r="C40" t="str">
        <f t="shared" si="0"/>
        <v>Found</v>
      </c>
    </row>
    <row r="41" spans="1:3">
      <c r="A41" s="56" t="s">
        <v>298</v>
      </c>
      <c r="B41" s="17" t="s">
        <v>291</v>
      </c>
      <c r="C41" t="str">
        <f t="shared" si="0"/>
        <v>Found</v>
      </c>
    </row>
    <row r="42" spans="1:3">
      <c r="A42" s="22" t="s">
        <v>248</v>
      </c>
      <c r="B42" s="17" t="s">
        <v>302</v>
      </c>
      <c r="C42" t="s">
        <v>284</v>
      </c>
    </row>
    <row r="43" spans="1:3">
      <c r="A43" s="64" t="s">
        <v>257</v>
      </c>
      <c r="B43" s="59" t="s">
        <v>257</v>
      </c>
      <c r="C43" t="str">
        <f t="shared" si="0"/>
        <v>Found</v>
      </c>
    </row>
  </sheetData>
  <mergeCells count="3">
    <mergeCell ref="A1:C1"/>
    <mergeCell ref="D1:F1"/>
    <mergeCell ref="G1:I1"/>
  </mergeCells>
  <conditionalFormatting sqref="A3:A15">
    <cfRule type="duplicateValues" dxfId="60" priority="18"/>
  </conditionalFormatting>
  <conditionalFormatting sqref="C3:C21">
    <cfRule type="containsText" dxfId="59" priority="11" operator="containsText" text="Found">
      <formula>NOT(ISERROR(SEARCH("Found",C3)))</formula>
    </cfRule>
  </conditionalFormatting>
  <conditionalFormatting sqref="F3:F20">
    <cfRule type="containsText" dxfId="58" priority="10" operator="containsText" text="Found">
      <formula>NOT(ISERROR(SEARCH("Found",F3)))</formula>
    </cfRule>
  </conditionalFormatting>
  <conditionalFormatting sqref="I3:I22">
    <cfRule type="containsText" dxfId="57" priority="9" operator="containsText" text="Found">
      <formula>NOT(ISERROR(SEARCH("Found",I3)))</formula>
    </cfRule>
  </conditionalFormatting>
  <conditionalFormatting sqref="A33">
    <cfRule type="duplicateValues" dxfId="56" priority="6"/>
  </conditionalFormatting>
  <conditionalFormatting sqref="A41">
    <cfRule type="duplicateValues" dxfId="55" priority="5"/>
  </conditionalFormatting>
  <conditionalFormatting sqref="A42 A36:A37 A24:A32 A34">
    <cfRule type="duplicateValues" dxfId="54" priority="7"/>
  </conditionalFormatting>
  <conditionalFormatting sqref="A35">
    <cfRule type="duplicateValues" dxfId="53" priority="8"/>
  </conditionalFormatting>
  <conditionalFormatting sqref="B24:B34 B36:B43">
    <cfRule type="containsText" dxfId="52" priority="3" operator="containsText" text="Found">
      <formula>NOT(ISERROR(SEARCH("Found",B24)))</formula>
    </cfRule>
    <cfRule type="containsText" dxfId="51" priority="4" operator="containsText" text="Gap">
      <formula>NOT(ISERROR(SEARCH("Gap",B24)))</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933CC-6F52-428A-8952-E5717C356660}">
  <sheetPr codeName="Sheet4"/>
  <dimension ref="A1:Q47"/>
  <sheetViews>
    <sheetView topLeftCell="O31" zoomScale="70" zoomScaleNormal="70" workbookViewId="0">
      <selection activeCell="A36" sqref="A36:XFD36"/>
    </sheetView>
  </sheetViews>
  <sheetFormatPr defaultRowHeight="15" customHeight="1" outlineLevelCol="1"/>
  <cols>
    <col min="1" max="1" width="46.1796875" bestFit="1" customWidth="1"/>
    <col min="2" max="2" width="35.26953125" customWidth="1"/>
    <col min="3" max="3" width="16.1796875" customWidth="1" outlineLevel="1"/>
    <col min="4" max="4" width="39.81640625" customWidth="1" outlineLevel="1"/>
    <col min="5" max="5" width="28.81640625" customWidth="1" outlineLevel="1"/>
    <col min="6" max="6" width="48.54296875" customWidth="1" outlineLevel="1"/>
    <col min="7" max="7" width="42.7265625" customWidth="1" outlineLevel="1"/>
    <col min="8" max="9" width="43.1796875" customWidth="1" outlineLevel="1"/>
    <col min="10" max="10" width="13.54296875" customWidth="1" outlineLevel="1"/>
    <col min="11" max="11" width="12.453125" customWidth="1" outlineLevel="1"/>
    <col min="12" max="13" width="10.54296875" customWidth="1" outlineLevel="1"/>
    <col min="14" max="14" width="31.81640625" customWidth="1"/>
    <col min="15" max="15" width="27.7265625" bestFit="1" customWidth="1"/>
    <col min="16" max="16" width="32.453125" bestFit="1" customWidth="1"/>
    <col min="17" max="17" width="32.453125" customWidth="1"/>
    <col min="18" max="18" width="35.7265625" customWidth="1"/>
    <col min="19" max="19" width="10.81640625" bestFit="1" customWidth="1"/>
    <col min="21" max="21" width="27.453125" customWidth="1"/>
  </cols>
  <sheetData>
    <row r="1" spans="1:17" ht="14.5">
      <c r="A1" s="16" t="s">
        <v>46</v>
      </c>
      <c r="B1" s="16" t="s">
        <v>303</v>
      </c>
      <c r="C1" s="281" t="s">
        <v>304</v>
      </c>
      <c r="D1" s="280"/>
      <c r="E1" s="280"/>
      <c r="F1" s="15" t="s">
        <v>35</v>
      </c>
      <c r="G1" s="15" t="s">
        <v>278</v>
      </c>
      <c r="H1" s="15" t="s">
        <v>20</v>
      </c>
      <c r="I1" s="15" t="s">
        <v>42</v>
      </c>
      <c r="J1" s="15" t="s">
        <v>35</v>
      </c>
      <c r="K1" s="15" t="s">
        <v>278</v>
      </c>
      <c r="L1" s="15" t="s">
        <v>20</v>
      </c>
      <c r="M1" s="87" t="s">
        <v>42</v>
      </c>
      <c r="N1" s="282" t="s">
        <v>303</v>
      </c>
      <c r="O1" s="283"/>
      <c r="P1" s="283"/>
      <c r="Q1" s="284"/>
    </row>
    <row r="2" spans="1:17" ht="14.5">
      <c r="A2" s="18" t="s">
        <v>263</v>
      </c>
      <c r="B2" s="51" t="s">
        <v>262</v>
      </c>
      <c r="C2" s="5" t="str">
        <f>HLOOKUP(A2,'ORMS Extract'!$A$1:$CK$3395,100,FALSE)</f>
        <v>/ABSA Group Limited/Africa Region Operations/Mauritius/Enterprise Functions/Risk/BBS</v>
      </c>
      <c r="D2" s="5" t="str">
        <f>HLOOKUP(A2,'ORMS Extract'!$A$1:$CK$3395,2500,FALSE)</f>
        <v>/ABSA Group Limited/South Africa/South Africa/Retail and Business Banking/Customer Value Management/Advanced Analytics and Insights</v>
      </c>
      <c r="E2" s="5" t="str">
        <f>HLOOKUP(A2,'ORMS Extract'!$A$1:$CK$3395,3000,FALSE)</f>
        <v>/ABSA Group Limited/Africa Region Operations/Tanzania (NBC)/Enterprise Functions/Finance/Planning &amp; Reporting</v>
      </c>
      <c r="F2" s="5"/>
      <c r="G2" s="5"/>
      <c r="H2" s="5"/>
      <c r="I2" s="5"/>
      <c r="J2" s="17" t="str">
        <f>IF(F2=0, "Gap", "Found")</f>
        <v>Gap</v>
      </c>
      <c r="K2" s="17" t="str">
        <f t="shared" ref="K2:L2" si="0">IF(G2=0, "Gap", "Found")</f>
        <v>Gap</v>
      </c>
      <c r="L2" s="86" t="str">
        <f t="shared" si="0"/>
        <v>Gap</v>
      </c>
      <c r="M2" s="83" t="str">
        <f>IF(I2=0, "Gap","Found")</f>
        <v>Gap</v>
      </c>
      <c r="N2" s="83"/>
      <c r="O2" s="83"/>
      <c r="P2" s="83"/>
      <c r="Q2" s="83"/>
    </row>
    <row r="3" spans="1:17" ht="14.5">
      <c r="A3" s="19" t="s">
        <v>267</v>
      </c>
      <c r="B3" s="52" t="s">
        <v>266</v>
      </c>
      <c r="C3" s="5" t="str">
        <f>HLOOKUP(A3,'ORMS Extract'!$A$1:$CK$3395,100,FALSE)</f>
        <v>Business Entities</v>
      </c>
      <c r="D3" s="5" t="str">
        <f>HLOOKUP(A3,'ORMS Extract'!$A$1:$CK$3395,2500,FALSE)</f>
        <v>Business Entities</v>
      </c>
      <c r="E3" s="5" t="str">
        <f>HLOOKUP(A3,'ORMS Extract'!$A$1:$CK$3395,3000,FALSE)</f>
        <v>Business Entities</v>
      </c>
      <c r="F3" s="5"/>
      <c r="G3" s="5"/>
      <c r="H3" s="5"/>
      <c r="I3" s="5"/>
      <c r="J3" s="17" t="str">
        <f t="shared" ref="J3:J45" si="1">IF(F3=0, "Gap", "Found")</f>
        <v>Gap</v>
      </c>
      <c r="K3" s="17" t="str">
        <f t="shared" ref="K3:K45" si="2">IF(G3=0, "Gap", "Found")</f>
        <v>Gap</v>
      </c>
      <c r="L3" s="86" t="str">
        <f t="shared" ref="L3:L45" si="3">IF(H3=0, "Gap", "Found")</f>
        <v>Gap</v>
      </c>
      <c r="M3" s="83" t="str">
        <f t="shared" ref="M3:M45" si="4">IF(I3=0, "Gap","Found")</f>
        <v>Gap</v>
      </c>
      <c r="N3" s="83"/>
      <c r="O3" s="83"/>
      <c r="P3" s="83"/>
      <c r="Q3" s="83"/>
    </row>
    <row r="4" spans="1:17" ht="14.5">
      <c r="A4" s="19" t="s">
        <v>270</v>
      </c>
      <c r="B4" s="52" t="s">
        <v>269</v>
      </c>
      <c r="C4" s="5" t="str">
        <f>HLOOKUP(A4,'ORMS Extract'!$A$1:$CK$3395,100,FALSE)</f>
        <v>BBS</v>
      </c>
      <c r="D4" s="5" t="str">
        <f>HLOOKUP(A4,'ORMS Extract'!$A$1:$CK$3395,2500,FALSE)</f>
        <v>Advanced Analytics and Insights</v>
      </c>
      <c r="E4" s="5" t="str">
        <f>HLOOKUP(A4,'ORMS Extract'!$A$1:$CK$3395,3000,FALSE)</f>
        <v>Planning &amp; Reporting</v>
      </c>
      <c r="F4" s="5"/>
      <c r="G4" s="5"/>
      <c r="H4" s="5"/>
      <c r="I4" s="5"/>
      <c r="J4" s="17" t="str">
        <f t="shared" si="1"/>
        <v>Gap</v>
      </c>
      <c r="K4" s="17" t="str">
        <f t="shared" si="2"/>
        <v>Gap</v>
      </c>
      <c r="L4" s="86" t="str">
        <f>IF(H4=0, "Gap", "Found")</f>
        <v>Gap</v>
      </c>
      <c r="M4" s="83" t="str">
        <f t="shared" si="4"/>
        <v>Gap</v>
      </c>
      <c r="N4" s="83"/>
      <c r="O4" s="83"/>
      <c r="P4" s="83"/>
      <c r="Q4" s="83"/>
    </row>
    <row r="5" spans="1:17" ht="14.5">
      <c r="A5" s="19" t="s">
        <v>273</v>
      </c>
      <c r="B5" s="52" t="s">
        <v>273</v>
      </c>
      <c r="C5" s="5">
        <f>HLOOKUP(A5,'ORMS Extract'!$A$1:$CK$3395,100,FALSE)</f>
        <v>0</v>
      </c>
      <c r="D5" s="5">
        <f>HLOOKUP(A5,'ORMS Extract'!$A$1:$CK$3395,2500,FALSE)</f>
        <v>0</v>
      </c>
      <c r="E5" s="5">
        <f>HLOOKUP(A5,'ORMS Extract'!$A$1:$CK$3395,3000,FALSE)</f>
        <v>0</v>
      </c>
      <c r="F5" s="5"/>
      <c r="G5" s="5"/>
      <c r="H5" s="5"/>
      <c r="I5" s="5"/>
      <c r="J5" s="17" t="str">
        <f t="shared" si="1"/>
        <v>Gap</v>
      </c>
      <c r="K5" s="17" t="str">
        <f t="shared" si="2"/>
        <v>Gap</v>
      </c>
      <c r="L5" s="86" t="str">
        <f t="shared" si="3"/>
        <v>Gap</v>
      </c>
      <c r="M5" s="83" t="str">
        <f t="shared" si="4"/>
        <v>Gap</v>
      </c>
      <c r="N5" s="83"/>
      <c r="O5" s="83"/>
      <c r="P5" s="83"/>
      <c r="Q5" s="83"/>
    </row>
    <row r="6" spans="1:17" ht="14.5">
      <c r="A6" s="19" t="s">
        <v>275</v>
      </c>
      <c r="B6" s="52" t="s">
        <v>275</v>
      </c>
      <c r="C6" s="5">
        <f>HLOOKUP(A6,'ORMS Extract'!$A$1:$CK$3395,100,FALSE)</f>
        <v>0</v>
      </c>
      <c r="D6" s="5">
        <f>HLOOKUP(A6,'ORMS Extract'!$A$1:$CK$3395,2500,FALSE)</f>
        <v>0</v>
      </c>
      <c r="E6" s="5">
        <f>HLOOKUP(A6,'ORMS Extract'!$A$1:$CK$3395,3000,FALSE)</f>
        <v>0</v>
      </c>
      <c r="F6" s="5"/>
      <c r="G6" s="5"/>
      <c r="H6" s="5"/>
      <c r="I6" s="5"/>
      <c r="J6" s="17" t="str">
        <f t="shared" si="1"/>
        <v>Gap</v>
      </c>
      <c r="K6" s="17" t="str">
        <f t="shared" si="2"/>
        <v>Gap</v>
      </c>
      <c r="L6" s="86" t="str">
        <f t="shared" si="3"/>
        <v>Gap</v>
      </c>
      <c r="M6" s="83" t="str">
        <f t="shared" si="4"/>
        <v>Gap</v>
      </c>
      <c r="N6" s="83"/>
      <c r="O6" s="83"/>
      <c r="P6" s="83"/>
      <c r="Q6" s="83"/>
    </row>
    <row r="7" spans="1:17" ht="14.5">
      <c r="A7" s="19" t="s">
        <v>55</v>
      </c>
      <c r="B7" s="52" t="s">
        <v>55</v>
      </c>
      <c r="C7" s="5" t="str">
        <f>HLOOKUP(A7,'ORMS Extract'!$A$1:$CK$3395,100,FALSE)</f>
        <v>Action_1499_Issue_1915</v>
      </c>
      <c r="D7" s="5" t="str">
        <f>HLOOKUP(A7,'ORMS Extract'!$A$1:$CK$3395,2500,FALSE)</f>
        <v>Action_82_Issue_144</v>
      </c>
      <c r="E7" s="5" t="str">
        <f>HLOOKUP(A7,'ORMS Extract'!$A$1:$CK$3395,3000,FALSE)</f>
        <v>Action_695_Issue_881</v>
      </c>
      <c r="F7" s="22" t="s">
        <v>47</v>
      </c>
      <c r="G7" s="22" t="s">
        <v>52</v>
      </c>
      <c r="H7" s="22" t="s">
        <v>47</v>
      </c>
      <c r="I7" s="137" t="s">
        <v>58</v>
      </c>
      <c r="J7" s="17" t="str">
        <f t="shared" si="1"/>
        <v>Found</v>
      </c>
      <c r="K7" s="17" t="str">
        <f t="shared" si="2"/>
        <v>Found</v>
      </c>
      <c r="L7" s="86" t="str">
        <f t="shared" si="3"/>
        <v>Found</v>
      </c>
      <c r="M7" s="83" t="str">
        <f t="shared" si="4"/>
        <v>Found</v>
      </c>
      <c r="N7" s="83" t="s">
        <v>51</v>
      </c>
      <c r="O7" s="83" t="s">
        <v>51</v>
      </c>
      <c r="P7" s="83" t="s">
        <v>51</v>
      </c>
      <c r="Q7" s="83" t="s">
        <v>51</v>
      </c>
    </row>
    <row r="8" spans="1:17" ht="14.5">
      <c r="A8" s="19" t="s">
        <v>70</v>
      </c>
      <c r="B8" s="52" t="s">
        <v>70</v>
      </c>
      <c r="C8" s="5" t="str">
        <f>HLOOKUP(A8,'ORMS Extract'!$A$1:$CK$3395,100,FALSE)</f>
        <v>(i) Ensure the Procedure manual is reviewed and updated as it date back to 2016 and some of the requirements may be obsolete. (ii) Updated Procedure Manual to be shared with all team members for full adherence.</v>
      </c>
      <c r="D8" s="5" t="str">
        <f>HLOOKUP(A8,'ORMS Extract'!$A$1:$CK$3395,2500,FALSE)</f>
        <v>August: Weekly sessions are being held and the backlog Is being dealt with. Current and future data fields are being addressed in the new data engagement process which feeds into the  glossary and other lineage tools. The Dashboard for the related data details is currently being developed in order to handle the delivery of the  glossary.  September: The development of the Dashboard is still in progress, data details are being collected during the lineage mapping.  October: Work has commenced to finalise the initial view of data collected. This will be reviewed and amended during November in preparation for December reporting.</v>
      </c>
      <c r="E8" s="5" t="str">
        <f>HLOOKUP(A8,'ORMS Extract'!$A$1:$CK$3395,3000,FALSE)</f>
        <v>Following outcomes of annual Salary Survey:Management will  1. Demonstrate the sytem guidelines of Salary ranges applicable for each job grade necessary for pay decision process   2. Demonstrate the additional governance to system related to Pay decisions to adress potential biasness to Senior Management/CMC appointments  3. Extract remunaration Policy to demonstrate key guidelines related to pay policy of the bank</v>
      </c>
      <c r="F8" s="22" t="s">
        <v>74</v>
      </c>
      <c r="G8" s="22" t="s">
        <v>72</v>
      </c>
      <c r="H8" s="22" t="s">
        <v>74</v>
      </c>
      <c r="I8" s="137" t="s">
        <v>76</v>
      </c>
      <c r="J8" s="17" t="str">
        <f t="shared" si="1"/>
        <v>Found</v>
      </c>
      <c r="K8" s="17" t="str">
        <f t="shared" si="2"/>
        <v>Found</v>
      </c>
      <c r="L8" s="86" t="str">
        <f t="shared" si="3"/>
        <v>Found</v>
      </c>
      <c r="M8" s="83" t="str">
        <f t="shared" si="4"/>
        <v>Found</v>
      </c>
      <c r="N8" s="83" t="s">
        <v>76</v>
      </c>
      <c r="O8" s="83" t="s">
        <v>76</v>
      </c>
      <c r="P8" s="83" t="s">
        <v>76</v>
      </c>
      <c r="Q8" s="83" t="s">
        <v>76</v>
      </c>
    </row>
    <row r="9" spans="1:17" ht="14.5">
      <c r="A9" s="19" t="s">
        <v>83</v>
      </c>
      <c r="B9" s="52" t="s">
        <v>83</v>
      </c>
      <c r="C9" s="5">
        <f>HLOOKUP(A9,'ORMS Extract'!$A$1:$CK$3395,100,FALSE)</f>
        <v>44795.505856481483</v>
      </c>
      <c r="D9" s="5">
        <f>HLOOKUP(A9,'ORMS Extract'!$A$1:$CK$3395,2500,FALSE)</f>
        <v>44544.647905092592</v>
      </c>
      <c r="E9" s="5">
        <f>HLOOKUP(A9,'ORMS Extract'!$A$1:$CK$3395,3000,FALSE)</f>
        <v>44638.758819444447</v>
      </c>
      <c r="F9" s="22" t="s">
        <v>80</v>
      </c>
      <c r="G9" s="22" t="s">
        <v>84</v>
      </c>
      <c r="H9" s="22" t="s">
        <v>80</v>
      </c>
      <c r="I9" s="137" t="s">
        <v>87</v>
      </c>
      <c r="J9" s="17" t="str">
        <f t="shared" si="1"/>
        <v>Found</v>
      </c>
      <c r="K9" s="17" t="str">
        <f t="shared" si="2"/>
        <v>Found</v>
      </c>
      <c r="L9" s="86" t="str">
        <f t="shared" si="3"/>
        <v>Found</v>
      </c>
      <c r="M9" s="83" t="str">
        <f t="shared" si="4"/>
        <v>Found</v>
      </c>
      <c r="N9" s="83" t="s">
        <v>87</v>
      </c>
      <c r="O9" s="83" t="s">
        <v>87</v>
      </c>
      <c r="P9" s="83" t="s">
        <v>87</v>
      </c>
      <c r="Q9" s="83" t="s">
        <v>87</v>
      </c>
    </row>
    <row r="10" spans="1:17" ht="14.5">
      <c r="A10" s="19" t="s">
        <v>61</v>
      </c>
      <c r="B10" s="52" t="s">
        <v>61</v>
      </c>
      <c r="C10" s="5" t="str">
        <f>HLOOKUP(A10,'ORMS Extract'!$A$1:$CK$3395,100,FALSE)</f>
        <v>Action 1</v>
      </c>
      <c r="D10" s="5" t="str">
        <f>HLOOKUP(A10,'ORMS Extract'!$A$1:$CK$3395,2500,FALSE)</f>
        <v>Meta Data Management</v>
      </c>
      <c r="E10" s="5">
        <f>HLOOKUP(A10,'ORMS Extract'!$A$1:$CK$3395,3000,FALSE)</f>
        <v>0</v>
      </c>
      <c r="F10" s="22" t="s">
        <v>65</v>
      </c>
      <c r="G10" s="22" t="s">
        <v>63</v>
      </c>
      <c r="H10" s="22" t="s">
        <v>65</v>
      </c>
      <c r="I10" s="138"/>
      <c r="J10" s="17" t="str">
        <f t="shared" si="1"/>
        <v>Found</v>
      </c>
      <c r="K10" s="17" t="str">
        <f t="shared" si="2"/>
        <v>Found</v>
      </c>
      <c r="L10" s="86" t="str">
        <f t="shared" si="3"/>
        <v>Found</v>
      </c>
      <c r="M10" s="83" t="str">
        <f t="shared" si="4"/>
        <v>Gap</v>
      </c>
      <c r="N10" s="83" t="s">
        <v>283</v>
      </c>
      <c r="O10" s="83" t="s">
        <v>283</v>
      </c>
      <c r="P10" s="83" t="s">
        <v>283</v>
      </c>
      <c r="Q10" s="83"/>
    </row>
    <row r="11" spans="1:17" ht="14.5">
      <c r="A11" s="19" t="s">
        <v>89</v>
      </c>
      <c r="B11" s="52" t="s">
        <v>89</v>
      </c>
      <c r="C11" s="5">
        <f>HLOOKUP(A11,'ORMS Extract'!$A$1:$CK$3395,100,FALSE)</f>
        <v>0</v>
      </c>
      <c r="D11" s="5">
        <f>HLOOKUP(A11,'ORMS Extract'!$A$1:$CK$3395,2500,FALSE)</f>
        <v>0</v>
      </c>
      <c r="E11" s="5">
        <f>HLOOKUP(A11,'ORMS Extract'!$A$1:$CK$3395,3000,FALSE)</f>
        <v>0</v>
      </c>
      <c r="F11" s="5"/>
      <c r="G11" s="5"/>
      <c r="H11" s="5"/>
      <c r="I11" s="138"/>
      <c r="J11" s="17" t="str">
        <f t="shared" si="1"/>
        <v>Gap</v>
      </c>
      <c r="K11" s="17" t="str">
        <f t="shared" si="2"/>
        <v>Gap</v>
      </c>
      <c r="L11" s="86" t="str">
        <f t="shared" si="3"/>
        <v>Gap</v>
      </c>
      <c r="M11" s="83" t="str">
        <f t="shared" si="4"/>
        <v>Gap</v>
      </c>
      <c r="N11" s="83"/>
      <c r="O11" s="83"/>
      <c r="P11" s="83"/>
      <c r="Q11" s="83"/>
    </row>
    <row r="12" spans="1:17" ht="14.5">
      <c r="A12" s="19" t="s">
        <v>172</v>
      </c>
      <c r="B12" s="52" t="s">
        <v>172</v>
      </c>
      <c r="C12" s="5">
        <f>HLOOKUP(A12,'ORMS Extract'!$A$1:$CK$3395,100,FALSE)</f>
        <v>44795.505868055552</v>
      </c>
      <c r="D12" s="5">
        <f>HLOOKUP(A12,'ORMS Extract'!$A$1:$CK$3395,2500,FALSE)</f>
        <v>44586.725057870368</v>
      </c>
      <c r="E12" s="5">
        <f>HLOOKUP(A12,'ORMS Extract'!$A$1:$CK$3395,3000,FALSE)</f>
        <v>44638.758819444447</v>
      </c>
      <c r="F12" s="22" t="s">
        <v>170</v>
      </c>
      <c r="G12" s="22" t="s">
        <v>173</v>
      </c>
      <c r="H12" s="22" t="s">
        <v>170</v>
      </c>
      <c r="I12" s="139" t="s">
        <v>172</v>
      </c>
      <c r="J12" s="17" t="str">
        <f t="shared" si="1"/>
        <v>Found</v>
      </c>
      <c r="K12" s="17" t="str">
        <f t="shared" si="2"/>
        <v>Found</v>
      </c>
      <c r="L12" s="86" t="str">
        <f t="shared" si="3"/>
        <v>Found</v>
      </c>
      <c r="M12" s="83" t="str">
        <f t="shared" si="4"/>
        <v>Found</v>
      </c>
      <c r="N12" s="84"/>
      <c r="O12" s="84"/>
      <c r="P12" s="84"/>
      <c r="Q12" s="59" t="s">
        <v>172</v>
      </c>
    </row>
    <row r="13" spans="1:17" ht="14.5">
      <c r="A13" s="19" t="s">
        <v>91</v>
      </c>
      <c r="B13" s="52" t="s">
        <v>91</v>
      </c>
      <c r="C13" s="5">
        <f>HLOOKUP(A13,'ORMS Extract'!$A$1:$CK$3395,100,FALSE)</f>
        <v>0</v>
      </c>
      <c r="D13" s="5">
        <f>HLOOKUP(A13,'ORMS Extract'!$A$1:$CK$3395,2500,FALSE)</f>
        <v>0</v>
      </c>
      <c r="E13" s="5">
        <f>HLOOKUP(A13,'ORMS Extract'!$A$1:$CK$3395,3000,FALSE)</f>
        <v>0</v>
      </c>
      <c r="F13" s="5"/>
      <c r="G13" s="5"/>
      <c r="H13" s="5"/>
      <c r="I13" s="139" t="s">
        <v>305</v>
      </c>
      <c r="J13" s="17" t="str">
        <f t="shared" si="1"/>
        <v>Gap</v>
      </c>
      <c r="K13" s="17" t="str">
        <f t="shared" si="2"/>
        <v>Gap</v>
      </c>
      <c r="L13" s="86" t="str">
        <f t="shared" si="3"/>
        <v>Gap</v>
      </c>
      <c r="M13" s="83" t="str">
        <f t="shared" si="4"/>
        <v>Found</v>
      </c>
      <c r="N13" s="83"/>
      <c r="O13" s="83"/>
      <c r="P13" s="83"/>
      <c r="Q13" s="83" t="s">
        <v>305</v>
      </c>
    </row>
    <row r="14" spans="1:17" ht="14.5">
      <c r="A14" s="19" t="s">
        <v>95</v>
      </c>
      <c r="B14" s="52" t="s">
        <v>95</v>
      </c>
      <c r="C14" s="5" t="str">
        <f>HLOOKUP(A14,'ORMS Extract'!$A$1:$CK$3395,100,FALSE)</f>
        <v>Draft</v>
      </c>
      <c r="D14" s="5" t="str">
        <f>HLOOKUP(A14,'ORMS Extract'!$A$1:$CK$3395,2500,FALSE)</f>
        <v>Closed</v>
      </c>
      <c r="E14" s="5" t="str">
        <f>HLOOKUP(A14,'ORMS Extract'!$A$1:$CK$3395,3000,FALSE)</f>
        <v>Draft</v>
      </c>
      <c r="F14" s="22" t="s">
        <v>93</v>
      </c>
      <c r="G14" s="22" t="s">
        <v>96</v>
      </c>
      <c r="H14" s="22" t="s">
        <v>306</v>
      </c>
      <c r="I14" s="137" t="s">
        <v>307</v>
      </c>
      <c r="J14" s="17" t="str">
        <f t="shared" si="1"/>
        <v>Found</v>
      </c>
      <c r="K14" s="17" t="str">
        <f t="shared" si="2"/>
        <v>Found</v>
      </c>
      <c r="L14" s="86" t="str">
        <f t="shared" si="3"/>
        <v>Found</v>
      </c>
      <c r="M14" s="83" t="str">
        <f t="shared" si="4"/>
        <v>Found</v>
      </c>
      <c r="N14" s="83" t="s">
        <v>308</v>
      </c>
      <c r="O14" s="83" t="s">
        <v>308</v>
      </c>
      <c r="P14" s="83" t="s">
        <v>308</v>
      </c>
      <c r="Q14" s="83" t="s">
        <v>307</v>
      </c>
    </row>
    <row r="15" spans="1:17" ht="14.5">
      <c r="A15" s="19" t="s">
        <v>100</v>
      </c>
      <c r="B15" s="52" t="s">
        <v>100</v>
      </c>
      <c r="C15" s="5">
        <f>HLOOKUP(A15,'ORMS Extract'!$A$1:$CK$3395,100,FALSE)</f>
        <v>0</v>
      </c>
      <c r="D15" s="5" t="str">
        <f>HLOOKUP(A15,'ORMS Extract'!$A$1:$CK$3395,2500,FALSE)</f>
        <v>Confirmation was pending from business</v>
      </c>
      <c r="E15" s="5">
        <f>HLOOKUP(A15,'ORMS Extract'!$A$1:$CK$3395,3000,FALSE)</f>
        <v>0</v>
      </c>
      <c r="F15" s="5"/>
      <c r="G15" s="5"/>
      <c r="H15" s="5"/>
      <c r="I15" s="139" t="s">
        <v>309</v>
      </c>
      <c r="J15" s="17" t="str">
        <f t="shared" si="1"/>
        <v>Gap</v>
      </c>
      <c r="K15" s="17" t="str">
        <f t="shared" si="2"/>
        <v>Gap</v>
      </c>
      <c r="L15" s="86" t="str">
        <f t="shared" si="3"/>
        <v>Gap</v>
      </c>
      <c r="M15" s="83" t="str">
        <f t="shared" si="4"/>
        <v>Found</v>
      </c>
      <c r="N15" s="83"/>
      <c r="O15" s="83"/>
      <c r="P15" s="83"/>
      <c r="Q15" s="83" t="s">
        <v>309</v>
      </c>
    </row>
    <row r="16" spans="1:17" ht="14.5">
      <c r="A16" s="19" t="s">
        <v>114</v>
      </c>
      <c r="B16" s="52" t="s">
        <v>114</v>
      </c>
      <c r="C16" s="5">
        <f>HLOOKUP(A16,'ORMS Extract'!$A$1:$CK$3395,100,FALSE)</f>
        <v>44681</v>
      </c>
      <c r="D16" s="5">
        <f>HLOOKUP(A16,'ORMS Extract'!$A$1:$CK$3395,2500,FALSE)</f>
        <v>44560</v>
      </c>
      <c r="E16" s="5">
        <f>HLOOKUP(A16,'ORMS Extract'!$A$1:$CK$3395,3000,FALSE)</f>
        <v>44454</v>
      </c>
      <c r="F16" s="5"/>
      <c r="G16" s="5"/>
      <c r="H16" s="5"/>
      <c r="I16" s="139" t="s">
        <v>121</v>
      </c>
      <c r="J16" s="17" t="str">
        <f t="shared" si="1"/>
        <v>Gap</v>
      </c>
      <c r="K16" s="17" t="str">
        <f t="shared" si="2"/>
        <v>Gap</v>
      </c>
      <c r="L16" s="86" t="str">
        <f t="shared" si="3"/>
        <v>Gap</v>
      </c>
      <c r="M16" s="83" t="str">
        <f t="shared" si="4"/>
        <v>Found</v>
      </c>
      <c r="N16" s="84"/>
      <c r="O16" s="83"/>
      <c r="P16" s="83"/>
      <c r="Q16" s="83" t="s">
        <v>121</v>
      </c>
    </row>
    <row r="17" spans="1:17" ht="14.5">
      <c r="A17" s="19" t="s">
        <v>117</v>
      </c>
      <c r="B17" s="52" t="s">
        <v>117</v>
      </c>
      <c r="C17" s="5">
        <f>HLOOKUP(A17,'ORMS Extract'!$A$1:$CK$3395,100,FALSE)</f>
        <v>0</v>
      </c>
      <c r="D17" s="5">
        <f>HLOOKUP(A17,'ORMS Extract'!$A$1:$CK$3395,2500,FALSE)</f>
        <v>0</v>
      </c>
      <c r="E17" s="5">
        <f>HLOOKUP(A17,'ORMS Extract'!$A$1:$CK$3395,3000,FALSE)</f>
        <v>0</v>
      </c>
      <c r="F17" s="22" t="s">
        <v>115</v>
      </c>
      <c r="G17" s="22" t="s">
        <v>118</v>
      </c>
      <c r="H17" s="22" t="s">
        <v>115</v>
      </c>
      <c r="I17" s="146" t="s">
        <v>285</v>
      </c>
      <c r="J17" s="17" t="str">
        <f t="shared" si="1"/>
        <v>Found</v>
      </c>
      <c r="K17" s="17" t="str">
        <f t="shared" si="2"/>
        <v>Found</v>
      </c>
      <c r="L17" s="86" t="str">
        <f t="shared" si="3"/>
        <v>Found</v>
      </c>
      <c r="M17" s="83" t="str">
        <f t="shared" si="4"/>
        <v>Found</v>
      </c>
      <c r="N17" s="85" t="s">
        <v>285</v>
      </c>
      <c r="O17" s="85" t="s">
        <v>285</v>
      </c>
      <c r="P17" s="85" t="s">
        <v>285</v>
      </c>
      <c r="Q17" s="83" t="s">
        <v>310</v>
      </c>
    </row>
    <row r="18" spans="1:17" ht="14.5">
      <c r="A18" s="19" t="s">
        <v>124</v>
      </c>
      <c r="B18" s="52" t="s">
        <v>124</v>
      </c>
      <c r="C18" s="5">
        <f>HLOOKUP(A18,'ORMS Extract'!$A$1:$CK$3395,100,FALSE)</f>
        <v>0</v>
      </c>
      <c r="D18" s="5">
        <f>HLOOKUP(A18,'ORMS Extract'!$A$1:$CK$3395,2500,FALSE)</f>
        <v>0</v>
      </c>
      <c r="E18" s="5">
        <f>HLOOKUP(A18,'ORMS Extract'!$A$1:$CK$3395,3000,FALSE)</f>
        <v>0</v>
      </c>
      <c r="F18" s="22" t="s">
        <v>122</v>
      </c>
      <c r="G18" s="22" t="s">
        <v>125</v>
      </c>
      <c r="H18" s="22" t="s">
        <v>122</v>
      </c>
      <c r="I18" s="140" t="s">
        <v>124</v>
      </c>
      <c r="J18" s="17" t="str">
        <f t="shared" si="1"/>
        <v>Found</v>
      </c>
      <c r="K18" s="17" t="str">
        <f t="shared" si="2"/>
        <v>Found</v>
      </c>
      <c r="L18" s="86" t="str">
        <f t="shared" si="3"/>
        <v>Found</v>
      </c>
      <c r="M18" s="83" t="str">
        <f t="shared" si="4"/>
        <v>Found</v>
      </c>
      <c r="N18" s="83" t="s">
        <v>124</v>
      </c>
      <c r="O18" s="83" t="s">
        <v>124</v>
      </c>
      <c r="P18" s="83" t="s">
        <v>124</v>
      </c>
      <c r="Q18" s="60" t="s">
        <v>124</v>
      </c>
    </row>
    <row r="19" spans="1:17" ht="14.5">
      <c r="A19" s="19" t="s">
        <v>130</v>
      </c>
      <c r="B19" s="52" t="s">
        <v>130</v>
      </c>
      <c r="C19" s="5">
        <f>HLOOKUP(A19,'ORMS Extract'!$A$1:$CK$3395,100,FALSE)</f>
        <v>0</v>
      </c>
      <c r="D19" s="5">
        <f>HLOOKUP(A19,'ORMS Extract'!$A$1:$CK$3395,2500,FALSE)</f>
        <v>0</v>
      </c>
      <c r="E19" s="5">
        <f>HLOOKUP(A19,'ORMS Extract'!$A$1:$CK$3395,3000,FALSE)</f>
        <v>0</v>
      </c>
      <c r="F19" s="5"/>
      <c r="G19" s="5"/>
      <c r="H19" s="5"/>
      <c r="I19" s="139" t="s">
        <v>311</v>
      </c>
      <c r="J19" s="17" t="str">
        <f t="shared" si="1"/>
        <v>Gap</v>
      </c>
      <c r="K19" s="17" t="str">
        <f t="shared" si="2"/>
        <v>Gap</v>
      </c>
      <c r="L19" s="86" t="str">
        <f t="shared" si="3"/>
        <v>Gap</v>
      </c>
      <c r="M19" s="83" t="str">
        <f t="shared" si="4"/>
        <v>Found</v>
      </c>
      <c r="N19" s="83"/>
      <c r="O19" s="83"/>
      <c r="P19" s="83"/>
      <c r="Q19" s="83" t="s">
        <v>311</v>
      </c>
    </row>
    <row r="20" spans="1:17" ht="14.5">
      <c r="A20" s="19" t="s">
        <v>133</v>
      </c>
      <c r="B20" s="52" t="s">
        <v>133</v>
      </c>
      <c r="C20" s="5">
        <f>HLOOKUP(A20,'ORMS Extract'!$A$1:$CK$3395,100,FALSE)</f>
        <v>0</v>
      </c>
      <c r="D20" s="5">
        <f>HLOOKUP(A20,'ORMS Extract'!$A$1:$CK$3395,2500,FALSE)</f>
        <v>0</v>
      </c>
      <c r="E20" s="5">
        <f>HLOOKUP(A20,'ORMS Extract'!$A$1:$CK$3395,3000,FALSE)</f>
        <v>0</v>
      </c>
      <c r="F20" s="5"/>
      <c r="G20" s="5"/>
      <c r="H20" s="5"/>
      <c r="I20" s="138"/>
      <c r="J20" s="17" t="str">
        <f t="shared" si="1"/>
        <v>Gap</v>
      </c>
      <c r="K20" s="17" t="str">
        <f t="shared" si="2"/>
        <v>Gap</v>
      </c>
      <c r="L20" s="86" t="str">
        <f t="shared" si="3"/>
        <v>Gap</v>
      </c>
      <c r="M20" s="83" t="str">
        <f t="shared" si="4"/>
        <v>Gap</v>
      </c>
      <c r="N20" s="83"/>
      <c r="O20" s="83"/>
      <c r="P20" s="83"/>
      <c r="Q20" s="83"/>
    </row>
    <row r="21" spans="1:17" ht="14.5">
      <c r="A21" s="19" t="s">
        <v>135</v>
      </c>
      <c r="B21" s="52" t="s">
        <v>135</v>
      </c>
      <c r="C21" s="5">
        <f>HLOOKUP(A21,'ORMS Extract'!$A$1:$CK$3395,100,FALSE)</f>
        <v>0</v>
      </c>
      <c r="D21" s="5">
        <f>HLOOKUP(A21,'ORMS Extract'!$A$1:$CK$3395,2500,FALSE)</f>
        <v>0</v>
      </c>
      <c r="E21" s="5">
        <f>HLOOKUP(A21,'ORMS Extract'!$A$1:$CK$3395,3000,FALSE)</f>
        <v>0</v>
      </c>
      <c r="F21" s="5"/>
      <c r="G21" s="5"/>
      <c r="H21" s="5"/>
      <c r="I21" s="138"/>
      <c r="J21" s="17" t="str">
        <f t="shared" si="1"/>
        <v>Gap</v>
      </c>
      <c r="K21" s="17" t="str">
        <f t="shared" si="2"/>
        <v>Gap</v>
      </c>
      <c r="L21" s="86" t="str">
        <f t="shared" si="3"/>
        <v>Gap</v>
      </c>
      <c r="M21" s="83" t="str">
        <f t="shared" si="4"/>
        <v>Gap</v>
      </c>
      <c r="N21" s="83"/>
      <c r="O21" s="83"/>
      <c r="P21" s="83"/>
      <c r="Q21" s="83"/>
    </row>
    <row r="22" spans="1:17" ht="14.5">
      <c r="A22" s="19" t="s">
        <v>110</v>
      </c>
      <c r="B22" s="52" t="s">
        <v>110</v>
      </c>
      <c r="C22" s="5" t="str">
        <f>HLOOKUP(A22,'ORMS Extract'!$A$1:$CK$3395,100,FALSE)</f>
        <v>Action Requiring Closure</v>
      </c>
      <c r="D22" s="5" t="str">
        <f>HLOOKUP(A22,'ORMS Extract'!$A$1:$CK$3395,2500,FALSE)</f>
        <v>Action Requiring Closure</v>
      </c>
      <c r="E22" s="5" t="str">
        <f>HLOOKUP(A22,'ORMS Extract'!$A$1:$CK$3395,3000,FALSE)</f>
        <v>Action Requiring Closure</v>
      </c>
      <c r="F22" s="22" t="s">
        <v>102</v>
      </c>
      <c r="G22" s="22" t="s">
        <v>104</v>
      </c>
      <c r="H22" s="22" t="s">
        <v>111</v>
      </c>
      <c r="I22" s="141" t="s">
        <v>112</v>
      </c>
      <c r="J22" s="17" t="str">
        <f t="shared" si="1"/>
        <v>Found</v>
      </c>
      <c r="K22" s="17" t="str">
        <f t="shared" si="2"/>
        <v>Found</v>
      </c>
      <c r="L22" s="86" t="str">
        <f t="shared" si="3"/>
        <v>Found</v>
      </c>
      <c r="M22" s="83" t="str">
        <f t="shared" si="4"/>
        <v>Found</v>
      </c>
      <c r="N22" s="83" t="s">
        <v>281</v>
      </c>
      <c r="O22" s="83" t="s">
        <v>281</v>
      </c>
      <c r="P22" s="83" t="s">
        <v>281</v>
      </c>
      <c r="Q22" s="83" t="s">
        <v>112</v>
      </c>
    </row>
    <row r="23" spans="1:17" ht="14.5">
      <c r="A23" s="19" t="s">
        <v>202</v>
      </c>
      <c r="B23" s="52" t="s">
        <v>202</v>
      </c>
      <c r="C23" s="5" t="str">
        <f>HLOOKUP(A23,'ORMS Extract'!$A$1:$CK$3395,100,FALSE)</f>
        <v>Yes</v>
      </c>
      <c r="D23" s="5" t="str">
        <f>HLOOKUP(A23,'ORMS Extract'!$A$1:$CK$3395,2500,FALSE)</f>
        <v>Yes</v>
      </c>
      <c r="E23" s="5" t="str">
        <f>HLOOKUP(A23,'ORMS Extract'!$A$1:$CK$3395,3000,FALSE)</f>
        <v>Yes</v>
      </c>
      <c r="F23" s="56" t="s">
        <v>298</v>
      </c>
      <c r="G23" s="56" t="s">
        <v>298</v>
      </c>
      <c r="H23" s="142" t="s">
        <v>298</v>
      </c>
      <c r="I23" s="143" t="s">
        <v>298</v>
      </c>
      <c r="J23" s="17" t="str">
        <f t="shared" si="1"/>
        <v>Found</v>
      </c>
      <c r="K23" s="17" t="str">
        <f t="shared" si="2"/>
        <v>Found</v>
      </c>
      <c r="L23" s="86" t="str">
        <f t="shared" si="3"/>
        <v>Found</v>
      </c>
      <c r="M23" s="83" t="str">
        <f t="shared" si="4"/>
        <v>Found</v>
      </c>
      <c r="N23" s="83" t="s">
        <v>297</v>
      </c>
      <c r="O23" s="83" t="s">
        <v>297</v>
      </c>
      <c r="P23" s="83" t="s">
        <v>297</v>
      </c>
      <c r="Q23" s="83" t="s">
        <v>297</v>
      </c>
    </row>
    <row r="24" spans="1:17" ht="14.5">
      <c r="A24" s="19" t="s">
        <v>138</v>
      </c>
      <c r="B24" s="52" t="s">
        <v>138</v>
      </c>
      <c r="C24" s="5" t="str">
        <f>HLOOKUP(A24,'ORMS Extract'!$A$1:$CK$3395,100,FALSE)</f>
        <v>Not Overdue</v>
      </c>
      <c r="D24" s="5" t="str">
        <f>HLOOKUP(A24,'ORMS Extract'!$A$1:$CK$3395,2500,FALSE)</f>
        <v>Overdue</v>
      </c>
      <c r="E24" s="5" t="str">
        <f>HLOOKUP(A24,'ORMS Extract'!$A$1:$CK$3395,3000,FALSE)</f>
        <v>Not Overdue</v>
      </c>
      <c r="F24" s="5"/>
      <c r="G24" s="5"/>
      <c r="H24" s="5"/>
      <c r="I24" s="138"/>
      <c r="J24" s="17" t="str">
        <f t="shared" si="1"/>
        <v>Gap</v>
      </c>
      <c r="K24" s="17" t="str">
        <f t="shared" si="2"/>
        <v>Gap</v>
      </c>
      <c r="L24" s="86" t="str">
        <f t="shared" si="3"/>
        <v>Gap</v>
      </c>
      <c r="M24" s="83" t="str">
        <f t="shared" si="4"/>
        <v>Gap</v>
      </c>
      <c r="N24" s="83"/>
      <c r="O24" s="83"/>
      <c r="P24" s="83"/>
      <c r="Q24" s="83"/>
    </row>
    <row r="25" spans="1:17" ht="14.5">
      <c r="A25" s="19" t="s">
        <v>144</v>
      </c>
      <c r="B25" s="52" t="s">
        <v>144</v>
      </c>
      <c r="C25" s="5" t="str">
        <f>HLOOKUP(A25,'ORMS Extract'!$A$1:$CK$3395,100,FALSE)</f>
        <v>Dean Vythelingum</v>
      </c>
      <c r="D25" s="5" t="str">
        <f>HLOOKUP(A25,'ORMS Extract'!$A$1:$CK$3395,2500,FALSE)</f>
        <v>Clive Lees</v>
      </c>
      <c r="E25" s="5" t="str">
        <f>HLOOKUP(A25,'ORMS Extract'!$A$1:$CK$3395,3000,FALSE)</f>
        <v>Bernard Mshana</v>
      </c>
      <c r="F25" s="22" t="s">
        <v>139</v>
      </c>
      <c r="G25" s="22" t="s">
        <v>142</v>
      </c>
      <c r="H25" s="22" t="s">
        <v>139</v>
      </c>
      <c r="I25" s="139" t="s">
        <v>146</v>
      </c>
      <c r="J25" s="17" t="str">
        <f t="shared" si="1"/>
        <v>Found</v>
      </c>
      <c r="K25" s="17" t="str">
        <f t="shared" si="2"/>
        <v>Found</v>
      </c>
      <c r="L25" s="86" t="str">
        <f t="shared" si="3"/>
        <v>Found</v>
      </c>
      <c r="M25" s="83" t="str">
        <f t="shared" si="4"/>
        <v>Found</v>
      </c>
      <c r="N25" s="83" t="s">
        <v>292</v>
      </c>
      <c r="O25" s="83" t="s">
        <v>292</v>
      </c>
      <c r="P25" s="83" t="s">
        <v>292</v>
      </c>
      <c r="Q25" s="83" t="s">
        <v>146</v>
      </c>
    </row>
    <row r="26" spans="1:17" ht="14.5">
      <c r="A26" s="19" t="s">
        <v>148</v>
      </c>
      <c r="B26" s="52" t="s">
        <v>148</v>
      </c>
      <c r="C26" s="5" t="str">
        <f>HLOOKUP(A26,'ORMS Extract'!$A$1:$CK$3395,100,FALSE)</f>
        <v>Dean Vythelingum</v>
      </c>
      <c r="D26" s="5" t="str">
        <f>HLOOKUP(A26,'ORMS Extract'!$A$1:$CK$3395,2500,FALSE)</f>
        <v>Clive Lees</v>
      </c>
      <c r="E26" s="5" t="str">
        <f>HLOOKUP(A26,'ORMS Extract'!$A$1:$CK$3395,3000,FALSE)</f>
        <v>Bernard Mshana</v>
      </c>
      <c r="F26" s="24"/>
      <c r="G26" s="24"/>
      <c r="H26" s="24"/>
      <c r="I26" s="139" t="s">
        <v>149</v>
      </c>
      <c r="J26" s="17" t="str">
        <f t="shared" si="1"/>
        <v>Gap</v>
      </c>
      <c r="K26" s="17" t="str">
        <f t="shared" si="2"/>
        <v>Gap</v>
      </c>
      <c r="L26" s="86" t="str">
        <f t="shared" si="3"/>
        <v>Gap</v>
      </c>
      <c r="M26" s="83" t="str">
        <f t="shared" si="4"/>
        <v>Found</v>
      </c>
      <c r="N26" s="83"/>
      <c r="O26" s="83"/>
      <c r="P26" s="83"/>
      <c r="Q26" s="136" t="s">
        <v>149</v>
      </c>
    </row>
    <row r="27" spans="1:17" ht="14.5">
      <c r="A27" s="19" t="s">
        <v>152</v>
      </c>
      <c r="B27" s="52" t="s">
        <v>152</v>
      </c>
      <c r="C27" s="5" t="str">
        <f>HLOOKUP(A27,'ORMS Extract'!$A$1:$CK$3395,100,FALSE)</f>
        <v>No</v>
      </c>
      <c r="D27" s="5" t="str">
        <f>HLOOKUP(A27,'ORMS Extract'!$A$1:$CK$3395,2500,FALSE)</f>
        <v>No</v>
      </c>
      <c r="E27" s="5" t="str">
        <f>HLOOKUP(A27,'ORMS Extract'!$A$1:$CK$3395,3000,FALSE)</f>
        <v>No</v>
      </c>
      <c r="F27" s="5"/>
      <c r="G27" s="5"/>
      <c r="H27" s="5"/>
      <c r="I27" s="138"/>
      <c r="J27" s="17" t="str">
        <f t="shared" si="1"/>
        <v>Gap</v>
      </c>
      <c r="K27" s="17" t="str">
        <f t="shared" si="2"/>
        <v>Gap</v>
      </c>
      <c r="L27" s="86" t="str">
        <f t="shared" si="3"/>
        <v>Gap</v>
      </c>
      <c r="M27" s="83" t="str">
        <f t="shared" si="4"/>
        <v>Gap</v>
      </c>
      <c r="N27" s="83"/>
      <c r="O27" s="83"/>
      <c r="P27" s="83"/>
      <c r="Q27" s="83"/>
    </row>
    <row r="28" spans="1:17" ht="14.5">
      <c r="A28" s="19" t="s">
        <v>155</v>
      </c>
      <c r="B28" s="52" t="s">
        <v>155</v>
      </c>
      <c r="C28" s="5">
        <f>HLOOKUP(A28,'ORMS Extract'!$A$1:$CK$3395,100,FALSE)</f>
        <v>0</v>
      </c>
      <c r="D28" s="5">
        <f>HLOOKUP(A28,'ORMS Extract'!$A$1:$CK$3395,2500,FALSE)</f>
        <v>0</v>
      </c>
      <c r="E28" s="5">
        <f>HLOOKUP(A28,'ORMS Extract'!$A$1:$CK$3395,3000,FALSE)</f>
        <v>0</v>
      </c>
      <c r="F28" s="5"/>
      <c r="G28" s="5"/>
      <c r="H28" s="5"/>
      <c r="I28" s="138"/>
      <c r="J28" s="17" t="str">
        <f t="shared" si="1"/>
        <v>Gap</v>
      </c>
      <c r="K28" s="17" t="str">
        <f t="shared" si="2"/>
        <v>Gap</v>
      </c>
      <c r="L28" s="86" t="str">
        <f t="shared" si="3"/>
        <v>Gap</v>
      </c>
      <c r="M28" s="83" t="str">
        <f t="shared" si="4"/>
        <v>Gap</v>
      </c>
      <c r="N28" s="83"/>
      <c r="O28" s="83"/>
      <c r="P28" s="83"/>
      <c r="Q28" s="83"/>
    </row>
    <row r="29" spans="1:17" ht="14.5">
      <c r="A29" s="19" t="s">
        <v>156</v>
      </c>
      <c r="B29" s="52" t="s">
        <v>156</v>
      </c>
      <c r="C29" s="5">
        <f>HLOOKUP(A29,'ORMS Extract'!$A$1:$CK$3395,100,FALSE)</f>
        <v>0</v>
      </c>
      <c r="D29" s="5">
        <f>HLOOKUP(A29,'ORMS Extract'!$A$1:$CK$3395,2500,FALSE)</f>
        <v>0</v>
      </c>
      <c r="E29" s="5">
        <f>HLOOKUP(A29,'ORMS Extract'!$A$1:$CK$3395,3000,FALSE)</f>
        <v>0</v>
      </c>
      <c r="F29" s="5"/>
      <c r="G29" s="5"/>
      <c r="H29" s="5"/>
      <c r="I29" s="138"/>
      <c r="J29" s="17" t="str">
        <f t="shared" si="1"/>
        <v>Gap</v>
      </c>
      <c r="K29" s="17" t="str">
        <f t="shared" si="2"/>
        <v>Gap</v>
      </c>
      <c r="L29" s="86" t="str">
        <f t="shared" si="3"/>
        <v>Gap</v>
      </c>
      <c r="M29" s="83" t="str">
        <f t="shared" si="4"/>
        <v>Gap</v>
      </c>
      <c r="N29" s="83"/>
      <c r="O29" s="83"/>
      <c r="P29" s="83"/>
      <c r="Q29" s="83"/>
    </row>
    <row r="30" spans="1:17" ht="14.5">
      <c r="A30" s="19" t="s">
        <v>158</v>
      </c>
      <c r="B30" s="52" t="s">
        <v>158</v>
      </c>
      <c r="C30" s="5">
        <f>HLOOKUP(A30,'ORMS Extract'!$A$1:$CK$3395,100,FALSE)</f>
        <v>0</v>
      </c>
      <c r="D30" s="5">
        <f>HLOOKUP(A30,'ORMS Extract'!$A$1:$CK$3395,2500,FALSE)</f>
        <v>0</v>
      </c>
      <c r="E30" s="5">
        <f>HLOOKUP(A30,'ORMS Extract'!$A$1:$CK$3395,3000,FALSE)</f>
        <v>0</v>
      </c>
      <c r="F30" s="5"/>
      <c r="G30" s="5"/>
      <c r="H30" s="5"/>
      <c r="I30" s="138"/>
      <c r="J30" s="17" t="str">
        <f t="shared" si="1"/>
        <v>Gap</v>
      </c>
      <c r="K30" s="17" t="str">
        <f t="shared" si="2"/>
        <v>Gap</v>
      </c>
      <c r="L30" s="86" t="str">
        <f t="shared" si="3"/>
        <v>Gap</v>
      </c>
      <c r="M30" s="83" t="str">
        <f t="shared" si="4"/>
        <v>Gap</v>
      </c>
      <c r="N30" s="83"/>
      <c r="O30" s="83"/>
      <c r="P30" s="83"/>
      <c r="Q30" s="83"/>
    </row>
    <row r="31" spans="1:17" ht="14.5">
      <c r="A31" s="19" t="s">
        <v>312</v>
      </c>
      <c r="B31" s="22" t="s">
        <v>160</v>
      </c>
      <c r="C31" s="5" t="s">
        <v>57</v>
      </c>
      <c r="D31" s="5">
        <v>0</v>
      </c>
      <c r="E31" s="5" t="s">
        <v>31</v>
      </c>
      <c r="F31" s="5"/>
      <c r="G31" s="5"/>
      <c r="I31" s="138"/>
      <c r="J31" s="17" t="str">
        <f t="shared" si="1"/>
        <v>Gap</v>
      </c>
      <c r="K31" s="17" t="str">
        <f t="shared" si="2"/>
        <v>Gap</v>
      </c>
      <c r="L31" s="86" t="str">
        <f t="shared" si="3"/>
        <v>Gap</v>
      </c>
      <c r="M31" s="83" t="str">
        <f t="shared" si="4"/>
        <v>Gap</v>
      </c>
      <c r="N31" s="83"/>
      <c r="O31" s="83"/>
      <c r="P31" s="83"/>
      <c r="Q31" s="83"/>
    </row>
    <row r="32" spans="1:17" ht="14.5">
      <c r="A32" s="19" t="s">
        <v>163</v>
      </c>
      <c r="B32" s="52" t="s">
        <v>163</v>
      </c>
      <c r="C32" s="5">
        <f>HLOOKUP(A32,'ORMS Extract'!$A$1:$CK$3395,100,FALSE)</f>
        <v>-114</v>
      </c>
      <c r="D32" s="5">
        <f>HLOOKUP(A32,'ORMS Extract'!$A$1:$CK$3395,2500,FALSE)</f>
        <v>-26</v>
      </c>
      <c r="E32" s="5">
        <f>HLOOKUP(A32,'ORMS Extract'!$A$1:$CK$3395,3000,FALSE)</f>
        <v>-184</v>
      </c>
      <c r="F32" s="5"/>
      <c r="G32" s="5"/>
      <c r="H32" s="5"/>
      <c r="I32" s="138"/>
      <c r="J32" s="17" t="str">
        <f t="shared" si="1"/>
        <v>Gap</v>
      </c>
      <c r="K32" s="17" t="str">
        <f t="shared" si="2"/>
        <v>Gap</v>
      </c>
      <c r="L32" s="86" t="str">
        <f t="shared" si="3"/>
        <v>Gap</v>
      </c>
      <c r="M32" s="83" t="str">
        <f t="shared" si="4"/>
        <v>Gap</v>
      </c>
      <c r="N32" s="83"/>
      <c r="O32" s="83"/>
      <c r="P32" s="83"/>
      <c r="Q32" s="83"/>
    </row>
    <row r="33" spans="1:17" ht="14.5">
      <c r="A33" s="19" t="s">
        <v>166</v>
      </c>
      <c r="B33" s="52" t="s">
        <v>166</v>
      </c>
      <c r="C33" s="5">
        <f>HLOOKUP(A33,'ORMS Extract'!$A$1:$CK$3395,100,FALSE)</f>
        <v>0</v>
      </c>
      <c r="D33" s="12">
        <f>HLOOKUP(A33,'ORMS Extract'!$A$1:$CK$3395,2500,FALSE)</f>
        <v>44586</v>
      </c>
      <c r="E33" s="5">
        <f>HLOOKUP(A33,'ORMS Extract'!$A$1:$CK$3395,3000,FALSE)</f>
        <v>0</v>
      </c>
      <c r="F33" s="5"/>
      <c r="G33" s="5"/>
      <c r="H33" s="5"/>
      <c r="I33" s="138"/>
      <c r="J33" s="17" t="str">
        <f t="shared" si="1"/>
        <v>Gap</v>
      </c>
      <c r="K33" s="17" t="str">
        <f t="shared" si="2"/>
        <v>Gap</v>
      </c>
      <c r="L33" s="86" t="str">
        <f t="shared" si="3"/>
        <v>Gap</v>
      </c>
      <c r="M33" s="83" t="str">
        <f t="shared" si="4"/>
        <v>Gap</v>
      </c>
      <c r="N33" s="83"/>
      <c r="O33" s="83"/>
      <c r="P33" s="83"/>
      <c r="Q33" s="83"/>
    </row>
    <row r="34" spans="1:17" ht="14.5">
      <c r="A34" s="19" t="s">
        <v>168</v>
      </c>
      <c r="B34" s="52" t="s">
        <v>168</v>
      </c>
      <c r="C34" s="5">
        <f>HLOOKUP(A34,'ORMS Extract'!$A$1:$CK$3395,100,FALSE)</f>
        <v>0</v>
      </c>
      <c r="D34" s="5">
        <f>HLOOKUP(A34,'ORMS Extract'!$A$1:$CK$3395,2500,FALSE)</f>
        <v>0</v>
      </c>
      <c r="E34" s="5">
        <f>HLOOKUP(A34,'ORMS Extract'!$A$1:$CK$3395,3000,FALSE)</f>
        <v>0</v>
      </c>
      <c r="F34" s="5"/>
      <c r="G34" s="5"/>
      <c r="H34" s="5"/>
      <c r="I34" s="138"/>
      <c r="J34" s="17" t="str">
        <f t="shared" si="1"/>
        <v>Gap</v>
      </c>
      <c r="K34" s="17" t="str">
        <f t="shared" si="2"/>
        <v>Gap</v>
      </c>
      <c r="L34" s="86" t="str">
        <f t="shared" si="3"/>
        <v>Gap</v>
      </c>
      <c r="M34" s="83" t="str">
        <f t="shared" si="4"/>
        <v>Gap</v>
      </c>
      <c r="N34" s="83"/>
      <c r="O34" s="83"/>
      <c r="P34" s="83"/>
      <c r="Q34" s="83"/>
    </row>
    <row r="35" spans="1:17" ht="14.5">
      <c r="A35" s="19" t="s">
        <v>178</v>
      </c>
      <c r="B35" s="52" t="s">
        <v>178</v>
      </c>
      <c r="C35" s="5">
        <f>HLOOKUP(A35,'ORMS Extract'!$A$1:$CK$3395,100,FALSE)</f>
        <v>0</v>
      </c>
      <c r="D35" s="5" t="str">
        <f>HLOOKUP(A35,'ORMS Extract'!$A$1:$CK$3395,2500,FALSE)</f>
        <v>Issue_144</v>
      </c>
      <c r="E35" s="5">
        <f>HLOOKUP(A35,'ORMS Extract'!$A$1:$CK$3395,3000,FALSE)</f>
        <v>0</v>
      </c>
      <c r="F35" s="22" t="s">
        <v>179</v>
      </c>
      <c r="G35" s="22" t="s">
        <v>182</v>
      </c>
      <c r="H35" s="22" t="s">
        <v>179</v>
      </c>
      <c r="I35" s="138"/>
      <c r="J35" s="17" t="str">
        <f t="shared" si="1"/>
        <v>Found</v>
      </c>
      <c r="K35" s="17" t="str">
        <f t="shared" si="2"/>
        <v>Found</v>
      </c>
      <c r="L35" s="86" t="str">
        <f t="shared" si="3"/>
        <v>Found</v>
      </c>
      <c r="M35" s="83" t="str">
        <f t="shared" si="4"/>
        <v>Gap</v>
      </c>
      <c r="N35" s="83" t="s">
        <v>301</v>
      </c>
      <c r="O35" s="83" t="s">
        <v>301</v>
      </c>
      <c r="P35" s="83" t="s">
        <v>301</v>
      </c>
      <c r="Q35" s="83"/>
    </row>
    <row r="36" spans="1:17" ht="14.5">
      <c r="A36" s="61" t="s">
        <v>181</v>
      </c>
      <c r="B36" s="52" t="s">
        <v>181</v>
      </c>
      <c r="C36" s="5">
        <f>HLOOKUP(A36,'ORMS Extract'!$A$1:$CK$3395,100,FALSE)</f>
        <v>0</v>
      </c>
      <c r="D36" s="5">
        <f>HLOOKUP(A36,'ORMS Extract'!$A$1:$CK$3395,2500,FALSE)</f>
        <v>0</v>
      </c>
      <c r="E36" s="5">
        <f>HLOOKUP(A36,'ORMS Extract'!$A$1:$CK$3395,3000,FALSE)</f>
        <v>0</v>
      </c>
      <c r="F36" s="5"/>
      <c r="G36" s="5"/>
      <c r="H36" s="5"/>
      <c r="I36" s="139" t="s">
        <v>313</v>
      </c>
      <c r="J36" s="17" t="str">
        <f t="shared" si="1"/>
        <v>Gap</v>
      </c>
      <c r="K36" s="17" t="str">
        <f t="shared" si="2"/>
        <v>Gap</v>
      </c>
      <c r="L36" s="86" t="str">
        <f t="shared" si="3"/>
        <v>Gap</v>
      </c>
      <c r="M36" s="83" t="str">
        <f t="shared" si="4"/>
        <v>Found</v>
      </c>
      <c r="N36" s="83"/>
      <c r="O36" s="83"/>
      <c r="P36" s="83"/>
      <c r="Q36" s="83" t="s">
        <v>313</v>
      </c>
    </row>
    <row r="37" spans="1:17" ht="14.5">
      <c r="A37" s="19" t="s">
        <v>185</v>
      </c>
      <c r="B37" s="54" t="s">
        <v>185</v>
      </c>
      <c r="C37" s="5" t="e">
        <f>HLOOKUP(A37,'ORMS Extract'!$A$1:$CK$3395,100,FALSE)</f>
        <v>#N/A</v>
      </c>
      <c r="D37" s="5" t="e">
        <f>HLOOKUP(A37,'ORMS Extract'!$A$1:$CK$3395,2500,FALSE)</f>
        <v>#N/A</v>
      </c>
      <c r="E37" s="5" t="e">
        <f>HLOOKUP(A37,'ORMS Extract'!$A$1:$CK$3395,3000,FALSE)</f>
        <v>#N/A</v>
      </c>
      <c r="F37" s="5"/>
      <c r="G37" s="5"/>
      <c r="H37" s="5"/>
      <c r="I37" s="144" t="s">
        <v>314</v>
      </c>
      <c r="J37" s="17" t="str">
        <f t="shared" si="1"/>
        <v>Gap</v>
      </c>
      <c r="K37" s="17" t="str">
        <f t="shared" si="2"/>
        <v>Gap</v>
      </c>
      <c r="L37" s="86" t="str">
        <f t="shared" si="3"/>
        <v>Gap</v>
      </c>
      <c r="M37" s="83" t="str">
        <f t="shared" si="4"/>
        <v>Found</v>
      </c>
      <c r="N37" s="83"/>
      <c r="O37" s="83"/>
      <c r="P37" s="83"/>
      <c r="Q37" s="83" t="s">
        <v>315</v>
      </c>
    </row>
    <row r="38" spans="1:17" ht="14.5">
      <c r="A38" s="19" t="s">
        <v>198</v>
      </c>
      <c r="B38" s="54" t="s">
        <v>198</v>
      </c>
      <c r="C38" s="5" t="e">
        <f>HLOOKUP(A38,'ORMS Extract'!$A$1:$CK$3395,100,FALSE)</f>
        <v>#N/A</v>
      </c>
      <c r="D38" s="5" t="e">
        <f>HLOOKUP(A38,'ORMS Extract'!$A$1:$CK$3395,2500,FALSE)</f>
        <v>#N/A</v>
      </c>
      <c r="E38" s="5" t="e">
        <f>HLOOKUP(A38,'ORMS Extract'!$A$1:$CK$3395,3000,FALSE)</f>
        <v>#N/A</v>
      </c>
      <c r="F38" s="22" t="s">
        <v>192</v>
      </c>
      <c r="G38" s="5" t="s">
        <v>316</v>
      </c>
      <c r="H38" s="22" t="s">
        <v>183</v>
      </c>
      <c r="I38" s="145" t="s">
        <v>317</v>
      </c>
      <c r="J38" s="17" t="str">
        <f t="shared" si="1"/>
        <v>Found</v>
      </c>
      <c r="K38" s="17" t="str">
        <f t="shared" si="2"/>
        <v>Found</v>
      </c>
      <c r="L38" s="86" t="str">
        <f t="shared" si="3"/>
        <v>Found</v>
      </c>
      <c r="M38" s="83" t="str">
        <f t="shared" si="4"/>
        <v>Found</v>
      </c>
      <c r="N38" s="83" t="s">
        <v>290</v>
      </c>
      <c r="O38" s="83" t="s">
        <v>290</v>
      </c>
      <c r="P38" s="83" t="s">
        <v>290</v>
      </c>
      <c r="Q38" s="83" t="s">
        <v>317</v>
      </c>
    </row>
    <row r="39" spans="1:17" ht="14.5">
      <c r="A39" s="19" t="s">
        <v>208</v>
      </c>
      <c r="B39" s="54" t="s">
        <v>208</v>
      </c>
      <c r="C39" s="5" t="e">
        <f>HLOOKUP(A39,'ORMS Extract'!$A$1:$CK$3395,100,FALSE)</f>
        <v>#N/A</v>
      </c>
      <c r="D39" s="5" t="e">
        <f>HLOOKUP(A39,'ORMS Extract'!$A$1:$CK$3395,2500,FALSE)</f>
        <v>#N/A</v>
      </c>
      <c r="E39" s="5" t="e">
        <f>HLOOKUP(A39,'ORMS Extract'!$A$1:$CK$3395,3000,FALSE)</f>
        <v>#N/A</v>
      </c>
      <c r="F39" s="22" t="s">
        <v>211</v>
      </c>
      <c r="G39" s="5" t="s">
        <v>316</v>
      </c>
      <c r="H39" s="22" t="s">
        <v>206</v>
      </c>
      <c r="I39" s="138"/>
      <c r="J39" s="17" t="str">
        <f t="shared" si="1"/>
        <v>Found</v>
      </c>
      <c r="K39" s="17" t="str">
        <f t="shared" si="2"/>
        <v>Found</v>
      </c>
      <c r="L39" s="86" t="str">
        <f t="shared" si="3"/>
        <v>Found</v>
      </c>
      <c r="M39" s="83" t="str">
        <f t="shared" si="4"/>
        <v>Gap</v>
      </c>
      <c r="N39" s="79" t="s">
        <v>294</v>
      </c>
      <c r="O39" s="79" t="s">
        <v>294</v>
      </c>
      <c r="P39" s="79" t="s">
        <v>294</v>
      </c>
      <c r="Q39" s="83"/>
    </row>
    <row r="40" spans="1:17" ht="14.5">
      <c r="A40" s="19" t="s">
        <v>318</v>
      </c>
      <c r="B40" s="54" t="s">
        <v>318</v>
      </c>
      <c r="C40" s="5" t="e">
        <f>HLOOKUP(A40,'ORMS Extract'!$A$1:$CK$3395,100,FALSE)</f>
        <v>#N/A</v>
      </c>
      <c r="D40" s="5" t="e">
        <f>HLOOKUP(A40,'ORMS Extract'!$A$1:$CK$3395,2500,FALSE)</f>
        <v>#N/A</v>
      </c>
      <c r="E40" s="5" t="e">
        <f>HLOOKUP(A40,'ORMS Extract'!$A$1:$CK$3395,3000,FALSE)</f>
        <v>#N/A</v>
      </c>
      <c r="F40" s="64" t="s">
        <v>221</v>
      </c>
      <c r="G40" s="22" t="s">
        <v>219</v>
      </c>
      <c r="H40" s="22" t="s">
        <v>215</v>
      </c>
      <c r="I40" s="138"/>
      <c r="J40" s="17" t="str">
        <f t="shared" si="1"/>
        <v>Found</v>
      </c>
      <c r="K40" s="17" t="str">
        <f t="shared" si="2"/>
        <v>Found</v>
      </c>
      <c r="L40" s="86" t="str">
        <f t="shared" si="3"/>
        <v>Found</v>
      </c>
      <c r="M40" s="83" t="str">
        <f t="shared" si="4"/>
        <v>Gap</v>
      </c>
      <c r="N40" s="79" t="s">
        <v>296</v>
      </c>
      <c r="O40" s="79" t="s">
        <v>296</v>
      </c>
      <c r="P40" s="79" t="s">
        <v>296</v>
      </c>
      <c r="Q40" s="83"/>
    </row>
    <row r="41" spans="1:17" ht="14.5">
      <c r="A41" s="19" t="s">
        <v>223</v>
      </c>
      <c r="B41" s="54" t="s">
        <v>223</v>
      </c>
      <c r="C41" s="5" t="e">
        <f>HLOOKUP(A41,'ORMS Extract'!$A$1:$CK$3395,100,FALSE)</f>
        <v>#N/A</v>
      </c>
      <c r="D41" s="5" t="e">
        <f>HLOOKUP(A41,'ORMS Extract'!$A$1:$CK$3395,2500,FALSE)</f>
        <v>#N/A</v>
      </c>
      <c r="E41" s="5" t="e">
        <f>HLOOKUP(A41,'ORMS Extract'!$A$1:$CK$3395,3000,FALSE)</f>
        <v>#N/A</v>
      </c>
      <c r="F41" s="64" t="s">
        <v>229</v>
      </c>
      <c r="G41" s="5"/>
      <c r="H41" s="5"/>
      <c r="I41" s="138"/>
      <c r="J41" s="17" t="str">
        <f t="shared" si="1"/>
        <v>Found</v>
      </c>
      <c r="K41" s="17" t="str">
        <f t="shared" si="2"/>
        <v>Gap</v>
      </c>
      <c r="L41" s="86" t="str">
        <f t="shared" si="3"/>
        <v>Gap</v>
      </c>
      <c r="M41" s="83" t="str">
        <f t="shared" si="4"/>
        <v>Gap</v>
      </c>
      <c r="N41" s="83" t="s">
        <v>299</v>
      </c>
      <c r="O41" s="83"/>
      <c r="P41" s="83"/>
      <c r="Q41" s="83"/>
    </row>
    <row r="42" spans="1:17" ht="14.5">
      <c r="A42" s="19" t="s">
        <v>161</v>
      </c>
      <c r="B42" s="20" t="s">
        <v>161</v>
      </c>
      <c r="C42" s="5"/>
      <c r="D42" s="5"/>
      <c r="E42" s="5"/>
      <c r="F42" s="56" t="s">
        <v>298</v>
      </c>
      <c r="G42" s="22" t="s">
        <v>234</v>
      </c>
      <c r="H42" s="22" t="s">
        <v>232</v>
      </c>
      <c r="I42" s="138"/>
      <c r="J42" s="17" t="str">
        <f t="shared" si="1"/>
        <v>Found</v>
      </c>
      <c r="K42" s="17" t="str">
        <f t="shared" si="2"/>
        <v>Found</v>
      </c>
      <c r="L42" s="86" t="str">
        <f t="shared" si="3"/>
        <v>Found</v>
      </c>
      <c r="M42" s="83" t="str">
        <f t="shared" si="4"/>
        <v>Gap</v>
      </c>
      <c r="N42" s="83" t="s">
        <v>291</v>
      </c>
      <c r="O42" s="83" t="s">
        <v>291</v>
      </c>
      <c r="P42" s="83" t="s">
        <v>291</v>
      </c>
      <c r="Q42" s="83"/>
    </row>
    <row r="43" spans="1:17" ht="14.5">
      <c r="A43" s="19" t="s">
        <v>295</v>
      </c>
      <c r="B43" s="54" t="s">
        <v>295</v>
      </c>
      <c r="C43" s="5" t="e">
        <f>HLOOKUP(A43,'ORMS Extract'!$A$1:$CK$3395,100,FALSE)</f>
        <v>#N/A</v>
      </c>
      <c r="D43" s="5" t="e">
        <f>HLOOKUP(A43,'ORMS Extract'!$A$1:$CK$3395,2500,FALSE)</f>
        <v>#N/A</v>
      </c>
      <c r="E43" s="5" t="e">
        <f>HLOOKUP(A43,'ORMS Extract'!$A$1:$CK$3395,3000,FALSE)</f>
        <v>#N/A</v>
      </c>
      <c r="F43" s="22" t="s">
        <v>248</v>
      </c>
      <c r="G43" s="22" t="s">
        <v>245</v>
      </c>
      <c r="H43" s="22" t="s">
        <v>240</v>
      </c>
      <c r="I43" s="138"/>
      <c r="J43" s="17" t="str">
        <f t="shared" si="1"/>
        <v>Found</v>
      </c>
      <c r="K43" s="17" t="str">
        <f t="shared" si="2"/>
        <v>Found</v>
      </c>
      <c r="L43" s="86" t="str">
        <f t="shared" si="3"/>
        <v>Found</v>
      </c>
      <c r="M43" s="83" t="str">
        <f t="shared" si="4"/>
        <v>Gap</v>
      </c>
      <c r="N43" s="83" t="s">
        <v>302</v>
      </c>
      <c r="O43" s="83" t="s">
        <v>302</v>
      </c>
      <c r="P43" s="83" t="s">
        <v>302</v>
      </c>
      <c r="Q43" s="83"/>
    </row>
    <row r="44" spans="1:17" ht="14.5">
      <c r="A44" s="19" t="s">
        <v>300</v>
      </c>
      <c r="B44" s="54" t="s">
        <v>319</v>
      </c>
      <c r="C44" s="5" t="e">
        <f>HLOOKUP(A44,'ORMS Extract'!$A$1:$CK$3395,100,FALSE)</f>
        <v>#N/A</v>
      </c>
      <c r="D44" s="5" t="e">
        <f>HLOOKUP(A44,'ORMS Extract'!$A$1:$CK$3395,2500,FALSE)</f>
        <v>#N/A</v>
      </c>
      <c r="E44" s="5" t="e">
        <f>HLOOKUP(A44,'ORMS Extract'!$A$1:$CK$3395,3000,FALSE)</f>
        <v>#N/A</v>
      </c>
      <c r="F44" s="5"/>
      <c r="G44" s="5"/>
      <c r="H44" s="5"/>
      <c r="I44" s="138"/>
      <c r="J44" s="17" t="str">
        <f t="shared" si="1"/>
        <v>Gap</v>
      </c>
      <c r="K44" s="17" t="str">
        <f t="shared" si="2"/>
        <v>Gap</v>
      </c>
      <c r="L44" s="86" t="str">
        <f t="shared" si="3"/>
        <v>Gap</v>
      </c>
      <c r="M44" s="83" t="str">
        <f t="shared" si="4"/>
        <v>Gap</v>
      </c>
      <c r="N44" s="79" t="s">
        <v>300</v>
      </c>
      <c r="O44" s="79" t="s">
        <v>300</v>
      </c>
      <c r="P44" s="79" t="s">
        <v>300</v>
      </c>
      <c r="Q44" s="83"/>
    </row>
    <row r="45" spans="1:17" ht="14.5">
      <c r="A45" s="68" t="s">
        <v>257</v>
      </c>
      <c r="C45" s="5"/>
      <c r="D45" s="5"/>
      <c r="E45" s="5"/>
      <c r="F45" s="64" t="s">
        <v>257</v>
      </c>
      <c r="G45" s="5"/>
      <c r="H45" s="64" t="s">
        <v>257</v>
      </c>
      <c r="I45" s="138"/>
      <c r="J45" s="17" t="str">
        <f t="shared" si="1"/>
        <v>Found</v>
      </c>
      <c r="K45" s="17" t="str">
        <f t="shared" si="2"/>
        <v>Gap</v>
      </c>
      <c r="L45" s="86" t="str">
        <f t="shared" si="3"/>
        <v>Found</v>
      </c>
      <c r="M45" s="107" t="str">
        <f t="shared" si="4"/>
        <v>Gap</v>
      </c>
      <c r="N45" s="79" t="s">
        <v>257</v>
      </c>
      <c r="O45" s="79" t="s">
        <v>257</v>
      </c>
      <c r="P45" s="79" t="s">
        <v>257</v>
      </c>
      <c r="Q45" s="83"/>
    </row>
    <row r="46" spans="1:17" ht="15" customHeight="1" thickBot="1">
      <c r="J46" s="32">
        <f>COUNTIF(J2:J44,"Found")/(COUNTIF(J2:J44,"Found")+COUNTIF(J2:J44,"Gap"))</f>
        <v>0.41860465116279072</v>
      </c>
      <c r="K46" s="32">
        <f>COUNTIF(K2:K44,"Found")/(COUNTIF(K2:K44,"Found")+COUNTIF(K2:K44,"Gap"))</f>
        <v>0.39534883720930231</v>
      </c>
      <c r="L46" s="32">
        <f>COUNTIF(L2:L44,"Found")/(COUNTIF(L2:L44,"Found")+COUNTIF(L2:L44,"Gap"))</f>
        <v>0.39534883720930231</v>
      </c>
      <c r="M46" s="108">
        <f>COUNTIF(M2:M45,"Found")/(COUNTIF(M2:M45,"Found")+COUNTIF(M2:M45,"Gap"))</f>
        <v>0.40909090909090912</v>
      </c>
    </row>
    <row r="47" spans="1:17" thickTop="1"/>
  </sheetData>
  <autoFilter ref="A1:L45" xr:uid="{CAB933CC-6F52-428A-8952-E5717C356660}">
    <filterColumn colId="2" showButton="0"/>
    <filterColumn colId="3" showButton="0"/>
  </autoFilter>
  <mergeCells count="2">
    <mergeCell ref="C1:E1"/>
    <mergeCell ref="N1:Q1"/>
  </mergeCells>
  <conditionalFormatting sqref="A2:A44">
    <cfRule type="duplicateValues" dxfId="50" priority="88"/>
    <cfRule type="duplicateValues" dxfId="49" priority="89"/>
  </conditionalFormatting>
  <conditionalFormatting sqref="F23">
    <cfRule type="duplicateValues" dxfId="48" priority="32"/>
  </conditionalFormatting>
  <conditionalFormatting sqref="F42">
    <cfRule type="duplicateValues" dxfId="47" priority="27"/>
  </conditionalFormatting>
  <conditionalFormatting sqref="F35:G35 F43 F38 F22 F17:F18 F7:F10 F12:G12 F14:G14 F25:G25">
    <cfRule type="duplicateValues" dxfId="46" priority="34"/>
  </conditionalFormatting>
  <conditionalFormatting sqref="G17:G18 G7:G10">
    <cfRule type="duplicateValues" dxfId="45" priority="33"/>
  </conditionalFormatting>
  <conditionalFormatting sqref="G22">
    <cfRule type="duplicateValues" dxfId="44" priority="29"/>
  </conditionalFormatting>
  <conditionalFormatting sqref="G23">
    <cfRule type="duplicateValues" dxfId="43" priority="31"/>
  </conditionalFormatting>
  <conditionalFormatting sqref="G38">
    <cfRule type="duplicateValues" dxfId="42" priority="30"/>
  </conditionalFormatting>
  <conditionalFormatting sqref="G39">
    <cfRule type="duplicateValues" dxfId="41" priority="22"/>
  </conditionalFormatting>
  <conditionalFormatting sqref="G43">
    <cfRule type="duplicateValues" dxfId="40" priority="28"/>
  </conditionalFormatting>
  <conditionalFormatting sqref="O16:Q16 N17 N13:Q15 N2:Q11">
    <cfRule type="containsText" dxfId="39" priority="56" operator="containsText" text="Found">
      <formula>NOT(ISERROR(SEARCH("Found",N2)))</formula>
    </cfRule>
    <cfRule type="containsText" dxfId="38" priority="57" operator="containsText" text="Gap">
      <formula>NOT(ISERROR(SEARCH("Gap",N2)))</formula>
    </cfRule>
  </conditionalFormatting>
  <conditionalFormatting sqref="N19:Q21 J2:M45 M3:M46 N18:P18 N22:P22 N25:P26 N27:Q43 N23:Q24">
    <cfRule type="containsText" dxfId="37" priority="36" operator="containsText" text="Found">
      <formula>NOT(ISERROR(SEARCH("Found",J2)))</formula>
    </cfRule>
    <cfRule type="containsText" dxfId="36" priority="37" operator="containsText" text="Gap">
      <formula>NOT(ISERROR(SEARCH("Gap",J2)))</formula>
    </cfRule>
  </conditionalFormatting>
  <conditionalFormatting sqref="G37:G39 G3:G35 G41:G45">
    <cfRule type="duplicateValues" dxfId="35" priority="116"/>
  </conditionalFormatting>
  <conditionalFormatting sqref="F26:G26 H41:H43 H37:H38 H2:I2 H3:H35 I3:I6 I19:I21 I15:I16 I10:I13 I24:I45">
    <cfRule type="duplicateValues" dxfId="34" priority="119"/>
  </conditionalFormatting>
  <conditionalFormatting sqref="H45 H37:H43 H2:I2 H3:H35 I3:I6 I19:I21 I15:I16 I10:I13 I24:I45">
    <cfRule type="duplicateValues" dxfId="33" priority="124"/>
  </conditionalFormatting>
  <conditionalFormatting sqref="M1:M1048576">
    <cfRule type="containsText" dxfId="32" priority="15" operator="containsText" text="Gap">
      <formula>NOT(ISERROR(SEARCH("Gap",M1)))</formula>
    </cfRule>
    <cfRule type="containsText" dxfId="31" priority="16" operator="containsText" text="Found">
      <formula>NOT(ISERROR(SEARCH("Found",M1)))</formula>
    </cfRule>
  </conditionalFormatting>
  <conditionalFormatting sqref="I14">
    <cfRule type="containsText" dxfId="30" priority="13" operator="containsText" text="Found">
      <formula>NOT(ISERROR(SEARCH("Found",I14)))</formula>
    </cfRule>
    <cfRule type="containsText" dxfId="29" priority="14" operator="containsText" text="Gap">
      <formula>NOT(ISERROR(SEARCH("Gap",I14)))</formula>
    </cfRule>
  </conditionalFormatting>
  <conditionalFormatting sqref="I9">
    <cfRule type="containsText" dxfId="28" priority="11" operator="containsText" text="Found">
      <formula>NOT(ISERROR(SEARCH("Found",I9)))</formula>
    </cfRule>
    <cfRule type="containsText" dxfId="27" priority="12" operator="containsText" text="Gap">
      <formula>NOT(ISERROR(SEARCH("Gap",I9)))</formula>
    </cfRule>
  </conditionalFormatting>
  <conditionalFormatting sqref="I8">
    <cfRule type="containsText" dxfId="26" priority="9" operator="containsText" text="Found">
      <formula>NOT(ISERROR(SEARCH("Found",I8)))</formula>
    </cfRule>
    <cfRule type="containsText" dxfId="25" priority="10" operator="containsText" text="Gap">
      <formula>NOT(ISERROR(SEARCH("Gap",I8)))</formula>
    </cfRule>
  </conditionalFormatting>
  <conditionalFormatting sqref="I7">
    <cfRule type="containsText" dxfId="24" priority="7" operator="containsText" text="Found">
      <formula>NOT(ISERROR(SEARCH("Found",I7)))</formula>
    </cfRule>
    <cfRule type="containsText" dxfId="23" priority="8" operator="containsText" text="Gap">
      <formula>NOT(ISERROR(SEARCH("Gap",I7)))</formula>
    </cfRule>
  </conditionalFormatting>
  <conditionalFormatting sqref="Q12">
    <cfRule type="duplicateValues" dxfId="22" priority="5"/>
  </conditionalFormatting>
  <conditionalFormatting sqref="Q12">
    <cfRule type="duplicateValues" dxfId="21" priority="6"/>
  </conditionalFormatting>
  <conditionalFormatting sqref="Q25">
    <cfRule type="containsText" dxfId="20" priority="3" operator="containsText" text="Found">
      <formula>NOT(ISERROR(SEARCH("Found",Q25)))</formula>
    </cfRule>
    <cfRule type="containsText" dxfId="19" priority="4" operator="containsText" text="Gap">
      <formula>NOT(ISERROR(SEARCH("Gap",Q25)))</formula>
    </cfRule>
  </conditionalFormatting>
  <conditionalFormatting sqref="Q22">
    <cfRule type="containsText" dxfId="18" priority="1" operator="containsText" text="Found">
      <formula>NOT(ISERROR(SEARCH("Found",Q22)))</formula>
    </cfRule>
    <cfRule type="containsText" dxfId="17" priority="2" operator="containsText" text="Gap">
      <formula>NOT(ISERROR(SEARCH("Gap",Q22)))</formula>
    </cfRule>
  </conditionalFormatting>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4F0E7-9A48-474D-B586-CBBAB7FA3FAF}">
  <sheetPr codeName="Sheet8"/>
  <dimension ref="A1:CK3395"/>
  <sheetViews>
    <sheetView topLeftCell="B1" workbookViewId="0">
      <selection activeCell="S1" sqref="S1"/>
    </sheetView>
  </sheetViews>
  <sheetFormatPr defaultRowHeight="14.5"/>
  <cols>
    <col min="6" max="6" width="16" bestFit="1" customWidth="1"/>
    <col min="20" max="20" width="16" bestFit="1" customWidth="1"/>
    <col min="21" max="21" width="14.1796875" bestFit="1" customWidth="1"/>
    <col min="23" max="23" width="15.453125" customWidth="1"/>
    <col min="24" max="24" width="20.54296875" customWidth="1"/>
  </cols>
  <sheetData>
    <row r="1" spans="1:89">
      <c r="A1" t="s">
        <v>262</v>
      </c>
      <c r="B1" t="s">
        <v>266</v>
      </c>
      <c r="C1" t="s">
        <v>269</v>
      </c>
      <c r="D1" t="s">
        <v>55</v>
      </c>
      <c r="E1" t="s">
        <v>70</v>
      </c>
      <c r="F1" t="s">
        <v>83</v>
      </c>
      <c r="G1" t="s">
        <v>320</v>
      </c>
      <c r="H1" t="s">
        <v>321</v>
      </c>
      <c r="I1" t="s">
        <v>172</v>
      </c>
      <c r="J1" t="s">
        <v>322</v>
      </c>
      <c r="K1" t="s">
        <v>95</v>
      </c>
      <c r="L1" t="s">
        <v>323</v>
      </c>
      <c r="M1" t="s">
        <v>114</v>
      </c>
      <c r="N1" t="s">
        <v>117</v>
      </c>
      <c r="O1" t="s">
        <v>124</v>
      </c>
      <c r="P1" t="s">
        <v>324</v>
      </c>
      <c r="Q1" t="s">
        <v>325</v>
      </c>
      <c r="R1" t="s">
        <v>326</v>
      </c>
      <c r="S1" t="s">
        <v>110</v>
      </c>
      <c r="T1" t="s">
        <v>202</v>
      </c>
      <c r="U1" t="s">
        <v>327</v>
      </c>
      <c r="V1" t="s">
        <v>138</v>
      </c>
      <c r="W1" s="57" t="s">
        <v>144</v>
      </c>
      <c r="X1" s="57" t="s">
        <v>148</v>
      </c>
      <c r="Y1" t="s">
        <v>328</v>
      </c>
      <c r="Z1" t="s">
        <v>329</v>
      </c>
      <c r="AA1" t="s">
        <v>330</v>
      </c>
      <c r="AB1" t="s">
        <v>331</v>
      </c>
      <c r="AC1" t="s">
        <v>332</v>
      </c>
      <c r="AD1" t="s">
        <v>333</v>
      </c>
      <c r="AE1" t="s">
        <v>334</v>
      </c>
      <c r="AF1" t="s">
        <v>335</v>
      </c>
      <c r="AG1" t="s">
        <v>336</v>
      </c>
      <c r="AH1" t="s">
        <v>161</v>
      </c>
      <c r="AI1" t="s">
        <v>163</v>
      </c>
      <c r="AJ1" t="s">
        <v>166</v>
      </c>
      <c r="AK1" t="s">
        <v>337</v>
      </c>
      <c r="AL1" t="s">
        <v>178</v>
      </c>
      <c r="AM1" t="s">
        <v>181</v>
      </c>
      <c r="AN1" t="s">
        <v>338</v>
      </c>
      <c r="AO1" t="s">
        <v>273</v>
      </c>
      <c r="AP1" t="s">
        <v>339</v>
      </c>
      <c r="AQ1" t="s">
        <v>340</v>
      </c>
      <c r="AR1" t="s">
        <v>100</v>
      </c>
      <c r="AS1" t="s">
        <v>341</v>
      </c>
      <c r="AT1" t="s">
        <v>155</v>
      </c>
      <c r="AU1" t="s">
        <v>342</v>
      </c>
      <c r="AV1" t="s">
        <v>158</v>
      </c>
      <c r="AW1" t="s">
        <v>168</v>
      </c>
      <c r="AX1" t="s">
        <v>343</v>
      </c>
      <c r="AY1" t="s">
        <v>344</v>
      </c>
      <c r="AZ1" t="s">
        <v>61</v>
      </c>
      <c r="BA1" t="s">
        <v>345</v>
      </c>
      <c r="BB1" t="s">
        <v>346</v>
      </c>
      <c r="BC1" t="s">
        <v>347</v>
      </c>
      <c r="BD1" t="s">
        <v>348</v>
      </c>
      <c r="BE1" t="s">
        <v>349</v>
      </c>
      <c r="BF1" t="s">
        <v>275</v>
      </c>
      <c r="BG1" t="s">
        <v>91</v>
      </c>
      <c r="BH1" t="s">
        <v>135</v>
      </c>
      <c r="BI1" t="s">
        <v>350</v>
      </c>
      <c r="BJ1" t="s">
        <v>351</v>
      </c>
      <c r="BK1" t="s">
        <v>152</v>
      </c>
      <c r="BL1" t="s">
        <v>352</v>
      </c>
      <c r="BM1" t="s">
        <v>353</v>
      </c>
      <c r="BN1" t="s">
        <v>354</v>
      </c>
      <c r="BO1" t="s">
        <v>130</v>
      </c>
      <c r="BP1" t="s">
        <v>355</v>
      </c>
      <c r="BQ1" t="s">
        <v>356</v>
      </c>
      <c r="BR1" t="s">
        <v>89</v>
      </c>
      <c r="BS1" t="s">
        <v>357</v>
      </c>
      <c r="BT1" t="s">
        <v>307</v>
      </c>
      <c r="BU1" t="s">
        <v>358</v>
      </c>
      <c r="BV1" t="s">
        <v>359</v>
      </c>
      <c r="BW1" t="s">
        <v>360</v>
      </c>
      <c r="BX1" t="s">
        <v>361</v>
      </c>
      <c r="BY1" t="s">
        <v>362</v>
      </c>
      <c r="BZ1" t="s">
        <v>133</v>
      </c>
      <c r="CA1" t="s">
        <v>363</v>
      </c>
      <c r="CB1" t="s">
        <v>156</v>
      </c>
      <c r="CC1" t="s">
        <v>364</v>
      </c>
      <c r="CD1" t="s">
        <v>365</v>
      </c>
      <c r="CE1" t="s">
        <v>366</v>
      </c>
      <c r="CF1" t="s">
        <v>367</v>
      </c>
      <c r="CG1" t="s">
        <v>368</v>
      </c>
      <c r="CH1" t="s">
        <v>369</v>
      </c>
      <c r="CI1" t="s">
        <v>370</v>
      </c>
      <c r="CJ1" t="s">
        <v>371</v>
      </c>
      <c r="CK1" t="s">
        <v>372</v>
      </c>
    </row>
    <row r="2" spans="1:89">
      <c r="A2" t="s">
        <v>373</v>
      </c>
      <c r="B2" t="s">
        <v>374</v>
      </c>
      <c r="C2" t="s">
        <v>375</v>
      </c>
      <c r="D2" t="s">
        <v>376</v>
      </c>
      <c r="E2" t="s">
        <v>76</v>
      </c>
      <c r="F2" s="13">
        <v>44998.389756944445</v>
      </c>
      <c r="G2" t="s">
        <v>377</v>
      </c>
      <c r="H2" t="s">
        <v>378</v>
      </c>
      <c r="I2" s="13">
        <v>44998.39366898148</v>
      </c>
      <c r="K2" t="s">
        <v>379</v>
      </c>
      <c r="M2" s="13">
        <v>45127</v>
      </c>
      <c r="R2">
        <v>100</v>
      </c>
      <c r="S2" t="s">
        <v>380</v>
      </c>
      <c r="T2" t="s">
        <v>57</v>
      </c>
      <c r="V2" t="s">
        <v>381</v>
      </c>
      <c r="W2" t="s">
        <v>378</v>
      </c>
      <c r="X2" t="s">
        <v>378</v>
      </c>
      <c r="AF2" t="s">
        <v>382</v>
      </c>
      <c r="AG2" t="s">
        <v>383</v>
      </c>
      <c r="AI2">
        <v>129</v>
      </c>
      <c r="AL2" t="s">
        <v>384</v>
      </c>
      <c r="AN2" t="s">
        <v>31</v>
      </c>
      <c r="AO2">
        <v>0</v>
      </c>
      <c r="AS2" t="s">
        <v>385</v>
      </c>
      <c r="AX2" t="s">
        <v>57</v>
      </c>
      <c r="AY2" t="s">
        <v>386</v>
      </c>
      <c r="AZ2" t="s">
        <v>282</v>
      </c>
      <c r="BE2" t="s">
        <v>387</v>
      </c>
      <c r="BF2">
        <v>0</v>
      </c>
      <c r="BK2" t="s">
        <v>31</v>
      </c>
      <c r="BS2" t="s">
        <v>379</v>
      </c>
      <c r="BT2" t="s">
        <v>379</v>
      </c>
      <c r="CI2" t="s">
        <v>388</v>
      </c>
      <c r="CJ2" s="14">
        <v>45013</v>
      </c>
      <c r="CK2">
        <v>1</v>
      </c>
    </row>
    <row r="3" spans="1:89">
      <c r="A3" t="s">
        <v>373</v>
      </c>
      <c r="B3" t="s">
        <v>374</v>
      </c>
      <c r="C3" t="s">
        <v>375</v>
      </c>
      <c r="D3" t="s">
        <v>389</v>
      </c>
      <c r="E3" t="s">
        <v>76</v>
      </c>
      <c r="F3" s="13">
        <v>44992.319872685184</v>
      </c>
      <c r="G3" t="s">
        <v>377</v>
      </c>
      <c r="H3" t="s">
        <v>378</v>
      </c>
      <c r="I3" s="13">
        <v>44992.324988425928</v>
      </c>
      <c r="K3" t="s">
        <v>379</v>
      </c>
      <c r="M3" s="13">
        <v>45134</v>
      </c>
      <c r="R3">
        <v>100</v>
      </c>
      <c r="S3" t="s">
        <v>380</v>
      </c>
      <c r="T3" t="s">
        <v>57</v>
      </c>
      <c r="V3" t="s">
        <v>381</v>
      </c>
      <c r="W3" t="s">
        <v>378</v>
      </c>
      <c r="X3" t="s">
        <v>378</v>
      </c>
      <c r="AF3" t="s">
        <v>382</v>
      </c>
      <c r="AG3" t="s">
        <v>390</v>
      </c>
      <c r="AI3">
        <v>142</v>
      </c>
      <c r="AL3" t="s">
        <v>391</v>
      </c>
      <c r="AN3" t="s">
        <v>31</v>
      </c>
      <c r="AO3">
        <v>0</v>
      </c>
      <c r="AS3" t="s">
        <v>392</v>
      </c>
      <c r="AX3" t="s">
        <v>31</v>
      </c>
      <c r="AY3" t="s">
        <v>386</v>
      </c>
      <c r="AZ3" t="s">
        <v>282</v>
      </c>
      <c r="BE3">
        <v>123</v>
      </c>
      <c r="BF3">
        <v>0</v>
      </c>
      <c r="BK3" t="s">
        <v>31</v>
      </c>
      <c r="BS3" t="s">
        <v>379</v>
      </c>
      <c r="BT3" t="s">
        <v>379</v>
      </c>
      <c r="CI3" t="s">
        <v>388</v>
      </c>
      <c r="CJ3" s="14">
        <v>45013</v>
      </c>
      <c r="CK3">
        <v>1</v>
      </c>
    </row>
    <row r="4" spans="1:89">
      <c r="A4" t="s">
        <v>393</v>
      </c>
      <c r="B4" t="s">
        <v>374</v>
      </c>
      <c r="C4" t="s">
        <v>394</v>
      </c>
      <c r="D4" t="s">
        <v>395</v>
      </c>
      <c r="E4" t="s">
        <v>396</v>
      </c>
      <c r="F4" s="13">
        <v>44988.550983796296</v>
      </c>
      <c r="G4" t="s">
        <v>397</v>
      </c>
      <c r="H4" t="s">
        <v>398</v>
      </c>
      <c r="I4" s="13">
        <v>44988.559988425928</v>
      </c>
      <c r="K4" t="s">
        <v>379</v>
      </c>
      <c r="M4" s="13">
        <v>45137</v>
      </c>
      <c r="R4">
        <v>100</v>
      </c>
      <c r="S4" t="s">
        <v>380</v>
      </c>
      <c r="T4" t="s">
        <v>57</v>
      </c>
      <c r="V4" t="s">
        <v>381</v>
      </c>
      <c r="W4" t="s">
        <v>399</v>
      </c>
      <c r="X4" t="s">
        <v>399</v>
      </c>
      <c r="AC4" s="13">
        <v>45199</v>
      </c>
      <c r="AD4" s="13">
        <v>45132</v>
      </c>
      <c r="AF4" t="s">
        <v>382</v>
      </c>
      <c r="AG4" t="s">
        <v>400</v>
      </c>
      <c r="AI4">
        <v>149</v>
      </c>
      <c r="AL4" t="s">
        <v>401</v>
      </c>
      <c r="AN4" t="s">
        <v>31</v>
      </c>
      <c r="AO4">
        <v>0</v>
      </c>
      <c r="AS4" t="s">
        <v>385</v>
      </c>
      <c r="AX4" t="s">
        <v>31</v>
      </c>
      <c r="AY4" t="s">
        <v>386</v>
      </c>
      <c r="AZ4" t="s">
        <v>402</v>
      </c>
      <c r="BE4" t="s">
        <v>403</v>
      </c>
      <c r="BF4">
        <v>0</v>
      </c>
      <c r="BK4" t="s">
        <v>31</v>
      </c>
      <c r="BS4" t="s">
        <v>379</v>
      </c>
      <c r="BT4" t="s">
        <v>379</v>
      </c>
      <c r="CI4" t="s">
        <v>388</v>
      </c>
      <c r="CJ4" s="14">
        <v>45013</v>
      </c>
      <c r="CK4">
        <v>1</v>
      </c>
    </row>
    <row r="5" spans="1:89">
      <c r="A5" t="s">
        <v>404</v>
      </c>
      <c r="B5" t="s">
        <v>374</v>
      </c>
      <c r="C5" t="s">
        <v>375</v>
      </c>
      <c r="D5" t="s">
        <v>405</v>
      </c>
      <c r="E5" t="s">
        <v>406</v>
      </c>
      <c r="F5" s="13">
        <v>44987.630289351851</v>
      </c>
      <c r="G5" t="s">
        <v>407</v>
      </c>
      <c r="H5" t="s">
        <v>408</v>
      </c>
      <c r="I5" s="13">
        <v>44987.632326388892</v>
      </c>
      <c r="K5" t="s">
        <v>409</v>
      </c>
      <c r="R5">
        <v>0</v>
      </c>
      <c r="S5" t="s">
        <v>380</v>
      </c>
      <c r="T5" t="s">
        <v>57</v>
      </c>
      <c r="V5" t="s">
        <v>381</v>
      </c>
      <c r="W5" t="s">
        <v>406</v>
      </c>
      <c r="X5" t="s">
        <v>406</v>
      </c>
      <c r="AI5">
        <v>83</v>
      </c>
      <c r="AL5" t="s">
        <v>410</v>
      </c>
      <c r="AN5" t="s">
        <v>31</v>
      </c>
      <c r="AO5">
        <v>0</v>
      </c>
      <c r="AZ5" t="s">
        <v>406</v>
      </c>
      <c r="BF5">
        <v>0</v>
      </c>
      <c r="BK5" t="s">
        <v>31</v>
      </c>
      <c r="BS5" t="s">
        <v>409</v>
      </c>
      <c r="BT5" t="s">
        <v>409</v>
      </c>
      <c r="CI5" t="s">
        <v>388</v>
      </c>
      <c r="CJ5" s="14">
        <v>45013</v>
      </c>
      <c r="CK5">
        <v>1</v>
      </c>
    </row>
    <row r="6" spans="1:89">
      <c r="A6" t="s">
        <v>373</v>
      </c>
      <c r="B6" t="s">
        <v>374</v>
      </c>
      <c r="C6" t="s">
        <v>375</v>
      </c>
      <c r="D6" t="s">
        <v>411</v>
      </c>
      <c r="E6" t="s">
        <v>76</v>
      </c>
      <c r="F6" s="13">
        <v>44973.629270833335</v>
      </c>
      <c r="G6" t="s">
        <v>377</v>
      </c>
      <c r="H6" t="s">
        <v>378</v>
      </c>
      <c r="I6" s="13">
        <v>44973.629942129628</v>
      </c>
      <c r="K6" t="s">
        <v>412</v>
      </c>
      <c r="R6">
        <v>0</v>
      </c>
      <c r="S6" t="s">
        <v>380</v>
      </c>
      <c r="T6" t="s">
        <v>57</v>
      </c>
      <c r="V6" t="s">
        <v>381</v>
      </c>
      <c r="W6" t="s">
        <v>378</v>
      </c>
      <c r="X6" t="s">
        <v>378</v>
      </c>
      <c r="AI6">
        <v>356</v>
      </c>
      <c r="AL6" t="s">
        <v>413</v>
      </c>
      <c r="AN6" t="s">
        <v>31</v>
      </c>
      <c r="AO6">
        <v>0</v>
      </c>
      <c r="AS6" t="s">
        <v>385</v>
      </c>
      <c r="AU6" t="s">
        <v>57</v>
      </c>
      <c r="AX6" t="s">
        <v>31</v>
      </c>
      <c r="AY6" t="s">
        <v>386</v>
      </c>
      <c r="AZ6" t="s">
        <v>282</v>
      </c>
      <c r="BE6">
        <v>124</v>
      </c>
      <c r="BF6">
        <v>0</v>
      </c>
      <c r="BK6" t="s">
        <v>31</v>
      </c>
      <c r="BS6" t="s">
        <v>412</v>
      </c>
      <c r="BT6" t="s">
        <v>412</v>
      </c>
      <c r="CI6" t="s">
        <v>388</v>
      </c>
      <c r="CJ6" s="14">
        <v>45013</v>
      </c>
      <c r="CK6">
        <v>1</v>
      </c>
    </row>
    <row r="7" spans="1:89">
      <c r="A7" t="s">
        <v>373</v>
      </c>
      <c r="B7" t="s">
        <v>374</v>
      </c>
      <c r="C7" t="s">
        <v>375</v>
      </c>
      <c r="D7" t="s">
        <v>414</v>
      </c>
      <c r="E7" t="s">
        <v>76</v>
      </c>
      <c r="F7" s="13">
        <v>44973.623842592591</v>
      </c>
      <c r="G7" t="s">
        <v>377</v>
      </c>
      <c r="H7" t="s">
        <v>378</v>
      </c>
      <c r="I7" s="13">
        <v>45012.04446759259</v>
      </c>
      <c r="K7" t="s">
        <v>415</v>
      </c>
      <c r="M7" s="13">
        <v>45015</v>
      </c>
      <c r="R7">
        <v>100</v>
      </c>
      <c r="S7" t="s">
        <v>416</v>
      </c>
      <c r="T7" t="s">
        <v>57</v>
      </c>
      <c r="V7" t="s">
        <v>381</v>
      </c>
      <c r="W7" t="s">
        <v>378</v>
      </c>
      <c r="X7" t="s">
        <v>378</v>
      </c>
      <c r="AF7" t="s">
        <v>382</v>
      </c>
      <c r="AG7" t="s">
        <v>417</v>
      </c>
      <c r="AI7">
        <v>3</v>
      </c>
      <c r="AL7" t="s">
        <v>413</v>
      </c>
      <c r="AM7">
        <v>1</v>
      </c>
      <c r="AN7" t="s">
        <v>31</v>
      </c>
      <c r="AO7">
        <v>0</v>
      </c>
      <c r="AS7" t="s">
        <v>385</v>
      </c>
      <c r="AU7" t="s">
        <v>57</v>
      </c>
      <c r="AX7" t="s">
        <v>31</v>
      </c>
      <c r="AY7" t="s">
        <v>386</v>
      </c>
      <c r="AZ7" t="s">
        <v>282</v>
      </c>
      <c r="BE7">
        <v>124</v>
      </c>
      <c r="BF7">
        <v>0</v>
      </c>
      <c r="BK7" t="s">
        <v>31</v>
      </c>
      <c r="BS7" t="s">
        <v>418</v>
      </c>
      <c r="BT7" t="s">
        <v>419</v>
      </c>
      <c r="CI7" t="s">
        <v>388</v>
      </c>
      <c r="CJ7" s="14">
        <v>45013</v>
      </c>
      <c r="CK7">
        <v>1</v>
      </c>
    </row>
    <row r="8" spans="1:89">
      <c r="A8" t="s">
        <v>373</v>
      </c>
      <c r="B8" t="s">
        <v>374</v>
      </c>
      <c r="C8" t="s">
        <v>375</v>
      </c>
      <c r="D8" t="s">
        <v>420</v>
      </c>
      <c r="E8" t="s">
        <v>70</v>
      </c>
      <c r="F8" s="13">
        <v>44973.535486111112</v>
      </c>
      <c r="G8" t="s">
        <v>377</v>
      </c>
      <c r="H8" t="s">
        <v>378</v>
      </c>
      <c r="I8" s="13">
        <v>44973.53638888889</v>
      </c>
      <c r="K8" t="s">
        <v>412</v>
      </c>
      <c r="R8">
        <v>0</v>
      </c>
      <c r="S8" t="s">
        <v>380</v>
      </c>
      <c r="T8" t="s">
        <v>57</v>
      </c>
      <c r="V8" t="s">
        <v>381</v>
      </c>
      <c r="W8" t="s">
        <v>378</v>
      </c>
      <c r="X8" t="s">
        <v>378</v>
      </c>
      <c r="AI8">
        <v>134</v>
      </c>
      <c r="AL8" t="s">
        <v>421</v>
      </c>
      <c r="AN8" t="s">
        <v>31</v>
      </c>
      <c r="AO8">
        <v>0</v>
      </c>
      <c r="AS8" t="s">
        <v>385</v>
      </c>
      <c r="AU8" t="s">
        <v>57</v>
      </c>
      <c r="AX8" t="s">
        <v>31</v>
      </c>
      <c r="AY8" t="s">
        <v>386</v>
      </c>
      <c r="AZ8" t="s">
        <v>422</v>
      </c>
      <c r="BE8">
        <v>124</v>
      </c>
      <c r="BF8">
        <v>0</v>
      </c>
      <c r="BK8" t="s">
        <v>31</v>
      </c>
      <c r="BS8" t="s">
        <v>412</v>
      </c>
      <c r="BT8" t="s">
        <v>412</v>
      </c>
      <c r="CI8" t="s">
        <v>388</v>
      </c>
      <c r="CJ8" s="14">
        <v>45013</v>
      </c>
      <c r="CK8">
        <v>1</v>
      </c>
    </row>
    <row r="9" spans="1:89">
      <c r="A9" t="s">
        <v>373</v>
      </c>
      <c r="B9" t="s">
        <v>374</v>
      </c>
      <c r="C9" t="s">
        <v>375</v>
      </c>
      <c r="D9" t="s">
        <v>423</v>
      </c>
      <c r="E9" t="s">
        <v>424</v>
      </c>
      <c r="F9" s="13">
        <v>44973.519918981481</v>
      </c>
      <c r="G9" t="s">
        <v>377</v>
      </c>
      <c r="H9" t="s">
        <v>378</v>
      </c>
      <c r="I9" s="13">
        <v>45012.04446759259</v>
      </c>
      <c r="K9" t="s">
        <v>415</v>
      </c>
      <c r="M9" s="13">
        <v>45015</v>
      </c>
      <c r="R9">
        <v>100</v>
      </c>
      <c r="S9" t="s">
        <v>416</v>
      </c>
      <c r="T9" t="s">
        <v>57</v>
      </c>
      <c r="V9" t="s">
        <v>381</v>
      </c>
      <c r="W9" t="s">
        <v>378</v>
      </c>
      <c r="X9" t="s">
        <v>378</v>
      </c>
      <c r="AF9" t="s">
        <v>382</v>
      </c>
      <c r="AG9" t="s">
        <v>425</v>
      </c>
      <c r="AI9">
        <v>3</v>
      </c>
      <c r="AL9" t="s">
        <v>421</v>
      </c>
      <c r="AM9">
        <v>1</v>
      </c>
      <c r="AN9" t="s">
        <v>31</v>
      </c>
      <c r="AO9">
        <v>0</v>
      </c>
      <c r="AS9" t="s">
        <v>385</v>
      </c>
      <c r="AU9" t="s">
        <v>57</v>
      </c>
      <c r="AX9" t="s">
        <v>57</v>
      </c>
      <c r="AY9" t="s">
        <v>386</v>
      </c>
      <c r="AZ9" t="s">
        <v>426</v>
      </c>
      <c r="BE9" t="s">
        <v>427</v>
      </c>
      <c r="BF9">
        <v>0</v>
      </c>
      <c r="BK9" t="s">
        <v>31</v>
      </c>
      <c r="BS9" t="s">
        <v>418</v>
      </c>
      <c r="BT9" t="s">
        <v>419</v>
      </c>
      <c r="CI9" t="s">
        <v>388</v>
      </c>
      <c r="CJ9" s="14">
        <v>45013</v>
      </c>
      <c r="CK9">
        <v>1</v>
      </c>
    </row>
    <row r="10" spans="1:89">
      <c r="A10" t="s">
        <v>373</v>
      </c>
      <c r="B10" t="s">
        <v>374</v>
      </c>
      <c r="C10" t="s">
        <v>375</v>
      </c>
      <c r="D10" t="s">
        <v>428</v>
      </c>
      <c r="E10" t="s">
        <v>429</v>
      </c>
      <c r="F10" s="13">
        <v>44973.363749999997</v>
      </c>
      <c r="G10" t="s">
        <v>377</v>
      </c>
      <c r="H10" t="s">
        <v>378</v>
      </c>
      <c r="I10" s="13">
        <v>44973.366180555553</v>
      </c>
      <c r="K10" t="s">
        <v>412</v>
      </c>
      <c r="R10">
        <v>0</v>
      </c>
      <c r="S10" t="s">
        <v>380</v>
      </c>
      <c r="T10" t="s">
        <v>57</v>
      </c>
      <c r="V10" t="s">
        <v>381</v>
      </c>
      <c r="W10" t="s">
        <v>378</v>
      </c>
      <c r="X10" t="s">
        <v>378</v>
      </c>
      <c r="AI10">
        <v>134</v>
      </c>
      <c r="AL10" t="s">
        <v>430</v>
      </c>
      <c r="AN10" t="s">
        <v>31</v>
      </c>
      <c r="AO10">
        <v>0</v>
      </c>
      <c r="AS10" t="s">
        <v>385</v>
      </c>
      <c r="AU10" t="s">
        <v>57</v>
      </c>
      <c r="AX10" t="s">
        <v>57</v>
      </c>
      <c r="AY10" t="s">
        <v>386</v>
      </c>
      <c r="AZ10" t="s">
        <v>431</v>
      </c>
      <c r="BE10">
        <v>124</v>
      </c>
      <c r="BF10">
        <v>0</v>
      </c>
      <c r="BK10" t="s">
        <v>31</v>
      </c>
      <c r="BS10" t="s">
        <v>412</v>
      </c>
      <c r="BT10" t="s">
        <v>412</v>
      </c>
      <c r="CI10" t="s">
        <v>388</v>
      </c>
      <c r="CJ10" s="14">
        <v>45013</v>
      </c>
      <c r="CK10">
        <v>1</v>
      </c>
    </row>
    <row r="11" spans="1:89">
      <c r="A11" t="s">
        <v>373</v>
      </c>
      <c r="B11" t="s">
        <v>374</v>
      </c>
      <c r="C11" t="s">
        <v>375</v>
      </c>
      <c r="D11" t="s">
        <v>432</v>
      </c>
      <c r="E11" t="s">
        <v>433</v>
      </c>
      <c r="F11" s="13">
        <v>44973.354907407411</v>
      </c>
      <c r="G11" t="s">
        <v>377</v>
      </c>
      <c r="H11" t="s">
        <v>378</v>
      </c>
      <c r="I11" s="13">
        <v>45012.04446759259</v>
      </c>
      <c r="K11" t="s">
        <v>415</v>
      </c>
      <c r="M11" s="13">
        <v>45015</v>
      </c>
      <c r="R11">
        <v>100</v>
      </c>
      <c r="S11" t="s">
        <v>416</v>
      </c>
      <c r="T11" t="s">
        <v>57</v>
      </c>
      <c r="V11" t="s">
        <v>381</v>
      </c>
      <c r="W11" t="s">
        <v>378</v>
      </c>
      <c r="X11" t="s">
        <v>378</v>
      </c>
      <c r="AF11" t="s">
        <v>382</v>
      </c>
      <c r="AG11" t="s">
        <v>434</v>
      </c>
      <c r="AI11">
        <v>3</v>
      </c>
      <c r="AL11" t="s">
        <v>430</v>
      </c>
      <c r="AM11">
        <v>1</v>
      </c>
      <c r="AN11" t="s">
        <v>31</v>
      </c>
      <c r="AO11">
        <v>0</v>
      </c>
      <c r="AS11" t="s">
        <v>385</v>
      </c>
      <c r="AU11" t="s">
        <v>57</v>
      </c>
      <c r="AX11" t="s">
        <v>57</v>
      </c>
      <c r="AY11" t="s">
        <v>386</v>
      </c>
      <c r="AZ11" t="s">
        <v>433</v>
      </c>
      <c r="BE11">
        <v>124</v>
      </c>
      <c r="BF11">
        <v>0</v>
      </c>
      <c r="BK11" t="s">
        <v>31</v>
      </c>
      <c r="BS11" t="s">
        <v>418</v>
      </c>
      <c r="BT11" t="s">
        <v>419</v>
      </c>
      <c r="CI11" t="s">
        <v>388</v>
      </c>
      <c r="CJ11" s="14">
        <v>45013</v>
      </c>
      <c r="CK11">
        <v>1</v>
      </c>
    </row>
    <row r="12" spans="1:89">
      <c r="A12" t="s">
        <v>435</v>
      </c>
      <c r="B12" t="s">
        <v>374</v>
      </c>
      <c r="C12" t="s">
        <v>436</v>
      </c>
      <c r="D12" t="s">
        <v>437</v>
      </c>
      <c r="E12" t="s">
        <v>438</v>
      </c>
      <c r="F12" s="13">
        <v>44967.572453703702</v>
      </c>
      <c r="G12" t="s">
        <v>439</v>
      </c>
      <c r="H12" t="s">
        <v>440</v>
      </c>
      <c r="I12" s="13">
        <v>44967.577175925922</v>
      </c>
      <c r="K12" t="s">
        <v>379</v>
      </c>
      <c r="M12" s="13">
        <v>45015</v>
      </c>
      <c r="R12">
        <v>100</v>
      </c>
      <c r="S12" t="s">
        <v>380</v>
      </c>
      <c r="T12" t="s">
        <v>57</v>
      </c>
      <c r="V12" t="s">
        <v>381</v>
      </c>
      <c r="W12" t="s">
        <v>440</v>
      </c>
      <c r="X12" t="s">
        <v>440</v>
      </c>
      <c r="AF12" t="s">
        <v>382</v>
      </c>
      <c r="AG12" t="s">
        <v>382</v>
      </c>
      <c r="AI12">
        <v>48</v>
      </c>
      <c r="AL12" t="s">
        <v>441</v>
      </c>
      <c r="AN12" t="s">
        <v>31</v>
      </c>
      <c r="AO12">
        <v>0</v>
      </c>
      <c r="AS12" t="s">
        <v>385</v>
      </c>
      <c r="AX12" t="s">
        <v>57</v>
      </c>
      <c r="AY12" t="s">
        <v>442</v>
      </c>
      <c r="AZ12" t="s">
        <v>443</v>
      </c>
      <c r="BF12">
        <v>0</v>
      </c>
      <c r="BK12" t="s">
        <v>31</v>
      </c>
      <c r="BS12" t="s">
        <v>379</v>
      </c>
      <c r="BT12" t="s">
        <v>379</v>
      </c>
      <c r="CI12" t="s">
        <v>388</v>
      </c>
      <c r="CJ12" s="14">
        <v>45013</v>
      </c>
      <c r="CK12">
        <v>1</v>
      </c>
    </row>
    <row r="13" spans="1:89">
      <c r="A13" t="s">
        <v>444</v>
      </c>
      <c r="B13" t="s">
        <v>374</v>
      </c>
      <c r="C13" t="s">
        <v>445</v>
      </c>
      <c r="D13" t="s">
        <v>446</v>
      </c>
      <c r="E13" t="s">
        <v>447</v>
      </c>
      <c r="F13" s="13">
        <v>44964.624756944446</v>
      </c>
      <c r="G13" t="s">
        <v>448</v>
      </c>
      <c r="H13" t="s">
        <v>449</v>
      </c>
      <c r="I13" s="13">
        <v>45012.044456018521</v>
      </c>
      <c r="K13" t="s">
        <v>415</v>
      </c>
      <c r="M13" s="13">
        <v>45016</v>
      </c>
      <c r="R13">
        <v>0</v>
      </c>
      <c r="S13" t="s">
        <v>380</v>
      </c>
      <c r="V13" t="s">
        <v>381</v>
      </c>
      <c r="W13" t="s">
        <v>450</v>
      </c>
      <c r="X13" t="s">
        <v>450</v>
      </c>
      <c r="AF13" t="s">
        <v>451</v>
      </c>
      <c r="AI13">
        <v>4</v>
      </c>
      <c r="AL13" t="s">
        <v>452</v>
      </c>
      <c r="AN13" t="s">
        <v>31</v>
      </c>
      <c r="AO13">
        <v>0</v>
      </c>
      <c r="AZ13" t="s">
        <v>453</v>
      </c>
      <c r="BF13">
        <v>0</v>
      </c>
      <c r="BK13" t="s">
        <v>31</v>
      </c>
      <c r="BS13" t="s">
        <v>419</v>
      </c>
      <c r="BT13" t="s">
        <v>419</v>
      </c>
      <c r="CI13" t="s">
        <v>388</v>
      </c>
      <c r="CJ13" s="14">
        <v>45013</v>
      </c>
      <c r="CK13">
        <v>1</v>
      </c>
    </row>
    <row r="14" spans="1:89">
      <c r="A14" t="s">
        <v>454</v>
      </c>
      <c r="B14" t="s">
        <v>374</v>
      </c>
      <c r="C14" t="s">
        <v>455</v>
      </c>
      <c r="D14" t="s">
        <v>456</v>
      </c>
      <c r="E14" t="s">
        <v>457</v>
      </c>
      <c r="F14" s="13">
        <v>44949.509699074071</v>
      </c>
      <c r="G14" t="s">
        <v>458</v>
      </c>
      <c r="H14" t="s">
        <v>459</v>
      </c>
      <c r="I14" s="13">
        <v>44949.509710648148</v>
      </c>
      <c r="R14">
        <v>0</v>
      </c>
      <c r="S14" t="s">
        <v>416</v>
      </c>
      <c r="T14" t="s">
        <v>57</v>
      </c>
      <c r="V14" t="s">
        <v>381</v>
      </c>
      <c r="W14" t="s">
        <v>460</v>
      </c>
      <c r="X14" t="s">
        <v>460</v>
      </c>
      <c r="AI14">
        <v>67</v>
      </c>
      <c r="AN14" t="s">
        <v>31</v>
      </c>
      <c r="AO14">
        <v>0</v>
      </c>
      <c r="AS14" t="s">
        <v>461</v>
      </c>
      <c r="AX14" t="s">
        <v>57</v>
      </c>
      <c r="AY14" t="s">
        <v>386</v>
      </c>
      <c r="AZ14" t="s">
        <v>462</v>
      </c>
      <c r="BF14">
        <v>0</v>
      </c>
      <c r="BK14" t="s">
        <v>31</v>
      </c>
      <c r="BS14" t="s">
        <v>412</v>
      </c>
      <c r="CI14" t="s">
        <v>388</v>
      </c>
      <c r="CJ14" s="14">
        <v>45013</v>
      </c>
      <c r="CK14">
        <v>1</v>
      </c>
    </row>
    <row r="15" spans="1:89">
      <c r="A15" t="s">
        <v>454</v>
      </c>
      <c r="B15" t="s">
        <v>374</v>
      </c>
      <c r="C15" t="s">
        <v>455</v>
      </c>
      <c r="D15" t="s">
        <v>463</v>
      </c>
      <c r="E15" t="s">
        <v>464</v>
      </c>
      <c r="F15" s="13">
        <v>44949.509675925925</v>
      </c>
      <c r="G15" t="s">
        <v>458</v>
      </c>
      <c r="H15" t="s">
        <v>459</v>
      </c>
      <c r="I15" s="13">
        <v>44949.509687500002</v>
      </c>
      <c r="R15">
        <v>0</v>
      </c>
      <c r="S15" t="s">
        <v>380</v>
      </c>
      <c r="T15" t="s">
        <v>57</v>
      </c>
      <c r="V15" t="s">
        <v>381</v>
      </c>
      <c r="W15" t="s">
        <v>465</v>
      </c>
      <c r="X15" t="s">
        <v>465</v>
      </c>
      <c r="AI15">
        <v>23</v>
      </c>
      <c r="AN15" t="s">
        <v>31</v>
      </c>
      <c r="AO15">
        <v>0</v>
      </c>
      <c r="AS15" t="s">
        <v>461</v>
      </c>
      <c r="AX15" t="s">
        <v>57</v>
      </c>
      <c r="AY15" t="s">
        <v>386</v>
      </c>
      <c r="AZ15" t="s">
        <v>466</v>
      </c>
      <c r="BF15">
        <v>0</v>
      </c>
      <c r="BK15" t="s">
        <v>31</v>
      </c>
      <c r="BS15" t="s">
        <v>412</v>
      </c>
      <c r="CI15" t="s">
        <v>388</v>
      </c>
      <c r="CJ15" s="14">
        <v>45013</v>
      </c>
      <c r="CK15">
        <v>1</v>
      </c>
    </row>
    <row r="16" spans="1:89">
      <c r="A16" t="s">
        <v>454</v>
      </c>
      <c r="B16" t="s">
        <v>374</v>
      </c>
      <c r="C16" t="s">
        <v>455</v>
      </c>
      <c r="D16" t="s">
        <v>467</v>
      </c>
      <c r="E16" t="s">
        <v>468</v>
      </c>
      <c r="F16" s="13">
        <v>44949.507824074077</v>
      </c>
      <c r="G16" t="s">
        <v>458</v>
      </c>
      <c r="H16" t="s">
        <v>459</v>
      </c>
      <c r="I16" s="13">
        <v>45012.044456018521</v>
      </c>
      <c r="K16" t="s">
        <v>415</v>
      </c>
      <c r="M16" s="13">
        <v>45016</v>
      </c>
      <c r="R16">
        <v>0</v>
      </c>
      <c r="S16" t="s">
        <v>416</v>
      </c>
      <c r="T16" t="s">
        <v>57</v>
      </c>
      <c r="V16" t="s">
        <v>381</v>
      </c>
      <c r="W16" t="s">
        <v>469</v>
      </c>
      <c r="X16" t="s">
        <v>469</v>
      </c>
      <c r="AF16" t="s">
        <v>451</v>
      </c>
      <c r="AI16">
        <v>4</v>
      </c>
      <c r="AL16" t="s">
        <v>470</v>
      </c>
      <c r="AN16" t="s">
        <v>31</v>
      </c>
      <c r="AO16">
        <v>0</v>
      </c>
      <c r="AZ16" t="s">
        <v>471</v>
      </c>
      <c r="BF16">
        <v>0</v>
      </c>
      <c r="BK16" t="s">
        <v>31</v>
      </c>
      <c r="BS16" t="s">
        <v>419</v>
      </c>
      <c r="BT16" t="s">
        <v>419</v>
      </c>
      <c r="CI16" t="s">
        <v>388</v>
      </c>
      <c r="CJ16" s="14">
        <v>45013</v>
      </c>
      <c r="CK16">
        <v>1</v>
      </c>
    </row>
    <row r="17" spans="1:89">
      <c r="A17" t="s">
        <v>472</v>
      </c>
      <c r="B17" t="s">
        <v>374</v>
      </c>
      <c r="C17" t="s">
        <v>473</v>
      </c>
      <c r="D17" t="s">
        <v>474</v>
      </c>
      <c r="E17" t="s">
        <v>475</v>
      </c>
      <c r="F17" s="13">
        <v>44896.485972222225</v>
      </c>
      <c r="G17" t="s">
        <v>476</v>
      </c>
      <c r="H17" t="s">
        <v>477</v>
      </c>
      <c r="I17" s="13">
        <v>45012.044456018521</v>
      </c>
      <c r="K17" t="s">
        <v>415</v>
      </c>
      <c r="M17" s="13">
        <v>44985</v>
      </c>
      <c r="R17">
        <v>0</v>
      </c>
      <c r="S17" t="s">
        <v>416</v>
      </c>
      <c r="T17" t="s">
        <v>57</v>
      </c>
      <c r="V17" t="s">
        <v>478</v>
      </c>
      <c r="W17" t="s">
        <v>479</v>
      </c>
      <c r="X17" t="s">
        <v>479</v>
      </c>
      <c r="Y17" t="s">
        <v>480</v>
      </c>
      <c r="AC17" s="13">
        <v>44910</v>
      </c>
      <c r="AD17" s="13">
        <v>44903</v>
      </c>
      <c r="AF17" t="s">
        <v>451</v>
      </c>
      <c r="AG17" t="s">
        <v>481</v>
      </c>
      <c r="AI17">
        <v>-27</v>
      </c>
      <c r="AL17" t="s">
        <v>482</v>
      </c>
      <c r="AN17" t="s">
        <v>31</v>
      </c>
      <c r="AO17">
        <v>0</v>
      </c>
      <c r="AS17" t="s">
        <v>385</v>
      </c>
      <c r="AT17" t="s">
        <v>31</v>
      </c>
      <c r="AX17" t="s">
        <v>31</v>
      </c>
      <c r="AY17" t="s">
        <v>386</v>
      </c>
      <c r="AZ17" t="s">
        <v>483</v>
      </c>
      <c r="BF17">
        <v>0</v>
      </c>
      <c r="BK17" t="s">
        <v>31</v>
      </c>
      <c r="BS17" t="s">
        <v>484</v>
      </c>
      <c r="BT17" t="s">
        <v>484</v>
      </c>
      <c r="CI17" t="s">
        <v>388</v>
      </c>
      <c r="CJ17" s="14">
        <v>45013</v>
      </c>
      <c r="CK17">
        <v>1</v>
      </c>
    </row>
    <row r="18" spans="1:89">
      <c r="A18" t="s">
        <v>485</v>
      </c>
      <c r="B18" t="s">
        <v>374</v>
      </c>
      <c r="C18" t="s">
        <v>486</v>
      </c>
      <c r="D18" t="s">
        <v>487</v>
      </c>
      <c r="E18" t="s">
        <v>488</v>
      </c>
      <c r="F18" s="13">
        <v>44894.408437500002</v>
      </c>
      <c r="G18" t="s">
        <v>489</v>
      </c>
      <c r="H18" t="s">
        <v>490</v>
      </c>
      <c r="I18" s="13">
        <v>44894.408680555556</v>
      </c>
      <c r="K18" t="s">
        <v>412</v>
      </c>
      <c r="R18">
        <v>0</v>
      </c>
      <c r="S18" t="s">
        <v>380</v>
      </c>
      <c r="T18" t="s">
        <v>57</v>
      </c>
      <c r="V18" t="s">
        <v>381</v>
      </c>
      <c r="W18" t="s">
        <v>491</v>
      </c>
      <c r="X18" t="s">
        <v>491</v>
      </c>
      <c r="AI18">
        <v>9</v>
      </c>
      <c r="AL18" t="s">
        <v>492</v>
      </c>
      <c r="AN18" t="s">
        <v>31</v>
      </c>
      <c r="AO18">
        <v>0</v>
      </c>
      <c r="AZ18" t="s">
        <v>488</v>
      </c>
      <c r="BF18">
        <v>0</v>
      </c>
      <c r="BK18" t="s">
        <v>31</v>
      </c>
      <c r="BS18" t="s">
        <v>412</v>
      </c>
      <c r="BT18" t="s">
        <v>412</v>
      </c>
      <c r="CI18" t="s">
        <v>388</v>
      </c>
      <c r="CJ18" s="14">
        <v>45013</v>
      </c>
      <c r="CK18">
        <v>1</v>
      </c>
    </row>
    <row r="19" spans="1:89">
      <c r="A19" t="s">
        <v>485</v>
      </c>
      <c r="B19" t="s">
        <v>374</v>
      </c>
      <c r="C19" t="s">
        <v>486</v>
      </c>
      <c r="D19" t="s">
        <v>493</v>
      </c>
      <c r="E19" t="s">
        <v>494</v>
      </c>
      <c r="F19" s="13">
        <v>44894.401006944441</v>
      </c>
      <c r="G19" t="s">
        <v>489</v>
      </c>
      <c r="H19" t="s">
        <v>490</v>
      </c>
      <c r="I19" s="13">
        <v>44894.404513888891</v>
      </c>
      <c r="K19" t="s">
        <v>412</v>
      </c>
      <c r="R19">
        <v>0</v>
      </c>
      <c r="S19" t="s">
        <v>416</v>
      </c>
      <c r="T19" t="s">
        <v>57</v>
      </c>
      <c r="V19" t="s">
        <v>381</v>
      </c>
      <c r="W19" t="s">
        <v>490</v>
      </c>
      <c r="X19" t="s">
        <v>490</v>
      </c>
      <c r="AI19">
        <v>9</v>
      </c>
      <c r="AL19" t="s">
        <v>492</v>
      </c>
      <c r="AN19" t="s">
        <v>31</v>
      </c>
      <c r="AO19">
        <v>0</v>
      </c>
      <c r="AZ19" t="s">
        <v>495</v>
      </c>
      <c r="BF19">
        <v>0</v>
      </c>
      <c r="BK19" t="s">
        <v>31</v>
      </c>
      <c r="BS19" t="s">
        <v>412</v>
      </c>
      <c r="BT19" t="s">
        <v>412</v>
      </c>
      <c r="CI19" t="s">
        <v>388</v>
      </c>
      <c r="CJ19" s="14">
        <v>45013</v>
      </c>
      <c r="CK19">
        <v>1</v>
      </c>
    </row>
    <row r="20" spans="1:89">
      <c r="A20" t="s">
        <v>496</v>
      </c>
      <c r="B20" t="s">
        <v>374</v>
      </c>
      <c r="C20" t="s">
        <v>497</v>
      </c>
      <c r="D20" t="s">
        <v>498</v>
      </c>
      <c r="E20" t="s">
        <v>499</v>
      </c>
      <c r="F20" s="13">
        <v>44847.489108796297</v>
      </c>
      <c r="G20" t="s">
        <v>500</v>
      </c>
      <c r="H20" t="s">
        <v>501</v>
      </c>
      <c r="I20" s="13">
        <v>44847.489131944443</v>
      </c>
      <c r="K20" t="s">
        <v>412</v>
      </c>
      <c r="R20">
        <v>0</v>
      </c>
      <c r="S20" t="s">
        <v>380</v>
      </c>
      <c r="V20" t="s">
        <v>381</v>
      </c>
      <c r="W20" t="s">
        <v>502</v>
      </c>
      <c r="X20" t="s">
        <v>502</v>
      </c>
      <c r="AI20">
        <v>0</v>
      </c>
      <c r="AL20" t="s">
        <v>503</v>
      </c>
      <c r="AN20" t="s">
        <v>31</v>
      </c>
      <c r="AO20">
        <v>0</v>
      </c>
      <c r="AZ20" t="s">
        <v>438</v>
      </c>
      <c r="BF20">
        <v>0</v>
      </c>
      <c r="BK20" t="s">
        <v>31</v>
      </c>
      <c r="BS20" t="s">
        <v>412</v>
      </c>
      <c r="BT20" t="s">
        <v>412</v>
      </c>
      <c r="CI20" t="s">
        <v>388</v>
      </c>
      <c r="CJ20" s="14">
        <v>45013</v>
      </c>
      <c r="CK20">
        <v>1</v>
      </c>
    </row>
    <row r="21" spans="1:89">
      <c r="A21" t="s">
        <v>496</v>
      </c>
      <c r="B21" t="s">
        <v>374</v>
      </c>
      <c r="C21" t="s">
        <v>497</v>
      </c>
      <c r="D21" t="s">
        <v>504</v>
      </c>
      <c r="E21" t="s">
        <v>438</v>
      </c>
      <c r="F21" s="13">
        <v>44847.458472222221</v>
      </c>
      <c r="G21" t="s">
        <v>500</v>
      </c>
      <c r="H21" t="s">
        <v>501</v>
      </c>
      <c r="I21" s="13">
        <v>45012.044456018521</v>
      </c>
      <c r="K21" t="s">
        <v>415</v>
      </c>
      <c r="M21" s="13">
        <v>44925</v>
      </c>
      <c r="R21">
        <v>0</v>
      </c>
      <c r="S21" t="s">
        <v>416</v>
      </c>
      <c r="T21" t="s">
        <v>57</v>
      </c>
      <c r="V21" t="s">
        <v>478</v>
      </c>
      <c r="W21" t="s">
        <v>505</v>
      </c>
      <c r="X21" t="s">
        <v>505</v>
      </c>
      <c r="Y21" t="s">
        <v>480</v>
      </c>
      <c r="AF21" t="s">
        <v>451</v>
      </c>
      <c r="AG21" t="s">
        <v>438</v>
      </c>
      <c r="AI21">
        <v>-87</v>
      </c>
      <c r="AL21" t="s">
        <v>506</v>
      </c>
      <c r="AN21" t="s">
        <v>31</v>
      </c>
      <c r="AO21">
        <v>0</v>
      </c>
      <c r="AT21" t="s">
        <v>31</v>
      </c>
      <c r="AZ21" t="s">
        <v>438</v>
      </c>
      <c r="BF21">
        <v>0</v>
      </c>
      <c r="BK21" t="s">
        <v>31</v>
      </c>
      <c r="BS21" t="s">
        <v>484</v>
      </c>
      <c r="BT21" t="s">
        <v>484</v>
      </c>
      <c r="CI21" t="s">
        <v>388</v>
      </c>
      <c r="CJ21" s="14">
        <v>45013</v>
      </c>
      <c r="CK21">
        <v>1</v>
      </c>
    </row>
    <row r="22" spans="1:89">
      <c r="A22" t="s">
        <v>507</v>
      </c>
      <c r="B22" t="s">
        <v>374</v>
      </c>
      <c r="C22" t="s">
        <v>508</v>
      </c>
      <c r="D22" t="s">
        <v>509</v>
      </c>
      <c r="E22" t="s">
        <v>406</v>
      </c>
      <c r="F22" s="13">
        <v>44847.450138888889</v>
      </c>
      <c r="G22" t="s">
        <v>407</v>
      </c>
      <c r="H22" t="s">
        <v>408</v>
      </c>
      <c r="I22" s="13">
        <v>45012.044444444444</v>
      </c>
      <c r="K22" t="s">
        <v>415</v>
      </c>
      <c r="M22" s="13">
        <v>44902</v>
      </c>
      <c r="R22">
        <v>0</v>
      </c>
      <c r="S22" t="s">
        <v>380</v>
      </c>
      <c r="T22" t="s">
        <v>57</v>
      </c>
      <c r="V22" t="s">
        <v>478</v>
      </c>
      <c r="W22" t="s">
        <v>510</v>
      </c>
      <c r="X22" t="s">
        <v>510</v>
      </c>
      <c r="AF22" t="s">
        <v>451</v>
      </c>
      <c r="AI22">
        <v>-110</v>
      </c>
      <c r="AL22" t="s">
        <v>511</v>
      </c>
      <c r="AN22" t="s">
        <v>31</v>
      </c>
      <c r="AO22">
        <v>0</v>
      </c>
      <c r="AZ22" t="s">
        <v>406</v>
      </c>
      <c r="BF22">
        <v>0</v>
      </c>
      <c r="BK22" t="s">
        <v>31</v>
      </c>
      <c r="BS22" t="s">
        <v>419</v>
      </c>
      <c r="BT22" t="s">
        <v>419</v>
      </c>
      <c r="CI22" t="s">
        <v>388</v>
      </c>
      <c r="CJ22" s="14">
        <v>45013</v>
      </c>
      <c r="CK22">
        <v>1</v>
      </c>
    </row>
    <row r="23" spans="1:89">
      <c r="A23" t="s">
        <v>496</v>
      </c>
      <c r="B23" t="s">
        <v>374</v>
      </c>
      <c r="C23" t="s">
        <v>497</v>
      </c>
      <c r="D23" t="s">
        <v>512</v>
      </c>
      <c r="E23" t="s">
        <v>438</v>
      </c>
      <c r="F23" s="13">
        <v>44847.40898148148</v>
      </c>
      <c r="G23" t="s">
        <v>500</v>
      </c>
      <c r="H23" t="s">
        <v>501</v>
      </c>
      <c r="I23" s="13">
        <v>44847.446898148148</v>
      </c>
      <c r="K23" t="s">
        <v>379</v>
      </c>
      <c r="M23" s="13">
        <v>44895</v>
      </c>
      <c r="R23">
        <v>100</v>
      </c>
      <c r="S23" t="s">
        <v>380</v>
      </c>
      <c r="T23" t="s">
        <v>57</v>
      </c>
      <c r="V23" t="s">
        <v>381</v>
      </c>
      <c r="W23" t="s">
        <v>513</v>
      </c>
      <c r="X23" t="s">
        <v>513</v>
      </c>
      <c r="AF23" t="s">
        <v>382</v>
      </c>
      <c r="AG23" t="s">
        <v>438</v>
      </c>
      <c r="AI23">
        <v>48</v>
      </c>
      <c r="AK23" t="s">
        <v>480</v>
      </c>
      <c r="AL23" t="s">
        <v>514</v>
      </c>
      <c r="AN23" t="s">
        <v>31</v>
      </c>
      <c r="AO23">
        <v>0</v>
      </c>
      <c r="AS23" t="s">
        <v>385</v>
      </c>
      <c r="AX23" t="s">
        <v>31</v>
      </c>
      <c r="AY23" t="s">
        <v>442</v>
      </c>
      <c r="AZ23" t="s">
        <v>438</v>
      </c>
      <c r="BF23">
        <v>0</v>
      </c>
      <c r="BK23" t="s">
        <v>31</v>
      </c>
      <c r="BS23" t="s">
        <v>379</v>
      </c>
      <c r="BT23" t="s">
        <v>379</v>
      </c>
      <c r="CI23" t="s">
        <v>388</v>
      </c>
      <c r="CJ23" s="14">
        <v>45013</v>
      </c>
      <c r="CK23">
        <v>1</v>
      </c>
    </row>
    <row r="24" spans="1:89">
      <c r="A24" t="s">
        <v>515</v>
      </c>
      <c r="B24" t="s">
        <v>374</v>
      </c>
      <c r="C24" t="s">
        <v>516</v>
      </c>
      <c r="D24" t="s">
        <v>517</v>
      </c>
      <c r="E24" t="s">
        <v>438</v>
      </c>
      <c r="F24" s="13">
        <v>44847.395972222221</v>
      </c>
      <c r="G24" t="s">
        <v>500</v>
      </c>
      <c r="H24" t="s">
        <v>501</v>
      </c>
      <c r="I24" s="13">
        <v>44847.404999999999</v>
      </c>
      <c r="K24" t="s">
        <v>412</v>
      </c>
      <c r="R24">
        <v>0</v>
      </c>
      <c r="S24" t="s">
        <v>380</v>
      </c>
      <c r="T24" t="s">
        <v>57</v>
      </c>
      <c r="V24" t="s">
        <v>381</v>
      </c>
      <c r="W24" t="s">
        <v>438</v>
      </c>
      <c r="X24" t="s">
        <v>438</v>
      </c>
      <c r="AI24">
        <v>56</v>
      </c>
      <c r="AL24" t="s">
        <v>518</v>
      </c>
      <c r="AN24" t="s">
        <v>31</v>
      </c>
      <c r="AO24">
        <v>0</v>
      </c>
      <c r="AZ24" t="s">
        <v>438</v>
      </c>
      <c r="BF24">
        <v>0</v>
      </c>
      <c r="BK24" t="s">
        <v>31</v>
      </c>
      <c r="BS24" t="s">
        <v>412</v>
      </c>
      <c r="BT24" t="s">
        <v>412</v>
      </c>
      <c r="CI24" t="s">
        <v>388</v>
      </c>
      <c r="CJ24" s="14">
        <v>45013</v>
      </c>
      <c r="CK24">
        <v>1</v>
      </c>
    </row>
    <row r="25" spans="1:89">
      <c r="A25" t="s">
        <v>404</v>
      </c>
      <c r="B25" t="s">
        <v>374</v>
      </c>
      <c r="C25" t="s">
        <v>375</v>
      </c>
      <c r="D25" t="s">
        <v>519</v>
      </c>
      <c r="E25" t="s">
        <v>406</v>
      </c>
      <c r="F25" s="13">
        <v>44846.509340277778</v>
      </c>
      <c r="G25" t="s">
        <v>407</v>
      </c>
      <c r="H25" t="s">
        <v>408</v>
      </c>
      <c r="I25" s="13">
        <v>44846.562060185184</v>
      </c>
      <c r="K25" t="s">
        <v>379</v>
      </c>
      <c r="M25" s="13">
        <v>45000</v>
      </c>
      <c r="R25">
        <v>100</v>
      </c>
      <c r="S25" t="s">
        <v>380</v>
      </c>
      <c r="T25" t="s">
        <v>57</v>
      </c>
      <c r="V25" t="s">
        <v>381</v>
      </c>
      <c r="W25" t="s">
        <v>520</v>
      </c>
      <c r="X25" t="s">
        <v>520</v>
      </c>
      <c r="AB25" t="s">
        <v>31</v>
      </c>
      <c r="AF25" t="s">
        <v>382</v>
      </c>
      <c r="AG25" t="s">
        <v>406</v>
      </c>
      <c r="AI25">
        <v>154</v>
      </c>
      <c r="AL25" t="s">
        <v>521</v>
      </c>
      <c r="AN25" t="s">
        <v>57</v>
      </c>
      <c r="AO25">
        <v>0</v>
      </c>
      <c r="AS25" t="s">
        <v>522</v>
      </c>
      <c r="AX25" t="s">
        <v>57</v>
      </c>
      <c r="AY25" t="s">
        <v>442</v>
      </c>
      <c r="AZ25" t="s">
        <v>406</v>
      </c>
      <c r="BC25" t="s">
        <v>480</v>
      </c>
      <c r="BD25" t="s">
        <v>406</v>
      </c>
      <c r="BF25">
        <v>0</v>
      </c>
      <c r="BK25" t="s">
        <v>31</v>
      </c>
      <c r="BS25" t="s">
        <v>379</v>
      </c>
      <c r="BT25" t="s">
        <v>379</v>
      </c>
      <c r="CC25" t="s">
        <v>523</v>
      </c>
      <c r="CI25" t="s">
        <v>388</v>
      </c>
      <c r="CJ25" s="14">
        <v>45013</v>
      </c>
      <c r="CK25">
        <v>1</v>
      </c>
    </row>
    <row r="26" spans="1:89">
      <c r="A26" t="s">
        <v>404</v>
      </c>
      <c r="B26" t="s">
        <v>374</v>
      </c>
      <c r="C26" t="s">
        <v>375</v>
      </c>
      <c r="D26" t="s">
        <v>524</v>
      </c>
      <c r="E26" t="s">
        <v>406</v>
      </c>
      <c r="F26" s="13">
        <v>44846.501620370371</v>
      </c>
      <c r="G26" t="s">
        <v>407</v>
      </c>
      <c r="H26" t="s">
        <v>408</v>
      </c>
      <c r="I26" s="13">
        <v>44846.563599537039</v>
      </c>
      <c r="K26" t="s">
        <v>379</v>
      </c>
      <c r="M26" s="13">
        <v>45043</v>
      </c>
      <c r="R26">
        <v>100</v>
      </c>
      <c r="S26" t="s">
        <v>380</v>
      </c>
      <c r="T26" t="s">
        <v>57</v>
      </c>
      <c r="V26" t="s">
        <v>381</v>
      </c>
      <c r="W26" t="s">
        <v>520</v>
      </c>
      <c r="X26" t="s">
        <v>520</v>
      </c>
      <c r="AF26" t="s">
        <v>382</v>
      </c>
      <c r="AG26" t="s">
        <v>406</v>
      </c>
      <c r="AI26">
        <v>197</v>
      </c>
      <c r="AL26" t="s">
        <v>521</v>
      </c>
      <c r="AN26" t="s">
        <v>31</v>
      </c>
      <c r="AO26">
        <v>0</v>
      </c>
      <c r="AS26" t="s">
        <v>461</v>
      </c>
      <c r="AX26" t="s">
        <v>31</v>
      </c>
      <c r="AY26" t="s">
        <v>386</v>
      </c>
      <c r="AZ26" t="s">
        <v>406</v>
      </c>
      <c r="BF26">
        <v>0</v>
      </c>
      <c r="BK26" t="s">
        <v>31</v>
      </c>
      <c r="BS26" t="s">
        <v>379</v>
      </c>
      <c r="BT26" t="s">
        <v>379</v>
      </c>
      <c r="CI26" t="s">
        <v>388</v>
      </c>
      <c r="CJ26" s="14">
        <v>45013</v>
      </c>
      <c r="CK26">
        <v>1</v>
      </c>
    </row>
    <row r="27" spans="1:89">
      <c r="A27" t="s">
        <v>404</v>
      </c>
      <c r="B27" t="s">
        <v>374</v>
      </c>
      <c r="C27" t="s">
        <v>375</v>
      </c>
      <c r="D27" t="s">
        <v>525</v>
      </c>
      <c r="E27" t="s">
        <v>406</v>
      </c>
      <c r="F27" s="13">
        <v>44846.500868055555</v>
      </c>
      <c r="G27" t="s">
        <v>407</v>
      </c>
      <c r="H27" t="s">
        <v>408</v>
      </c>
      <c r="I27" s="13">
        <v>44846.542951388888</v>
      </c>
      <c r="K27" t="s">
        <v>379</v>
      </c>
      <c r="M27" s="13">
        <v>44936</v>
      </c>
      <c r="R27">
        <v>100</v>
      </c>
      <c r="S27" t="s">
        <v>416</v>
      </c>
      <c r="T27" t="s">
        <v>57</v>
      </c>
      <c r="V27" t="s">
        <v>381</v>
      </c>
      <c r="W27" t="s">
        <v>510</v>
      </c>
      <c r="X27" t="s">
        <v>510</v>
      </c>
      <c r="AF27" t="s">
        <v>382</v>
      </c>
      <c r="AG27" t="s">
        <v>406</v>
      </c>
      <c r="AI27">
        <v>90</v>
      </c>
      <c r="AL27" t="s">
        <v>521</v>
      </c>
      <c r="AM27">
        <v>1</v>
      </c>
      <c r="AN27" t="s">
        <v>31</v>
      </c>
      <c r="AO27">
        <v>0</v>
      </c>
      <c r="AS27" t="s">
        <v>526</v>
      </c>
      <c r="AX27" t="s">
        <v>31</v>
      </c>
      <c r="AY27" t="s">
        <v>386</v>
      </c>
      <c r="AZ27" t="s">
        <v>406</v>
      </c>
      <c r="BE27" t="s">
        <v>406</v>
      </c>
      <c r="BF27">
        <v>0</v>
      </c>
      <c r="BK27" t="s">
        <v>31</v>
      </c>
      <c r="BS27" t="s">
        <v>379</v>
      </c>
      <c r="BT27" t="s">
        <v>379</v>
      </c>
      <c r="CI27" t="s">
        <v>388</v>
      </c>
      <c r="CJ27" s="14">
        <v>45013</v>
      </c>
      <c r="CK27">
        <v>1</v>
      </c>
    </row>
    <row r="28" spans="1:89">
      <c r="A28" t="s">
        <v>404</v>
      </c>
      <c r="B28" t="s">
        <v>374</v>
      </c>
      <c r="C28" t="s">
        <v>375</v>
      </c>
      <c r="D28" t="s">
        <v>527</v>
      </c>
      <c r="E28" t="s">
        <v>406</v>
      </c>
      <c r="F28" s="13">
        <v>44846.480497685188</v>
      </c>
      <c r="G28" t="s">
        <v>407</v>
      </c>
      <c r="H28" t="s">
        <v>408</v>
      </c>
      <c r="I28" s="13">
        <v>44846.49019675926</v>
      </c>
      <c r="K28" t="s">
        <v>379</v>
      </c>
      <c r="M28" s="13">
        <v>45015</v>
      </c>
      <c r="R28">
        <v>100</v>
      </c>
      <c r="S28" t="s">
        <v>380</v>
      </c>
      <c r="T28" t="s">
        <v>57</v>
      </c>
      <c r="V28" t="s">
        <v>381</v>
      </c>
      <c r="W28" t="s">
        <v>510</v>
      </c>
      <c r="X28" t="s">
        <v>510</v>
      </c>
      <c r="AC28" s="13">
        <v>45056</v>
      </c>
      <c r="AD28" s="13">
        <v>44993</v>
      </c>
      <c r="AF28" t="s">
        <v>382</v>
      </c>
      <c r="AG28" t="s">
        <v>406</v>
      </c>
      <c r="AI28">
        <v>169</v>
      </c>
      <c r="AL28" t="s">
        <v>528</v>
      </c>
      <c r="AN28" t="s">
        <v>31</v>
      </c>
      <c r="AO28">
        <v>0</v>
      </c>
      <c r="AS28" t="s">
        <v>526</v>
      </c>
      <c r="AX28" t="s">
        <v>57</v>
      </c>
      <c r="AY28" t="s">
        <v>442</v>
      </c>
      <c r="AZ28" t="s">
        <v>406</v>
      </c>
      <c r="BF28">
        <v>0</v>
      </c>
      <c r="BK28" t="s">
        <v>31</v>
      </c>
      <c r="BS28" t="s">
        <v>379</v>
      </c>
      <c r="BT28" t="s">
        <v>379</v>
      </c>
      <c r="CI28" t="s">
        <v>388</v>
      </c>
      <c r="CJ28" s="14">
        <v>45013</v>
      </c>
      <c r="CK28">
        <v>1</v>
      </c>
    </row>
    <row r="29" spans="1:89">
      <c r="A29" t="s">
        <v>404</v>
      </c>
      <c r="B29" t="s">
        <v>374</v>
      </c>
      <c r="C29" t="s">
        <v>375</v>
      </c>
      <c r="D29" t="s">
        <v>529</v>
      </c>
      <c r="E29" t="s">
        <v>406</v>
      </c>
      <c r="F29" s="13">
        <v>44846.469733796293</v>
      </c>
      <c r="G29" t="s">
        <v>407</v>
      </c>
      <c r="H29" t="s">
        <v>408</v>
      </c>
      <c r="I29" s="13">
        <v>44846.488055555557</v>
      </c>
      <c r="K29" t="s">
        <v>379</v>
      </c>
      <c r="M29" s="13">
        <v>44936</v>
      </c>
      <c r="R29">
        <v>100</v>
      </c>
      <c r="S29" t="s">
        <v>416</v>
      </c>
      <c r="T29" t="s">
        <v>57</v>
      </c>
      <c r="V29" t="s">
        <v>381</v>
      </c>
      <c r="W29" t="s">
        <v>510</v>
      </c>
      <c r="X29" t="s">
        <v>510</v>
      </c>
      <c r="AF29" t="s">
        <v>382</v>
      </c>
      <c r="AG29" t="s">
        <v>406</v>
      </c>
      <c r="AI29">
        <v>90</v>
      </c>
      <c r="AL29" t="s">
        <v>528</v>
      </c>
      <c r="AM29">
        <v>1</v>
      </c>
      <c r="AN29" t="s">
        <v>31</v>
      </c>
      <c r="AO29">
        <v>0</v>
      </c>
      <c r="AS29" t="s">
        <v>385</v>
      </c>
      <c r="AX29" t="s">
        <v>31</v>
      </c>
      <c r="AY29" t="s">
        <v>386</v>
      </c>
      <c r="AZ29" t="s">
        <v>406</v>
      </c>
      <c r="BF29">
        <v>0</v>
      </c>
      <c r="BK29" t="s">
        <v>31</v>
      </c>
      <c r="BS29" t="s">
        <v>379</v>
      </c>
      <c r="BT29" t="s">
        <v>379</v>
      </c>
      <c r="CI29" t="s">
        <v>388</v>
      </c>
      <c r="CJ29" s="14">
        <v>45013</v>
      </c>
      <c r="CK29">
        <v>1</v>
      </c>
    </row>
    <row r="30" spans="1:89">
      <c r="A30" t="s">
        <v>404</v>
      </c>
      <c r="B30" t="s">
        <v>374</v>
      </c>
      <c r="C30" t="s">
        <v>375</v>
      </c>
      <c r="D30" t="s">
        <v>530</v>
      </c>
      <c r="E30" t="s">
        <v>406</v>
      </c>
      <c r="F30" s="13">
        <v>44846.388518518521</v>
      </c>
      <c r="G30" t="s">
        <v>407</v>
      </c>
      <c r="H30" t="s">
        <v>408</v>
      </c>
      <c r="I30" s="13">
        <v>44846.429849537039</v>
      </c>
      <c r="K30" t="s">
        <v>379</v>
      </c>
      <c r="M30" s="13">
        <v>44895</v>
      </c>
      <c r="R30">
        <v>100</v>
      </c>
      <c r="S30" t="s">
        <v>380</v>
      </c>
      <c r="T30" t="s">
        <v>57</v>
      </c>
      <c r="V30" t="s">
        <v>381</v>
      </c>
      <c r="W30" t="s">
        <v>531</v>
      </c>
      <c r="X30" t="s">
        <v>531</v>
      </c>
      <c r="AC30" s="13">
        <v>44887</v>
      </c>
      <c r="AD30" s="13">
        <v>44881</v>
      </c>
      <c r="AF30" t="s">
        <v>382</v>
      </c>
      <c r="AG30" t="s">
        <v>406</v>
      </c>
      <c r="AI30">
        <v>49</v>
      </c>
      <c r="AK30" t="s">
        <v>480</v>
      </c>
      <c r="AL30" t="s">
        <v>532</v>
      </c>
      <c r="AN30" t="s">
        <v>31</v>
      </c>
      <c r="AO30">
        <v>0</v>
      </c>
      <c r="AS30" t="s">
        <v>385</v>
      </c>
      <c r="AX30" t="s">
        <v>31</v>
      </c>
      <c r="AY30" t="s">
        <v>386</v>
      </c>
      <c r="AZ30" t="s">
        <v>406</v>
      </c>
      <c r="BF30">
        <v>0</v>
      </c>
      <c r="BK30" t="s">
        <v>31</v>
      </c>
      <c r="BS30" t="s">
        <v>379</v>
      </c>
      <c r="BT30" t="s">
        <v>379</v>
      </c>
      <c r="CI30" t="s">
        <v>388</v>
      </c>
      <c r="CJ30" s="14">
        <v>45013</v>
      </c>
      <c r="CK30">
        <v>1</v>
      </c>
    </row>
    <row r="31" spans="1:89">
      <c r="A31" t="s">
        <v>533</v>
      </c>
      <c r="B31" t="s">
        <v>374</v>
      </c>
      <c r="C31" t="s">
        <v>534</v>
      </c>
      <c r="D31" t="s">
        <v>535</v>
      </c>
      <c r="E31" t="s">
        <v>536</v>
      </c>
      <c r="F31" s="13">
        <v>44839.570752314816</v>
      </c>
      <c r="G31" t="s">
        <v>458</v>
      </c>
      <c r="H31" t="s">
        <v>459</v>
      </c>
      <c r="I31" s="13">
        <v>44839.570752314816</v>
      </c>
      <c r="R31">
        <v>0</v>
      </c>
      <c r="S31" t="s">
        <v>380</v>
      </c>
      <c r="T31" t="s">
        <v>57</v>
      </c>
      <c r="V31" t="s">
        <v>381</v>
      </c>
      <c r="W31" t="s">
        <v>537</v>
      </c>
      <c r="X31" t="s">
        <v>537</v>
      </c>
      <c r="AC31" s="13">
        <v>44832</v>
      </c>
      <c r="AD31" s="13">
        <v>44832</v>
      </c>
      <c r="AI31">
        <v>-7</v>
      </c>
      <c r="AN31" t="s">
        <v>31</v>
      </c>
      <c r="AO31">
        <v>0</v>
      </c>
      <c r="AS31" t="s">
        <v>538</v>
      </c>
      <c r="AX31" t="s">
        <v>31</v>
      </c>
      <c r="AY31" t="s">
        <v>386</v>
      </c>
      <c r="AZ31" t="s">
        <v>539</v>
      </c>
      <c r="BF31">
        <v>0</v>
      </c>
      <c r="BK31" t="s">
        <v>31</v>
      </c>
      <c r="BS31" t="s">
        <v>412</v>
      </c>
      <c r="CI31" t="s">
        <v>388</v>
      </c>
      <c r="CJ31" s="14">
        <v>45013</v>
      </c>
      <c r="CK31">
        <v>1</v>
      </c>
    </row>
    <row r="32" spans="1:89">
      <c r="A32" t="s">
        <v>540</v>
      </c>
      <c r="B32" t="s">
        <v>374</v>
      </c>
      <c r="C32" t="s">
        <v>541</v>
      </c>
      <c r="D32" t="s">
        <v>542</v>
      </c>
      <c r="E32" t="s">
        <v>543</v>
      </c>
      <c r="F32" s="13">
        <v>44839.570729166669</v>
      </c>
      <c r="G32" t="s">
        <v>458</v>
      </c>
      <c r="H32" t="s">
        <v>459</v>
      </c>
      <c r="I32" s="13">
        <v>44839.570740740739</v>
      </c>
      <c r="R32">
        <v>0</v>
      </c>
      <c r="S32" t="s">
        <v>380</v>
      </c>
      <c r="T32" t="s">
        <v>57</v>
      </c>
      <c r="V32" t="s">
        <v>381</v>
      </c>
      <c r="W32" t="s">
        <v>537</v>
      </c>
      <c r="X32" t="s">
        <v>537</v>
      </c>
      <c r="AC32" s="13">
        <v>44830</v>
      </c>
      <c r="AD32" s="13">
        <v>44830</v>
      </c>
      <c r="AI32">
        <v>-9</v>
      </c>
      <c r="AN32" t="s">
        <v>31</v>
      </c>
      <c r="AO32">
        <v>0</v>
      </c>
      <c r="AS32" t="s">
        <v>385</v>
      </c>
      <c r="AX32" t="s">
        <v>31</v>
      </c>
      <c r="AY32" t="s">
        <v>386</v>
      </c>
      <c r="AZ32" t="s">
        <v>544</v>
      </c>
      <c r="BF32">
        <v>0</v>
      </c>
      <c r="BK32" t="s">
        <v>31</v>
      </c>
      <c r="BS32" t="s">
        <v>412</v>
      </c>
      <c r="CI32" t="s">
        <v>388</v>
      </c>
      <c r="CJ32" s="14">
        <v>45013</v>
      </c>
      <c r="CK32">
        <v>1</v>
      </c>
    </row>
    <row r="33" spans="1:89">
      <c r="A33" t="s">
        <v>545</v>
      </c>
      <c r="B33" t="s">
        <v>374</v>
      </c>
      <c r="C33" t="s">
        <v>546</v>
      </c>
      <c r="D33" t="s">
        <v>547</v>
      </c>
      <c r="E33" t="s">
        <v>548</v>
      </c>
      <c r="F33" s="13">
        <v>44839.570706018516</v>
      </c>
      <c r="G33" t="s">
        <v>458</v>
      </c>
      <c r="H33" t="s">
        <v>459</v>
      </c>
      <c r="I33" s="13">
        <v>44839.570717592593</v>
      </c>
      <c r="R33">
        <v>0</v>
      </c>
      <c r="S33" t="s">
        <v>380</v>
      </c>
      <c r="T33" t="s">
        <v>57</v>
      </c>
      <c r="V33" t="s">
        <v>381</v>
      </c>
      <c r="W33" t="s">
        <v>537</v>
      </c>
      <c r="X33" t="s">
        <v>537</v>
      </c>
      <c r="AC33" s="13">
        <v>44827</v>
      </c>
      <c r="AD33" s="13">
        <v>44827</v>
      </c>
      <c r="AI33">
        <v>-12</v>
      </c>
      <c r="AN33" t="s">
        <v>31</v>
      </c>
      <c r="AO33">
        <v>0</v>
      </c>
      <c r="AS33" t="s">
        <v>385</v>
      </c>
      <c r="AX33" t="s">
        <v>31</v>
      </c>
      <c r="AY33" t="s">
        <v>386</v>
      </c>
      <c r="AZ33" t="s">
        <v>549</v>
      </c>
      <c r="BF33">
        <v>0</v>
      </c>
      <c r="BK33" t="s">
        <v>31</v>
      </c>
      <c r="BS33" t="s">
        <v>412</v>
      </c>
      <c r="CI33" t="s">
        <v>388</v>
      </c>
      <c r="CJ33" s="14">
        <v>45013</v>
      </c>
      <c r="CK33">
        <v>1</v>
      </c>
    </row>
    <row r="34" spans="1:89">
      <c r="A34" t="s">
        <v>550</v>
      </c>
      <c r="B34" t="s">
        <v>374</v>
      </c>
      <c r="C34" t="s">
        <v>551</v>
      </c>
      <c r="D34" t="s">
        <v>552</v>
      </c>
      <c r="E34" t="s">
        <v>553</v>
      </c>
      <c r="F34" s="13">
        <v>44839.57068287037</v>
      </c>
      <c r="G34" t="s">
        <v>458</v>
      </c>
      <c r="H34" t="s">
        <v>459</v>
      </c>
      <c r="I34" s="13">
        <v>44839.570694444446</v>
      </c>
      <c r="R34">
        <v>0</v>
      </c>
      <c r="S34" t="s">
        <v>380</v>
      </c>
      <c r="T34" t="s">
        <v>57</v>
      </c>
      <c r="V34" t="s">
        <v>381</v>
      </c>
      <c r="W34" t="s">
        <v>554</v>
      </c>
      <c r="X34" t="s">
        <v>554</v>
      </c>
      <c r="AC34" s="13">
        <v>44834</v>
      </c>
      <c r="AD34" s="13">
        <v>44834</v>
      </c>
      <c r="AI34">
        <v>-5</v>
      </c>
      <c r="AN34" t="s">
        <v>31</v>
      </c>
      <c r="AO34">
        <v>0</v>
      </c>
      <c r="AS34" t="s">
        <v>385</v>
      </c>
      <c r="AX34" t="s">
        <v>31</v>
      </c>
      <c r="AY34" t="s">
        <v>386</v>
      </c>
      <c r="AZ34" t="s">
        <v>555</v>
      </c>
      <c r="BF34">
        <v>0</v>
      </c>
      <c r="BK34" t="s">
        <v>31</v>
      </c>
      <c r="BS34" t="s">
        <v>412</v>
      </c>
      <c r="CI34" t="s">
        <v>388</v>
      </c>
      <c r="CJ34" s="14">
        <v>45013</v>
      </c>
      <c r="CK34">
        <v>1</v>
      </c>
    </row>
    <row r="35" spans="1:89">
      <c r="A35" t="s">
        <v>533</v>
      </c>
      <c r="B35" t="s">
        <v>374</v>
      </c>
      <c r="C35" t="s">
        <v>534</v>
      </c>
      <c r="D35" t="s">
        <v>556</v>
      </c>
      <c r="E35" t="s">
        <v>557</v>
      </c>
      <c r="F35" s="13">
        <v>44839.570659722223</v>
      </c>
      <c r="G35" t="s">
        <v>458</v>
      </c>
      <c r="H35" t="s">
        <v>459</v>
      </c>
      <c r="I35" s="13">
        <v>44839.570671296293</v>
      </c>
      <c r="R35">
        <v>0</v>
      </c>
      <c r="S35" t="s">
        <v>380</v>
      </c>
      <c r="T35" t="s">
        <v>57</v>
      </c>
      <c r="V35" t="s">
        <v>381</v>
      </c>
      <c r="W35" t="s">
        <v>558</v>
      </c>
      <c r="X35" t="s">
        <v>558</v>
      </c>
      <c r="AC35" s="13">
        <v>44742</v>
      </c>
      <c r="AD35" s="13">
        <v>44742</v>
      </c>
      <c r="AI35">
        <v>-97</v>
      </c>
      <c r="AN35" t="s">
        <v>31</v>
      </c>
      <c r="AO35">
        <v>0</v>
      </c>
      <c r="AS35" t="s">
        <v>538</v>
      </c>
      <c r="AX35" t="s">
        <v>31</v>
      </c>
      <c r="AY35" t="s">
        <v>386</v>
      </c>
      <c r="AZ35" t="s">
        <v>559</v>
      </c>
      <c r="BF35">
        <v>0</v>
      </c>
      <c r="BK35" t="s">
        <v>31</v>
      </c>
      <c r="BS35" t="s">
        <v>412</v>
      </c>
      <c r="CI35" t="s">
        <v>388</v>
      </c>
      <c r="CJ35" s="14">
        <v>45013</v>
      </c>
      <c r="CK35">
        <v>1</v>
      </c>
    </row>
    <row r="36" spans="1:89">
      <c r="A36" t="s">
        <v>540</v>
      </c>
      <c r="B36" t="s">
        <v>374</v>
      </c>
      <c r="C36" t="s">
        <v>541</v>
      </c>
      <c r="D36" t="s">
        <v>560</v>
      </c>
      <c r="E36" t="s">
        <v>561</v>
      </c>
      <c r="F36" s="13">
        <v>44839.570636574077</v>
      </c>
      <c r="G36" t="s">
        <v>458</v>
      </c>
      <c r="H36" t="s">
        <v>459</v>
      </c>
      <c r="I36" s="13">
        <v>44839.570648148147</v>
      </c>
      <c r="R36">
        <v>0</v>
      </c>
      <c r="S36" t="s">
        <v>380</v>
      </c>
      <c r="T36" t="s">
        <v>57</v>
      </c>
      <c r="V36" t="s">
        <v>381</v>
      </c>
      <c r="W36" t="s">
        <v>558</v>
      </c>
      <c r="X36" t="s">
        <v>558</v>
      </c>
      <c r="AC36" s="13">
        <v>44742</v>
      </c>
      <c r="AD36" s="13">
        <v>44742</v>
      </c>
      <c r="AI36">
        <v>-97</v>
      </c>
      <c r="AN36" t="s">
        <v>31</v>
      </c>
      <c r="AO36">
        <v>0</v>
      </c>
      <c r="AS36" t="s">
        <v>538</v>
      </c>
      <c r="AX36" t="s">
        <v>31</v>
      </c>
      <c r="AY36" t="s">
        <v>386</v>
      </c>
      <c r="AZ36" t="s">
        <v>562</v>
      </c>
      <c r="BF36">
        <v>0</v>
      </c>
      <c r="BK36" t="s">
        <v>31</v>
      </c>
      <c r="BS36" t="s">
        <v>412</v>
      </c>
      <c r="CI36" t="s">
        <v>388</v>
      </c>
      <c r="CJ36" s="14">
        <v>45013</v>
      </c>
      <c r="CK36">
        <v>1</v>
      </c>
    </row>
    <row r="37" spans="1:89">
      <c r="A37" t="s">
        <v>545</v>
      </c>
      <c r="B37" t="s">
        <v>374</v>
      </c>
      <c r="C37" t="s">
        <v>546</v>
      </c>
      <c r="D37" t="s">
        <v>563</v>
      </c>
      <c r="E37" t="s">
        <v>564</v>
      </c>
      <c r="F37" s="13">
        <v>44839.570613425924</v>
      </c>
      <c r="G37" t="s">
        <v>458</v>
      </c>
      <c r="H37" t="s">
        <v>459</v>
      </c>
      <c r="I37" s="13">
        <v>44839.570625</v>
      </c>
      <c r="R37">
        <v>0</v>
      </c>
      <c r="S37" t="s">
        <v>380</v>
      </c>
      <c r="T37" t="s">
        <v>57</v>
      </c>
      <c r="V37" t="s">
        <v>381</v>
      </c>
      <c r="W37" t="s">
        <v>565</v>
      </c>
      <c r="X37" t="s">
        <v>565</v>
      </c>
      <c r="AC37" s="13">
        <v>44772</v>
      </c>
      <c r="AD37" s="13">
        <v>44772</v>
      </c>
      <c r="AI37">
        <v>-67</v>
      </c>
      <c r="AN37" t="s">
        <v>31</v>
      </c>
      <c r="AO37">
        <v>0</v>
      </c>
      <c r="AS37" t="s">
        <v>385</v>
      </c>
      <c r="AX37" t="s">
        <v>31</v>
      </c>
      <c r="AY37" t="s">
        <v>386</v>
      </c>
      <c r="AZ37" t="s">
        <v>566</v>
      </c>
      <c r="BF37">
        <v>0</v>
      </c>
      <c r="BK37" t="s">
        <v>31</v>
      </c>
      <c r="BS37" t="s">
        <v>412</v>
      </c>
      <c r="CI37" t="s">
        <v>388</v>
      </c>
      <c r="CJ37" s="14">
        <v>45013</v>
      </c>
      <c r="CK37">
        <v>1</v>
      </c>
    </row>
    <row r="38" spans="1:89">
      <c r="A38" t="s">
        <v>567</v>
      </c>
      <c r="B38" t="s">
        <v>374</v>
      </c>
      <c r="C38" t="s">
        <v>568</v>
      </c>
      <c r="D38" t="s">
        <v>569</v>
      </c>
      <c r="E38" t="s">
        <v>406</v>
      </c>
      <c r="F38" s="13">
        <v>44839.478483796294</v>
      </c>
      <c r="G38" t="s">
        <v>570</v>
      </c>
      <c r="H38" t="s">
        <v>571</v>
      </c>
      <c r="I38" s="13">
        <v>44839.49050925926</v>
      </c>
      <c r="K38" t="s">
        <v>379</v>
      </c>
      <c r="M38" s="13">
        <v>44854</v>
      </c>
      <c r="R38">
        <v>100</v>
      </c>
      <c r="S38" t="s">
        <v>380</v>
      </c>
      <c r="T38" t="s">
        <v>57</v>
      </c>
      <c r="V38" t="s">
        <v>381</v>
      </c>
      <c r="W38" t="s">
        <v>406</v>
      </c>
      <c r="X38" t="s">
        <v>406</v>
      </c>
      <c r="AF38" t="s">
        <v>382</v>
      </c>
      <c r="AG38" t="s">
        <v>406</v>
      </c>
      <c r="AI38">
        <v>15</v>
      </c>
      <c r="AK38" t="s">
        <v>480</v>
      </c>
      <c r="AL38" t="s">
        <v>572</v>
      </c>
      <c r="AN38" t="s">
        <v>31</v>
      </c>
      <c r="AO38">
        <v>0</v>
      </c>
      <c r="AS38" t="s">
        <v>526</v>
      </c>
      <c r="AX38" t="s">
        <v>57</v>
      </c>
      <c r="AY38" t="s">
        <v>442</v>
      </c>
      <c r="AZ38">
        <v>1607</v>
      </c>
      <c r="BE38">
        <v>3434</v>
      </c>
      <c r="BF38">
        <v>0</v>
      </c>
      <c r="BK38" t="s">
        <v>31</v>
      </c>
      <c r="BS38" t="s">
        <v>379</v>
      </c>
      <c r="BT38" t="s">
        <v>379</v>
      </c>
      <c r="CI38" t="s">
        <v>388</v>
      </c>
      <c r="CJ38" s="14">
        <v>45013</v>
      </c>
      <c r="CK38">
        <v>1</v>
      </c>
    </row>
    <row r="39" spans="1:89">
      <c r="A39" t="s">
        <v>567</v>
      </c>
      <c r="B39" t="s">
        <v>374</v>
      </c>
      <c r="C39" t="s">
        <v>568</v>
      </c>
      <c r="D39" t="s">
        <v>573</v>
      </c>
      <c r="E39" t="s">
        <v>574</v>
      </c>
      <c r="F39" s="13">
        <v>44839.448611111111</v>
      </c>
      <c r="G39" t="s">
        <v>570</v>
      </c>
      <c r="H39" t="s">
        <v>571</v>
      </c>
      <c r="I39" s="13">
        <v>45012.044444444444</v>
      </c>
      <c r="K39" t="s">
        <v>415</v>
      </c>
      <c r="M39" s="13">
        <v>44854</v>
      </c>
      <c r="R39">
        <v>100</v>
      </c>
      <c r="S39" t="s">
        <v>416</v>
      </c>
      <c r="T39" t="s">
        <v>57</v>
      </c>
      <c r="V39" t="s">
        <v>478</v>
      </c>
      <c r="W39" t="s">
        <v>575</v>
      </c>
      <c r="X39" t="s">
        <v>575</v>
      </c>
      <c r="Y39" t="s">
        <v>480</v>
      </c>
      <c r="AC39" s="13">
        <v>44860</v>
      </c>
      <c r="AD39" s="13">
        <v>44847</v>
      </c>
      <c r="AF39" t="s">
        <v>382</v>
      </c>
      <c r="AG39" t="s">
        <v>574</v>
      </c>
      <c r="AI39">
        <v>-158</v>
      </c>
      <c r="AL39" t="s">
        <v>576</v>
      </c>
      <c r="AN39" t="s">
        <v>31</v>
      </c>
      <c r="AO39">
        <v>0</v>
      </c>
      <c r="AS39" t="s">
        <v>522</v>
      </c>
      <c r="AX39" t="s">
        <v>57</v>
      </c>
      <c r="AY39" t="s">
        <v>442</v>
      </c>
      <c r="AZ39" t="s">
        <v>577</v>
      </c>
      <c r="BE39">
        <v>244343</v>
      </c>
      <c r="BF39">
        <v>0</v>
      </c>
      <c r="BK39" t="s">
        <v>31</v>
      </c>
      <c r="BS39" t="s">
        <v>419</v>
      </c>
      <c r="BT39" t="s">
        <v>419</v>
      </c>
      <c r="CI39" t="s">
        <v>388</v>
      </c>
      <c r="CJ39" s="14">
        <v>45013</v>
      </c>
      <c r="CK39">
        <v>1</v>
      </c>
    </row>
    <row r="40" spans="1:89">
      <c r="A40" t="s">
        <v>567</v>
      </c>
      <c r="B40" t="s">
        <v>374</v>
      </c>
      <c r="C40" t="s">
        <v>568</v>
      </c>
      <c r="D40" t="s">
        <v>578</v>
      </c>
      <c r="E40" t="s">
        <v>406</v>
      </c>
      <c r="F40" s="13">
        <v>44818.566261574073</v>
      </c>
      <c r="G40" t="s">
        <v>579</v>
      </c>
      <c r="H40" t="s">
        <v>580</v>
      </c>
      <c r="I40" s="13">
        <v>44818.581331018519</v>
      </c>
      <c r="K40" t="s">
        <v>379</v>
      </c>
      <c r="M40" s="13">
        <v>44826</v>
      </c>
      <c r="R40">
        <v>100</v>
      </c>
      <c r="S40" t="s">
        <v>380</v>
      </c>
      <c r="T40" t="s">
        <v>57</v>
      </c>
      <c r="V40" t="s">
        <v>381</v>
      </c>
      <c r="W40" t="s">
        <v>574</v>
      </c>
      <c r="X40" t="s">
        <v>574</v>
      </c>
      <c r="AB40" t="s">
        <v>57</v>
      </c>
      <c r="AF40" t="s">
        <v>382</v>
      </c>
      <c r="AG40" t="s">
        <v>406</v>
      </c>
      <c r="AI40">
        <v>8</v>
      </c>
      <c r="AL40" t="s">
        <v>581</v>
      </c>
      <c r="AN40" t="s">
        <v>57</v>
      </c>
      <c r="AO40">
        <v>0</v>
      </c>
      <c r="AS40" t="s">
        <v>526</v>
      </c>
      <c r="AX40" t="s">
        <v>57</v>
      </c>
      <c r="AY40" t="s">
        <v>386</v>
      </c>
      <c r="AZ40" t="s">
        <v>582</v>
      </c>
      <c r="BC40" t="s">
        <v>480</v>
      </c>
      <c r="BD40" t="s">
        <v>406</v>
      </c>
      <c r="BE40">
        <v>343</v>
      </c>
      <c r="BF40">
        <v>0</v>
      </c>
      <c r="BK40" t="s">
        <v>31</v>
      </c>
      <c r="BS40" t="s">
        <v>379</v>
      </c>
      <c r="BT40" t="s">
        <v>379</v>
      </c>
      <c r="CC40" t="s">
        <v>583</v>
      </c>
      <c r="CI40" t="s">
        <v>388</v>
      </c>
      <c r="CJ40" s="14">
        <v>45013</v>
      </c>
      <c r="CK40">
        <v>1</v>
      </c>
    </row>
    <row r="41" spans="1:89">
      <c r="A41" t="s">
        <v>567</v>
      </c>
      <c r="B41" t="s">
        <v>374</v>
      </c>
      <c r="C41" t="s">
        <v>568</v>
      </c>
      <c r="D41" t="s">
        <v>584</v>
      </c>
      <c r="E41" t="s">
        <v>406</v>
      </c>
      <c r="F41" s="13">
        <v>44818.548692129632</v>
      </c>
      <c r="G41" t="s">
        <v>579</v>
      </c>
      <c r="H41" t="s">
        <v>580</v>
      </c>
      <c r="I41" s="13">
        <v>44818.570439814815</v>
      </c>
      <c r="K41" t="s">
        <v>379</v>
      </c>
      <c r="M41" s="13">
        <v>44819</v>
      </c>
      <c r="R41">
        <v>100</v>
      </c>
      <c r="S41" t="s">
        <v>416</v>
      </c>
      <c r="T41" t="s">
        <v>57</v>
      </c>
      <c r="V41" t="s">
        <v>381</v>
      </c>
      <c r="W41" t="s">
        <v>574</v>
      </c>
      <c r="X41" t="s">
        <v>574</v>
      </c>
      <c r="Y41" t="s">
        <v>480</v>
      </c>
      <c r="AF41" t="s">
        <v>382</v>
      </c>
      <c r="AG41" t="s">
        <v>406</v>
      </c>
      <c r="AI41">
        <v>1</v>
      </c>
      <c r="AL41" t="s">
        <v>581</v>
      </c>
      <c r="AM41">
        <v>1</v>
      </c>
      <c r="AN41" t="s">
        <v>31</v>
      </c>
      <c r="AO41">
        <v>0</v>
      </c>
      <c r="AS41" t="s">
        <v>385</v>
      </c>
      <c r="AX41" t="s">
        <v>57</v>
      </c>
      <c r="AY41" t="s">
        <v>442</v>
      </c>
      <c r="AZ41">
        <v>2003</v>
      </c>
      <c r="BE41">
        <v>34535</v>
      </c>
      <c r="BF41">
        <v>0</v>
      </c>
      <c r="BK41" t="s">
        <v>31</v>
      </c>
      <c r="BS41" t="s">
        <v>379</v>
      </c>
      <c r="BT41" t="s">
        <v>379</v>
      </c>
      <c r="CI41" t="s">
        <v>388</v>
      </c>
      <c r="CJ41" s="14">
        <v>45013</v>
      </c>
      <c r="CK41">
        <v>1</v>
      </c>
    </row>
    <row r="42" spans="1:89">
      <c r="A42" t="s">
        <v>567</v>
      </c>
      <c r="B42" t="s">
        <v>374</v>
      </c>
      <c r="C42" t="s">
        <v>568</v>
      </c>
      <c r="D42" t="s">
        <v>585</v>
      </c>
      <c r="E42" t="s">
        <v>586</v>
      </c>
      <c r="F42" s="13">
        <v>44816.654710648145</v>
      </c>
      <c r="G42" t="s">
        <v>570</v>
      </c>
      <c r="H42" t="s">
        <v>571</v>
      </c>
      <c r="I42" s="13">
        <v>44816.660787037035</v>
      </c>
      <c r="K42" t="s">
        <v>379</v>
      </c>
      <c r="M42" s="13">
        <v>44832</v>
      </c>
      <c r="R42">
        <v>100</v>
      </c>
      <c r="S42" t="s">
        <v>380</v>
      </c>
      <c r="T42" t="s">
        <v>57</v>
      </c>
      <c r="V42" t="s">
        <v>381</v>
      </c>
      <c r="W42" t="s">
        <v>587</v>
      </c>
      <c r="X42" t="s">
        <v>587</v>
      </c>
      <c r="AC42" s="13">
        <v>44824</v>
      </c>
      <c r="AD42" s="13">
        <v>44815</v>
      </c>
      <c r="AF42" t="s">
        <v>382</v>
      </c>
      <c r="AG42" t="s">
        <v>574</v>
      </c>
      <c r="AI42">
        <v>16</v>
      </c>
      <c r="AL42" t="s">
        <v>588</v>
      </c>
      <c r="AN42" t="s">
        <v>31</v>
      </c>
      <c r="AO42">
        <v>0</v>
      </c>
      <c r="AS42" t="s">
        <v>526</v>
      </c>
      <c r="AX42" t="s">
        <v>57</v>
      </c>
      <c r="AY42" t="s">
        <v>442</v>
      </c>
      <c r="AZ42" t="s">
        <v>586</v>
      </c>
      <c r="BE42">
        <v>3848</v>
      </c>
      <c r="BF42">
        <v>0</v>
      </c>
      <c r="BK42" t="s">
        <v>31</v>
      </c>
      <c r="BS42" t="s">
        <v>379</v>
      </c>
      <c r="BT42" t="s">
        <v>379</v>
      </c>
      <c r="CI42" t="s">
        <v>388</v>
      </c>
      <c r="CJ42" s="14">
        <v>45013</v>
      </c>
      <c r="CK42">
        <v>1</v>
      </c>
    </row>
    <row r="43" spans="1:89">
      <c r="A43" t="s">
        <v>404</v>
      </c>
      <c r="B43" t="s">
        <v>374</v>
      </c>
      <c r="C43" t="s">
        <v>375</v>
      </c>
      <c r="D43" t="s">
        <v>589</v>
      </c>
      <c r="E43" t="s">
        <v>406</v>
      </c>
      <c r="F43" s="13">
        <v>44806.478807870371</v>
      </c>
      <c r="G43" t="s">
        <v>590</v>
      </c>
      <c r="H43" t="s">
        <v>591</v>
      </c>
      <c r="I43" s="13">
        <v>44806.486319444448</v>
      </c>
      <c r="K43" t="s">
        <v>412</v>
      </c>
      <c r="R43">
        <v>0</v>
      </c>
      <c r="S43" t="s">
        <v>416</v>
      </c>
      <c r="T43" t="s">
        <v>57</v>
      </c>
      <c r="V43" t="s">
        <v>381</v>
      </c>
      <c r="W43" t="s">
        <v>591</v>
      </c>
      <c r="X43" t="s">
        <v>591</v>
      </c>
      <c r="AI43">
        <v>84</v>
      </c>
      <c r="AL43" t="s">
        <v>592</v>
      </c>
      <c r="AN43" t="s">
        <v>31</v>
      </c>
      <c r="AO43">
        <v>0</v>
      </c>
      <c r="AZ43" t="s">
        <v>593</v>
      </c>
      <c r="BF43">
        <v>0</v>
      </c>
      <c r="BK43" t="s">
        <v>31</v>
      </c>
      <c r="BS43" t="s">
        <v>412</v>
      </c>
      <c r="BT43" t="s">
        <v>412</v>
      </c>
      <c r="CI43" t="s">
        <v>388</v>
      </c>
      <c r="CJ43" s="14">
        <v>45013</v>
      </c>
      <c r="CK43">
        <v>1</v>
      </c>
    </row>
    <row r="44" spans="1:89">
      <c r="A44" t="s">
        <v>404</v>
      </c>
      <c r="B44" t="s">
        <v>374</v>
      </c>
      <c r="C44" t="s">
        <v>375</v>
      </c>
      <c r="D44" t="s">
        <v>594</v>
      </c>
      <c r="E44" t="s">
        <v>595</v>
      </c>
      <c r="F44" s="13">
        <v>44806.470891203702</v>
      </c>
      <c r="G44" t="s">
        <v>407</v>
      </c>
      <c r="H44" t="s">
        <v>408</v>
      </c>
      <c r="I44" s="13">
        <v>44806.470995370371</v>
      </c>
      <c r="K44" t="s">
        <v>412</v>
      </c>
      <c r="R44">
        <v>0</v>
      </c>
      <c r="S44" t="s">
        <v>380</v>
      </c>
      <c r="T44" t="s">
        <v>57</v>
      </c>
      <c r="V44" t="s">
        <v>381</v>
      </c>
      <c r="W44" t="s">
        <v>510</v>
      </c>
      <c r="X44" t="s">
        <v>510</v>
      </c>
      <c r="AI44">
        <v>59</v>
      </c>
      <c r="AL44" t="s">
        <v>596</v>
      </c>
      <c r="AN44" t="s">
        <v>31</v>
      </c>
      <c r="AO44">
        <v>0</v>
      </c>
      <c r="AZ44" t="s">
        <v>406</v>
      </c>
      <c r="BF44">
        <v>0</v>
      </c>
      <c r="BK44" t="s">
        <v>31</v>
      </c>
      <c r="BS44" t="s">
        <v>412</v>
      </c>
      <c r="BT44" t="s">
        <v>412</v>
      </c>
      <c r="CI44" t="s">
        <v>388</v>
      </c>
      <c r="CJ44" s="14">
        <v>45013</v>
      </c>
      <c r="CK44">
        <v>1</v>
      </c>
    </row>
    <row r="45" spans="1:89">
      <c r="A45" t="s">
        <v>404</v>
      </c>
      <c r="B45" t="s">
        <v>374</v>
      </c>
      <c r="C45" t="s">
        <v>375</v>
      </c>
      <c r="D45" t="s">
        <v>597</v>
      </c>
      <c r="E45" t="s">
        <v>406</v>
      </c>
      <c r="F45" s="13">
        <v>44806.470451388886</v>
      </c>
      <c r="G45" t="s">
        <v>407</v>
      </c>
      <c r="H45" t="s">
        <v>408</v>
      </c>
      <c r="I45" s="13">
        <v>44806.470567129632</v>
      </c>
      <c r="K45" t="s">
        <v>412</v>
      </c>
      <c r="R45">
        <v>0</v>
      </c>
      <c r="S45" t="s">
        <v>416</v>
      </c>
      <c r="T45" t="s">
        <v>57</v>
      </c>
      <c r="V45" t="s">
        <v>381</v>
      </c>
      <c r="W45" t="s">
        <v>510</v>
      </c>
      <c r="X45" t="s">
        <v>510</v>
      </c>
      <c r="AI45">
        <v>89</v>
      </c>
      <c r="AL45" t="s">
        <v>596</v>
      </c>
      <c r="AN45" t="s">
        <v>31</v>
      </c>
      <c r="AO45">
        <v>0</v>
      </c>
      <c r="AZ45" t="s">
        <v>406</v>
      </c>
      <c r="BF45">
        <v>0</v>
      </c>
      <c r="BK45" t="s">
        <v>31</v>
      </c>
      <c r="BS45" t="s">
        <v>412</v>
      </c>
      <c r="BT45" t="s">
        <v>412</v>
      </c>
      <c r="CI45" t="s">
        <v>388</v>
      </c>
      <c r="CJ45" s="14">
        <v>45013</v>
      </c>
      <c r="CK45">
        <v>1</v>
      </c>
    </row>
    <row r="46" spans="1:89">
      <c r="A46" t="s">
        <v>404</v>
      </c>
      <c r="B46" t="s">
        <v>374</v>
      </c>
      <c r="C46" t="s">
        <v>375</v>
      </c>
      <c r="D46" t="s">
        <v>598</v>
      </c>
      <c r="E46" t="s">
        <v>574</v>
      </c>
      <c r="F46" s="13">
        <v>44806.448969907404</v>
      </c>
      <c r="G46" t="s">
        <v>590</v>
      </c>
      <c r="H46" t="s">
        <v>591</v>
      </c>
      <c r="I46" s="13">
        <v>44806.456585648149</v>
      </c>
      <c r="K46" t="s">
        <v>409</v>
      </c>
      <c r="R46">
        <v>0</v>
      </c>
      <c r="S46" t="s">
        <v>416</v>
      </c>
      <c r="T46" t="s">
        <v>57</v>
      </c>
      <c r="V46" t="s">
        <v>381</v>
      </c>
      <c r="W46" t="s">
        <v>591</v>
      </c>
      <c r="X46" t="s">
        <v>591</v>
      </c>
      <c r="AI46">
        <v>91</v>
      </c>
      <c r="AL46" t="s">
        <v>599</v>
      </c>
      <c r="AN46" t="s">
        <v>31</v>
      </c>
      <c r="AO46">
        <v>0</v>
      </c>
      <c r="AZ46" t="s">
        <v>600</v>
      </c>
      <c r="BF46">
        <v>0</v>
      </c>
      <c r="BK46" t="s">
        <v>31</v>
      </c>
      <c r="BS46" t="s">
        <v>409</v>
      </c>
      <c r="BT46" t="s">
        <v>409</v>
      </c>
      <c r="CI46" t="s">
        <v>388</v>
      </c>
      <c r="CJ46" s="14">
        <v>45013</v>
      </c>
      <c r="CK46">
        <v>1</v>
      </c>
    </row>
    <row r="47" spans="1:89">
      <c r="A47" t="s">
        <v>404</v>
      </c>
      <c r="B47" t="s">
        <v>374</v>
      </c>
      <c r="C47" t="s">
        <v>375</v>
      </c>
      <c r="D47" t="s">
        <v>601</v>
      </c>
      <c r="E47" t="s">
        <v>602</v>
      </c>
      <c r="F47" s="13">
        <v>44806.445787037039</v>
      </c>
      <c r="G47" t="s">
        <v>407</v>
      </c>
      <c r="H47" t="s">
        <v>408</v>
      </c>
      <c r="I47" s="13">
        <v>44806.446076388886</v>
      </c>
      <c r="K47" t="s">
        <v>412</v>
      </c>
      <c r="R47">
        <v>0</v>
      </c>
      <c r="S47" t="s">
        <v>380</v>
      </c>
      <c r="T47" t="s">
        <v>57</v>
      </c>
      <c r="V47" t="s">
        <v>381</v>
      </c>
      <c r="W47" t="s">
        <v>603</v>
      </c>
      <c r="X47" t="s">
        <v>603</v>
      </c>
      <c r="AI47">
        <v>59</v>
      </c>
      <c r="AL47" t="s">
        <v>604</v>
      </c>
      <c r="AN47" t="s">
        <v>31</v>
      </c>
      <c r="AO47">
        <v>0</v>
      </c>
      <c r="AS47" t="s">
        <v>522</v>
      </c>
      <c r="AX47" t="s">
        <v>31</v>
      </c>
      <c r="AY47" t="s">
        <v>442</v>
      </c>
      <c r="AZ47" t="s">
        <v>602</v>
      </c>
      <c r="BF47">
        <v>0</v>
      </c>
      <c r="BK47" t="s">
        <v>31</v>
      </c>
      <c r="BS47" t="s">
        <v>412</v>
      </c>
      <c r="BT47" t="s">
        <v>412</v>
      </c>
      <c r="CI47" t="s">
        <v>388</v>
      </c>
      <c r="CJ47" s="14">
        <v>45013</v>
      </c>
      <c r="CK47">
        <v>1</v>
      </c>
    </row>
    <row r="48" spans="1:89">
      <c r="A48" t="s">
        <v>404</v>
      </c>
      <c r="B48" t="s">
        <v>374</v>
      </c>
      <c r="C48" t="s">
        <v>375</v>
      </c>
      <c r="D48" t="s">
        <v>605</v>
      </c>
      <c r="E48" t="s">
        <v>602</v>
      </c>
      <c r="F48" s="13">
        <v>44806.444895833331</v>
      </c>
      <c r="G48" t="s">
        <v>407</v>
      </c>
      <c r="H48" t="s">
        <v>408</v>
      </c>
      <c r="I48" s="13">
        <v>44806.445335648146</v>
      </c>
      <c r="K48" t="s">
        <v>412</v>
      </c>
      <c r="R48">
        <v>0</v>
      </c>
      <c r="S48" t="s">
        <v>416</v>
      </c>
      <c r="T48" t="s">
        <v>57</v>
      </c>
      <c r="V48" t="s">
        <v>381</v>
      </c>
      <c r="W48" t="s">
        <v>603</v>
      </c>
      <c r="X48" t="s">
        <v>603</v>
      </c>
      <c r="AI48">
        <v>89</v>
      </c>
      <c r="AL48" t="s">
        <v>604</v>
      </c>
      <c r="AN48" t="s">
        <v>31</v>
      </c>
      <c r="AO48">
        <v>0</v>
      </c>
      <c r="AS48" t="s">
        <v>522</v>
      </c>
      <c r="AX48" t="s">
        <v>57</v>
      </c>
      <c r="AY48" t="s">
        <v>442</v>
      </c>
      <c r="AZ48" t="s">
        <v>602</v>
      </c>
      <c r="BF48">
        <v>0</v>
      </c>
      <c r="BK48" t="s">
        <v>31</v>
      </c>
      <c r="BS48" t="s">
        <v>412</v>
      </c>
      <c r="BT48" t="s">
        <v>412</v>
      </c>
      <c r="CI48" t="s">
        <v>388</v>
      </c>
      <c r="CJ48" s="14">
        <v>45013</v>
      </c>
      <c r="CK48">
        <v>1</v>
      </c>
    </row>
    <row r="49" spans="1:89">
      <c r="A49" t="s">
        <v>606</v>
      </c>
      <c r="B49" t="s">
        <v>374</v>
      </c>
      <c r="C49" t="s">
        <v>607</v>
      </c>
      <c r="D49" t="s">
        <v>608</v>
      </c>
      <c r="E49" t="s">
        <v>609</v>
      </c>
      <c r="F49" s="13">
        <v>44805.624618055554</v>
      </c>
      <c r="G49" t="s">
        <v>610</v>
      </c>
      <c r="H49" t="s">
        <v>611</v>
      </c>
      <c r="I49" s="13">
        <v>45012.044444444444</v>
      </c>
      <c r="K49" t="s">
        <v>415</v>
      </c>
      <c r="M49" s="13">
        <v>44895</v>
      </c>
      <c r="R49">
        <v>0</v>
      </c>
      <c r="S49" t="s">
        <v>416</v>
      </c>
      <c r="T49" t="s">
        <v>57</v>
      </c>
      <c r="V49" t="s">
        <v>478</v>
      </c>
      <c r="W49" t="s">
        <v>612</v>
      </c>
      <c r="X49" t="s">
        <v>612</v>
      </c>
      <c r="AF49" t="s">
        <v>451</v>
      </c>
      <c r="AI49">
        <v>-117</v>
      </c>
      <c r="AL49" t="s">
        <v>613</v>
      </c>
      <c r="AN49" t="s">
        <v>31</v>
      </c>
      <c r="AO49">
        <v>0</v>
      </c>
      <c r="AZ49" t="s">
        <v>609</v>
      </c>
      <c r="BF49">
        <v>0</v>
      </c>
      <c r="BK49" t="s">
        <v>31</v>
      </c>
      <c r="BS49" t="s">
        <v>419</v>
      </c>
      <c r="BT49" t="s">
        <v>419</v>
      </c>
      <c r="CI49" t="s">
        <v>388</v>
      </c>
      <c r="CJ49" s="14">
        <v>45013</v>
      </c>
      <c r="CK49">
        <v>1</v>
      </c>
    </row>
    <row r="50" spans="1:89">
      <c r="A50" t="s">
        <v>404</v>
      </c>
      <c r="B50" t="s">
        <v>374</v>
      </c>
      <c r="C50" t="s">
        <v>375</v>
      </c>
      <c r="D50" t="s">
        <v>614</v>
      </c>
      <c r="E50" t="s">
        <v>615</v>
      </c>
      <c r="F50" s="13">
        <v>44805.55537037037</v>
      </c>
      <c r="G50" t="s">
        <v>407</v>
      </c>
      <c r="H50" t="s">
        <v>408</v>
      </c>
      <c r="I50" s="13">
        <v>44805.666805555556</v>
      </c>
      <c r="K50" t="s">
        <v>379</v>
      </c>
      <c r="M50" s="13">
        <v>44957</v>
      </c>
      <c r="R50">
        <v>100</v>
      </c>
      <c r="S50" t="s">
        <v>380</v>
      </c>
      <c r="T50" t="s">
        <v>57</v>
      </c>
      <c r="V50" t="s">
        <v>381</v>
      </c>
      <c r="W50" t="s">
        <v>603</v>
      </c>
      <c r="X50" t="s">
        <v>603</v>
      </c>
      <c r="AF50" t="s">
        <v>382</v>
      </c>
      <c r="AG50" t="s">
        <v>480</v>
      </c>
      <c r="AI50">
        <v>152</v>
      </c>
      <c r="AL50" t="s">
        <v>616</v>
      </c>
      <c r="AN50" t="s">
        <v>31</v>
      </c>
      <c r="AO50">
        <v>0</v>
      </c>
      <c r="AS50" t="s">
        <v>385</v>
      </c>
      <c r="AX50" t="s">
        <v>57</v>
      </c>
      <c r="AY50" t="s">
        <v>442</v>
      </c>
      <c r="AZ50" t="s">
        <v>617</v>
      </c>
      <c r="BF50">
        <v>0</v>
      </c>
      <c r="BK50" t="s">
        <v>31</v>
      </c>
      <c r="BS50" t="s">
        <v>379</v>
      </c>
      <c r="BT50" t="s">
        <v>379</v>
      </c>
      <c r="CI50" t="s">
        <v>388</v>
      </c>
      <c r="CJ50" s="14">
        <v>45013</v>
      </c>
      <c r="CK50">
        <v>1</v>
      </c>
    </row>
    <row r="51" spans="1:89">
      <c r="A51" t="s">
        <v>404</v>
      </c>
      <c r="B51" t="s">
        <v>374</v>
      </c>
      <c r="C51" t="s">
        <v>375</v>
      </c>
      <c r="D51" t="s">
        <v>618</v>
      </c>
      <c r="E51" t="s">
        <v>615</v>
      </c>
      <c r="F51" s="13">
        <v>44805.547719907408</v>
      </c>
      <c r="G51" t="s">
        <v>407</v>
      </c>
      <c r="H51" t="s">
        <v>408</v>
      </c>
      <c r="I51" s="13">
        <v>44805.620659722219</v>
      </c>
      <c r="K51" t="s">
        <v>379</v>
      </c>
      <c r="M51" s="13">
        <v>44895</v>
      </c>
      <c r="R51">
        <v>100</v>
      </c>
      <c r="S51" t="s">
        <v>416</v>
      </c>
      <c r="T51" t="s">
        <v>57</v>
      </c>
      <c r="V51" t="s">
        <v>381</v>
      </c>
      <c r="W51" t="s">
        <v>603</v>
      </c>
      <c r="X51" t="s">
        <v>603</v>
      </c>
      <c r="AF51" t="s">
        <v>382</v>
      </c>
      <c r="AG51" t="s">
        <v>615</v>
      </c>
      <c r="AI51">
        <v>90</v>
      </c>
      <c r="AL51" t="s">
        <v>616</v>
      </c>
      <c r="AM51">
        <v>1</v>
      </c>
      <c r="AN51" t="s">
        <v>31</v>
      </c>
      <c r="AO51">
        <v>0</v>
      </c>
      <c r="AS51" t="s">
        <v>522</v>
      </c>
      <c r="AX51" t="s">
        <v>57</v>
      </c>
      <c r="AY51" t="s">
        <v>386</v>
      </c>
      <c r="AZ51" t="s">
        <v>615</v>
      </c>
      <c r="BF51">
        <v>0</v>
      </c>
      <c r="BK51" t="s">
        <v>31</v>
      </c>
      <c r="BS51" t="s">
        <v>379</v>
      </c>
      <c r="BT51" t="s">
        <v>379</v>
      </c>
      <c r="CI51" t="s">
        <v>388</v>
      </c>
      <c r="CJ51" s="14">
        <v>45013</v>
      </c>
      <c r="CK51">
        <v>1</v>
      </c>
    </row>
    <row r="52" spans="1:89">
      <c r="A52" t="s">
        <v>404</v>
      </c>
      <c r="B52" t="s">
        <v>374</v>
      </c>
      <c r="C52" t="s">
        <v>375</v>
      </c>
      <c r="D52" t="s">
        <v>619</v>
      </c>
      <c r="E52" t="s">
        <v>406</v>
      </c>
      <c r="F52" s="13">
        <v>44805.526226851849</v>
      </c>
      <c r="G52" t="s">
        <v>590</v>
      </c>
      <c r="H52" t="s">
        <v>591</v>
      </c>
      <c r="I52" s="13">
        <v>45012.044432870367</v>
      </c>
      <c r="K52" t="s">
        <v>415</v>
      </c>
      <c r="M52" s="13">
        <v>44834</v>
      </c>
      <c r="R52">
        <v>100</v>
      </c>
      <c r="S52" t="s">
        <v>380</v>
      </c>
      <c r="T52" t="s">
        <v>57</v>
      </c>
      <c r="V52" t="s">
        <v>478</v>
      </c>
      <c r="W52" t="s">
        <v>591</v>
      </c>
      <c r="X52" t="s">
        <v>591</v>
      </c>
      <c r="AF52" t="s">
        <v>382</v>
      </c>
      <c r="AG52" t="s">
        <v>406</v>
      </c>
      <c r="AI52">
        <v>-178</v>
      </c>
      <c r="AJ52" s="13">
        <v>44862</v>
      </c>
      <c r="AK52" t="s">
        <v>480</v>
      </c>
      <c r="AL52" t="s">
        <v>620</v>
      </c>
      <c r="AN52" t="s">
        <v>31</v>
      </c>
      <c r="AO52">
        <v>0</v>
      </c>
      <c r="AS52" t="s">
        <v>526</v>
      </c>
      <c r="AX52" t="s">
        <v>31</v>
      </c>
      <c r="AY52" t="s">
        <v>386</v>
      </c>
      <c r="AZ52" t="s">
        <v>621</v>
      </c>
      <c r="BF52">
        <v>1</v>
      </c>
      <c r="BK52" t="s">
        <v>57</v>
      </c>
      <c r="BR52" s="13">
        <v>44862</v>
      </c>
      <c r="BS52" t="s">
        <v>622</v>
      </c>
      <c r="BT52" t="s">
        <v>623</v>
      </c>
      <c r="BZ52" s="13">
        <v>44806</v>
      </c>
      <c r="CI52" t="s">
        <v>388</v>
      </c>
      <c r="CJ52" s="14">
        <v>45013</v>
      </c>
      <c r="CK52">
        <v>1</v>
      </c>
    </row>
    <row r="53" spans="1:89">
      <c r="A53" t="s">
        <v>624</v>
      </c>
      <c r="B53" t="s">
        <v>374</v>
      </c>
      <c r="C53" t="s">
        <v>375</v>
      </c>
      <c r="D53" t="s">
        <v>625</v>
      </c>
      <c r="E53" t="s">
        <v>626</v>
      </c>
      <c r="F53" s="13">
        <v>44805.478263888886</v>
      </c>
      <c r="G53" t="s">
        <v>610</v>
      </c>
      <c r="H53" t="s">
        <v>611</v>
      </c>
      <c r="I53" s="13">
        <v>45012.044432870367</v>
      </c>
      <c r="K53" t="s">
        <v>415</v>
      </c>
      <c r="M53" s="13">
        <v>44834</v>
      </c>
      <c r="R53">
        <v>0</v>
      </c>
      <c r="S53" t="s">
        <v>380</v>
      </c>
      <c r="V53" t="s">
        <v>478</v>
      </c>
      <c r="W53" t="s">
        <v>627</v>
      </c>
      <c r="X53" t="s">
        <v>627</v>
      </c>
      <c r="AF53" t="s">
        <v>451</v>
      </c>
      <c r="AI53">
        <v>-178</v>
      </c>
      <c r="AL53" t="s">
        <v>628</v>
      </c>
      <c r="AN53" t="s">
        <v>31</v>
      </c>
      <c r="AO53">
        <v>0</v>
      </c>
      <c r="AZ53" t="s">
        <v>629</v>
      </c>
      <c r="BF53">
        <v>0</v>
      </c>
      <c r="BK53" t="s">
        <v>31</v>
      </c>
      <c r="BS53" t="s">
        <v>419</v>
      </c>
      <c r="BT53" t="s">
        <v>419</v>
      </c>
      <c r="CI53" t="s">
        <v>388</v>
      </c>
      <c r="CJ53" s="14">
        <v>45013</v>
      </c>
      <c r="CK53">
        <v>1</v>
      </c>
    </row>
    <row r="54" spans="1:89">
      <c r="A54" t="s">
        <v>404</v>
      </c>
      <c r="B54" t="s">
        <v>374</v>
      </c>
      <c r="C54" t="s">
        <v>375</v>
      </c>
      <c r="D54" t="s">
        <v>630</v>
      </c>
      <c r="E54" t="s">
        <v>631</v>
      </c>
      <c r="F54" s="13">
        <v>44805.470196759263</v>
      </c>
      <c r="G54" t="s">
        <v>407</v>
      </c>
      <c r="H54" t="s">
        <v>408</v>
      </c>
      <c r="I54" s="13">
        <v>44805.495474537034</v>
      </c>
      <c r="K54" t="s">
        <v>379</v>
      </c>
      <c r="M54" s="13">
        <v>44865</v>
      </c>
      <c r="R54">
        <v>100</v>
      </c>
      <c r="S54" t="s">
        <v>380</v>
      </c>
      <c r="T54" t="s">
        <v>57</v>
      </c>
      <c r="V54" t="s">
        <v>381</v>
      </c>
      <c r="W54" t="s">
        <v>603</v>
      </c>
      <c r="X54" t="s">
        <v>603</v>
      </c>
      <c r="AC54" s="13">
        <v>44895</v>
      </c>
      <c r="AD54" s="13">
        <v>44837</v>
      </c>
      <c r="AF54" t="s">
        <v>382</v>
      </c>
      <c r="AG54" t="s">
        <v>480</v>
      </c>
      <c r="AI54">
        <v>60</v>
      </c>
      <c r="AK54" t="s">
        <v>480</v>
      </c>
      <c r="AL54" t="s">
        <v>632</v>
      </c>
      <c r="AN54" t="s">
        <v>31</v>
      </c>
      <c r="AO54">
        <v>0</v>
      </c>
      <c r="AS54" t="s">
        <v>385</v>
      </c>
      <c r="AX54" t="s">
        <v>57</v>
      </c>
      <c r="AY54" t="s">
        <v>442</v>
      </c>
      <c r="AZ54" t="s">
        <v>631</v>
      </c>
      <c r="BF54">
        <v>0</v>
      </c>
      <c r="BK54" t="s">
        <v>31</v>
      </c>
      <c r="BS54" t="s">
        <v>379</v>
      </c>
      <c r="BT54" t="s">
        <v>379</v>
      </c>
      <c r="CI54" t="s">
        <v>388</v>
      </c>
      <c r="CJ54" s="14">
        <v>45013</v>
      </c>
      <c r="CK54">
        <v>1</v>
      </c>
    </row>
    <row r="55" spans="1:89">
      <c r="A55" t="s">
        <v>624</v>
      </c>
      <c r="B55" t="s">
        <v>374</v>
      </c>
      <c r="C55" t="s">
        <v>375</v>
      </c>
      <c r="D55" t="s">
        <v>633</v>
      </c>
      <c r="E55" t="s">
        <v>629</v>
      </c>
      <c r="F55" s="13">
        <v>44805.449259259258</v>
      </c>
      <c r="G55" t="s">
        <v>610</v>
      </c>
      <c r="H55" t="s">
        <v>611</v>
      </c>
      <c r="I55" s="13">
        <v>45012.044432870367</v>
      </c>
      <c r="K55" t="s">
        <v>415</v>
      </c>
      <c r="M55" s="13">
        <v>44834</v>
      </c>
      <c r="R55">
        <v>100</v>
      </c>
      <c r="S55" t="s">
        <v>380</v>
      </c>
      <c r="T55" t="s">
        <v>57</v>
      </c>
      <c r="V55" t="s">
        <v>478</v>
      </c>
      <c r="W55" t="s">
        <v>627</v>
      </c>
      <c r="X55" t="s">
        <v>627</v>
      </c>
      <c r="Y55" t="s">
        <v>480</v>
      </c>
      <c r="AF55" t="s">
        <v>382</v>
      </c>
      <c r="AG55" t="s">
        <v>634</v>
      </c>
      <c r="AI55">
        <v>-178</v>
      </c>
      <c r="AL55" t="s">
        <v>635</v>
      </c>
      <c r="AN55" t="s">
        <v>31</v>
      </c>
      <c r="AO55">
        <v>0</v>
      </c>
      <c r="AS55" t="s">
        <v>526</v>
      </c>
      <c r="AT55" t="s">
        <v>31</v>
      </c>
      <c r="AX55" t="s">
        <v>31</v>
      </c>
      <c r="AY55" t="s">
        <v>386</v>
      </c>
      <c r="AZ55" t="s">
        <v>636</v>
      </c>
      <c r="BF55">
        <v>0</v>
      </c>
      <c r="BK55" t="s">
        <v>31</v>
      </c>
      <c r="BS55" t="s">
        <v>484</v>
      </c>
      <c r="BT55" t="s">
        <v>484</v>
      </c>
      <c r="CI55" t="s">
        <v>388</v>
      </c>
      <c r="CJ55" s="14">
        <v>45013</v>
      </c>
      <c r="CK55">
        <v>1</v>
      </c>
    </row>
    <row r="56" spans="1:89">
      <c r="A56" t="s">
        <v>637</v>
      </c>
      <c r="B56" t="s">
        <v>374</v>
      </c>
      <c r="C56" t="s">
        <v>638</v>
      </c>
      <c r="D56" t="s">
        <v>639</v>
      </c>
      <c r="E56" t="s">
        <v>640</v>
      </c>
      <c r="F56" s="13">
        <v>44804.672384259262</v>
      </c>
      <c r="G56" t="s">
        <v>641</v>
      </c>
      <c r="H56" t="s">
        <v>642</v>
      </c>
      <c r="I56" s="13">
        <v>44833.703101851854</v>
      </c>
      <c r="K56" t="s">
        <v>412</v>
      </c>
      <c r="M56" s="13">
        <v>44742</v>
      </c>
      <c r="R56">
        <v>0</v>
      </c>
      <c r="S56" t="s">
        <v>380</v>
      </c>
      <c r="T56" t="s">
        <v>57</v>
      </c>
      <c r="V56" t="s">
        <v>381</v>
      </c>
      <c r="W56" t="s">
        <v>643</v>
      </c>
      <c r="X56" t="s">
        <v>643</v>
      </c>
      <c r="AC56" s="13">
        <v>44834</v>
      </c>
      <c r="AD56" s="13">
        <v>44834</v>
      </c>
      <c r="AI56">
        <v>-62</v>
      </c>
      <c r="AN56" t="s">
        <v>31</v>
      </c>
      <c r="AO56">
        <v>0</v>
      </c>
      <c r="AS56" t="s">
        <v>538</v>
      </c>
      <c r="AX56" t="s">
        <v>57</v>
      </c>
      <c r="AY56" t="s">
        <v>442</v>
      </c>
      <c r="AZ56" t="s">
        <v>644</v>
      </c>
      <c r="BF56">
        <v>0</v>
      </c>
      <c r="BK56" t="s">
        <v>31</v>
      </c>
      <c r="BS56" t="s">
        <v>412</v>
      </c>
      <c r="CI56" t="s">
        <v>388</v>
      </c>
      <c r="CJ56" s="14">
        <v>45013</v>
      </c>
      <c r="CK56">
        <v>1</v>
      </c>
    </row>
    <row r="57" spans="1:89">
      <c r="A57" t="s">
        <v>637</v>
      </c>
      <c r="B57" t="s">
        <v>374</v>
      </c>
      <c r="C57" t="s">
        <v>638</v>
      </c>
      <c r="D57" t="s">
        <v>645</v>
      </c>
      <c r="E57" t="s">
        <v>646</v>
      </c>
      <c r="F57" s="13">
        <v>44804.672361111108</v>
      </c>
      <c r="G57" t="s">
        <v>641</v>
      </c>
      <c r="H57" t="s">
        <v>642</v>
      </c>
      <c r="I57" s="13">
        <v>44833.703101851854</v>
      </c>
      <c r="K57" t="s">
        <v>412</v>
      </c>
      <c r="M57" s="13">
        <v>44620</v>
      </c>
      <c r="R57">
        <v>0</v>
      </c>
      <c r="S57" t="s">
        <v>416</v>
      </c>
      <c r="T57" t="s">
        <v>57</v>
      </c>
      <c r="V57" t="s">
        <v>381</v>
      </c>
      <c r="W57" t="s">
        <v>647</v>
      </c>
      <c r="X57" t="s">
        <v>647</v>
      </c>
      <c r="AC57" s="13">
        <v>44711</v>
      </c>
      <c r="AD57" s="13">
        <v>44711</v>
      </c>
      <c r="AI57">
        <v>-184</v>
      </c>
      <c r="AN57" t="s">
        <v>31</v>
      </c>
      <c r="AO57">
        <v>0</v>
      </c>
      <c r="AS57" t="s">
        <v>648</v>
      </c>
      <c r="AX57" t="s">
        <v>31</v>
      </c>
      <c r="AY57" t="s">
        <v>386</v>
      </c>
      <c r="AZ57" t="s">
        <v>649</v>
      </c>
      <c r="BF57">
        <v>0</v>
      </c>
      <c r="BK57" t="s">
        <v>31</v>
      </c>
      <c r="BS57" t="s">
        <v>412</v>
      </c>
      <c r="CI57" t="s">
        <v>388</v>
      </c>
      <c r="CJ57" s="14">
        <v>45013</v>
      </c>
      <c r="CK57">
        <v>1</v>
      </c>
    </row>
    <row r="58" spans="1:89">
      <c r="A58" t="s">
        <v>637</v>
      </c>
      <c r="B58" t="s">
        <v>374</v>
      </c>
      <c r="C58" t="s">
        <v>638</v>
      </c>
      <c r="D58" t="s">
        <v>650</v>
      </c>
      <c r="E58" t="s">
        <v>651</v>
      </c>
      <c r="F58" s="13">
        <v>44804.672337962962</v>
      </c>
      <c r="G58" t="s">
        <v>641</v>
      </c>
      <c r="H58" t="s">
        <v>642</v>
      </c>
      <c r="I58" s="13">
        <v>44833.703101851854</v>
      </c>
      <c r="K58" t="s">
        <v>412</v>
      </c>
      <c r="M58" s="13">
        <v>44620</v>
      </c>
      <c r="R58">
        <v>0</v>
      </c>
      <c r="S58" t="s">
        <v>416</v>
      </c>
      <c r="T58" t="s">
        <v>57</v>
      </c>
      <c r="V58" t="s">
        <v>381</v>
      </c>
      <c r="W58" t="s">
        <v>647</v>
      </c>
      <c r="X58" t="s">
        <v>647</v>
      </c>
      <c r="AC58" s="13">
        <v>44711</v>
      </c>
      <c r="AD58" s="13">
        <v>44711</v>
      </c>
      <c r="AI58">
        <v>-184</v>
      </c>
      <c r="AN58" t="s">
        <v>31</v>
      </c>
      <c r="AO58">
        <v>0</v>
      </c>
      <c r="AS58" t="s">
        <v>392</v>
      </c>
      <c r="AX58" t="s">
        <v>31</v>
      </c>
      <c r="AY58" t="s">
        <v>386</v>
      </c>
      <c r="AZ58" t="s">
        <v>652</v>
      </c>
      <c r="BF58">
        <v>0</v>
      </c>
      <c r="BK58" t="s">
        <v>31</v>
      </c>
      <c r="BS58" t="s">
        <v>412</v>
      </c>
      <c r="CI58" t="s">
        <v>388</v>
      </c>
      <c r="CJ58" s="14">
        <v>45013</v>
      </c>
      <c r="CK58">
        <v>1</v>
      </c>
    </row>
    <row r="59" spans="1:89">
      <c r="A59" t="s">
        <v>637</v>
      </c>
      <c r="B59" t="s">
        <v>374</v>
      </c>
      <c r="C59" t="s">
        <v>638</v>
      </c>
      <c r="D59" t="s">
        <v>653</v>
      </c>
      <c r="E59" t="s">
        <v>654</v>
      </c>
      <c r="F59" s="13">
        <v>44804.672314814816</v>
      </c>
      <c r="G59" t="s">
        <v>641</v>
      </c>
      <c r="H59" t="s">
        <v>642</v>
      </c>
      <c r="I59" s="13">
        <v>44833.703101851854</v>
      </c>
      <c r="K59" t="s">
        <v>412</v>
      </c>
      <c r="M59" s="13">
        <v>44620</v>
      </c>
      <c r="R59">
        <v>0</v>
      </c>
      <c r="S59" t="s">
        <v>380</v>
      </c>
      <c r="T59" t="s">
        <v>57</v>
      </c>
      <c r="V59" t="s">
        <v>381</v>
      </c>
      <c r="W59" t="s">
        <v>647</v>
      </c>
      <c r="X59" t="s">
        <v>647</v>
      </c>
      <c r="AC59" s="13">
        <v>44711</v>
      </c>
      <c r="AD59" s="13">
        <v>44711</v>
      </c>
      <c r="AI59">
        <v>-184</v>
      </c>
      <c r="AN59" t="s">
        <v>31</v>
      </c>
      <c r="AO59">
        <v>0</v>
      </c>
      <c r="AS59" t="s">
        <v>385</v>
      </c>
      <c r="AX59" t="s">
        <v>31</v>
      </c>
      <c r="AY59" t="s">
        <v>442</v>
      </c>
      <c r="AZ59" t="s">
        <v>655</v>
      </c>
      <c r="BF59">
        <v>0</v>
      </c>
      <c r="BK59" t="s">
        <v>31</v>
      </c>
      <c r="BS59" t="s">
        <v>412</v>
      </c>
      <c r="CI59" t="s">
        <v>388</v>
      </c>
      <c r="CJ59" s="14">
        <v>45013</v>
      </c>
      <c r="CK59">
        <v>1</v>
      </c>
    </row>
    <row r="60" spans="1:89">
      <c r="A60" t="s">
        <v>637</v>
      </c>
      <c r="B60" t="s">
        <v>374</v>
      </c>
      <c r="C60" t="s">
        <v>638</v>
      </c>
      <c r="D60" t="s">
        <v>656</v>
      </c>
      <c r="E60" t="s">
        <v>657</v>
      </c>
      <c r="F60" s="13">
        <v>44804.672303240739</v>
      </c>
      <c r="G60" t="s">
        <v>641</v>
      </c>
      <c r="H60" t="s">
        <v>642</v>
      </c>
      <c r="I60" s="13">
        <v>44833.703101851854</v>
      </c>
      <c r="K60" t="s">
        <v>412</v>
      </c>
      <c r="M60" s="13">
        <v>44620</v>
      </c>
      <c r="R60">
        <v>0</v>
      </c>
      <c r="S60" t="s">
        <v>380</v>
      </c>
      <c r="T60" t="s">
        <v>57</v>
      </c>
      <c r="V60" t="s">
        <v>381</v>
      </c>
      <c r="W60" t="s">
        <v>647</v>
      </c>
      <c r="X60" t="s">
        <v>647</v>
      </c>
      <c r="AC60" s="13">
        <v>44711</v>
      </c>
      <c r="AD60" s="13">
        <v>44711</v>
      </c>
      <c r="AI60">
        <v>-184</v>
      </c>
      <c r="AN60" t="s">
        <v>31</v>
      </c>
      <c r="AO60">
        <v>0</v>
      </c>
      <c r="AS60" t="s">
        <v>385</v>
      </c>
      <c r="AX60" t="s">
        <v>31</v>
      </c>
      <c r="AY60" t="s">
        <v>442</v>
      </c>
      <c r="AZ60" t="s">
        <v>658</v>
      </c>
      <c r="BF60">
        <v>0</v>
      </c>
      <c r="BK60" t="s">
        <v>31</v>
      </c>
      <c r="BS60" t="s">
        <v>412</v>
      </c>
      <c r="CI60" t="s">
        <v>388</v>
      </c>
      <c r="CJ60" s="14">
        <v>45013</v>
      </c>
      <c r="CK60">
        <v>1</v>
      </c>
    </row>
    <row r="61" spans="1:89">
      <c r="A61" t="s">
        <v>637</v>
      </c>
      <c r="B61" t="s">
        <v>374</v>
      </c>
      <c r="C61" t="s">
        <v>638</v>
      </c>
      <c r="D61" t="s">
        <v>659</v>
      </c>
      <c r="E61" t="s">
        <v>660</v>
      </c>
      <c r="F61" s="13">
        <v>44804.672280092593</v>
      </c>
      <c r="G61" t="s">
        <v>641</v>
      </c>
      <c r="H61" t="s">
        <v>642</v>
      </c>
      <c r="I61" s="13">
        <v>44833.703101851854</v>
      </c>
      <c r="K61" t="s">
        <v>412</v>
      </c>
      <c r="M61" s="13">
        <v>44620</v>
      </c>
      <c r="R61">
        <v>0</v>
      </c>
      <c r="S61" t="s">
        <v>380</v>
      </c>
      <c r="T61" t="s">
        <v>57</v>
      </c>
      <c r="V61" t="s">
        <v>381</v>
      </c>
      <c r="W61" t="s">
        <v>647</v>
      </c>
      <c r="X61" t="s">
        <v>647</v>
      </c>
      <c r="AC61" s="13">
        <v>44711</v>
      </c>
      <c r="AD61" s="13">
        <v>44711</v>
      </c>
      <c r="AI61">
        <v>-184</v>
      </c>
      <c r="AN61" t="s">
        <v>31</v>
      </c>
      <c r="AO61">
        <v>0</v>
      </c>
      <c r="AS61" t="s">
        <v>526</v>
      </c>
      <c r="AX61" t="s">
        <v>31</v>
      </c>
      <c r="AY61" t="s">
        <v>442</v>
      </c>
      <c r="AZ61" t="s">
        <v>661</v>
      </c>
      <c r="BF61">
        <v>0</v>
      </c>
      <c r="BK61" t="s">
        <v>31</v>
      </c>
      <c r="BS61" t="s">
        <v>412</v>
      </c>
      <c r="CI61" t="s">
        <v>388</v>
      </c>
      <c r="CJ61" s="14">
        <v>45013</v>
      </c>
      <c r="CK61">
        <v>1</v>
      </c>
    </row>
    <row r="62" spans="1:89">
      <c r="A62" t="s">
        <v>637</v>
      </c>
      <c r="B62" t="s">
        <v>374</v>
      </c>
      <c r="C62" t="s">
        <v>638</v>
      </c>
      <c r="D62" t="s">
        <v>662</v>
      </c>
      <c r="E62" t="s">
        <v>663</v>
      </c>
      <c r="F62" s="13">
        <v>44804.672256944446</v>
      </c>
      <c r="G62" t="s">
        <v>641</v>
      </c>
      <c r="H62" t="s">
        <v>642</v>
      </c>
      <c r="I62" s="13">
        <v>44833.703101851854</v>
      </c>
      <c r="K62" t="s">
        <v>412</v>
      </c>
      <c r="M62" s="13">
        <v>44620</v>
      </c>
      <c r="R62">
        <v>0</v>
      </c>
      <c r="S62" t="s">
        <v>380</v>
      </c>
      <c r="T62" t="s">
        <v>57</v>
      </c>
      <c r="V62" t="s">
        <v>381</v>
      </c>
      <c r="W62" t="s">
        <v>647</v>
      </c>
      <c r="X62" t="s">
        <v>647</v>
      </c>
      <c r="AC62" s="13">
        <v>44711</v>
      </c>
      <c r="AD62" s="13">
        <v>44711</v>
      </c>
      <c r="AI62">
        <v>-184</v>
      </c>
      <c r="AN62" t="s">
        <v>31</v>
      </c>
      <c r="AO62">
        <v>0</v>
      </c>
      <c r="AS62" t="s">
        <v>648</v>
      </c>
      <c r="AX62" t="s">
        <v>31</v>
      </c>
      <c r="AY62" t="s">
        <v>442</v>
      </c>
      <c r="AZ62" t="s">
        <v>648</v>
      </c>
      <c r="BF62">
        <v>0</v>
      </c>
      <c r="BK62" t="s">
        <v>31</v>
      </c>
      <c r="BS62" t="s">
        <v>412</v>
      </c>
      <c r="CI62" t="s">
        <v>388</v>
      </c>
      <c r="CJ62" s="14">
        <v>45013</v>
      </c>
      <c r="CK62">
        <v>1</v>
      </c>
    </row>
    <row r="63" spans="1:89">
      <c r="A63" t="s">
        <v>637</v>
      </c>
      <c r="B63" t="s">
        <v>374</v>
      </c>
      <c r="C63" t="s">
        <v>638</v>
      </c>
      <c r="D63" t="s">
        <v>664</v>
      </c>
      <c r="E63" t="s">
        <v>665</v>
      </c>
      <c r="F63" s="13">
        <v>44804.67224537037</v>
      </c>
      <c r="G63" t="s">
        <v>641</v>
      </c>
      <c r="H63" t="s">
        <v>642</v>
      </c>
      <c r="I63" s="13">
        <v>44833.703101851854</v>
      </c>
      <c r="K63" t="s">
        <v>412</v>
      </c>
      <c r="M63" s="13">
        <v>44620</v>
      </c>
      <c r="R63">
        <v>0</v>
      </c>
      <c r="S63" t="s">
        <v>380</v>
      </c>
      <c r="T63" t="s">
        <v>57</v>
      </c>
      <c r="V63" t="s">
        <v>381</v>
      </c>
      <c r="W63" t="s">
        <v>647</v>
      </c>
      <c r="X63" t="s">
        <v>647</v>
      </c>
      <c r="AC63" s="13">
        <v>44711</v>
      </c>
      <c r="AD63" s="13">
        <v>44711</v>
      </c>
      <c r="AI63">
        <v>-184</v>
      </c>
      <c r="AN63" t="s">
        <v>31</v>
      </c>
      <c r="AO63">
        <v>0</v>
      </c>
      <c r="AS63" t="s">
        <v>385</v>
      </c>
      <c r="AX63" t="s">
        <v>31</v>
      </c>
      <c r="AY63" t="s">
        <v>442</v>
      </c>
      <c r="AZ63" t="s">
        <v>666</v>
      </c>
      <c r="BF63">
        <v>0</v>
      </c>
      <c r="BK63" t="s">
        <v>31</v>
      </c>
      <c r="BS63" t="s">
        <v>412</v>
      </c>
      <c r="CI63" t="s">
        <v>388</v>
      </c>
      <c r="CJ63" s="14">
        <v>45013</v>
      </c>
      <c r="CK63">
        <v>1</v>
      </c>
    </row>
    <row r="64" spans="1:89">
      <c r="A64" t="s">
        <v>637</v>
      </c>
      <c r="B64" t="s">
        <v>374</v>
      </c>
      <c r="C64" t="s">
        <v>638</v>
      </c>
      <c r="D64" t="s">
        <v>667</v>
      </c>
      <c r="E64" t="s">
        <v>668</v>
      </c>
      <c r="F64" s="13">
        <v>44804.672222222223</v>
      </c>
      <c r="G64" t="s">
        <v>641</v>
      </c>
      <c r="H64" t="s">
        <v>642</v>
      </c>
      <c r="I64" s="13">
        <v>44833.703101851854</v>
      </c>
      <c r="K64" t="s">
        <v>412</v>
      </c>
      <c r="M64" s="13">
        <v>44620</v>
      </c>
      <c r="R64">
        <v>0</v>
      </c>
      <c r="S64" t="s">
        <v>380</v>
      </c>
      <c r="T64" t="s">
        <v>57</v>
      </c>
      <c r="V64" t="s">
        <v>381</v>
      </c>
      <c r="W64" t="s">
        <v>647</v>
      </c>
      <c r="X64" t="s">
        <v>647</v>
      </c>
      <c r="AC64" s="13">
        <v>44711</v>
      </c>
      <c r="AD64" s="13">
        <v>44711</v>
      </c>
      <c r="AI64">
        <v>-184</v>
      </c>
      <c r="AN64" t="s">
        <v>31</v>
      </c>
      <c r="AO64">
        <v>0</v>
      </c>
      <c r="AS64" t="s">
        <v>648</v>
      </c>
      <c r="AX64" t="s">
        <v>31</v>
      </c>
      <c r="AY64" t="s">
        <v>442</v>
      </c>
      <c r="AZ64" t="s">
        <v>669</v>
      </c>
      <c r="BF64">
        <v>0</v>
      </c>
      <c r="BK64" t="s">
        <v>31</v>
      </c>
      <c r="BS64" t="s">
        <v>412</v>
      </c>
      <c r="CI64" t="s">
        <v>388</v>
      </c>
      <c r="CJ64" s="14">
        <v>45013</v>
      </c>
      <c r="CK64">
        <v>1</v>
      </c>
    </row>
    <row r="65" spans="1:89">
      <c r="A65" t="s">
        <v>637</v>
      </c>
      <c r="B65" t="s">
        <v>374</v>
      </c>
      <c r="C65" t="s">
        <v>638</v>
      </c>
      <c r="D65" t="s">
        <v>670</v>
      </c>
      <c r="E65" t="s">
        <v>671</v>
      </c>
      <c r="F65" s="13">
        <v>44804.672199074077</v>
      </c>
      <c r="G65" t="s">
        <v>641</v>
      </c>
      <c r="H65" t="s">
        <v>642</v>
      </c>
      <c r="I65" s="13">
        <v>44833.703101851854</v>
      </c>
      <c r="K65" t="s">
        <v>412</v>
      </c>
      <c r="M65" s="13">
        <v>44620</v>
      </c>
      <c r="R65">
        <v>0</v>
      </c>
      <c r="S65" t="s">
        <v>380</v>
      </c>
      <c r="T65" t="s">
        <v>57</v>
      </c>
      <c r="V65" t="s">
        <v>381</v>
      </c>
      <c r="W65" t="s">
        <v>647</v>
      </c>
      <c r="X65" t="s">
        <v>647</v>
      </c>
      <c r="AC65" s="13">
        <v>44711</v>
      </c>
      <c r="AD65" s="13">
        <v>44711</v>
      </c>
      <c r="AI65">
        <v>-184</v>
      </c>
      <c r="AN65" t="s">
        <v>31</v>
      </c>
      <c r="AO65">
        <v>0</v>
      </c>
      <c r="AS65" t="s">
        <v>538</v>
      </c>
      <c r="AX65" t="s">
        <v>31</v>
      </c>
      <c r="AY65" t="s">
        <v>442</v>
      </c>
      <c r="AZ65" t="s">
        <v>672</v>
      </c>
      <c r="BF65">
        <v>0</v>
      </c>
      <c r="BK65" t="s">
        <v>31</v>
      </c>
      <c r="BS65" t="s">
        <v>412</v>
      </c>
      <c r="CI65" t="s">
        <v>388</v>
      </c>
      <c r="CJ65" s="14">
        <v>45013</v>
      </c>
      <c r="CK65">
        <v>1</v>
      </c>
    </row>
    <row r="66" spans="1:89">
      <c r="A66" t="s">
        <v>673</v>
      </c>
      <c r="B66" t="s">
        <v>374</v>
      </c>
      <c r="C66" t="s">
        <v>674</v>
      </c>
      <c r="D66" t="s">
        <v>675</v>
      </c>
      <c r="E66" t="s">
        <v>676</v>
      </c>
      <c r="F66" s="13">
        <v>44804.451608796298</v>
      </c>
      <c r="G66" t="s">
        <v>677</v>
      </c>
      <c r="H66" t="s">
        <v>678</v>
      </c>
      <c r="I66" s="13">
        <v>44804.457673611112</v>
      </c>
      <c r="K66" t="s">
        <v>412</v>
      </c>
      <c r="R66">
        <v>0</v>
      </c>
      <c r="S66" t="s">
        <v>380</v>
      </c>
      <c r="T66" t="s">
        <v>57</v>
      </c>
      <c r="V66" t="s">
        <v>381</v>
      </c>
      <c r="W66" t="s">
        <v>679</v>
      </c>
      <c r="X66" t="s">
        <v>679</v>
      </c>
      <c r="AI66">
        <v>20</v>
      </c>
      <c r="AL66" t="s">
        <v>680</v>
      </c>
      <c r="AN66" t="s">
        <v>31</v>
      </c>
      <c r="AO66">
        <v>0</v>
      </c>
      <c r="AZ66" t="s">
        <v>676</v>
      </c>
      <c r="BF66">
        <v>0</v>
      </c>
      <c r="BK66" t="s">
        <v>31</v>
      </c>
      <c r="BS66" t="s">
        <v>412</v>
      </c>
      <c r="BT66" t="s">
        <v>412</v>
      </c>
      <c r="CI66" t="s">
        <v>388</v>
      </c>
      <c r="CJ66" s="14">
        <v>45013</v>
      </c>
      <c r="CK66">
        <v>1</v>
      </c>
    </row>
    <row r="67" spans="1:89">
      <c r="A67" t="s">
        <v>673</v>
      </c>
      <c r="B67" t="s">
        <v>374</v>
      </c>
      <c r="C67" t="s">
        <v>674</v>
      </c>
      <c r="D67" t="s">
        <v>681</v>
      </c>
      <c r="E67" t="s">
        <v>682</v>
      </c>
      <c r="F67" s="13">
        <v>44804.450381944444</v>
      </c>
      <c r="G67" t="s">
        <v>677</v>
      </c>
      <c r="H67" t="s">
        <v>678</v>
      </c>
      <c r="I67" s="13">
        <v>44804.457071759258</v>
      </c>
      <c r="K67" t="s">
        <v>412</v>
      </c>
      <c r="R67">
        <v>0</v>
      </c>
      <c r="S67" t="s">
        <v>380</v>
      </c>
      <c r="T67" t="s">
        <v>57</v>
      </c>
      <c r="V67" t="s">
        <v>381</v>
      </c>
      <c r="W67" t="s">
        <v>683</v>
      </c>
      <c r="X67" t="s">
        <v>683</v>
      </c>
      <c r="AI67">
        <v>20</v>
      </c>
      <c r="AL67" t="s">
        <v>680</v>
      </c>
      <c r="AN67" t="s">
        <v>31</v>
      </c>
      <c r="AO67">
        <v>0</v>
      </c>
      <c r="AS67" t="s">
        <v>385</v>
      </c>
      <c r="AZ67" t="s">
        <v>682</v>
      </c>
      <c r="BF67">
        <v>0</v>
      </c>
      <c r="BK67" t="s">
        <v>31</v>
      </c>
      <c r="BS67" t="s">
        <v>412</v>
      </c>
      <c r="BT67" t="s">
        <v>412</v>
      </c>
      <c r="CI67" t="s">
        <v>388</v>
      </c>
      <c r="CJ67" s="14">
        <v>45013</v>
      </c>
      <c r="CK67">
        <v>1</v>
      </c>
    </row>
    <row r="68" spans="1:89">
      <c r="A68" t="s">
        <v>404</v>
      </c>
      <c r="B68" t="s">
        <v>374</v>
      </c>
      <c r="C68" t="s">
        <v>375</v>
      </c>
      <c r="D68" t="s">
        <v>684</v>
      </c>
      <c r="E68" t="s">
        <v>685</v>
      </c>
      <c r="F68" s="13">
        <v>44797.441041666665</v>
      </c>
      <c r="G68" t="s">
        <v>407</v>
      </c>
      <c r="H68" t="s">
        <v>408</v>
      </c>
      <c r="I68" s="13">
        <v>44797.456944444442</v>
      </c>
      <c r="R68">
        <v>0</v>
      </c>
      <c r="S68" t="s">
        <v>416</v>
      </c>
      <c r="T68" t="s">
        <v>57</v>
      </c>
      <c r="V68" t="s">
        <v>381</v>
      </c>
      <c r="W68" t="s">
        <v>686</v>
      </c>
      <c r="X68" t="s">
        <v>686</v>
      </c>
      <c r="AI68">
        <v>38</v>
      </c>
      <c r="AN68" t="s">
        <v>31</v>
      </c>
      <c r="AO68">
        <v>0</v>
      </c>
      <c r="AY68" t="s">
        <v>442</v>
      </c>
      <c r="AZ68" t="s">
        <v>574</v>
      </c>
      <c r="BF68">
        <v>0</v>
      </c>
      <c r="BK68" t="s">
        <v>31</v>
      </c>
      <c r="BS68" t="s">
        <v>412</v>
      </c>
      <c r="CI68" t="s">
        <v>388</v>
      </c>
      <c r="CJ68" s="14">
        <v>45013</v>
      </c>
      <c r="CK68">
        <v>1</v>
      </c>
    </row>
    <row r="69" spans="1:89">
      <c r="A69" t="s">
        <v>687</v>
      </c>
      <c r="B69" t="s">
        <v>374</v>
      </c>
      <c r="C69" t="s">
        <v>688</v>
      </c>
      <c r="D69" t="s">
        <v>689</v>
      </c>
      <c r="E69" t="s">
        <v>690</v>
      </c>
      <c r="F69" s="13">
        <v>44797.421053240738</v>
      </c>
      <c r="G69" t="s">
        <v>590</v>
      </c>
      <c r="H69" t="s">
        <v>591</v>
      </c>
      <c r="I69" s="13">
        <v>45012.044421296298</v>
      </c>
      <c r="K69" t="s">
        <v>415</v>
      </c>
      <c r="M69" s="13">
        <v>44893</v>
      </c>
      <c r="R69">
        <v>100</v>
      </c>
      <c r="S69" t="s">
        <v>416</v>
      </c>
      <c r="T69" t="s">
        <v>57</v>
      </c>
      <c r="V69" t="s">
        <v>478</v>
      </c>
      <c r="W69" t="s">
        <v>591</v>
      </c>
      <c r="X69" t="s">
        <v>591</v>
      </c>
      <c r="AF69" t="s">
        <v>382</v>
      </c>
      <c r="AG69" t="s">
        <v>691</v>
      </c>
      <c r="AI69">
        <v>-119</v>
      </c>
      <c r="AL69" t="s">
        <v>692</v>
      </c>
      <c r="AN69" t="s">
        <v>31</v>
      </c>
      <c r="AO69">
        <v>0</v>
      </c>
      <c r="AZ69" t="s">
        <v>690</v>
      </c>
      <c r="BF69">
        <v>0</v>
      </c>
      <c r="BK69" t="s">
        <v>31</v>
      </c>
      <c r="BS69" t="s">
        <v>419</v>
      </c>
      <c r="BT69" t="s">
        <v>419</v>
      </c>
      <c r="CI69" t="s">
        <v>388</v>
      </c>
      <c r="CJ69" s="14">
        <v>45013</v>
      </c>
      <c r="CK69">
        <v>1</v>
      </c>
    </row>
    <row r="70" spans="1:89">
      <c r="A70" t="s">
        <v>687</v>
      </c>
      <c r="B70" t="s">
        <v>374</v>
      </c>
      <c r="C70" t="s">
        <v>688</v>
      </c>
      <c r="D70" t="s">
        <v>693</v>
      </c>
      <c r="E70" t="s">
        <v>691</v>
      </c>
      <c r="F70" s="13">
        <v>44797.416203703702</v>
      </c>
      <c r="G70" t="s">
        <v>590</v>
      </c>
      <c r="H70" t="s">
        <v>591</v>
      </c>
      <c r="I70" s="13">
        <v>45012.044421296298</v>
      </c>
      <c r="K70" t="s">
        <v>415</v>
      </c>
      <c r="M70" s="13">
        <v>44893</v>
      </c>
      <c r="R70">
        <v>0</v>
      </c>
      <c r="S70" t="s">
        <v>380</v>
      </c>
      <c r="T70" t="s">
        <v>57</v>
      </c>
      <c r="V70" t="s">
        <v>478</v>
      </c>
      <c r="W70" t="s">
        <v>591</v>
      </c>
      <c r="X70" t="s">
        <v>591</v>
      </c>
      <c r="AF70" t="s">
        <v>451</v>
      </c>
      <c r="AI70">
        <v>-119</v>
      </c>
      <c r="AL70" t="s">
        <v>692</v>
      </c>
      <c r="AN70" t="s">
        <v>31</v>
      </c>
      <c r="AO70">
        <v>0</v>
      </c>
      <c r="AZ70" t="s">
        <v>691</v>
      </c>
      <c r="BF70">
        <v>0</v>
      </c>
      <c r="BK70" t="s">
        <v>31</v>
      </c>
      <c r="BS70" t="s">
        <v>419</v>
      </c>
      <c r="BT70" t="s">
        <v>419</v>
      </c>
      <c r="CI70" t="s">
        <v>388</v>
      </c>
      <c r="CJ70" s="14">
        <v>45013</v>
      </c>
      <c r="CK70">
        <v>1</v>
      </c>
    </row>
    <row r="71" spans="1:89">
      <c r="A71" t="s">
        <v>404</v>
      </c>
      <c r="B71" t="s">
        <v>374</v>
      </c>
      <c r="C71" t="s">
        <v>375</v>
      </c>
      <c r="D71" t="s">
        <v>694</v>
      </c>
      <c r="E71" t="s">
        <v>695</v>
      </c>
      <c r="F71" s="13">
        <v>44797.397939814815</v>
      </c>
      <c r="G71" t="s">
        <v>407</v>
      </c>
      <c r="H71" t="s">
        <v>408</v>
      </c>
      <c r="I71" s="13">
        <v>44797.416712962964</v>
      </c>
      <c r="K71" t="s">
        <v>379</v>
      </c>
      <c r="M71" s="13">
        <v>44834</v>
      </c>
      <c r="R71">
        <v>100</v>
      </c>
      <c r="S71" t="s">
        <v>380</v>
      </c>
      <c r="T71" t="s">
        <v>57</v>
      </c>
      <c r="V71" t="s">
        <v>381</v>
      </c>
      <c r="W71" t="s">
        <v>408</v>
      </c>
      <c r="X71" t="s">
        <v>408</v>
      </c>
      <c r="AC71" s="13">
        <v>44863</v>
      </c>
      <c r="AD71" s="13">
        <v>44834</v>
      </c>
      <c r="AF71" t="s">
        <v>382</v>
      </c>
      <c r="AG71" t="s">
        <v>695</v>
      </c>
      <c r="AI71">
        <v>37</v>
      </c>
      <c r="AK71" t="s">
        <v>480</v>
      </c>
      <c r="AL71" t="s">
        <v>696</v>
      </c>
      <c r="AN71" t="s">
        <v>31</v>
      </c>
      <c r="AO71">
        <v>0</v>
      </c>
      <c r="AS71" t="s">
        <v>385</v>
      </c>
      <c r="AX71" t="s">
        <v>31</v>
      </c>
      <c r="AY71" t="s">
        <v>386</v>
      </c>
      <c r="AZ71" t="s">
        <v>695</v>
      </c>
      <c r="BF71">
        <v>0</v>
      </c>
      <c r="BK71" t="s">
        <v>31</v>
      </c>
      <c r="BS71" t="s">
        <v>379</v>
      </c>
      <c r="BT71" t="s">
        <v>379</v>
      </c>
      <c r="CI71" t="s">
        <v>388</v>
      </c>
      <c r="CJ71" s="14">
        <v>45013</v>
      </c>
      <c r="CK71">
        <v>1</v>
      </c>
    </row>
    <row r="72" spans="1:89">
      <c r="A72" t="s">
        <v>697</v>
      </c>
      <c r="B72" t="s">
        <v>374</v>
      </c>
      <c r="C72" t="s">
        <v>698</v>
      </c>
      <c r="D72" t="s">
        <v>699</v>
      </c>
      <c r="E72" t="s">
        <v>700</v>
      </c>
      <c r="F72" s="13">
        <v>44795.506469907406</v>
      </c>
      <c r="G72" t="s">
        <v>641</v>
      </c>
      <c r="H72" t="s">
        <v>642</v>
      </c>
      <c r="I72" s="13">
        <v>44795.506481481483</v>
      </c>
      <c r="K72" t="s">
        <v>412</v>
      </c>
      <c r="M72" s="13">
        <v>44666</v>
      </c>
      <c r="R72">
        <v>0</v>
      </c>
      <c r="S72" t="s">
        <v>380</v>
      </c>
      <c r="T72" t="s">
        <v>57</v>
      </c>
      <c r="V72" t="s">
        <v>381</v>
      </c>
      <c r="W72" t="s">
        <v>701</v>
      </c>
      <c r="X72" t="s">
        <v>701</v>
      </c>
      <c r="AC72" s="13">
        <v>44666</v>
      </c>
      <c r="AD72" s="13">
        <v>44592</v>
      </c>
      <c r="AI72">
        <v>-129</v>
      </c>
      <c r="AN72" t="s">
        <v>31</v>
      </c>
      <c r="AO72">
        <v>0</v>
      </c>
      <c r="AS72" t="s">
        <v>702</v>
      </c>
      <c r="AX72" t="s">
        <v>31</v>
      </c>
      <c r="AY72" t="s">
        <v>442</v>
      </c>
      <c r="AZ72" t="s">
        <v>703</v>
      </c>
      <c r="BF72">
        <v>0</v>
      </c>
      <c r="BK72" t="s">
        <v>31</v>
      </c>
      <c r="BS72" t="s">
        <v>412</v>
      </c>
      <c r="CI72" t="s">
        <v>388</v>
      </c>
      <c r="CJ72" s="14">
        <v>45013</v>
      </c>
      <c r="CK72">
        <v>1</v>
      </c>
    </row>
    <row r="73" spans="1:89">
      <c r="A73" t="s">
        <v>697</v>
      </c>
      <c r="B73" t="s">
        <v>374</v>
      </c>
      <c r="C73" t="s">
        <v>698</v>
      </c>
      <c r="D73" t="s">
        <v>704</v>
      </c>
      <c r="E73" t="s">
        <v>705</v>
      </c>
      <c r="F73" s="13">
        <v>44795.50644675926</v>
      </c>
      <c r="G73" t="s">
        <v>641</v>
      </c>
      <c r="H73" t="s">
        <v>642</v>
      </c>
      <c r="I73" s="13">
        <v>44795.506458333337</v>
      </c>
      <c r="K73" t="s">
        <v>412</v>
      </c>
      <c r="M73" s="13">
        <v>44607</v>
      </c>
      <c r="R73">
        <v>0</v>
      </c>
      <c r="S73" t="s">
        <v>380</v>
      </c>
      <c r="T73" t="s">
        <v>57</v>
      </c>
      <c r="V73" t="s">
        <v>381</v>
      </c>
      <c r="W73" t="s">
        <v>706</v>
      </c>
      <c r="X73" t="s">
        <v>706</v>
      </c>
      <c r="AI73">
        <v>-188</v>
      </c>
      <c r="AN73" t="s">
        <v>31</v>
      </c>
      <c r="AO73">
        <v>0</v>
      </c>
      <c r="AS73" t="s">
        <v>707</v>
      </c>
      <c r="AX73" t="s">
        <v>31</v>
      </c>
      <c r="AY73" t="s">
        <v>442</v>
      </c>
      <c r="AZ73" t="s">
        <v>708</v>
      </c>
      <c r="BF73">
        <v>0</v>
      </c>
      <c r="BK73" t="s">
        <v>31</v>
      </c>
      <c r="BS73" t="s">
        <v>412</v>
      </c>
      <c r="CI73" t="s">
        <v>388</v>
      </c>
      <c r="CJ73" s="14">
        <v>45013</v>
      </c>
      <c r="CK73">
        <v>1</v>
      </c>
    </row>
    <row r="74" spans="1:89">
      <c r="A74" t="s">
        <v>697</v>
      </c>
      <c r="B74" t="s">
        <v>374</v>
      </c>
      <c r="C74" t="s">
        <v>698</v>
      </c>
      <c r="D74" t="s">
        <v>709</v>
      </c>
      <c r="E74" t="s">
        <v>700</v>
      </c>
      <c r="F74" s="13">
        <v>44795.506423611114</v>
      </c>
      <c r="G74" t="s">
        <v>641</v>
      </c>
      <c r="H74" t="s">
        <v>642</v>
      </c>
      <c r="I74" s="13">
        <v>44795.506435185183</v>
      </c>
      <c r="K74" t="s">
        <v>412</v>
      </c>
      <c r="M74" s="13">
        <v>44666</v>
      </c>
      <c r="R74">
        <v>0</v>
      </c>
      <c r="S74" t="s">
        <v>380</v>
      </c>
      <c r="T74" t="s">
        <v>57</v>
      </c>
      <c r="V74" t="s">
        <v>381</v>
      </c>
      <c r="W74" t="s">
        <v>701</v>
      </c>
      <c r="X74" t="s">
        <v>701</v>
      </c>
      <c r="AC74" s="13">
        <v>44666</v>
      </c>
      <c r="AD74" s="13">
        <v>44592</v>
      </c>
      <c r="AI74">
        <v>-129</v>
      </c>
      <c r="AN74" t="s">
        <v>31</v>
      </c>
      <c r="AO74">
        <v>0</v>
      </c>
      <c r="AS74" t="s">
        <v>702</v>
      </c>
      <c r="AX74" t="s">
        <v>31</v>
      </c>
      <c r="AY74" t="s">
        <v>442</v>
      </c>
      <c r="AZ74" t="s">
        <v>703</v>
      </c>
      <c r="BF74">
        <v>0</v>
      </c>
      <c r="BK74" t="s">
        <v>31</v>
      </c>
      <c r="BS74" t="s">
        <v>412</v>
      </c>
      <c r="CI74" t="s">
        <v>388</v>
      </c>
      <c r="CJ74" s="14">
        <v>45013</v>
      </c>
      <c r="CK74">
        <v>1</v>
      </c>
    </row>
    <row r="75" spans="1:89">
      <c r="A75" t="s">
        <v>697</v>
      </c>
      <c r="B75" t="s">
        <v>374</v>
      </c>
      <c r="C75" t="s">
        <v>698</v>
      </c>
      <c r="D75" t="s">
        <v>710</v>
      </c>
      <c r="E75" t="s">
        <v>700</v>
      </c>
      <c r="F75" s="13">
        <v>44795.506412037037</v>
      </c>
      <c r="G75" t="s">
        <v>641</v>
      </c>
      <c r="H75" t="s">
        <v>642</v>
      </c>
      <c r="I75" s="13">
        <v>44795.506412037037</v>
      </c>
      <c r="K75" t="s">
        <v>412</v>
      </c>
      <c r="M75" s="13">
        <v>44666</v>
      </c>
      <c r="R75">
        <v>0</v>
      </c>
      <c r="S75" t="s">
        <v>380</v>
      </c>
      <c r="T75" t="s">
        <v>57</v>
      </c>
      <c r="V75" t="s">
        <v>381</v>
      </c>
      <c r="W75" t="s">
        <v>701</v>
      </c>
      <c r="X75" t="s">
        <v>701</v>
      </c>
      <c r="AC75" s="13">
        <v>44666</v>
      </c>
      <c r="AD75" s="13">
        <v>44592</v>
      </c>
      <c r="AI75">
        <v>-129</v>
      </c>
      <c r="AN75" t="s">
        <v>31</v>
      </c>
      <c r="AO75">
        <v>0</v>
      </c>
      <c r="AS75" t="s">
        <v>702</v>
      </c>
      <c r="AX75" t="s">
        <v>31</v>
      </c>
      <c r="AY75" t="s">
        <v>442</v>
      </c>
      <c r="AZ75" t="s">
        <v>703</v>
      </c>
      <c r="BF75">
        <v>0</v>
      </c>
      <c r="BK75" t="s">
        <v>31</v>
      </c>
      <c r="BS75" t="s">
        <v>412</v>
      </c>
      <c r="CI75" t="s">
        <v>388</v>
      </c>
      <c r="CJ75" s="14">
        <v>45013</v>
      </c>
      <c r="CK75">
        <v>1</v>
      </c>
    </row>
    <row r="76" spans="1:89">
      <c r="A76" t="s">
        <v>711</v>
      </c>
      <c r="B76" t="s">
        <v>374</v>
      </c>
      <c r="C76" t="s">
        <v>712</v>
      </c>
      <c r="D76" t="s">
        <v>713</v>
      </c>
      <c r="E76" t="s">
        <v>705</v>
      </c>
      <c r="F76" s="13">
        <v>44795.506388888891</v>
      </c>
      <c r="G76" t="s">
        <v>641</v>
      </c>
      <c r="H76" t="s">
        <v>642</v>
      </c>
      <c r="I76" s="13">
        <v>44795.50640046296</v>
      </c>
      <c r="K76" t="s">
        <v>412</v>
      </c>
      <c r="M76" s="13">
        <v>44607</v>
      </c>
      <c r="R76">
        <v>0</v>
      </c>
      <c r="S76" t="s">
        <v>380</v>
      </c>
      <c r="T76" t="s">
        <v>57</v>
      </c>
      <c r="V76" t="s">
        <v>381</v>
      </c>
      <c r="W76" t="s">
        <v>706</v>
      </c>
      <c r="X76" t="s">
        <v>706</v>
      </c>
      <c r="AI76">
        <v>-188</v>
      </c>
      <c r="AN76" t="s">
        <v>31</v>
      </c>
      <c r="AO76">
        <v>0</v>
      </c>
      <c r="AS76" t="s">
        <v>707</v>
      </c>
      <c r="AX76" t="s">
        <v>31</v>
      </c>
      <c r="AY76" t="s">
        <v>442</v>
      </c>
      <c r="AZ76" t="s">
        <v>708</v>
      </c>
      <c r="BF76">
        <v>0</v>
      </c>
      <c r="BK76" t="s">
        <v>31</v>
      </c>
      <c r="BS76" t="s">
        <v>412</v>
      </c>
      <c r="CI76" t="s">
        <v>388</v>
      </c>
      <c r="CJ76" s="14">
        <v>45013</v>
      </c>
      <c r="CK76">
        <v>1</v>
      </c>
    </row>
    <row r="77" spans="1:89">
      <c r="A77" t="s">
        <v>714</v>
      </c>
      <c r="B77" t="s">
        <v>374</v>
      </c>
      <c r="C77" t="s">
        <v>715</v>
      </c>
      <c r="D77" t="s">
        <v>716</v>
      </c>
      <c r="E77" t="s">
        <v>700</v>
      </c>
      <c r="F77" s="13">
        <v>44795.506365740737</v>
      </c>
      <c r="G77" t="s">
        <v>641</v>
      </c>
      <c r="H77" t="s">
        <v>642</v>
      </c>
      <c r="I77" s="13">
        <v>44795.506377314814</v>
      </c>
      <c r="K77" t="s">
        <v>412</v>
      </c>
      <c r="M77" s="13">
        <v>44666</v>
      </c>
      <c r="R77">
        <v>0</v>
      </c>
      <c r="S77" t="s">
        <v>380</v>
      </c>
      <c r="T77" t="s">
        <v>57</v>
      </c>
      <c r="V77" t="s">
        <v>381</v>
      </c>
      <c r="W77" t="s">
        <v>701</v>
      </c>
      <c r="X77" t="s">
        <v>701</v>
      </c>
      <c r="AC77" s="13">
        <v>44666</v>
      </c>
      <c r="AD77" s="13">
        <v>44592</v>
      </c>
      <c r="AI77">
        <v>-129</v>
      </c>
      <c r="AN77" t="s">
        <v>31</v>
      </c>
      <c r="AO77">
        <v>0</v>
      </c>
      <c r="AS77" t="s">
        <v>702</v>
      </c>
      <c r="AX77" t="s">
        <v>31</v>
      </c>
      <c r="AY77" t="s">
        <v>442</v>
      </c>
      <c r="AZ77" t="s">
        <v>703</v>
      </c>
      <c r="BF77">
        <v>0</v>
      </c>
      <c r="BK77" t="s">
        <v>31</v>
      </c>
      <c r="BS77" t="s">
        <v>412</v>
      </c>
      <c r="CI77" t="s">
        <v>388</v>
      </c>
      <c r="CJ77" s="14">
        <v>45013</v>
      </c>
      <c r="CK77">
        <v>1</v>
      </c>
    </row>
    <row r="78" spans="1:89">
      <c r="A78" t="s">
        <v>714</v>
      </c>
      <c r="B78" t="s">
        <v>374</v>
      </c>
      <c r="C78" t="s">
        <v>715</v>
      </c>
      <c r="D78" t="s">
        <v>717</v>
      </c>
      <c r="E78" t="s">
        <v>705</v>
      </c>
      <c r="F78" s="13">
        <v>44795.506342592591</v>
      </c>
      <c r="G78" t="s">
        <v>641</v>
      </c>
      <c r="H78" t="s">
        <v>642</v>
      </c>
      <c r="I78" s="13">
        <v>44795.506354166668</v>
      </c>
      <c r="K78" t="s">
        <v>412</v>
      </c>
      <c r="M78" s="13">
        <v>44607</v>
      </c>
      <c r="R78">
        <v>0</v>
      </c>
      <c r="S78" t="s">
        <v>380</v>
      </c>
      <c r="T78" t="s">
        <v>57</v>
      </c>
      <c r="V78" t="s">
        <v>381</v>
      </c>
      <c r="W78" t="s">
        <v>706</v>
      </c>
      <c r="X78" t="s">
        <v>706</v>
      </c>
      <c r="AI78">
        <v>-188</v>
      </c>
      <c r="AN78" t="s">
        <v>31</v>
      </c>
      <c r="AO78">
        <v>0</v>
      </c>
      <c r="AS78" t="s">
        <v>707</v>
      </c>
      <c r="AX78" t="s">
        <v>31</v>
      </c>
      <c r="AY78" t="s">
        <v>442</v>
      </c>
      <c r="AZ78" t="s">
        <v>708</v>
      </c>
      <c r="BF78">
        <v>0</v>
      </c>
      <c r="BK78" t="s">
        <v>31</v>
      </c>
      <c r="BS78" t="s">
        <v>412</v>
      </c>
      <c r="CI78" t="s">
        <v>388</v>
      </c>
      <c r="CJ78" s="14">
        <v>45013</v>
      </c>
      <c r="CK78">
        <v>1</v>
      </c>
    </row>
    <row r="79" spans="1:89">
      <c r="A79" t="s">
        <v>714</v>
      </c>
      <c r="B79" t="s">
        <v>374</v>
      </c>
      <c r="C79" t="s">
        <v>715</v>
      </c>
      <c r="D79" t="s">
        <v>718</v>
      </c>
      <c r="E79" t="s">
        <v>719</v>
      </c>
      <c r="F79" s="13">
        <v>44795.506319444445</v>
      </c>
      <c r="G79" t="s">
        <v>641</v>
      </c>
      <c r="H79" t="s">
        <v>642</v>
      </c>
      <c r="I79" s="13">
        <v>44795.506331018521</v>
      </c>
      <c r="K79" t="s">
        <v>412</v>
      </c>
      <c r="M79" s="13">
        <v>44712</v>
      </c>
      <c r="R79">
        <v>0</v>
      </c>
      <c r="S79" t="s">
        <v>380</v>
      </c>
      <c r="T79" t="s">
        <v>57</v>
      </c>
      <c r="V79" t="s">
        <v>381</v>
      </c>
      <c r="W79" t="s">
        <v>720</v>
      </c>
      <c r="X79" t="s">
        <v>720</v>
      </c>
      <c r="AC79" s="13">
        <v>44712</v>
      </c>
      <c r="AD79" s="13">
        <v>44620</v>
      </c>
      <c r="AI79">
        <v>-83</v>
      </c>
      <c r="AN79" t="s">
        <v>31</v>
      </c>
      <c r="AO79">
        <v>0</v>
      </c>
      <c r="AS79" t="s">
        <v>538</v>
      </c>
      <c r="AX79" t="s">
        <v>57</v>
      </c>
      <c r="AY79" t="s">
        <v>442</v>
      </c>
      <c r="AZ79" t="s">
        <v>721</v>
      </c>
      <c r="BF79">
        <v>0</v>
      </c>
      <c r="BK79" t="s">
        <v>31</v>
      </c>
      <c r="BS79" t="s">
        <v>412</v>
      </c>
      <c r="CI79" t="s">
        <v>388</v>
      </c>
      <c r="CJ79" s="14">
        <v>45013</v>
      </c>
      <c r="CK79">
        <v>1</v>
      </c>
    </row>
    <row r="80" spans="1:89">
      <c r="A80" t="s">
        <v>714</v>
      </c>
      <c r="B80" t="s">
        <v>374</v>
      </c>
      <c r="C80" t="s">
        <v>715</v>
      </c>
      <c r="D80" t="s">
        <v>722</v>
      </c>
      <c r="E80" t="s">
        <v>723</v>
      </c>
      <c r="F80" s="13">
        <v>44795.506296296298</v>
      </c>
      <c r="G80" t="s">
        <v>641</v>
      </c>
      <c r="H80" t="s">
        <v>642</v>
      </c>
      <c r="I80" s="13">
        <v>44795.506307870368</v>
      </c>
      <c r="K80" t="s">
        <v>412</v>
      </c>
      <c r="M80" s="13">
        <v>44712</v>
      </c>
      <c r="R80">
        <v>0</v>
      </c>
      <c r="S80" t="s">
        <v>380</v>
      </c>
      <c r="T80" t="s">
        <v>57</v>
      </c>
      <c r="V80" t="s">
        <v>381</v>
      </c>
      <c r="W80" t="s">
        <v>720</v>
      </c>
      <c r="X80" t="s">
        <v>720</v>
      </c>
      <c r="AC80" s="13">
        <v>44712</v>
      </c>
      <c r="AD80" s="13">
        <v>44620</v>
      </c>
      <c r="AI80">
        <v>-83</v>
      </c>
      <c r="AN80" t="s">
        <v>31</v>
      </c>
      <c r="AO80">
        <v>0</v>
      </c>
      <c r="AS80" t="s">
        <v>538</v>
      </c>
      <c r="AX80" t="s">
        <v>57</v>
      </c>
      <c r="AY80" t="s">
        <v>442</v>
      </c>
      <c r="AZ80" t="s">
        <v>721</v>
      </c>
      <c r="BF80">
        <v>0</v>
      </c>
      <c r="BK80" t="s">
        <v>31</v>
      </c>
      <c r="BS80" t="s">
        <v>412</v>
      </c>
      <c r="CI80" t="s">
        <v>388</v>
      </c>
      <c r="CJ80" s="14">
        <v>45013</v>
      </c>
      <c r="CK80">
        <v>1</v>
      </c>
    </row>
    <row r="81" spans="1:89">
      <c r="A81" t="s">
        <v>714</v>
      </c>
      <c r="B81" t="s">
        <v>374</v>
      </c>
      <c r="C81" t="s">
        <v>715</v>
      </c>
      <c r="D81" t="s">
        <v>724</v>
      </c>
      <c r="E81" t="s">
        <v>725</v>
      </c>
      <c r="F81" s="13">
        <v>44795.506273148145</v>
      </c>
      <c r="G81" t="s">
        <v>641</v>
      </c>
      <c r="H81" t="s">
        <v>642</v>
      </c>
      <c r="I81" s="13">
        <v>44795.506296296298</v>
      </c>
      <c r="K81" t="s">
        <v>412</v>
      </c>
      <c r="M81" s="13">
        <v>44680</v>
      </c>
      <c r="R81">
        <v>0</v>
      </c>
      <c r="S81" t="s">
        <v>380</v>
      </c>
      <c r="T81" t="s">
        <v>57</v>
      </c>
      <c r="V81" t="s">
        <v>381</v>
      </c>
      <c r="W81" t="s">
        <v>726</v>
      </c>
      <c r="X81" t="s">
        <v>726</v>
      </c>
      <c r="AC81" s="13">
        <v>44680</v>
      </c>
      <c r="AD81" s="13">
        <v>44680</v>
      </c>
      <c r="AI81">
        <v>-115</v>
      </c>
      <c r="AN81" t="s">
        <v>31</v>
      </c>
      <c r="AO81">
        <v>0</v>
      </c>
      <c r="AS81" t="s">
        <v>385</v>
      </c>
      <c r="AX81" t="s">
        <v>57</v>
      </c>
      <c r="AY81" t="s">
        <v>442</v>
      </c>
      <c r="AZ81" t="s">
        <v>721</v>
      </c>
      <c r="BF81">
        <v>0</v>
      </c>
      <c r="BK81" t="s">
        <v>31</v>
      </c>
      <c r="BS81" t="s">
        <v>412</v>
      </c>
      <c r="CI81" t="s">
        <v>388</v>
      </c>
      <c r="CJ81" s="14">
        <v>45013</v>
      </c>
      <c r="CK81">
        <v>1</v>
      </c>
    </row>
    <row r="82" spans="1:89">
      <c r="A82" t="s">
        <v>714</v>
      </c>
      <c r="B82" t="s">
        <v>374</v>
      </c>
      <c r="C82" t="s">
        <v>715</v>
      </c>
      <c r="D82" t="s">
        <v>727</v>
      </c>
      <c r="E82" t="s">
        <v>728</v>
      </c>
      <c r="F82" s="13">
        <v>44795.506261574075</v>
      </c>
      <c r="G82" t="s">
        <v>641</v>
      </c>
      <c r="H82" t="s">
        <v>642</v>
      </c>
      <c r="I82" s="13">
        <v>44795.506273148145</v>
      </c>
      <c r="K82" t="s">
        <v>412</v>
      </c>
      <c r="M82" s="13">
        <v>44609</v>
      </c>
      <c r="R82">
        <v>0</v>
      </c>
      <c r="S82" t="s">
        <v>380</v>
      </c>
      <c r="T82" t="s">
        <v>57</v>
      </c>
      <c r="V82" t="s">
        <v>381</v>
      </c>
      <c r="W82" t="s">
        <v>729</v>
      </c>
      <c r="X82" t="s">
        <v>729</v>
      </c>
      <c r="AC82" s="13">
        <v>44609</v>
      </c>
      <c r="AD82" s="13">
        <v>44609</v>
      </c>
      <c r="AI82">
        <v>-186</v>
      </c>
      <c r="AN82" t="s">
        <v>31</v>
      </c>
      <c r="AO82">
        <v>0</v>
      </c>
      <c r="AS82" t="s">
        <v>730</v>
      </c>
      <c r="AX82" t="s">
        <v>57</v>
      </c>
      <c r="AY82" t="s">
        <v>442</v>
      </c>
      <c r="AZ82" t="s">
        <v>721</v>
      </c>
      <c r="BF82">
        <v>0</v>
      </c>
      <c r="BK82" t="s">
        <v>31</v>
      </c>
      <c r="BS82" t="s">
        <v>412</v>
      </c>
      <c r="CI82" t="s">
        <v>388</v>
      </c>
      <c r="CJ82" s="14">
        <v>45013</v>
      </c>
      <c r="CK82">
        <v>1</v>
      </c>
    </row>
    <row r="83" spans="1:89">
      <c r="A83" t="s">
        <v>731</v>
      </c>
      <c r="B83" t="s">
        <v>374</v>
      </c>
      <c r="C83" t="s">
        <v>732</v>
      </c>
      <c r="D83" t="s">
        <v>733</v>
      </c>
      <c r="E83" t="s">
        <v>734</v>
      </c>
      <c r="F83" s="13">
        <v>44795.506238425929</v>
      </c>
      <c r="G83" t="s">
        <v>641</v>
      </c>
      <c r="H83" t="s">
        <v>642</v>
      </c>
      <c r="I83" s="13">
        <v>44795.506249999999</v>
      </c>
      <c r="K83" t="s">
        <v>412</v>
      </c>
      <c r="M83" s="13">
        <v>44742</v>
      </c>
      <c r="R83">
        <v>0</v>
      </c>
      <c r="S83" t="s">
        <v>416</v>
      </c>
      <c r="T83" t="s">
        <v>57</v>
      </c>
      <c r="V83" t="s">
        <v>381</v>
      </c>
      <c r="W83" t="s">
        <v>729</v>
      </c>
      <c r="X83" t="s">
        <v>729</v>
      </c>
      <c r="AC83" s="13">
        <v>44742</v>
      </c>
      <c r="AD83" s="13">
        <v>44469</v>
      </c>
      <c r="AI83">
        <v>-53</v>
      </c>
      <c r="AN83" t="s">
        <v>31</v>
      </c>
      <c r="AO83">
        <v>0</v>
      </c>
      <c r="AS83" t="s">
        <v>730</v>
      </c>
      <c r="AX83" t="s">
        <v>57</v>
      </c>
      <c r="AY83" t="s">
        <v>442</v>
      </c>
      <c r="AZ83" t="s">
        <v>721</v>
      </c>
      <c r="BF83">
        <v>0</v>
      </c>
      <c r="BK83" t="s">
        <v>31</v>
      </c>
      <c r="BS83" t="s">
        <v>412</v>
      </c>
      <c r="CI83" t="s">
        <v>388</v>
      </c>
      <c r="CJ83" s="14">
        <v>45013</v>
      </c>
      <c r="CK83">
        <v>1</v>
      </c>
    </row>
    <row r="84" spans="1:89">
      <c r="A84" t="s">
        <v>731</v>
      </c>
      <c r="B84" t="s">
        <v>374</v>
      </c>
      <c r="C84" t="s">
        <v>732</v>
      </c>
      <c r="D84" t="s">
        <v>735</v>
      </c>
      <c r="E84" t="s">
        <v>736</v>
      </c>
      <c r="F84" s="13">
        <v>44795.506215277775</v>
      </c>
      <c r="G84" t="s">
        <v>641</v>
      </c>
      <c r="H84" t="s">
        <v>642</v>
      </c>
      <c r="I84" s="13">
        <v>44795.506226851852</v>
      </c>
      <c r="K84" t="s">
        <v>412</v>
      </c>
      <c r="M84" s="13">
        <v>44681</v>
      </c>
      <c r="R84">
        <v>0</v>
      </c>
      <c r="S84" t="s">
        <v>380</v>
      </c>
      <c r="T84" t="s">
        <v>57</v>
      </c>
      <c r="V84" t="s">
        <v>381</v>
      </c>
      <c r="W84" t="s">
        <v>737</v>
      </c>
      <c r="X84" t="s">
        <v>737</v>
      </c>
      <c r="AC84" s="13">
        <v>44681</v>
      </c>
      <c r="AD84" s="13">
        <v>44620</v>
      </c>
      <c r="AI84">
        <v>-114</v>
      </c>
      <c r="AN84" t="s">
        <v>31</v>
      </c>
      <c r="AO84">
        <v>0</v>
      </c>
      <c r="AS84" t="s">
        <v>538</v>
      </c>
      <c r="AX84" t="s">
        <v>57</v>
      </c>
      <c r="AY84" t="s">
        <v>442</v>
      </c>
      <c r="AZ84" t="s">
        <v>721</v>
      </c>
      <c r="BF84">
        <v>0</v>
      </c>
      <c r="BK84" t="s">
        <v>31</v>
      </c>
      <c r="BS84" t="s">
        <v>412</v>
      </c>
      <c r="CI84" t="s">
        <v>388</v>
      </c>
      <c r="CJ84" s="14">
        <v>45013</v>
      </c>
      <c r="CK84">
        <v>1</v>
      </c>
    </row>
    <row r="85" spans="1:89">
      <c r="A85" t="s">
        <v>738</v>
      </c>
      <c r="B85" t="s">
        <v>374</v>
      </c>
      <c r="C85" t="s">
        <v>739</v>
      </c>
      <c r="D85" t="s">
        <v>740</v>
      </c>
      <c r="E85" t="s">
        <v>741</v>
      </c>
      <c r="F85" s="13">
        <v>44795.506192129629</v>
      </c>
      <c r="G85" t="s">
        <v>641</v>
      </c>
      <c r="H85" t="s">
        <v>642</v>
      </c>
      <c r="I85" s="13">
        <v>44795.506203703706</v>
      </c>
      <c r="K85" t="s">
        <v>412</v>
      </c>
      <c r="M85" s="13">
        <v>44651</v>
      </c>
      <c r="R85">
        <v>0</v>
      </c>
      <c r="S85" t="s">
        <v>380</v>
      </c>
      <c r="T85" t="s">
        <v>57</v>
      </c>
      <c r="V85" t="s">
        <v>381</v>
      </c>
      <c r="W85" t="s">
        <v>729</v>
      </c>
      <c r="X85" t="s">
        <v>729</v>
      </c>
      <c r="AC85" s="13">
        <v>45078</v>
      </c>
      <c r="AD85" s="13">
        <v>44713</v>
      </c>
      <c r="AI85">
        <v>-144</v>
      </c>
      <c r="AN85" t="s">
        <v>31</v>
      </c>
      <c r="AO85">
        <v>0</v>
      </c>
      <c r="AS85" t="s">
        <v>385</v>
      </c>
      <c r="AX85" t="s">
        <v>57</v>
      </c>
      <c r="AY85" t="s">
        <v>442</v>
      </c>
      <c r="AZ85" t="s">
        <v>721</v>
      </c>
      <c r="BF85">
        <v>0</v>
      </c>
      <c r="BK85" t="s">
        <v>31</v>
      </c>
      <c r="BS85" t="s">
        <v>412</v>
      </c>
      <c r="CI85" t="s">
        <v>388</v>
      </c>
      <c r="CJ85" s="14">
        <v>45013</v>
      </c>
      <c r="CK85">
        <v>1</v>
      </c>
    </row>
    <row r="86" spans="1:89">
      <c r="A86" t="s">
        <v>738</v>
      </c>
      <c r="B86" t="s">
        <v>374</v>
      </c>
      <c r="C86" t="s">
        <v>739</v>
      </c>
      <c r="D86" t="s">
        <v>742</v>
      </c>
      <c r="E86" t="s">
        <v>743</v>
      </c>
      <c r="F86" s="13">
        <v>44795.506180555552</v>
      </c>
      <c r="G86" t="s">
        <v>641</v>
      </c>
      <c r="H86" t="s">
        <v>642</v>
      </c>
      <c r="I86" s="13">
        <v>44795.506192129629</v>
      </c>
      <c r="K86" t="s">
        <v>412</v>
      </c>
      <c r="M86" s="13">
        <v>44742</v>
      </c>
      <c r="R86">
        <v>0</v>
      </c>
      <c r="S86" t="s">
        <v>416</v>
      </c>
      <c r="T86" t="s">
        <v>57</v>
      </c>
      <c r="V86" t="s">
        <v>381</v>
      </c>
      <c r="W86" t="s">
        <v>729</v>
      </c>
      <c r="X86" t="s">
        <v>729</v>
      </c>
      <c r="AC86" s="13">
        <v>45078</v>
      </c>
      <c r="AD86" s="13">
        <v>44713</v>
      </c>
      <c r="AI86">
        <v>-53</v>
      </c>
      <c r="AN86" t="s">
        <v>31</v>
      </c>
      <c r="AO86">
        <v>0</v>
      </c>
      <c r="AS86" t="s">
        <v>744</v>
      </c>
      <c r="AX86" t="s">
        <v>57</v>
      </c>
      <c r="AY86" t="s">
        <v>442</v>
      </c>
      <c r="AZ86" t="s">
        <v>745</v>
      </c>
      <c r="BF86">
        <v>0</v>
      </c>
      <c r="BK86" t="s">
        <v>31</v>
      </c>
      <c r="BS86" t="s">
        <v>412</v>
      </c>
      <c r="CI86" t="s">
        <v>388</v>
      </c>
      <c r="CJ86" s="14">
        <v>45013</v>
      </c>
      <c r="CK86">
        <v>1</v>
      </c>
    </row>
    <row r="87" spans="1:89">
      <c r="A87" t="s">
        <v>738</v>
      </c>
      <c r="B87" t="s">
        <v>374</v>
      </c>
      <c r="C87" t="s">
        <v>739</v>
      </c>
      <c r="D87" t="s">
        <v>746</v>
      </c>
      <c r="E87" t="s">
        <v>747</v>
      </c>
      <c r="F87" s="13">
        <v>44795.506157407406</v>
      </c>
      <c r="G87" t="s">
        <v>641</v>
      </c>
      <c r="H87" t="s">
        <v>642</v>
      </c>
      <c r="I87" s="13">
        <v>44795.506168981483</v>
      </c>
      <c r="K87" t="s">
        <v>412</v>
      </c>
      <c r="M87" s="13">
        <v>44742</v>
      </c>
      <c r="R87">
        <v>0</v>
      </c>
      <c r="S87" t="s">
        <v>416</v>
      </c>
      <c r="T87" t="s">
        <v>57</v>
      </c>
      <c r="V87" t="s">
        <v>381</v>
      </c>
      <c r="W87" t="s">
        <v>729</v>
      </c>
      <c r="X87" t="s">
        <v>729</v>
      </c>
      <c r="AC87" s="13">
        <v>45078</v>
      </c>
      <c r="AD87" s="13">
        <v>44713</v>
      </c>
      <c r="AI87">
        <v>-53</v>
      </c>
      <c r="AN87" t="s">
        <v>31</v>
      </c>
      <c r="AO87">
        <v>0</v>
      </c>
      <c r="AS87" t="s">
        <v>744</v>
      </c>
      <c r="AX87" t="s">
        <v>57</v>
      </c>
      <c r="AY87" t="s">
        <v>442</v>
      </c>
      <c r="AZ87" t="s">
        <v>721</v>
      </c>
      <c r="BF87">
        <v>0</v>
      </c>
      <c r="BK87" t="s">
        <v>31</v>
      </c>
      <c r="BS87" t="s">
        <v>412</v>
      </c>
      <c r="CI87" t="s">
        <v>388</v>
      </c>
      <c r="CJ87" s="14">
        <v>45013</v>
      </c>
      <c r="CK87">
        <v>1</v>
      </c>
    </row>
    <row r="88" spans="1:89">
      <c r="A88" t="s">
        <v>738</v>
      </c>
      <c r="B88" t="s">
        <v>374</v>
      </c>
      <c r="C88" t="s">
        <v>739</v>
      </c>
      <c r="D88" t="s">
        <v>748</v>
      </c>
      <c r="E88" t="s">
        <v>749</v>
      </c>
      <c r="F88" s="13">
        <v>44795.50613425926</v>
      </c>
      <c r="G88" t="s">
        <v>641</v>
      </c>
      <c r="H88" t="s">
        <v>642</v>
      </c>
      <c r="I88" s="13">
        <v>44795.506145833337</v>
      </c>
      <c r="K88" t="s">
        <v>412</v>
      </c>
      <c r="M88" s="13">
        <v>44666</v>
      </c>
      <c r="R88">
        <v>0</v>
      </c>
      <c r="S88" t="s">
        <v>380</v>
      </c>
      <c r="T88" t="s">
        <v>57</v>
      </c>
      <c r="V88" t="s">
        <v>381</v>
      </c>
      <c r="W88" t="s">
        <v>750</v>
      </c>
      <c r="X88" t="s">
        <v>750</v>
      </c>
      <c r="AC88" s="13">
        <v>44666</v>
      </c>
      <c r="AD88" s="13">
        <v>44666</v>
      </c>
      <c r="AI88">
        <v>-129</v>
      </c>
      <c r="AN88" t="s">
        <v>31</v>
      </c>
      <c r="AO88">
        <v>0</v>
      </c>
      <c r="AS88" t="s">
        <v>385</v>
      </c>
      <c r="AX88" t="s">
        <v>57</v>
      </c>
      <c r="AY88" t="s">
        <v>442</v>
      </c>
      <c r="AZ88" t="s">
        <v>751</v>
      </c>
      <c r="BF88">
        <v>0</v>
      </c>
      <c r="BK88" t="s">
        <v>31</v>
      </c>
      <c r="BS88" t="s">
        <v>412</v>
      </c>
      <c r="CI88" t="s">
        <v>388</v>
      </c>
      <c r="CJ88" s="14">
        <v>45013</v>
      </c>
      <c r="CK88">
        <v>1</v>
      </c>
    </row>
    <row r="89" spans="1:89">
      <c r="A89" t="s">
        <v>738</v>
      </c>
      <c r="B89" t="s">
        <v>374</v>
      </c>
      <c r="C89" t="s">
        <v>739</v>
      </c>
      <c r="D89" t="s">
        <v>752</v>
      </c>
      <c r="E89" t="s">
        <v>753</v>
      </c>
      <c r="F89" s="13">
        <v>44795.506122685183</v>
      </c>
      <c r="G89" t="s">
        <v>641</v>
      </c>
      <c r="H89" t="s">
        <v>642</v>
      </c>
      <c r="I89" s="13">
        <v>44795.50613425926</v>
      </c>
      <c r="K89" t="s">
        <v>412</v>
      </c>
      <c r="M89" s="13">
        <v>44666</v>
      </c>
      <c r="R89">
        <v>0</v>
      </c>
      <c r="S89" t="s">
        <v>380</v>
      </c>
      <c r="T89" t="s">
        <v>57</v>
      </c>
      <c r="V89" t="s">
        <v>381</v>
      </c>
      <c r="W89" t="s">
        <v>750</v>
      </c>
      <c r="X89" t="s">
        <v>750</v>
      </c>
      <c r="AC89" s="13">
        <v>44666</v>
      </c>
      <c r="AD89" s="13">
        <v>44666</v>
      </c>
      <c r="AI89">
        <v>-129</v>
      </c>
      <c r="AN89" t="s">
        <v>31</v>
      </c>
      <c r="AO89">
        <v>0</v>
      </c>
      <c r="AS89" t="s">
        <v>385</v>
      </c>
      <c r="AX89" t="s">
        <v>57</v>
      </c>
      <c r="AY89" t="s">
        <v>442</v>
      </c>
      <c r="AZ89" t="s">
        <v>754</v>
      </c>
      <c r="BF89">
        <v>0</v>
      </c>
      <c r="BK89" t="s">
        <v>31</v>
      </c>
      <c r="BS89" t="s">
        <v>412</v>
      </c>
      <c r="CI89" t="s">
        <v>388</v>
      </c>
      <c r="CJ89" s="14">
        <v>45013</v>
      </c>
      <c r="CK89">
        <v>1</v>
      </c>
    </row>
    <row r="90" spans="1:89">
      <c r="A90" t="s">
        <v>755</v>
      </c>
      <c r="B90" t="s">
        <v>374</v>
      </c>
      <c r="C90" t="s">
        <v>756</v>
      </c>
      <c r="D90" t="s">
        <v>757</v>
      </c>
      <c r="E90" t="s">
        <v>758</v>
      </c>
      <c r="F90" s="13">
        <v>44795.506099537037</v>
      </c>
      <c r="G90" t="s">
        <v>641</v>
      </c>
      <c r="H90" t="s">
        <v>642</v>
      </c>
      <c r="I90" s="13">
        <v>44795.506111111114</v>
      </c>
      <c r="K90" t="s">
        <v>412</v>
      </c>
      <c r="M90" s="13">
        <v>44666</v>
      </c>
      <c r="R90">
        <v>0</v>
      </c>
      <c r="S90" t="s">
        <v>380</v>
      </c>
      <c r="T90" t="s">
        <v>57</v>
      </c>
      <c r="V90" t="s">
        <v>381</v>
      </c>
      <c r="W90" t="s">
        <v>750</v>
      </c>
      <c r="X90" t="s">
        <v>750</v>
      </c>
      <c r="AC90" s="13">
        <v>44666</v>
      </c>
      <c r="AD90" s="13">
        <v>44666</v>
      </c>
      <c r="AI90">
        <v>-129</v>
      </c>
      <c r="AN90" t="s">
        <v>31</v>
      </c>
      <c r="AO90">
        <v>0</v>
      </c>
      <c r="AS90" t="s">
        <v>385</v>
      </c>
      <c r="AX90" t="s">
        <v>57</v>
      </c>
      <c r="AY90" t="s">
        <v>442</v>
      </c>
      <c r="AZ90" t="s">
        <v>759</v>
      </c>
      <c r="BF90">
        <v>0</v>
      </c>
      <c r="BK90" t="s">
        <v>31</v>
      </c>
      <c r="BS90" t="s">
        <v>412</v>
      </c>
      <c r="CI90" t="s">
        <v>388</v>
      </c>
      <c r="CJ90" s="14">
        <v>45013</v>
      </c>
      <c r="CK90">
        <v>1</v>
      </c>
    </row>
    <row r="91" spans="1:89">
      <c r="A91" t="s">
        <v>760</v>
      </c>
      <c r="B91" t="s">
        <v>374</v>
      </c>
      <c r="C91" t="s">
        <v>761</v>
      </c>
      <c r="D91" t="s">
        <v>762</v>
      </c>
      <c r="E91" t="s">
        <v>763</v>
      </c>
      <c r="F91" s="13">
        <v>44795.506076388891</v>
      </c>
      <c r="G91" t="s">
        <v>641</v>
      </c>
      <c r="H91" t="s">
        <v>642</v>
      </c>
      <c r="I91" s="13">
        <v>44795.50608796296</v>
      </c>
      <c r="K91" t="s">
        <v>412</v>
      </c>
      <c r="M91" s="13">
        <v>44666</v>
      </c>
      <c r="R91">
        <v>0</v>
      </c>
      <c r="S91" t="s">
        <v>380</v>
      </c>
      <c r="T91" t="s">
        <v>57</v>
      </c>
      <c r="V91" t="s">
        <v>381</v>
      </c>
      <c r="W91" t="s">
        <v>750</v>
      </c>
      <c r="X91" t="s">
        <v>750</v>
      </c>
      <c r="AC91" s="13">
        <v>44666</v>
      </c>
      <c r="AD91" s="13">
        <v>44666</v>
      </c>
      <c r="AI91">
        <v>-129</v>
      </c>
      <c r="AN91" t="s">
        <v>31</v>
      </c>
      <c r="AO91">
        <v>0</v>
      </c>
      <c r="AS91" t="s">
        <v>385</v>
      </c>
      <c r="AX91" t="s">
        <v>57</v>
      </c>
      <c r="AY91" t="s">
        <v>442</v>
      </c>
      <c r="AZ91" t="s">
        <v>764</v>
      </c>
      <c r="BF91">
        <v>0</v>
      </c>
      <c r="BK91" t="s">
        <v>31</v>
      </c>
      <c r="BS91" t="s">
        <v>412</v>
      </c>
      <c r="CI91" t="s">
        <v>388</v>
      </c>
      <c r="CJ91" s="14">
        <v>45013</v>
      </c>
      <c r="CK91">
        <v>1</v>
      </c>
    </row>
    <row r="92" spans="1:89">
      <c r="A92" t="s">
        <v>765</v>
      </c>
      <c r="B92" t="s">
        <v>374</v>
      </c>
      <c r="C92" t="s">
        <v>766</v>
      </c>
      <c r="D92" t="s">
        <v>767</v>
      </c>
      <c r="E92" t="s">
        <v>768</v>
      </c>
      <c r="F92" s="13">
        <v>44795.506053240744</v>
      </c>
      <c r="G92" t="s">
        <v>641</v>
      </c>
      <c r="H92" t="s">
        <v>642</v>
      </c>
      <c r="I92" s="13">
        <v>44795.506064814814</v>
      </c>
      <c r="K92" t="s">
        <v>412</v>
      </c>
      <c r="M92" s="13">
        <v>44666</v>
      </c>
      <c r="R92">
        <v>0</v>
      </c>
      <c r="S92" t="s">
        <v>380</v>
      </c>
      <c r="T92" t="s">
        <v>57</v>
      </c>
      <c r="V92" t="s">
        <v>381</v>
      </c>
      <c r="W92" t="s">
        <v>750</v>
      </c>
      <c r="X92" t="s">
        <v>750</v>
      </c>
      <c r="AC92" s="13">
        <v>44666</v>
      </c>
      <c r="AD92" s="13">
        <v>44666</v>
      </c>
      <c r="AI92">
        <v>-129</v>
      </c>
      <c r="AN92" t="s">
        <v>31</v>
      </c>
      <c r="AO92">
        <v>0</v>
      </c>
      <c r="AS92" t="s">
        <v>385</v>
      </c>
      <c r="AX92" t="s">
        <v>57</v>
      </c>
      <c r="AY92" t="s">
        <v>442</v>
      </c>
      <c r="AZ92" t="s">
        <v>769</v>
      </c>
      <c r="BF92">
        <v>0</v>
      </c>
      <c r="BK92" t="s">
        <v>31</v>
      </c>
      <c r="BS92" t="s">
        <v>412</v>
      </c>
      <c r="CI92" t="s">
        <v>388</v>
      </c>
      <c r="CJ92" s="14">
        <v>45013</v>
      </c>
      <c r="CK92">
        <v>1</v>
      </c>
    </row>
    <row r="93" spans="1:89">
      <c r="A93" t="s">
        <v>765</v>
      </c>
      <c r="B93" t="s">
        <v>374</v>
      </c>
      <c r="C93" t="s">
        <v>766</v>
      </c>
      <c r="D93" t="s">
        <v>770</v>
      </c>
      <c r="E93" t="s">
        <v>771</v>
      </c>
      <c r="F93" s="13">
        <v>44795.506030092591</v>
      </c>
      <c r="G93" t="s">
        <v>641</v>
      </c>
      <c r="H93" t="s">
        <v>642</v>
      </c>
      <c r="I93" s="13">
        <v>44795.506041666667</v>
      </c>
      <c r="K93" t="s">
        <v>412</v>
      </c>
      <c r="M93" s="13">
        <v>44666</v>
      </c>
      <c r="R93">
        <v>0</v>
      </c>
      <c r="S93" t="s">
        <v>380</v>
      </c>
      <c r="T93" t="s">
        <v>57</v>
      </c>
      <c r="V93" t="s">
        <v>381</v>
      </c>
      <c r="W93" t="s">
        <v>772</v>
      </c>
      <c r="X93" t="s">
        <v>772</v>
      </c>
      <c r="AC93" s="13">
        <v>44666</v>
      </c>
      <c r="AD93" s="13">
        <v>44666</v>
      </c>
      <c r="AI93">
        <v>-129</v>
      </c>
      <c r="AN93" t="s">
        <v>31</v>
      </c>
      <c r="AO93">
        <v>0</v>
      </c>
      <c r="AS93" t="s">
        <v>385</v>
      </c>
      <c r="AX93" t="s">
        <v>57</v>
      </c>
      <c r="AY93" t="s">
        <v>442</v>
      </c>
      <c r="AZ93" t="s">
        <v>773</v>
      </c>
      <c r="BF93">
        <v>0</v>
      </c>
      <c r="BK93" t="s">
        <v>31</v>
      </c>
      <c r="BS93" t="s">
        <v>412</v>
      </c>
      <c r="CI93" t="s">
        <v>388</v>
      </c>
      <c r="CJ93" s="14">
        <v>45013</v>
      </c>
      <c r="CK93">
        <v>1</v>
      </c>
    </row>
    <row r="94" spans="1:89">
      <c r="A94" t="s">
        <v>765</v>
      </c>
      <c r="B94" t="s">
        <v>374</v>
      </c>
      <c r="C94" t="s">
        <v>766</v>
      </c>
      <c r="D94" t="s">
        <v>774</v>
      </c>
      <c r="E94" t="s">
        <v>775</v>
      </c>
      <c r="F94" s="13">
        <v>44795.506006944444</v>
      </c>
      <c r="G94" t="s">
        <v>641</v>
      </c>
      <c r="H94" t="s">
        <v>642</v>
      </c>
      <c r="I94" s="13">
        <v>44795.506018518521</v>
      </c>
      <c r="K94" t="s">
        <v>412</v>
      </c>
      <c r="M94" s="13">
        <v>44712</v>
      </c>
      <c r="R94">
        <v>0</v>
      </c>
      <c r="S94" t="s">
        <v>380</v>
      </c>
      <c r="T94" t="s">
        <v>57</v>
      </c>
      <c r="V94" t="s">
        <v>381</v>
      </c>
      <c r="W94" t="s">
        <v>776</v>
      </c>
      <c r="X94" t="s">
        <v>776</v>
      </c>
      <c r="AC94" s="13">
        <v>44712</v>
      </c>
      <c r="AD94" s="13">
        <v>44712</v>
      </c>
      <c r="AI94">
        <v>-83</v>
      </c>
      <c r="AN94" t="s">
        <v>31</v>
      </c>
      <c r="AO94">
        <v>0</v>
      </c>
      <c r="AS94" t="s">
        <v>392</v>
      </c>
      <c r="AX94" t="s">
        <v>57</v>
      </c>
      <c r="AY94" t="s">
        <v>386</v>
      </c>
      <c r="AZ94" t="s">
        <v>777</v>
      </c>
      <c r="BF94">
        <v>0</v>
      </c>
      <c r="BK94" t="s">
        <v>31</v>
      </c>
      <c r="BS94" t="s">
        <v>412</v>
      </c>
      <c r="CI94" t="s">
        <v>388</v>
      </c>
      <c r="CJ94" s="14">
        <v>45013</v>
      </c>
      <c r="CK94">
        <v>1</v>
      </c>
    </row>
    <row r="95" spans="1:89">
      <c r="A95" t="s">
        <v>778</v>
      </c>
      <c r="B95" t="s">
        <v>374</v>
      </c>
      <c r="C95" t="s">
        <v>779</v>
      </c>
      <c r="D95" t="s">
        <v>780</v>
      </c>
      <c r="E95" t="s">
        <v>781</v>
      </c>
      <c r="F95" s="13">
        <v>44795.505972222221</v>
      </c>
      <c r="G95" t="s">
        <v>641</v>
      </c>
      <c r="H95" t="s">
        <v>642</v>
      </c>
      <c r="I95" s="13">
        <v>44795.505983796298</v>
      </c>
      <c r="K95" t="s">
        <v>412</v>
      </c>
      <c r="M95" s="13">
        <v>44635</v>
      </c>
      <c r="R95">
        <v>0</v>
      </c>
      <c r="S95" t="s">
        <v>380</v>
      </c>
      <c r="T95" t="s">
        <v>57</v>
      </c>
      <c r="V95" t="s">
        <v>381</v>
      </c>
      <c r="W95" t="s">
        <v>782</v>
      </c>
      <c r="X95" t="s">
        <v>782</v>
      </c>
      <c r="AC95" s="13">
        <v>44635</v>
      </c>
      <c r="AD95" s="13">
        <v>44635</v>
      </c>
      <c r="AI95">
        <v>-160</v>
      </c>
      <c r="AN95" t="s">
        <v>31</v>
      </c>
      <c r="AO95">
        <v>0</v>
      </c>
      <c r="AS95" t="s">
        <v>648</v>
      </c>
      <c r="AX95" t="s">
        <v>31</v>
      </c>
      <c r="AY95" t="s">
        <v>442</v>
      </c>
      <c r="AZ95" t="s">
        <v>783</v>
      </c>
      <c r="BF95">
        <v>0</v>
      </c>
      <c r="BK95" t="s">
        <v>31</v>
      </c>
      <c r="BS95" t="s">
        <v>412</v>
      </c>
      <c r="CI95" t="s">
        <v>388</v>
      </c>
      <c r="CJ95" s="14">
        <v>45013</v>
      </c>
      <c r="CK95">
        <v>1</v>
      </c>
    </row>
    <row r="96" spans="1:89">
      <c r="A96" t="s">
        <v>778</v>
      </c>
      <c r="B96" t="s">
        <v>374</v>
      </c>
      <c r="C96" t="s">
        <v>779</v>
      </c>
      <c r="D96" t="s">
        <v>784</v>
      </c>
      <c r="E96" t="s">
        <v>785</v>
      </c>
      <c r="F96" s="13">
        <v>44795.505949074075</v>
      </c>
      <c r="G96" t="s">
        <v>641</v>
      </c>
      <c r="H96" t="s">
        <v>642</v>
      </c>
      <c r="I96" s="13">
        <v>44795.505960648145</v>
      </c>
      <c r="K96" t="s">
        <v>412</v>
      </c>
      <c r="M96" s="13">
        <v>44635</v>
      </c>
      <c r="R96">
        <v>0</v>
      </c>
      <c r="S96" t="s">
        <v>380</v>
      </c>
      <c r="T96" t="s">
        <v>57</v>
      </c>
      <c r="V96" t="s">
        <v>381</v>
      </c>
      <c r="W96" t="s">
        <v>782</v>
      </c>
      <c r="X96" t="s">
        <v>782</v>
      </c>
      <c r="AC96" s="13">
        <v>44635</v>
      </c>
      <c r="AD96" s="13">
        <v>44635</v>
      </c>
      <c r="AI96">
        <v>-160</v>
      </c>
      <c r="AN96" t="s">
        <v>31</v>
      </c>
      <c r="AO96">
        <v>0</v>
      </c>
      <c r="AS96" t="s">
        <v>648</v>
      </c>
      <c r="AX96" t="s">
        <v>31</v>
      </c>
      <c r="AY96" t="s">
        <v>442</v>
      </c>
      <c r="AZ96" t="s">
        <v>786</v>
      </c>
      <c r="BF96">
        <v>0</v>
      </c>
      <c r="BK96" t="s">
        <v>31</v>
      </c>
      <c r="BS96" t="s">
        <v>412</v>
      </c>
      <c r="CI96" t="s">
        <v>388</v>
      </c>
      <c r="CJ96" s="14">
        <v>45013</v>
      </c>
      <c r="CK96">
        <v>1</v>
      </c>
    </row>
    <row r="97" spans="1:89">
      <c r="A97" t="s">
        <v>778</v>
      </c>
      <c r="B97" t="s">
        <v>374</v>
      </c>
      <c r="C97" t="s">
        <v>779</v>
      </c>
      <c r="D97" t="s">
        <v>787</v>
      </c>
      <c r="E97" t="s">
        <v>788</v>
      </c>
      <c r="F97" s="13">
        <v>44795.505925925929</v>
      </c>
      <c r="G97" t="s">
        <v>641</v>
      </c>
      <c r="H97" t="s">
        <v>642</v>
      </c>
      <c r="I97" s="13">
        <v>44795.505937499998</v>
      </c>
      <c r="K97" t="s">
        <v>412</v>
      </c>
      <c r="M97" s="13">
        <v>44666</v>
      </c>
      <c r="R97">
        <v>0</v>
      </c>
      <c r="S97" t="s">
        <v>380</v>
      </c>
      <c r="T97" t="s">
        <v>57</v>
      </c>
      <c r="V97" t="s">
        <v>381</v>
      </c>
      <c r="W97" t="s">
        <v>782</v>
      </c>
      <c r="X97" t="s">
        <v>782</v>
      </c>
      <c r="AC97" s="13">
        <v>44666</v>
      </c>
      <c r="AD97" s="13">
        <v>44666</v>
      </c>
      <c r="AI97">
        <v>-129</v>
      </c>
      <c r="AN97" t="s">
        <v>31</v>
      </c>
      <c r="AO97">
        <v>0</v>
      </c>
      <c r="AS97" t="s">
        <v>702</v>
      </c>
      <c r="AX97" t="s">
        <v>31</v>
      </c>
      <c r="AY97" t="s">
        <v>442</v>
      </c>
      <c r="AZ97" t="s">
        <v>789</v>
      </c>
      <c r="BF97">
        <v>0</v>
      </c>
      <c r="BK97" t="s">
        <v>31</v>
      </c>
      <c r="BS97" t="s">
        <v>412</v>
      </c>
      <c r="CI97" t="s">
        <v>388</v>
      </c>
      <c r="CJ97" s="14">
        <v>45013</v>
      </c>
      <c r="CK97">
        <v>1</v>
      </c>
    </row>
    <row r="98" spans="1:89">
      <c r="A98" t="s">
        <v>778</v>
      </c>
      <c r="B98" t="s">
        <v>374</v>
      </c>
      <c r="C98" t="s">
        <v>779</v>
      </c>
      <c r="D98" t="s">
        <v>790</v>
      </c>
      <c r="E98" t="s">
        <v>791</v>
      </c>
      <c r="F98" s="13">
        <v>44795.505902777775</v>
      </c>
      <c r="G98" t="s">
        <v>641</v>
      </c>
      <c r="H98" t="s">
        <v>642</v>
      </c>
      <c r="I98" s="13">
        <v>44795.505914351852</v>
      </c>
      <c r="K98" t="s">
        <v>412</v>
      </c>
      <c r="M98" s="13">
        <v>44620</v>
      </c>
      <c r="R98">
        <v>0</v>
      </c>
      <c r="S98" t="s">
        <v>380</v>
      </c>
      <c r="T98" t="s">
        <v>57</v>
      </c>
      <c r="V98" t="s">
        <v>381</v>
      </c>
      <c r="W98" t="s">
        <v>792</v>
      </c>
      <c r="X98" t="s">
        <v>792</v>
      </c>
      <c r="AC98" s="13">
        <v>44620</v>
      </c>
      <c r="AD98" s="13">
        <v>44620</v>
      </c>
      <c r="AI98">
        <v>-175</v>
      </c>
      <c r="AN98" t="s">
        <v>31</v>
      </c>
      <c r="AO98">
        <v>0</v>
      </c>
      <c r="AS98" t="s">
        <v>385</v>
      </c>
      <c r="AX98" t="s">
        <v>57</v>
      </c>
      <c r="AY98" t="s">
        <v>386</v>
      </c>
      <c r="AZ98" t="s">
        <v>721</v>
      </c>
      <c r="BF98">
        <v>0</v>
      </c>
      <c r="BK98" t="s">
        <v>31</v>
      </c>
      <c r="BS98" t="s">
        <v>412</v>
      </c>
      <c r="CI98" t="s">
        <v>388</v>
      </c>
      <c r="CJ98" s="14">
        <v>45013</v>
      </c>
      <c r="CK98">
        <v>1</v>
      </c>
    </row>
    <row r="99" spans="1:89">
      <c r="A99" t="s">
        <v>778</v>
      </c>
      <c r="B99" t="s">
        <v>374</v>
      </c>
      <c r="C99" t="s">
        <v>779</v>
      </c>
      <c r="D99" t="s">
        <v>793</v>
      </c>
      <c r="E99" t="s">
        <v>794</v>
      </c>
      <c r="F99" s="13">
        <v>44795.505879629629</v>
      </c>
      <c r="G99" t="s">
        <v>641</v>
      </c>
      <c r="H99" t="s">
        <v>642</v>
      </c>
      <c r="I99" s="13">
        <v>44795.505891203706</v>
      </c>
      <c r="K99" t="s">
        <v>412</v>
      </c>
      <c r="M99" s="13">
        <v>44681</v>
      </c>
      <c r="R99">
        <v>0</v>
      </c>
      <c r="S99" t="s">
        <v>380</v>
      </c>
      <c r="T99" t="s">
        <v>57</v>
      </c>
      <c r="V99" t="s">
        <v>381</v>
      </c>
      <c r="W99" t="s">
        <v>792</v>
      </c>
      <c r="X99" t="s">
        <v>792</v>
      </c>
      <c r="AC99" s="13">
        <v>44681</v>
      </c>
      <c r="AD99" s="13">
        <v>44681</v>
      </c>
      <c r="AI99">
        <v>-114</v>
      </c>
      <c r="AN99" t="s">
        <v>31</v>
      </c>
      <c r="AO99">
        <v>0</v>
      </c>
      <c r="AS99" t="s">
        <v>385</v>
      </c>
      <c r="AX99" t="s">
        <v>57</v>
      </c>
      <c r="AY99" t="s">
        <v>386</v>
      </c>
      <c r="AZ99" t="s">
        <v>721</v>
      </c>
      <c r="BF99">
        <v>0</v>
      </c>
      <c r="BK99" t="s">
        <v>31</v>
      </c>
      <c r="BS99" t="s">
        <v>412</v>
      </c>
      <c r="CI99" t="s">
        <v>388</v>
      </c>
      <c r="CJ99" s="14">
        <v>45013</v>
      </c>
      <c r="CK99">
        <v>1</v>
      </c>
    </row>
    <row r="100" spans="1:89">
      <c r="A100" t="s">
        <v>778</v>
      </c>
      <c r="B100" t="s">
        <v>374</v>
      </c>
      <c r="C100" t="s">
        <v>779</v>
      </c>
      <c r="D100" t="s">
        <v>795</v>
      </c>
      <c r="E100" t="s">
        <v>796</v>
      </c>
      <c r="F100" s="13">
        <v>44795.505856481483</v>
      </c>
      <c r="G100" t="s">
        <v>641</v>
      </c>
      <c r="H100" t="s">
        <v>642</v>
      </c>
      <c r="I100" s="13">
        <v>44795.505868055552</v>
      </c>
      <c r="K100" t="s">
        <v>412</v>
      </c>
      <c r="M100" s="13">
        <v>44681</v>
      </c>
      <c r="R100">
        <v>0</v>
      </c>
      <c r="S100" t="s">
        <v>380</v>
      </c>
      <c r="T100" t="s">
        <v>57</v>
      </c>
      <c r="V100" t="s">
        <v>381</v>
      </c>
      <c r="W100" t="s">
        <v>792</v>
      </c>
      <c r="X100" t="s">
        <v>792</v>
      </c>
      <c r="AC100" s="13">
        <v>44681</v>
      </c>
      <c r="AD100" s="13">
        <v>44681</v>
      </c>
      <c r="AI100">
        <v>-114</v>
      </c>
      <c r="AN100" t="s">
        <v>31</v>
      </c>
      <c r="AO100">
        <v>0</v>
      </c>
      <c r="AS100" t="s">
        <v>385</v>
      </c>
      <c r="AX100" t="s">
        <v>57</v>
      </c>
      <c r="AY100" t="s">
        <v>386</v>
      </c>
      <c r="AZ100" t="s">
        <v>721</v>
      </c>
      <c r="BF100">
        <v>0</v>
      </c>
      <c r="BK100" t="s">
        <v>31</v>
      </c>
      <c r="BS100" t="s">
        <v>412</v>
      </c>
      <c r="CI100" t="s">
        <v>388</v>
      </c>
      <c r="CJ100" s="14">
        <v>45013</v>
      </c>
      <c r="CK100">
        <v>1</v>
      </c>
    </row>
    <row r="101" spans="1:89">
      <c r="A101" t="s">
        <v>797</v>
      </c>
      <c r="B101" t="s">
        <v>374</v>
      </c>
      <c r="C101" t="s">
        <v>607</v>
      </c>
      <c r="D101" t="s">
        <v>798</v>
      </c>
      <c r="E101" t="s">
        <v>799</v>
      </c>
      <c r="F101" s="13">
        <v>44795.505833333336</v>
      </c>
      <c r="G101" t="s">
        <v>641</v>
      </c>
      <c r="H101" t="s">
        <v>642</v>
      </c>
      <c r="I101" s="13">
        <v>44795.505844907406</v>
      </c>
      <c r="K101" t="s">
        <v>412</v>
      </c>
      <c r="M101" s="13">
        <v>44596</v>
      </c>
      <c r="R101">
        <v>0</v>
      </c>
      <c r="S101" t="s">
        <v>416</v>
      </c>
      <c r="T101" t="s">
        <v>57</v>
      </c>
      <c r="V101" t="s">
        <v>381</v>
      </c>
      <c r="W101" t="s">
        <v>800</v>
      </c>
      <c r="X101" t="s">
        <v>800</v>
      </c>
      <c r="AC101" s="13">
        <v>44596</v>
      </c>
      <c r="AD101" s="13">
        <v>44596</v>
      </c>
      <c r="AI101">
        <v>-199</v>
      </c>
      <c r="AN101" t="s">
        <v>31</v>
      </c>
      <c r="AO101">
        <v>0</v>
      </c>
      <c r="AS101" t="s">
        <v>538</v>
      </c>
      <c r="AX101" t="s">
        <v>57</v>
      </c>
      <c r="AY101" t="s">
        <v>386</v>
      </c>
      <c r="AZ101" t="s">
        <v>721</v>
      </c>
      <c r="BF101">
        <v>0</v>
      </c>
      <c r="BK101" t="s">
        <v>31</v>
      </c>
      <c r="BS101" t="s">
        <v>412</v>
      </c>
      <c r="CI101" t="s">
        <v>388</v>
      </c>
      <c r="CJ101" s="14">
        <v>45013</v>
      </c>
      <c r="CK101">
        <v>1</v>
      </c>
    </row>
    <row r="102" spans="1:89">
      <c r="A102" t="s">
        <v>797</v>
      </c>
      <c r="B102" t="s">
        <v>374</v>
      </c>
      <c r="C102" t="s">
        <v>607</v>
      </c>
      <c r="D102" t="s">
        <v>801</v>
      </c>
      <c r="E102" t="s">
        <v>802</v>
      </c>
      <c r="F102" s="13">
        <v>44795.505810185183</v>
      </c>
      <c r="G102" t="s">
        <v>641</v>
      </c>
      <c r="H102" t="s">
        <v>642</v>
      </c>
      <c r="I102" s="13">
        <v>44795.50582175926</v>
      </c>
      <c r="K102" t="s">
        <v>412</v>
      </c>
      <c r="M102" s="13">
        <v>44610</v>
      </c>
      <c r="R102">
        <v>0</v>
      </c>
      <c r="S102" t="s">
        <v>380</v>
      </c>
      <c r="T102" t="s">
        <v>57</v>
      </c>
      <c r="V102" t="s">
        <v>381</v>
      </c>
      <c r="W102" t="s">
        <v>800</v>
      </c>
      <c r="X102" t="s">
        <v>800</v>
      </c>
      <c r="AC102" s="13">
        <v>44610</v>
      </c>
      <c r="AD102" s="13">
        <v>44610</v>
      </c>
      <c r="AI102">
        <v>-185</v>
      </c>
      <c r="AN102" t="s">
        <v>31</v>
      </c>
      <c r="AO102">
        <v>0</v>
      </c>
      <c r="AS102" t="s">
        <v>538</v>
      </c>
      <c r="AX102" t="s">
        <v>57</v>
      </c>
      <c r="AY102" t="s">
        <v>386</v>
      </c>
      <c r="AZ102" t="s">
        <v>721</v>
      </c>
      <c r="BF102">
        <v>0</v>
      </c>
      <c r="BK102" t="s">
        <v>31</v>
      </c>
      <c r="BS102" t="s">
        <v>412</v>
      </c>
      <c r="CI102" t="s">
        <v>388</v>
      </c>
      <c r="CJ102" s="14">
        <v>45013</v>
      </c>
      <c r="CK102">
        <v>1</v>
      </c>
    </row>
    <row r="103" spans="1:89">
      <c r="A103" t="s">
        <v>797</v>
      </c>
      <c r="B103" t="s">
        <v>374</v>
      </c>
      <c r="C103" t="s">
        <v>607</v>
      </c>
      <c r="D103" t="s">
        <v>803</v>
      </c>
      <c r="E103" t="s">
        <v>804</v>
      </c>
      <c r="F103" s="13">
        <v>44795.505787037036</v>
      </c>
      <c r="G103" t="s">
        <v>641</v>
      </c>
      <c r="H103" t="s">
        <v>642</v>
      </c>
      <c r="I103" s="13">
        <v>44795.505798611113</v>
      </c>
      <c r="K103" t="s">
        <v>412</v>
      </c>
      <c r="M103" s="13">
        <v>44616</v>
      </c>
      <c r="R103">
        <v>0</v>
      </c>
      <c r="S103" t="s">
        <v>380</v>
      </c>
      <c r="T103" t="s">
        <v>57</v>
      </c>
      <c r="V103" t="s">
        <v>381</v>
      </c>
      <c r="W103" t="s">
        <v>800</v>
      </c>
      <c r="X103" t="s">
        <v>800</v>
      </c>
      <c r="AC103" s="13">
        <v>44616</v>
      </c>
      <c r="AD103" s="13">
        <v>44616</v>
      </c>
      <c r="AI103">
        <v>-179</v>
      </c>
      <c r="AN103" t="s">
        <v>31</v>
      </c>
      <c r="AO103">
        <v>0</v>
      </c>
      <c r="AS103" t="s">
        <v>538</v>
      </c>
      <c r="AX103" t="s">
        <v>57</v>
      </c>
      <c r="AY103" t="s">
        <v>386</v>
      </c>
      <c r="AZ103" t="s">
        <v>721</v>
      </c>
      <c r="BF103">
        <v>0</v>
      </c>
      <c r="BK103" t="s">
        <v>31</v>
      </c>
      <c r="BS103" t="s">
        <v>412</v>
      </c>
      <c r="CI103" t="s">
        <v>388</v>
      </c>
      <c r="CJ103" s="14">
        <v>45013</v>
      </c>
      <c r="CK103">
        <v>1</v>
      </c>
    </row>
    <row r="104" spans="1:89">
      <c r="A104" t="s">
        <v>805</v>
      </c>
      <c r="B104" t="s">
        <v>374</v>
      </c>
      <c r="C104" t="s">
        <v>806</v>
      </c>
      <c r="D104" t="s">
        <v>807</v>
      </c>
      <c r="E104" t="s">
        <v>808</v>
      </c>
      <c r="F104" s="13">
        <v>44795.50576388889</v>
      </c>
      <c r="G104" t="s">
        <v>641</v>
      </c>
      <c r="H104" t="s">
        <v>642</v>
      </c>
      <c r="I104" s="13">
        <v>44795.50577546296</v>
      </c>
      <c r="K104" t="s">
        <v>412</v>
      </c>
      <c r="M104" s="13">
        <v>44637</v>
      </c>
      <c r="R104">
        <v>0</v>
      </c>
      <c r="S104" t="s">
        <v>380</v>
      </c>
      <c r="T104" t="s">
        <v>57</v>
      </c>
      <c r="V104" t="s">
        <v>381</v>
      </c>
      <c r="W104" t="s">
        <v>809</v>
      </c>
      <c r="X104" t="s">
        <v>809</v>
      </c>
      <c r="AC104" s="13">
        <v>44637</v>
      </c>
      <c r="AD104" s="13">
        <v>44637</v>
      </c>
      <c r="AI104">
        <v>-158</v>
      </c>
      <c r="AN104" t="s">
        <v>31</v>
      </c>
      <c r="AO104">
        <v>0</v>
      </c>
      <c r="AS104" t="s">
        <v>538</v>
      </c>
      <c r="AX104" t="s">
        <v>57</v>
      </c>
      <c r="AY104" t="s">
        <v>442</v>
      </c>
      <c r="AZ104" t="s">
        <v>721</v>
      </c>
      <c r="BF104">
        <v>0</v>
      </c>
      <c r="BK104" t="s">
        <v>31</v>
      </c>
      <c r="BS104" t="s">
        <v>412</v>
      </c>
      <c r="CI104" t="s">
        <v>388</v>
      </c>
      <c r="CJ104" s="14">
        <v>45013</v>
      </c>
      <c r="CK104">
        <v>1</v>
      </c>
    </row>
    <row r="105" spans="1:89">
      <c r="A105" t="s">
        <v>805</v>
      </c>
      <c r="B105" t="s">
        <v>374</v>
      </c>
      <c r="C105" t="s">
        <v>806</v>
      </c>
      <c r="D105" t="s">
        <v>810</v>
      </c>
      <c r="E105" t="s">
        <v>811</v>
      </c>
      <c r="F105" s="13">
        <v>44795.505740740744</v>
      </c>
      <c r="G105" t="s">
        <v>641</v>
      </c>
      <c r="H105" t="s">
        <v>642</v>
      </c>
      <c r="I105" s="13">
        <v>44795.505752314813</v>
      </c>
      <c r="K105" t="s">
        <v>412</v>
      </c>
      <c r="M105" s="13">
        <v>44663</v>
      </c>
      <c r="R105">
        <v>0</v>
      </c>
      <c r="S105" t="s">
        <v>380</v>
      </c>
      <c r="T105" t="s">
        <v>57</v>
      </c>
      <c r="V105" t="s">
        <v>381</v>
      </c>
      <c r="W105" t="s">
        <v>809</v>
      </c>
      <c r="X105" t="s">
        <v>809</v>
      </c>
      <c r="AC105" s="13">
        <v>44663</v>
      </c>
      <c r="AD105" s="13">
        <v>44663</v>
      </c>
      <c r="AI105">
        <v>-132</v>
      </c>
      <c r="AN105" t="s">
        <v>31</v>
      </c>
      <c r="AO105">
        <v>0</v>
      </c>
      <c r="AS105" t="s">
        <v>538</v>
      </c>
      <c r="AX105" t="s">
        <v>57</v>
      </c>
      <c r="AY105" t="s">
        <v>386</v>
      </c>
      <c r="AZ105" t="s">
        <v>721</v>
      </c>
      <c r="BF105">
        <v>0</v>
      </c>
      <c r="BK105" t="s">
        <v>31</v>
      </c>
      <c r="BS105" t="s">
        <v>412</v>
      </c>
      <c r="CI105" t="s">
        <v>388</v>
      </c>
      <c r="CJ105" s="14">
        <v>45013</v>
      </c>
      <c r="CK105">
        <v>1</v>
      </c>
    </row>
    <row r="106" spans="1:89">
      <c r="A106" t="s">
        <v>797</v>
      </c>
      <c r="B106" t="s">
        <v>374</v>
      </c>
      <c r="C106" t="s">
        <v>607</v>
      </c>
      <c r="D106" t="s">
        <v>812</v>
      </c>
      <c r="E106" t="s">
        <v>804</v>
      </c>
      <c r="F106" s="13">
        <v>44795.50571759259</v>
      </c>
      <c r="G106" t="s">
        <v>641</v>
      </c>
      <c r="H106" t="s">
        <v>642</v>
      </c>
      <c r="I106" s="13">
        <v>44795.505729166667</v>
      </c>
      <c r="K106" t="s">
        <v>412</v>
      </c>
      <c r="M106" s="13">
        <v>44616</v>
      </c>
      <c r="R106">
        <v>0</v>
      </c>
      <c r="S106" t="s">
        <v>380</v>
      </c>
      <c r="T106" t="s">
        <v>57</v>
      </c>
      <c r="V106" t="s">
        <v>381</v>
      </c>
      <c r="W106" t="s">
        <v>800</v>
      </c>
      <c r="X106" t="s">
        <v>800</v>
      </c>
      <c r="AC106" s="13">
        <v>44616</v>
      </c>
      <c r="AD106" s="13">
        <v>44616</v>
      </c>
      <c r="AI106">
        <v>-179</v>
      </c>
      <c r="AN106" t="s">
        <v>31</v>
      </c>
      <c r="AO106">
        <v>0</v>
      </c>
      <c r="AS106" t="s">
        <v>538</v>
      </c>
      <c r="AX106" t="s">
        <v>57</v>
      </c>
      <c r="AY106" t="s">
        <v>386</v>
      </c>
      <c r="AZ106" t="s">
        <v>721</v>
      </c>
      <c r="BF106">
        <v>0</v>
      </c>
      <c r="BK106" t="s">
        <v>31</v>
      </c>
      <c r="BS106" t="s">
        <v>412</v>
      </c>
      <c r="CI106" t="s">
        <v>388</v>
      </c>
      <c r="CJ106" s="14">
        <v>45013</v>
      </c>
      <c r="CK106">
        <v>1</v>
      </c>
    </row>
    <row r="107" spans="1:89">
      <c r="A107" t="s">
        <v>805</v>
      </c>
      <c r="B107" t="s">
        <v>374</v>
      </c>
      <c r="C107" t="s">
        <v>806</v>
      </c>
      <c r="D107" t="s">
        <v>813</v>
      </c>
      <c r="E107" t="s">
        <v>808</v>
      </c>
      <c r="F107" s="13">
        <v>44795.505694444444</v>
      </c>
      <c r="G107" t="s">
        <v>641</v>
      </c>
      <c r="H107" t="s">
        <v>642</v>
      </c>
      <c r="I107" s="13">
        <v>44795.505706018521</v>
      </c>
      <c r="K107" t="s">
        <v>412</v>
      </c>
      <c r="M107" s="13">
        <v>44637</v>
      </c>
      <c r="R107">
        <v>0</v>
      </c>
      <c r="S107" t="s">
        <v>380</v>
      </c>
      <c r="T107" t="s">
        <v>57</v>
      </c>
      <c r="V107" t="s">
        <v>381</v>
      </c>
      <c r="W107" t="s">
        <v>809</v>
      </c>
      <c r="X107" t="s">
        <v>809</v>
      </c>
      <c r="AC107" s="13">
        <v>44637</v>
      </c>
      <c r="AD107" s="13">
        <v>44637</v>
      </c>
      <c r="AI107">
        <v>-158</v>
      </c>
      <c r="AN107" t="s">
        <v>31</v>
      </c>
      <c r="AO107">
        <v>0</v>
      </c>
      <c r="AS107" t="s">
        <v>538</v>
      </c>
      <c r="AX107" t="s">
        <v>57</v>
      </c>
      <c r="AY107" t="s">
        <v>442</v>
      </c>
      <c r="AZ107" t="s">
        <v>721</v>
      </c>
      <c r="BF107">
        <v>0</v>
      </c>
      <c r="BK107" t="s">
        <v>31</v>
      </c>
      <c r="BS107" t="s">
        <v>412</v>
      </c>
      <c r="CI107" t="s">
        <v>388</v>
      </c>
      <c r="CJ107" s="14">
        <v>45013</v>
      </c>
      <c r="CK107">
        <v>1</v>
      </c>
    </row>
    <row r="108" spans="1:89">
      <c r="A108" t="s">
        <v>805</v>
      </c>
      <c r="B108" t="s">
        <v>374</v>
      </c>
      <c r="C108" t="s">
        <v>806</v>
      </c>
      <c r="D108" t="s">
        <v>814</v>
      </c>
      <c r="E108" t="s">
        <v>811</v>
      </c>
      <c r="F108" s="13">
        <v>44795.505659722221</v>
      </c>
      <c r="G108" t="s">
        <v>641</v>
      </c>
      <c r="H108" t="s">
        <v>642</v>
      </c>
      <c r="I108" s="13">
        <v>44795.505671296298</v>
      </c>
      <c r="K108" t="s">
        <v>412</v>
      </c>
      <c r="M108" s="13">
        <v>44663</v>
      </c>
      <c r="R108">
        <v>0</v>
      </c>
      <c r="S108" t="s">
        <v>380</v>
      </c>
      <c r="T108" t="s">
        <v>57</v>
      </c>
      <c r="V108" t="s">
        <v>381</v>
      </c>
      <c r="W108" t="s">
        <v>809</v>
      </c>
      <c r="X108" t="s">
        <v>809</v>
      </c>
      <c r="AC108" s="13">
        <v>44663</v>
      </c>
      <c r="AD108" s="13">
        <v>44663</v>
      </c>
      <c r="AI108">
        <v>-132</v>
      </c>
      <c r="AN108" t="s">
        <v>31</v>
      </c>
      <c r="AO108">
        <v>0</v>
      </c>
      <c r="AS108" t="s">
        <v>538</v>
      </c>
      <c r="AX108" t="s">
        <v>57</v>
      </c>
      <c r="AY108" t="s">
        <v>386</v>
      </c>
      <c r="AZ108" t="s">
        <v>721</v>
      </c>
      <c r="BF108">
        <v>0</v>
      </c>
      <c r="BK108" t="s">
        <v>31</v>
      </c>
      <c r="BS108" t="s">
        <v>412</v>
      </c>
      <c r="CI108" t="s">
        <v>388</v>
      </c>
      <c r="CJ108" s="14">
        <v>45013</v>
      </c>
      <c r="CK108">
        <v>1</v>
      </c>
    </row>
    <row r="109" spans="1:89">
      <c r="A109" t="s">
        <v>805</v>
      </c>
      <c r="B109" t="s">
        <v>374</v>
      </c>
      <c r="C109" t="s">
        <v>806</v>
      </c>
      <c r="D109" t="s">
        <v>815</v>
      </c>
      <c r="E109" t="s">
        <v>816</v>
      </c>
      <c r="F109" s="13">
        <v>44795.505636574075</v>
      </c>
      <c r="G109" t="s">
        <v>641</v>
      </c>
      <c r="H109" t="s">
        <v>642</v>
      </c>
      <c r="I109" s="13">
        <v>44795.505648148152</v>
      </c>
      <c r="K109" t="s">
        <v>412</v>
      </c>
      <c r="M109" s="13">
        <v>44663</v>
      </c>
      <c r="R109">
        <v>0</v>
      </c>
      <c r="S109" t="s">
        <v>416</v>
      </c>
      <c r="T109" t="s">
        <v>57</v>
      </c>
      <c r="V109" t="s">
        <v>381</v>
      </c>
      <c r="W109" t="s">
        <v>809</v>
      </c>
      <c r="X109" t="s">
        <v>809</v>
      </c>
      <c r="AC109" s="13">
        <v>44663</v>
      </c>
      <c r="AD109" s="13">
        <v>44663</v>
      </c>
      <c r="AI109">
        <v>-132</v>
      </c>
      <c r="AN109" t="s">
        <v>31</v>
      </c>
      <c r="AO109">
        <v>0</v>
      </c>
      <c r="AS109" t="s">
        <v>385</v>
      </c>
      <c r="AX109" t="s">
        <v>57</v>
      </c>
      <c r="AY109" t="s">
        <v>386</v>
      </c>
      <c r="AZ109" t="s">
        <v>721</v>
      </c>
      <c r="BF109">
        <v>0</v>
      </c>
      <c r="BK109" t="s">
        <v>31</v>
      </c>
      <c r="BS109" t="s">
        <v>412</v>
      </c>
      <c r="CI109" t="s">
        <v>388</v>
      </c>
      <c r="CJ109" s="14">
        <v>45013</v>
      </c>
      <c r="CK109">
        <v>1</v>
      </c>
    </row>
    <row r="110" spans="1:89">
      <c r="A110" t="s">
        <v>805</v>
      </c>
      <c r="B110" t="s">
        <v>374</v>
      </c>
      <c r="C110" t="s">
        <v>806</v>
      </c>
      <c r="D110" t="s">
        <v>817</v>
      </c>
      <c r="E110" t="s">
        <v>818</v>
      </c>
      <c r="F110" s="13">
        <v>44795.505613425928</v>
      </c>
      <c r="G110" t="s">
        <v>641</v>
      </c>
      <c r="H110" t="s">
        <v>642</v>
      </c>
      <c r="I110" s="13">
        <v>44795.505624999998</v>
      </c>
      <c r="K110" t="s">
        <v>412</v>
      </c>
      <c r="M110" s="13">
        <v>44607</v>
      </c>
      <c r="R110">
        <v>0</v>
      </c>
      <c r="S110" t="s">
        <v>380</v>
      </c>
      <c r="T110" t="s">
        <v>57</v>
      </c>
      <c r="V110" t="s">
        <v>381</v>
      </c>
      <c r="W110" t="s">
        <v>809</v>
      </c>
      <c r="X110" t="s">
        <v>809</v>
      </c>
      <c r="AC110" s="13">
        <v>44607</v>
      </c>
      <c r="AD110" s="13">
        <v>44607</v>
      </c>
      <c r="AI110">
        <v>-188</v>
      </c>
      <c r="AN110" t="s">
        <v>31</v>
      </c>
      <c r="AO110">
        <v>0</v>
      </c>
      <c r="AS110" t="s">
        <v>538</v>
      </c>
      <c r="AX110" t="s">
        <v>57</v>
      </c>
      <c r="AY110" t="s">
        <v>386</v>
      </c>
      <c r="AZ110" t="s">
        <v>721</v>
      </c>
      <c r="BF110">
        <v>0</v>
      </c>
      <c r="BK110" t="s">
        <v>31</v>
      </c>
      <c r="BS110" t="s">
        <v>412</v>
      </c>
      <c r="CI110" t="s">
        <v>388</v>
      </c>
      <c r="CJ110" s="14">
        <v>45013</v>
      </c>
      <c r="CK110">
        <v>1</v>
      </c>
    </row>
    <row r="111" spans="1:89">
      <c r="A111" t="s">
        <v>819</v>
      </c>
      <c r="B111" t="s">
        <v>374</v>
      </c>
      <c r="C111" t="s">
        <v>820</v>
      </c>
      <c r="D111" t="s">
        <v>821</v>
      </c>
      <c r="E111" t="s">
        <v>822</v>
      </c>
      <c r="F111" s="13">
        <v>44795.505590277775</v>
      </c>
      <c r="G111" t="s">
        <v>641</v>
      </c>
      <c r="H111" t="s">
        <v>642</v>
      </c>
      <c r="I111" s="13">
        <v>44795.505601851852</v>
      </c>
      <c r="K111" t="s">
        <v>412</v>
      </c>
      <c r="M111" s="13">
        <v>44742</v>
      </c>
      <c r="R111">
        <v>0</v>
      </c>
      <c r="S111" t="s">
        <v>380</v>
      </c>
      <c r="T111" t="s">
        <v>57</v>
      </c>
      <c r="V111" t="s">
        <v>381</v>
      </c>
      <c r="W111" t="s">
        <v>809</v>
      </c>
      <c r="X111" t="s">
        <v>809</v>
      </c>
      <c r="AC111" s="13">
        <v>44742</v>
      </c>
      <c r="AD111" s="13">
        <v>44742</v>
      </c>
      <c r="AI111">
        <v>-53</v>
      </c>
      <c r="AN111" t="s">
        <v>31</v>
      </c>
      <c r="AO111">
        <v>0</v>
      </c>
      <c r="AS111" t="s">
        <v>392</v>
      </c>
      <c r="AX111" t="s">
        <v>57</v>
      </c>
      <c r="AY111" t="s">
        <v>386</v>
      </c>
      <c r="AZ111" t="s">
        <v>721</v>
      </c>
      <c r="BF111">
        <v>0</v>
      </c>
      <c r="BK111" t="s">
        <v>31</v>
      </c>
      <c r="BS111" t="s">
        <v>412</v>
      </c>
      <c r="CI111" t="s">
        <v>388</v>
      </c>
      <c r="CJ111" s="14">
        <v>45013</v>
      </c>
      <c r="CK111">
        <v>1</v>
      </c>
    </row>
    <row r="112" spans="1:89">
      <c r="A112" t="s">
        <v>819</v>
      </c>
      <c r="B112" t="s">
        <v>374</v>
      </c>
      <c r="C112" t="s">
        <v>820</v>
      </c>
      <c r="D112" t="s">
        <v>823</v>
      </c>
      <c r="E112" t="s">
        <v>824</v>
      </c>
      <c r="F112" s="13">
        <v>44795.505567129629</v>
      </c>
      <c r="G112" t="s">
        <v>641</v>
      </c>
      <c r="H112" t="s">
        <v>642</v>
      </c>
      <c r="I112" s="13">
        <v>44795.505578703705</v>
      </c>
      <c r="K112" t="s">
        <v>412</v>
      </c>
      <c r="M112" s="13">
        <v>44651</v>
      </c>
      <c r="R112">
        <v>0</v>
      </c>
      <c r="S112" t="s">
        <v>380</v>
      </c>
      <c r="T112" t="s">
        <v>57</v>
      </c>
      <c r="V112" t="s">
        <v>381</v>
      </c>
      <c r="W112" t="s">
        <v>792</v>
      </c>
      <c r="X112" t="s">
        <v>792</v>
      </c>
      <c r="AC112" s="13">
        <v>44651</v>
      </c>
      <c r="AD112" s="13">
        <v>44651</v>
      </c>
      <c r="AI112">
        <v>-144</v>
      </c>
      <c r="AN112" t="s">
        <v>31</v>
      </c>
      <c r="AO112">
        <v>0</v>
      </c>
      <c r="AS112" t="s">
        <v>385</v>
      </c>
      <c r="AX112" t="s">
        <v>57</v>
      </c>
      <c r="AY112" t="s">
        <v>386</v>
      </c>
      <c r="AZ112" t="s">
        <v>721</v>
      </c>
      <c r="BF112">
        <v>0</v>
      </c>
      <c r="BK112" t="s">
        <v>31</v>
      </c>
      <c r="BS112" t="s">
        <v>412</v>
      </c>
      <c r="CI112" t="s">
        <v>388</v>
      </c>
      <c r="CJ112" s="14">
        <v>45013</v>
      </c>
      <c r="CK112">
        <v>1</v>
      </c>
    </row>
    <row r="113" spans="1:89">
      <c r="A113" t="s">
        <v>797</v>
      </c>
      <c r="B113" t="s">
        <v>374</v>
      </c>
      <c r="C113" t="s">
        <v>607</v>
      </c>
      <c r="D113" t="s">
        <v>825</v>
      </c>
      <c r="E113" t="s">
        <v>826</v>
      </c>
      <c r="F113" s="13">
        <v>44795.505543981482</v>
      </c>
      <c r="G113" t="s">
        <v>641</v>
      </c>
      <c r="H113" t="s">
        <v>642</v>
      </c>
      <c r="I113" s="13">
        <v>44795.505555555559</v>
      </c>
      <c r="K113" t="s">
        <v>412</v>
      </c>
      <c r="M113" s="13">
        <v>44592</v>
      </c>
      <c r="R113">
        <v>0</v>
      </c>
      <c r="S113" t="s">
        <v>380</v>
      </c>
      <c r="T113" t="s">
        <v>57</v>
      </c>
      <c r="V113" t="s">
        <v>381</v>
      </c>
      <c r="W113" t="s">
        <v>827</v>
      </c>
      <c r="X113" t="s">
        <v>827</v>
      </c>
      <c r="AC113" s="13">
        <v>44592</v>
      </c>
      <c r="AD113" s="13">
        <v>44592</v>
      </c>
      <c r="AI113">
        <v>-203</v>
      </c>
      <c r="AN113" t="s">
        <v>31</v>
      </c>
      <c r="AO113">
        <v>0</v>
      </c>
      <c r="AS113" t="s">
        <v>385</v>
      </c>
      <c r="AX113" t="s">
        <v>57</v>
      </c>
      <c r="AY113" t="s">
        <v>386</v>
      </c>
      <c r="AZ113" t="s">
        <v>721</v>
      </c>
      <c r="BF113">
        <v>0</v>
      </c>
      <c r="BK113" t="s">
        <v>31</v>
      </c>
      <c r="BS113" t="s">
        <v>412</v>
      </c>
      <c r="CI113" t="s">
        <v>388</v>
      </c>
      <c r="CJ113" s="14">
        <v>45013</v>
      </c>
      <c r="CK113">
        <v>1</v>
      </c>
    </row>
    <row r="114" spans="1:89">
      <c r="A114" t="s">
        <v>797</v>
      </c>
      <c r="B114" t="s">
        <v>374</v>
      </c>
      <c r="C114" t="s">
        <v>607</v>
      </c>
      <c r="D114" t="s">
        <v>828</v>
      </c>
      <c r="E114" t="s">
        <v>829</v>
      </c>
      <c r="F114" s="13">
        <v>44795.505520833336</v>
      </c>
      <c r="G114" t="s">
        <v>641</v>
      </c>
      <c r="H114" t="s">
        <v>642</v>
      </c>
      <c r="I114" s="13">
        <v>44795.505532407406</v>
      </c>
      <c r="K114" t="s">
        <v>412</v>
      </c>
      <c r="M114" s="13">
        <v>44651</v>
      </c>
      <c r="R114">
        <v>0</v>
      </c>
      <c r="S114" t="s">
        <v>380</v>
      </c>
      <c r="T114" t="s">
        <v>57</v>
      </c>
      <c r="V114" t="s">
        <v>381</v>
      </c>
      <c r="W114" t="s">
        <v>827</v>
      </c>
      <c r="X114" t="s">
        <v>827</v>
      </c>
      <c r="AC114" s="13">
        <v>44651</v>
      </c>
      <c r="AD114" s="13">
        <v>44651</v>
      </c>
      <c r="AI114">
        <v>-144</v>
      </c>
      <c r="AN114" t="s">
        <v>31</v>
      </c>
      <c r="AO114">
        <v>0</v>
      </c>
      <c r="AS114" t="s">
        <v>385</v>
      </c>
      <c r="AX114" t="s">
        <v>57</v>
      </c>
      <c r="AY114" t="s">
        <v>386</v>
      </c>
      <c r="AZ114" t="s">
        <v>721</v>
      </c>
      <c r="BF114">
        <v>0</v>
      </c>
      <c r="BK114" t="s">
        <v>31</v>
      </c>
      <c r="BS114" t="s">
        <v>412</v>
      </c>
      <c r="CI114" t="s">
        <v>388</v>
      </c>
      <c r="CJ114" s="14">
        <v>45013</v>
      </c>
      <c r="CK114">
        <v>1</v>
      </c>
    </row>
    <row r="115" spans="1:89">
      <c r="A115" t="s">
        <v>819</v>
      </c>
      <c r="B115" t="s">
        <v>374</v>
      </c>
      <c r="C115" t="s">
        <v>820</v>
      </c>
      <c r="D115" t="s">
        <v>830</v>
      </c>
      <c r="E115" t="s">
        <v>831</v>
      </c>
      <c r="F115" s="13">
        <v>44795.505497685182</v>
      </c>
      <c r="G115" t="s">
        <v>641</v>
      </c>
      <c r="H115" t="s">
        <v>642</v>
      </c>
      <c r="I115" s="13">
        <v>44795.505509259259</v>
      </c>
      <c r="K115" t="s">
        <v>412</v>
      </c>
      <c r="M115" s="13">
        <v>44651</v>
      </c>
      <c r="R115">
        <v>0</v>
      </c>
      <c r="S115" t="s">
        <v>380</v>
      </c>
      <c r="T115" t="s">
        <v>57</v>
      </c>
      <c r="V115" t="s">
        <v>381</v>
      </c>
      <c r="W115" t="s">
        <v>832</v>
      </c>
      <c r="X115" t="s">
        <v>832</v>
      </c>
      <c r="AC115" s="13">
        <v>44651</v>
      </c>
      <c r="AD115" s="13">
        <v>44651</v>
      </c>
      <c r="AI115">
        <v>-144</v>
      </c>
      <c r="AN115" t="s">
        <v>31</v>
      </c>
      <c r="AO115">
        <v>0</v>
      </c>
      <c r="AS115" t="s">
        <v>385</v>
      </c>
      <c r="AX115" t="s">
        <v>57</v>
      </c>
      <c r="AY115" t="s">
        <v>386</v>
      </c>
      <c r="AZ115" t="s">
        <v>721</v>
      </c>
      <c r="BF115">
        <v>0</v>
      </c>
      <c r="BK115" t="s">
        <v>31</v>
      </c>
      <c r="BS115" t="s">
        <v>412</v>
      </c>
      <c r="CI115" t="s">
        <v>388</v>
      </c>
      <c r="CJ115" s="14">
        <v>45013</v>
      </c>
      <c r="CK115">
        <v>1</v>
      </c>
    </row>
    <row r="116" spans="1:89">
      <c r="A116" t="s">
        <v>819</v>
      </c>
      <c r="B116" t="s">
        <v>374</v>
      </c>
      <c r="C116" t="s">
        <v>820</v>
      </c>
      <c r="D116" t="s">
        <v>833</v>
      </c>
      <c r="E116" t="s">
        <v>834</v>
      </c>
      <c r="F116" s="13">
        <v>44795.505474537036</v>
      </c>
      <c r="G116" t="s">
        <v>641</v>
      </c>
      <c r="H116" t="s">
        <v>642</v>
      </c>
      <c r="I116" s="13">
        <v>44795.505486111113</v>
      </c>
      <c r="K116" t="s">
        <v>412</v>
      </c>
      <c r="M116" s="13">
        <v>44834</v>
      </c>
      <c r="R116">
        <v>0</v>
      </c>
      <c r="S116" t="s">
        <v>380</v>
      </c>
      <c r="T116" t="s">
        <v>57</v>
      </c>
      <c r="V116" t="s">
        <v>381</v>
      </c>
      <c r="W116" t="s">
        <v>832</v>
      </c>
      <c r="X116" t="s">
        <v>832</v>
      </c>
      <c r="AC116" s="13">
        <v>44834</v>
      </c>
      <c r="AD116" s="13">
        <v>44834</v>
      </c>
      <c r="AI116">
        <v>39</v>
      </c>
      <c r="AN116" t="s">
        <v>31</v>
      </c>
      <c r="AO116">
        <v>0</v>
      </c>
      <c r="AS116" t="s">
        <v>385</v>
      </c>
      <c r="AX116" t="s">
        <v>57</v>
      </c>
      <c r="AY116" t="s">
        <v>386</v>
      </c>
      <c r="AZ116" t="s">
        <v>721</v>
      </c>
      <c r="BF116">
        <v>0</v>
      </c>
      <c r="BK116" t="s">
        <v>31</v>
      </c>
      <c r="BS116" t="s">
        <v>412</v>
      </c>
      <c r="CI116" t="s">
        <v>388</v>
      </c>
      <c r="CJ116" s="14">
        <v>45013</v>
      </c>
      <c r="CK116">
        <v>1</v>
      </c>
    </row>
    <row r="117" spans="1:89">
      <c r="A117" t="s">
        <v>819</v>
      </c>
      <c r="B117" t="s">
        <v>374</v>
      </c>
      <c r="C117" t="s">
        <v>820</v>
      </c>
      <c r="D117" t="s">
        <v>835</v>
      </c>
      <c r="E117" t="s">
        <v>836</v>
      </c>
      <c r="F117" s="13">
        <v>44795.50545138889</v>
      </c>
      <c r="G117" t="s">
        <v>641</v>
      </c>
      <c r="H117" t="s">
        <v>642</v>
      </c>
      <c r="I117" s="13">
        <v>44795.505462962959</v>
      </c>
      <c r="K117" t="s">
        <v>412</v>
      </c>
      <c r="M117" s="13">
        <v>44742</v>
      </c>
      <c r="R117">
        <v>0</v>
      </c>
      <c r="S117" t="s">
        <v>380</v>
      </c>
      <c r="T117" t="s">
        <v>57</v>
      </c>
      <c r="V117" t="s">
        <v>381</v>
      </c>
      <c r="W117" t="s">
        <v>832</v>
      </c>
      <c r="X117" t="s">
        <v>832</v>
      </c>
      <c r="AC117" s="13">
        <v>44742</v>
      </c>
      <c r="AD117" s="13">
        <v>44742</v>
      </c>
      <c r="AI117">
        <v>-53</v>
      </c>
      <c r="AN117" t="s">
        <v>31</v>
      </c>
      <c r="AO117">
        <v>0</v>
      </c>
      <c r="AS117" t="s">
        <v>385</v>
      </c>
      <c r="AX117" t="s">
        <v>57</v>
      </c>
      <c r="AY117" t="s">
        <v>442</v>
      </c>
      <c r="AZ117" t="s">
        <v>721</v>
      </c>
      <c r="BF117">
        <v>0</v>
      </c>
      <c r="BK117" t="s">
        <v>31</v>
      </c>
      <c r="BS117" t="s">
        <v>412</v>
      </c>
      <c r="CI117" t="s">
        <v>388</v>
      </c>
      <c r="CJ117" s="14">
        <v>45013</v>
      </c>
      <c r="CK117">
        <v>1</v>
      </c>
    </row>
    <row r="118" spans="1:89">
      <c r="A118" t="s">
        <v>819</v>
      </c>
      <c r="B118" t="s">
        <v>374</v>
      </c>
      <c r="C118" t="s">
        <v>820</v>
      </c>
      <c r="D118" t="s">
        <v>837</v>
      </c>
      <c r="E118" t="s">
        <v>838</v>
      </c>
      <c r="F118" s="13">
        <v>44795.505428240744</v>
      </c>
      <c r="G118" t="s">
        <v>641</v>
      </c>
      <c r="H118" t="s">
        <v>642</v>
      </c>
      <c r="I118" s="13">
        <v>44795.505439814813</v>
      </c>
      <c r="K118" t="s">
        <v>412</v>
      </c>
      <c r="M118" s="13">
        <v>44742</v>
      </c>
      <c r="R118">
        <v>0</v>
      </c>
      <c r="S118" t="s">
        <v>380</v>
      </c>
      <c r="T118" t="s">
        <v>57</v>
      </c>
      <c r="V118" t="s">
        <v>381</v>
      </c>
      <c r="W118" t="s">
        <v>832</v>
      </c>
      <c r="X118" t="s">
        <v>832</v>
      </c>
      <c r="AC118" s="13">
        <v>44742</v>
      </c>
      <c r="AD118" s="13">
        <v>44742</v>
      </c>
      <c r="AI118">
        <v>-53</v>
      </c>
      <c r="AN118" t="s">
        <v>31</v>
      </c>
      <c r="AO118">
        <v>0</v>
      </c>
      <c r="AS118" t="s">
        <v>538</v>
      </c>
      <c r="AX118" t="s">
        <v>57</v>
      </c>
      <c r="AY118" t="s">
        <v>386</v>
      </c>
      <c r="AZ118" t="s">
        <v>721</v>
      </c>
      <c r="BF118">
        <v>0</v>
      </c>
      <c r="BK118" t="s">
        <v>31</v>
      </c>
      <c r="BS118" t="s">
        <v>412</v>
      </c>
      <c r="CI118" t="s">
        <v>388</v>
      </c>
      <c r="CJ118" s="14">
        <v>45013</v>
      </c>
      <c r="CK118">
        <v>1</v>
      </c>
    </row>
    <row r="119" spans="1:89">
      <c r="A119" t="s">
        <v>797</v>
      </c>
      <c r="B119" t="s">
        <v>374</v>
      </c>
      <c r="C119" t="s">
        <v>607</v>
      </c>
      <c r="D119" t="s">
        <v>839</v>
      </c>
      <c r="E119" t="s">
        <v>840</v>
      </c>
      <c r="F119" s="13">
        <v>44795.505416666667</v>
      </c>
      <c r="G119" t="s">
        <v>641</v>
      </c>
      <c r="H119" t="s">
        <v>642</v>
      </c>
      <c r="I119" s="13">
        <v>44795.505428240744</v>
      </c>
      <c r="K119" t="s">
        <v>412</v>
      </c>
      <c r="M119" s="13">
        <v>44651</v>
      </c>
      <c r="R119">
        <v>0</v>
      </c>
      <c r="S119" t="s">
        <v>380</v>
      </c>
      <c r="T119" t="s">
        <v>57</v>
      </c>
      <c r="V119" t="s">
        <v>381</v>
      </c>
      <c r="W119" t="s">
        <v>832</v>
      </c>
      <c r="X119" t="s">
        <v>832</v>
      </c>
      <c r="AC119" s="13">
        <v>44651</v>
      </c>
      <c r="AD119" s="13">
        <v>44651</v>
      </c>
      <c r="AI119">
        <v>-144</v>
      </c>
      <c r="AN119" t="s">
        <v>31</v>
      </c>
      <c r="AO119">
        <v>0</v>
      </c>
      <c r="AS119" t="s">
        <v>385</v>
      </c>
      <c r="AX119" t="s">
        <v>57</v>
      </c>
      <c r="AY119" t="s">
        <v>386</v>
      </c>
      <c r="AZ119" t="s">
        <v>721</v>
      </c>
      <c r="BF119">
        <v>0</v>
      </c>
      <c r="BK119" t="s">
        <v>31</v>
      </c>
      <c r="BS119" t="s">
        <v>412</v>
      </c>
      <c r="CI119" t="s">
        <v>388</v>
      </c>
      <c r="CJ119" s="14">
        <v>45013</v>
      </c>
      <c r="CK119">
        <v>1</v>
      </c>
    </row>
    <row r="120" spans="1:89">
      <c r="A120" t="s">
        <v>841</v>
      </c>
      <c r="B120" t="s">
        <v>374</v>
      </c>
      <c r="C120" t="s">
        <v>842</v>
      </c>
      <c r="D120" t="s">
        <v>843</v>
      </c>
      <c r="E120" t="s">
        <v>844</v>
      </c>
      <c r="F120" s="13">
        <v>44795.505381944444</v>
      </c>
      <c r="G120" t="s">
        <v>641</v>
      </c>
      <c r="H120" t="s">
        <v>642</v>
      </c>
      <c r="I120" s="13">
        <v>44795.505393518521</v>
      </c>
      <c r="K120" t="s">
        <v>412</v>
      </c>
      <c r="M120" s="13">
        <v>44926</v>
      </c>
      <c r="R120">
        <v>0</v>
      </c>
      <c r="S120" t="s">
        <v>380</v>
      </c>
      <c r="T120" t="s">
        <v>57</v>
      </c>
      <c r="V120" t="s">
        <v>381</v>
      </c>
      <c r="W120" t="s">
        <v>845</v>
      </c>
      <c r="X120" t="s">
        <v>845</v>
      </c>
      <c r="AC120" s="13">
        <v>44926</v>
      </c>
      <c r="AD120" s="13">
        <v>44926</v>
      </c>
      <c r="AI120">
        <v>131</v>
      </c>
      <c r="AN120" t="s">
        <v>31</v>
      </c>
      <c r="AO120">
        <v>0</v>
      </c>
      <c r="AS120" t="s">
        <v>538</v>
      </c>
      <c r="AX120" t="s">
        <v>57</v>
      </c>
      <c r="AY120" t="s">
        <v>442</v>
      </c>
      <c r="AZ120" t="s">
        <v>721</v>
      </c>
      <c r="BF120">
        <v>0</v>
      </c>
      <c r="BK120" t="s">
        <v>31</v>
      </c>
      <c r="BS120" t="s">
        <v>412</v>
      </c>
      <c r="CI120" t="s">
        <v>388</v>
      </c>
      <c r="CJ120" s="14">
        <v>45013</v>
      </c>
      <c r="CK120">
        <v>1</v>
      </c>
    </row>
    <row r="121" spans="1:89">
      <c r="A121" t="s">
        <v>841</v>
      </c>
      <c r="B121" t="s">
        <v>374</v>
      </c>
      <c r="C121" t="s">
        <v>842</v>
      </c>
      <c r="D121" t="s">
        <v>846</v>
      </c>
      <c r="E121" t="s">
        <v>847</v>
      </c>
      <c r="F121" s="13">
        <v>44795.505370370367</v>
      </c>
      <c r="G121" t="s">
        <v>641</v>
      </c>
      <c r="H121" t="s">
        <v>642</v>
      </c>
      <c r="I121" s="13">
        <v>44795.505381944444</v>
      </c>
      <c r="K121" t="s">
        <v>412</v>
      </c>
      <c r="M121" s="13">
        <v>44742</v>
      </c>
      <c r="R121">
        <v>0</v>
      </c>
      <c r="S121" t="s">
        <v>380</v>
      </c>
      <c r="T121" t="s">
        <v>57</v>
      </c>
      <c r="V121" t="s">
        <v>381</v>
      </c>
      <c r="W121" t="s">
        <v>845</v>
      </c>
      <c r="X121" t="s">
        <v>845</v>
      </c>
      <c r="AC121" s="13">
        <v>44742</v>
      </c>
      <c r="AD121" s="13">
        <v>44742</v>
      </c>
      <c r="AI121">
        <v>-53</v>
      </c>
      <c r="AN121" t="s">
        <v>31</v>
      </c>
      <c r="AO121">
        <v>0</v>
      </c>
      <c r="AS121" t="s">
        <v>385</v>
      </c>
      <c r="AX121" t="s">
        <v>57</v>
      </c>
      <c r="AY121" t="s">
        <v>386</v>
      </c>
      <c r="AZ121" t="s">
        <v>721</v>
      </c>
      <c r="BF121">
        <v>0</v>
      </c>
      <c r="BK121" t="s">
        <v>31</v>
      </c>
      <c r="BS121" t="s">
        <v>412</v>
      </c>
      <c r="CI121" t="s">
        <v>388</v>
      </c>
      <c r="CJ121" s="14">
        <v>45013</v>
      </c>
      <c r="CK121">
        <v>1</v>
      </c>
    </row>
    <row r="122" spans="1:89">
      <c r="A122" t="s">
        <v>841</v>
      </c>
      <c r="B122" t="s">
        <v>374</v>
      </c>
      <c r="C122" t="s">
        <v>842</v>
      </c>
      <c r="D122" t="s">
        <v>848</v>
      </c>
      <c r="E122" t="s">
        <v>847</v>
      </c>
      <c r="F122" s="13">
        <v>44795.505347222221</v>
      </c>
      <c r="G122" t="s">
        <v>641</v>
      </c>
      <c r="H122" t="s">
        <v>642</v>
      </c>
      <c r="I122" s="13">
        <v>44795.505358796298</v>
      </c>
      <c r="K122" t="s">
        <v>412</v>
      </c>
      <c r="M122" s="13">
        <v>44742</v>
      </c>
      <c r="R122">
        <v>0</v>
      </c>
      <c r="S122" t="s">
        <v>380</v>
      </c>
      <c r="T122" t="s">
        <v>57</v>
      </c>
      <c r="V122" t="s">
        <v>381</v>
      </c>
      <c r="W122" t="s">
        <v>845</v>
      </c>
      <c r="X122" t="s">
        <v>845</v>
      </c>
      <c r="AC122" s="13">
        <v>44742</v>
      </c>
      <c r="AD122" s="13">
        <v>44742</v>
      </c>
      <c r="AI122">
        <v>-53</v>
      </c>
      <c r="AN122" t="s">
        <v>31</v>
      </c>
      <c r="AO122">
        <v>0</v>
      </c>
      <c r="AS122" t="s">
        <v>385</v>
      </c>
      <c r="AX122" t="s">
        <v>57</v>
      </c>
      <c r="AY122" t="s">
        <v>386</v>
      </c>
      <c r="AZ122" t="s">
        <v>721</v>
      </c>
      <c r="BF122">
        <v>0</v>
      </c>
      <c r="BK122" t="s">
        <v>31</v>
      </c>
      <c r="BS122" t="s">
        <v>412</v>
      </c>
      <c r="CI122" t="s">
        <v>388</v>
      </c>
      <c r="CJ122" s="14">
        <v>45013</v>
      </c>
      <c r="CK122">
        <v>1</v>
      </c>
    </row>
    <row r="123" spans="1:89">
      <c r="A123" t="s">
        <v>849</v>
      </c>
      <c r="B123" t="s">
        <v>374</v>
      </c>
      <c r="C123" t="s">
        <v>850</v>
      </c>
      <c r="D123" t="s">
        <v>851</v>
      </c>
      <c r="E123" t="s">
        <v>852</v>
      </c>
      <c r="F123" s="13">
        <v>44795.505324074074</v>
      </c>
      <c r="G123" t="s">
        <v>641</v>
      </c>
      <c r="H123" t="s">
        <v>642</v>
      </c>
      <c r="I123" s="13">
        <v>44795.505335648151</v>
      </c>
      <c r="K123" t="s">
        <v>412</v>
      </c>
      <c r="M123" s="13">
        <v>44651</v>
      </c>
      <c r="R123">
        <v>0</v>
      </c>
      <c r="S123" t="s">
        <v>380</v>
      </c>
      <c r="T123" t="s">
        <v>57</v>
      </c>
      <c r="V123" t="s">
        <v>381</v>
      </c>
      <c r="W123" t="s">
        <v>800</v>
      </c>
      <c r="X123" t="s">
        <v>800</v>
      </c>
      <c r="AC123" s="13">
        <v>44651</v>
      </c>
      <c r="AD123" s="13">
        <v>44651</v>
      </c>
      <c r="AI123">
        <v>-144</v>
      </c>
      <c r="AN123" t="s">
        <v>31</v>
      </c>
      <c r="AO123">
        <v>0</v>
      </c>
      <c r="AS123" t="s">
        <v>730</v>
      </c>
      <c r="AX123" t="s">
        <v>57</v>
      </c>
      <c r="AY123" t="s">
        <v>386</v>
      </c>
      <c r="AZ123" t="s">
        <v>721</v>
      </c>
      <c r="BF123">
        <v>0</v>
      </c>
      <c r="BK123" t="s">
        <v>31</v>
      </c>
      <c r="BS123" t="s">
        <v>412</v>
      </c>
      <c r="CI123" t="s">
        <v>388</v>
      </c>
      <c r="CJ123" s="14">
        <v>45013</v>
      </c>
      <c r="CK123">
        <v>1</v>
      </c>
    </row>
    <row r="124" spans="1:89">
      <c r="A124" t="s">
        <v>849</v>
      </c>
      <c r="B124" t="s">
        <v>374</v>
      </c>
      <c r="C124" t="s">
        <v>850</v>
      </c>
      <c r="D124" t="s">
        <v>853</v>
      </c>
      <c r="E124" t="s">
        <v>854</v>
      </c>
      <c r="F124" s="13">
        <v>44795.505300925928</v>
      </c>
      <c r="G124" t="s">
        <v>641</v>
      </c>
      <c r="H124" t="s">
        <v>642</v>
      </c>
      <c r="I124" s="13">
        <v>44795.505312499998</v>
      </c>
      <c r="K124" t="s">
        <v>412</v>
      </c>
      <c r="M124" s="13">
        <v>44651</v>
      </c>
      <c r="R124">
        <v>0</v>
      </c>
      <c r="S124" t="s">
        <v>380</v>
      </c>
      <c r="T124" t="s">
        <v>57</v>
      </c>
      <c r="V124" t="s">
        <v>381</v>
      </c>
      <c r="W124" t="s">
        <v>855</v>
      </c>
      <c r="X124" t="s">
        <v>855</v>
      </c>
      <c r="AC124" s="13">
        <v>44651</v>
      </c>
      <c r="AD124" s="13">
        <v>44651</v>
      </c>
      <c r="AI124">
        <v>-144</v>
      </c>
      <c r="AN124" t="s">
        <v>31</v>
      </c>
      <c r="AO124">
        <v>0</v>
      </c>
      <c r="AS124" t="s">
        <v>538</v>
      </c>
      <c r="AX124" t="s">
        <v>57</v>
      </c>
      <c r="AY124" t="s">
        <v>386</v>
      </c>
      <c r="AZ124" t="s">
        <v>721</v>
      </c>
      <c r="BF124">
        <v>0</v>
      </c>
      <c r="BK124" t="s">
        <v>31</v>
      </c>
      <c r="BS124" t="s">
        <v>412</v>
      </c>
      <c r="CI124" t="s">
        <v>388</v>
      </c>
      <c r="CJ124" s="14">
        <v>45013</v>
      </c>
      <c r="CK124">
        <v>1</v>
      </c>
    </row>
    <row r="125" spans="1:89">
      <c r="A125" t="s">
        <v>849</v>
      </c>
      <c r="B125" t="s">
        <v>374</v>
      </c>
      <c r="C125" t="s">
        <v>850</v>
      </c>
      <c r="D125" t="s">
        <v>856</v>
      </c>
      <c r="E125" t="s">
        <v>857</v>
      </c>
      <c r="F125" s="13">
        <v>44795.505289351851</v>
      </c>
      <c r="G125" t="s">
        <v>641</v>
      </c>
      <c r="H125" t="s">
        <v>642</v>
      </c>
      <c r="I125" s="13">
        <v>44795.505289351851</v>
      </c>
      <c r="K125" t="s">
        <v>412</v>
      </c>
      <c r="M125" s="13">
        <v>44469</v>
      </c>
      <c r="R125">
        <v>0</v>
      </c>
      <c r="S125" t="s">
        <v>380</v>
      </c>
      <c r="T125" t="s">
        <v>57</v>
      </c>
      <c r="V125" t="s">
        <v>381</v>
      </c>
      <c r="W125" t="s">
        <v>858</v>
      </c>
      <c r="X125" t="s">
        <v>858</v>
      </c>
      <c r="AC125" s="13">
        <v>44469</v>
      </c>
      <c r="AD125" s="13">
        <v>44469</v>
      </c>
      <c r="AI125">
        <v>-326</v>
      </c>
      <c r="AN125" t="s">
        <v>31</v>
      </c>
      <c r="AO125">
        <v>0</v>
      </c>
      <c r="AS125" t="s">
        <v>385</v>
      </c>
      <c r="AX125" t="s">
        <v>57</v>
      </c>
      <c r="AY125" t="s">
        <v>386</v>
      </c>
      <c r="AZ125" t="s">
        <v>721</v>
      </c>
      <c r="BF125">
        <v>0</v>
      </c>
      <c r="BK125" t="s">
        <v>31</v>
      </c>
      <c r="BS125" t="s">
        <v>412</v>
      </c>
      <c r="CI125" t="s">
        <v>388</v>
      </c>
      <c r="CJ125" s="14">
        <v>45013</v>
      </c>
      <c r="CK125">
        <v>1</v>
      </c>
    </row>
    <row r="126" spans="1:89">
      <c r="A126" t="s">
        <v>859</v>
      </c>
      <c r="B126" t="s">
        <v>374</v>
      </c>
      <c r="C126" t="s">
        <v>860</v>
      </c>
      <c r="D126" t="s">
        <v>861</v>
      </c>
      <c r="E126" t="s">
        <v>862</v>
      </c>
      <c r="F126" s="13">
        <v>44795.505266203705</v>
      </c>
      <c r="G126" t="s">
        <v>641</v>
      </c>
      <c r="H126" t="s">
        <v>642</v>
      </c>
      <c r="I126" s="13">
        <v>44795.505277777775</v>
      </c>
      <c r="K126" t="s">
        <v>412</v>
      </c>
      <c r="M126" s="13">
        <v>44469</v>
      </c>
      <c r="R126">
        <v>0</v>
      </c>
      <c r="S126" t="s">
        <v>380</v>
      </c>
      <c r="T126" t="s">
        <v>57</v>
      </c>
      <c r="V126" t="s">
        <v>381</v>
      </c>
      <c r="W126" t="s">
        <v>863</v>
      </c>
      <c r="X126" t="s">
        <v>863</v>
      </c>
      <c r="AC126" s="13">
        <v>44469</v>
      </c>
      <c r="AD126" s="13">
        <v>44469</v>
      </c>
      <c r="AI126">
        <v>-326</v>
      </c>
      <c r="AN126" t="s">
        <v>31</v>
      </c>
      <c r="AO126">
        <v>0</v>
      </c>
      <c r="AS126" t="s">
        <v>385</v>
      </c>
      <c r="AX126" t="s">
        <v>57</v>
      </c>
      <c r="AY126" t="s">
        <v>386</v>
      </c>
      <c r="AZ126" t="s">
        <v>721</v>
      </c>
      <c r="BF126">
        <v>0</v>
      </c>
      <c r="BK126" t="s">
        <v>31</v>
      </c>
      <c r="BS126" t="s">
        <v>412</v>
      </c>
      <c r="CI126" t="s">
        <v>388</v>
      </c>
      <c r="CJ126" s="14">
        <v>45013</v>
      </c>
      <c r="CK126">
        <v>1</v>
      </c>
    </row>
    <row r="127" spans="1:89">
      <c r="A127" t="s">
        <v>859</v>
      </c>
      <c r="B127" t="s">
        <v>374</v>
      </c>
      <c r="C127" t="s">
        <v>860</v>
      </c>
      <c r="D127" t="s">
        <v>864</v>
      </c>
      <c r="E127" t="s">
        <v>865</v>
      </c>
      <c r="F127" s="13">
        <v>44795.505243055559</v>
      </c>
      <c r="G127" t="s">
        <v>641</v>
      </c>
      <c r="H127" t="s">
        <v>642</v>
      </c>
      <c r="I127" s="13">
        <v>44795.505254629628</v>
      </c>
      <c r="K127" t="s">
        <v>412</v>
      </c>
      <c r="M127" s="13">
        <v>44696</v>
      </c>
      <c r="R127">
        <v>0</v>
      </c>
      <c r="S127" t="s">
        <v>380</v>
      </c>
      <c r="T127" t="s">
        <v>57</v>
      </c>
      <c r="V127" t="s">
        <v>381</v>
      </c>
      <c r="W127" t="s">
        <v>866</v>
      </c>
      <c r="X127" t="s">
        <v>866</v>
      </c>
      <c r="AC127" s="13">
        <v>44545</v>
      </c>
      <c r="AD127" s="13">
        <v>44545</v>
      </c>
      <c r="AI127">
        <v>-99</v>
      </c>
      <c r="AN127" t="s">
        <v>31</v>
      </c>
      <c r="AO127">
        <v>0</v>
      </c>
      <c r="AS127" t="s">
        <v>392</v>
      </c>
      <c r="AX127" t="s">
        <v>57</v>
      </c>
      <c r="AY127" t="s">
        <v>386</v>
      </c>
      <c r="AZ127" t="s">
        <v>721</v>
      </c>
      <c r="BF127">
        <v>0</v>
      </c>
      <c r="BK127" t="s">
        <v>31</v>
      </c>
      <c r="BS127" t="s">
        <v>412</v>
      </c>
      <c r="CI127" t="s">
        <v>388</v>
      </c>
      <c r="CJ127" s="14">
        <v>45013</v>
      </c>
      <c r="CK127">
        <v>1</v>
      </c>
    </row>
    <row r="128" spans="1:89">
      <c r="A128" t="s">
        <v>867</v>
      </c>
      <c r="B128" t="s">
        <v>374</v>
      </c>
      <c r="C128" t="s">
        <v>607</v>
      </c>
      <c r="D128" t="s">
        <v>868</v>
      </c>
      <c r="E128" t="s">
        <v>869</v>
      </c>
      <c r="F128" s="13">
        <v>44795.505231481482</v>
      </c>
      <c r="G128" t="s">
        <v>641</v>
      </c>
      <c r="H128" t="s">
        <v>642</v>
      </c>
      <c r="I128" s="13">
        <v>44795.505231481482</v>
      </c>
      <c r="K128" t="s">
        <v>412</v>
      </c>
      <c r="M128" s="13">
        <v>44696</v>
      </c>
      <c r="R128">
        <v>0</v>
      </c>
      <c r="S128" t="s">
        <v>380</v>
      </c>
      <c r="T128" t="s">
        <v>57</v>
      </c>
      <c r="V128" t="s">
        <v>381</v>
      </c>
      <c r="W128" t="s">
        <v>866</v>
      </c>
      <c r="X128" t="s">
        <v>866</v>
      </c>
      <c r="AC128" s="13">
        <v>44545</v>
      </c>
      <c r="AD128" s="13">
        <v>44545</v>
      </c>
      <c r="AI128">
        <v>-99</v>
      </c>
      <c r="AN128" t="s">
        <v>31</v>
      </c>
      <c r="AO128">
        <v>0</v>
      </c>
      <c r="AS128" t="s">
        <v>385</v>
      </c>
      <c r="AX128" t="s">
        <v>57</v>
      </c>
      <c r="AY128" t="s">
        <v>386</v>
      </c>
      <c r="AZ128" t="s">
        <v>721</v>
      </c>
      <c r="BF128">
        <v>0</v>
      </c>
      <c r="BK128" t="s">
        <v>31</v>
      </c>
      <c r="BS128" t="s">
        <v>412</v>
      </c>
      <c r="CI128" t="s">
        <v>388</v>
      </c>
      <c r="CJ128" s="14">
        <v>45013</v>
      </c>
      <c r="CK128">
        <v>1</v>
      </c>
    </row>
    <row r="129" spans="1:89">
      <c r="A129" t="s">
        <v>867</v>
      </c>
      <c r="B129" t="s">
        <v>374</v>
      </c>
      <c r="C129" t="s">
        <v>607</v>
      </c>
      <c r="D129" t="s">
        <v>870</v>
      </c>
      <c r="E129" t="s">
        <v>871</v>
      </c>
      <c r="F129" s="13">
        <v>44795.505208333336</v>
      </c>
      <c r="G129" t="s">
        <v>641</v>
      </c>
      <c r="H129" t="s">
        <v>642</v>
      </c>
      <c r="I129" s="13">
        <v>44795.505219907405</v>
      </c>
      <c r="K129" t="s">
        <v>412</v>
      </c>
      <c r="M129" s="13">
        <v>44651</v>
      </c>
      <c r="R129">
        <v>0</v>
      </c>
      <c r="S129" t="s">
        <v>380</v>
      </c>
      <c r="T129" t="s">
        <v>57</v>
      </c>
      <c r="V129" t="s">
        <v>381</v>
      </c>
      <c r="W129" t="s">
        <v>800</v>
      </c>
      <c r="X129" t="s">
        <v>800</v>
      </c>
      <c r="AC129" s="13">
        <v>44651</v>
      </c>
      <c r="AD129" s="13">
        <v>44651</v>
      </c>
      <c r="AI129">
        <v>-144</v>
      </c>
      <c r="AN129" t="s">
        <v>31</v>
      </c>
      <c r="AO129">
        <v>0</v>
      </c>
      <c r="AS129" t="s">
        <v>730</v>
      </c>
      <c r="AX129" t="s">
        <v>57</v>
      </c>
      <c r="AY129" t="s">
        <v>386</v>
      </c>
      <c r="AZ129" t="s">
        <v>721</v>
      </c>
      <c r="BF129">
        <v>0</v>
      </c>
      <c r="BK129" t="s">
        <v>31</v>
      </c>
      <c r="BS129" t="s">
        <v>412</v>
      </c>
      <c r="CI129" t="s">
        <v>388</v>
      </c>
      <c r="CJ129" s="14">
        <v>45013</v>
      </c>
      <c r="CK129">
        <v>1</v>
      </c>
    </row>
    <row r="130" spans="1:89">
      <c r="A130" t="s">
        <v>714</v>
      </c>
      <c r="B130" t="s">
        <v>374</v>
      </c>
      <c r="C130" t="s">
        <v>715</v>
      </c>
      <c r="D130" t="s">
        <v>872</v>
      </c>
      <c r="E130" t="s">
        <v>873</v>
      </c>
      <c r="F130" s="13">
        <v>44795.505185185182</v>
      </c>
      <c r="G130" t="s">
        <v>641</v>
      </c>
      <c r="H130" t="s">
        <v>642</v>
      </c>
      <c r="I130" s="13">
        <v>44795.505196759259</v>
      </c>
      <c r="K130" t="s">
        <v>412</v>
      </c>
      <c r="M130" s="13">
        <v>44742</v>
      </c>
      <c r="R130">
        <v>0</v>
      </c>
      <c r="S130" t="s">
        <v>416</v>
      </c>
      <c r="T130" t="s">
        <v>57</v>
      </c>
      <c r="V130" t="s">
        <v>381</v>
      </c>
      <c r="W130" t="s">
        <v>874</v>
      </c>
      <c r="X130" t="s">
        <v>874</v>
      </c>
      <c r="AC130" s="13">
        <v>44926</v>
      </c>
      <c r="AD130" s="13">
        <v>44926</v>
      </c>
      <c r="AI130">
        <v>-53</v>
      </c>
      <c r="AN130" t="s">
        <v>31</v>
      </c>
      <c r="AO130">
        <v>0</v>
      </c>
      <c r="AS130" t="s">
        <v>392</v>
      </c>
      <c r="AY130" t="s">
        <v>442</v>
      </c>
      <c r="AZ130" t="s">
        <v>875</v>
      </c>
      <c r="BF130">
        <v>0</v>
      </c>
      <c r="BK130" t="s">
        <v>31</v>
      </c>
      <c r="BS130" t="s">
        <v>412</v>
      </c>
      <c r="CI130" t="s">
        <v>388</v>
      </c>
      <c r="CJ130" s="14">
        <v>45013</v>
      </c>
      <c r="CK130">
        <v>1</v>
      </c>
    </row>
    <row r="131" spans="1:89">
      <c r="A131" t="s">
        <v>714</v>
      </c>
      <c r="B131" t="s">
        <v>374</v>
      </c>
      <c r="C131" t="s">
        <v>715</v>
      </c>
      <c r="D131" t="s">
        <v>876</v>
      </c>
      <c r="E131" t="s">
        <v>877</v>
      </c>
      <c r="F131" s="13">
        <v>44795.505173611113</v>
      </c>
      <c r="G131" t="s">
        <v>641</v>
      </c>
      <c r="H131" t="s">
        <v>642</v>
      </c>
      <c r="I131" s="13">
        <v>44795.505173611113</v>
      </c>
      <c r="K131" t="s">
        <v>412</v>
      </c>
      <c r="M131" s="13">
        <v>44651</v>
      </c>
      <c r="R131">
        <v>0</v>
      </c>
      <c r="S131" t="s">
        <v>416</v>
      </c>
      <c r="T131" t="s">
        <v>57</v>
      </c>
      <c r="V131" t="s">
        <v>381</v>
      </c>
      <c r="W131" t="s">
        <v>874</v>
      </c>
      <c r="X131" t="s">
        <v>874</v>
      </c>
      <c r="AC131" s="13">
        <v>44742</v>
      </c>
      <c r="AD131" s="13">
        <v>44742</v>
      </c>
      <c r="AI131">
        <v>-144</v>
      </c>
      <c r="AN131" t="s">
        <v>31</v>
      </c>
      <c r="AO131">
        <v>0</v>
      </c>
      <c r="AS131" t="s">
        <v>392</v>
      </c>
      <c r="AX131" t="s">
        <v>31</v>
      </c>
      <c r="AY131" t="s">
        <v>442</v>
      </c>
      <c r="AZ131" t="s">
        <v>875</v>
      </c>
      <c r="BF131">
        <v>0</v>
      </c>
      <c r="BK131" t="s">
        <v>31</v>
      </c>
      <c r="BS131" t="s">
        <v>412</v>
      </c>
      <c r="CI131" t="s">
        <v>388</v>
      </c>
      <c r="CJ131" s="14">
        <v>45013</v>
      </c>
      <c r="CK131">
        <v>1</v>
      </c>
    </row>
    <row r="132" spans="1:89">
      <c r="A132" t="s">
        <v>714</v>
      </c>
      <c r="B132" t="s">
        <v>374</v>
      </c>
      <c r="C132" t="s">
        <v>715</v>
      </c>
      <c r="D132" t="s">
        <v>878</v>
      </c>
      <c r="E132" t="s">
        <v>879</v>
      </c>
      <c r="F132" s="13">
        <v>44795.505150462966</v>
      </c>
      <c r="G132" t="s">
        <v>641</v>
      </c>
      <c r="H132" t="s">
        <v>642</v>
      </c>
      <c r="I132" s="13">
        <v>44795.505162037036</v>
      </c>
      <c r="K132" t="s">
        <v>412</v>
      </c>
      <c r="M132" s="13">
        <v>44957</v>
      </c>
      <c r="R132">
        <v>0</v>
      </c>
      <c r="S132" t="s">
        <v>416</v>
      </c>
      <c r="T132" t="s">
        <v>57</v>
      </c>
      <c r="V132" t="s">
        <v>381</v>
      </c>
      <c r="W132" t="s">
        <v>880</v>
      </c>
      <c r="X132" t="s">
        <v>880</v>
      </c>
      <c r="AC132" s="13">
        <v>44957</v>
      </c>
      <c r="AD132" s="13">
        <v>44957</v>
      </c>
      <c r="AI132">
        <v>162</v>
      </c>
      <c r="AN132" t="s">
        <v>31</v>
      </c>
      <c r="AO132">
        <v>0</v>
      </c>
      <c r="AS132" t="s">
        <v>881</v>
      </c>
      <c r="AX132" t="s">
        <v>57</v>
      </c>
      <c r="AY132" t="s">
        <v>442</v>
      </c>
      <c r="AZ132" t="s">
        <v>882</v>
      </c>
      <c r="BF132">
        <v>0</v>
      </c>
      <c r="BK132" t="s">
        <v>31</v>
      </c>
      <c r="BS132" t="s">
        <v>412</v>
      </c>
      <c r="CI132" t="s">
        <v>388</v>
      </c>
      <c r="CJ132" s="14">
        <v>45013</v>
      </c>
      <c r="CK132">
        <v>1</v>
      </c>
    </row>
    <row r="133" spans="1:89">
      <c r="A133" t="s">
        <v>883</v>
      </c>
      <c r="B133" t="s">
        <v>374</v>
      </c>
      <c r="C133" t="s">
        <v>473</v>
      </c>
      <c r="D133" t="s">
        <v>884</v>
      </c>
      <c r="E133" t="s">
        <v>885</v>
      </c>
      <c r="F133" s="13">
        <v>44795.505127314813</v>
      </c>
      <c r="G133" t="s">
        <v>641</v>
      </c>
      <c r="H133" t="s">
        <v>642</v>
      </c>
      <c r="I133" s="13">
        <v>44795.50513888889</v>
      </c>
      <c r="K133" t="s">
        <v>412</v>
      </c>
      <c r="M133" s="13">
        <v>44576</v>
      </c>
      <c r="R133">
        <v>0</v>
      </c>
      <c r="S133" t="s">
        <v>380</v>
      </c>
      <c r="T133" t="s">
        <v>57</v>
      </c>
      <c r="V133" t="s">
        <v>381</v>
      </c>
      <c r="W133" t="s">
        <v>886</v>
      </c>
      <c r="X133" t="s">
        <v>886</v>
      </c>
      <c r="AC133" s="13">
        <v>44576</v>
      </c>
      <c r="AD133" s="13">
        <v>44576</v>
      </c>
      <c r="AI133">
        <v>-219</v>
      </c>
      <c r="AN133" t="s">
        <v>31</v>
      </c>
      <c r="AO133">
        <v>0</v>
      </c>
      <c r="AS133" t="s">
        <v>385</v>
      </c>
      <c r="AX133" t="s">
        <v>57</v>
      </c>
      <c r="AY133" t="s">
        <v>386</v>
      </c>
      <c r="AZ133" t="s">
        <v>721</v>
      </c>
      <c r="BF133">
        <v>0</v>
      </c>
      <c r="BK133" t="s">
        <v>31</v>
      </c>
      <c r="BS133" t="s">
        <v>412</v>
      </c>
      <c r="CI133" t="s">
        <v>388</v>
      </c>
      <c r="CJ133" s="14">
        <v>45013</v>
      </c>
      <c r="CK133">
        <v>1</v>
      </c>
    </row>
    <row r="134" spans="1:89">
      <c r="A134" t="s">
        <v>883</v>
      </c>
      <c r="B134" t="s">
        <v>374</v>
      </c>
      <c r="C134" t="s">
        <v>473</v>
      </c>
      <c r="D134" t="s">
        <v>887</v>
      </c>
      <c r="E134" t="s">
        <v>888</v>
      </c>
      <c r="F134" s="13">
        <v>44795.505104166667</v>
      </c>
      <c r="G134" t="s">
        <v>641</v>
      </c>
      <c r="H134" t="s">
        <v>642</v>
      </c>
      <c r="I134" s="13">
        <v>44795.505115740743</v>
      </c>
      <c r="K134" t="s">
        <v>412</v>
      </c>
      <c r="M134" s="13">
        <v>44576</v>
      </c>
      <c r="R134">
        <v>0</v>
      </c>
      <c r="S134" t="s">
        <v>380</v>
      </c>
      <c r="T134" t="s">
        <v>57</v>
      </c>
      <c r="V134" t="s">
        <v>381</v>
      </c>
      <c r="W134" t="s">
        <v>886</v>
      </c>
      <c r="X134" t="s">
        <v>886</v>
      </c>
      <c r="AC134" s="13">
        <v>44576</v>
      </c>
      <c r="AD134" s="13">
        <v>44576</v>
      </c>
      <c r="AI134">
        <v>-219</v>
      </c>
      <c r="AN134" t="s">
        <v>31</v>
      </c>
      <c r="AO134">
        <v>0</v>
      </c>
      <c r="AS134" t="s">
        <v>385</v>
      </c>
      <c r="AX134" t="s">
        <v>57</v>
      </c>
      <c r="AY134" t="s">
        <v>386</v>
      </c>
      <c r="AZ134" t="s">
        <v>721</v>
      </c>
      <c r="BF134">
        <v>0</v>
      </c>
      <c r="BK134" t="s">
        <v>31</v>
      </c>
      <c r="BS134" t="s">
        <v>412</v>
      </c>
      <c r="CI134" t="s">
        <v>388</v>
      </c>
      <c r="CJ134" s="14">
        <v>45013</v>
      </c>
      <c r="CK134">
        <v>1</v>
      </c>
    </row>
    <row r="135" spans="1:89">
      <c r="A135" t="s">
        <v>883</v>
      </c>
      <c r="B135" t="s">
        <v>374</v>
      </c>
      <c r="C135" t="s">
        <v>473</v>
      </c>
      <c r="D135" t="s">
        <v>889</v>
      </c>
      <c r="E135" t="s">
        <v>890</v>
      </c>
      <c r="F135" s="13">
        <v>44795.50509259259</v>
      </c>
      <c r="G135" t="s">
        <v>641</v>
      </c>
      <c r="H135" t="s">
        <v>642</v>
      </c>
      <c r="I135" s="13">
        <v>44795.505104166667</v>
      </c>
      <c r="K135" t="s">
        <v>412</v>
      </c>
      <c r="M135" s="13">
        <v>44576</v>
      </c>
      <c r="R135">
        <v>0</v>
      </c>
      <c r="S135" t="s">
        <v>380</v>
      </c>
      <c r="T135" t="s">
        <v>57</v>
      </c>
      <c r="V135" t="s">
        <v>381</v>
      </c>
      <c r="W135" t="s">
        <v>886</v>
      </c>
      <c r="X135" t="s">
        <v>886</v>
      </c>
      <c r="AC135" s="13">
        <v>44576</v>
      </c>
      <c r="AD135" s="13">
        <v>44576</v>
      </c>
      <c r="AI135">
        <v>-219</v>
      </c>
      <c r="AN135" t="s">
        <v>31</v>
      </c>
      <c r="AO135">
        <v>0</v>
      </c>
      <c r="AS135" t="s">
        <v>385</v>
      </c>
      <c r="AX135" t="s">
        <v>57</v>
      </c>
      <c r="AY135" t="s">
        <v>386</v>
      </c>
      <c r="AZ135" t="s">
        <v>721</v>
      </c>
      <c r="BF135">
        <v>0</v>
      </c>
      <c r="BK135" t="s">
        <v>31</v>
      </c>
      <c r="BS135" t="s">
        <v>412</v>
      </c>
      <c r="CI135" t="s">
        <v>388</v>
      </c>
      <c r="CJ135" s="14">
        <v>45013</v>
      </c>
      <c r="CK135">
        <v>1</v>
      </c>
    </row>
    <row r="136" spans="1:89">
      <c r="A136" t="s">
        <v>883</v>
      </c>
      <c r="B136" t="s">
        <v>374</v>
      </c>
      <c r="C136" t="s">
        <v>473</v>
      </c>
      <c r="D136" t="s">
        <v>891</v>
      </c>
      <c r="E136" t="s">
        <v>892</v>
      </c>
      <c r="F136" s="13">
        <v>44795.505069444444</v>
      </c>
      <c r="G136" t="s">
        <v>641</v>
      </c>
      <c r="H136" t="s">
        <v>642</v>
      </c>
      <c r="I136" s="13">
        <v>44795.50508101852</v>
      </c>
      <c r="K136" t="s">
        <v>412</v>
      </c>
      <c r="M136" s="13">
        <v>44576</v>
      </c>
      <c r="R136">
        <v>0</v>
      </c>
      <c r="S136" t="s">
        <v>380</v>
      </c>
      <c r="T136" t="s">
        <v>57</v>
      </c>
      <c r="V136" t="s">
        <v>381</v>
      </c>
      <c r="W136" t="s">
        <v>886</v>
      </c>
      <c r="X136" t="s">
        <v>886</v>
      </c>
      <c r="AC136" s="13">
        <v>44576</v>
      </c>
      <c r="AD136" s="13">
        <v>44576</v>
      </c>
      <c r="AI136">
        <v>-219</v>
      </c>
      <c r="AN136" t="s">
        <v>31</v>
      </c>
      <c r="AO136">
        <v>0</v>
      </c>
      <c r="AS136" t="s">
        <v>385</v>
      </c>
      <c r="AX136" t="s">
        <v>57</v>
      </c>
      <c r="AY136" t="s">
        <v>386</v>
      </c>
      <c r="AZ136" t="s">
        <v>721</v>
      </c>
      <c r="BF136">
        <v>0</v>
      </c>
      <c r="BK136" t="s">
        <v>31</v>
      </c>
      <c r="BS136" t="s">
        <v>412</v>
      </c>
      <c r="CI136" t="s">
        <v>388</v>
      </c>
      <c r="CJ136" s="14">
        <v>45013</v>
      </c>
      <c r="CK136">
        <v>1</v>
      </c>
    </row>
    <row r="137" spans="1:89">
      <c r="A137" t="s">
        <v>883</v>
      </c>
      <c r="B137" t="s">
        <v>374</v>
      </c>
      <c r="C137" t="s">
        <v>473</v>
      </c>
      <c r="D137" t="s">
        <v>893</v>
      </c>
      <c r="E137" t="s">
        <v>894</v>
      </c>
      <c r="F137" s="13">
        <v>44795.50503472222</v>
      </c>
      <c r="G137" t="s">
        <v>641</v>
      </c>
      <c r="H137" t="s">
        <v>642</v>
      </c>
      <c r="I137" s="13">
        <v>44795.505057870374</v>
      </c>
      <c r="K137" t="s">
        <v>412</v>
      </c>
      <c r="M137" s="13">
        <v>44576</v>
      </c>
      <c r="R137">
        <v>0</v>
      </c>
      <c r="S137" t="s">
        <v>380</v>
      </c>
      <c r="T137" t="s">
        <v>57</v>
      </c>
      <c r="V137" t="s">
        <v>381</v>
      </c>
      <c r="W137" t="s">
        <v>886</v>
      </c>
      <c r="X137" t="s">
        <v>886</v>
      </c>
      <c r="AC137" s="13">
        <v>44576</v>
      </c>
      <c r="AD137" s="13">
        <v>44576</v>
      </c>
      <c r="AI137">
        <v>-219</v>
      </c>
      <c r="AN137" t="s">
        <v>31</v>
      </c>
      <c r="AO137">
        <v>0</v>
      </c>
      <c r="AS137" t="s">
        <v>385</v>
      </c>
      <c r="AX137" t="s">
        <v>57</v>
      </c>
      <c r="AY137" t="s">
        <v>386</v>
      </c>
      <c r="AZ137" t="s">
        <v>721</v>
      </c>
      <c r="BF137">
        <v>0</v>
      </c>
      <c r="BK137" t="s">
        <v>31</v>
      </c>
      <c r="BS137" t="s">
        <v>412</v>
      </c>
      <c r="CI137" t="s">
        <v>388</v>
      </c>
      <c r="CJ137" s="14">
        <v>45013</v>
      </c>
      <c r="CK137">
        <v>1</v>
      </c>
    </row>
    <row r="138" spans="1:89">
      <c r="A138" t="s">
        <v>895</v>
      </c>
      <c r="B138" t="s">
        <v>374</v>
      </c>
      <c r="C138" t="s">
        <v>896</v>
      </c>
      <c r="D138" t="s">
        <v>897</v>
      </c>
      <c r="E138" t="s">
        <v>898</v>
      </c>
      <c r="F138" s="13">
        <v>44795.505011574074</v>
      </c>
      <c r="G138" t="s">
        <v>641</v>
      </c>
      <c r="H138" t="s">
        <v>642</v>
      </c>
      <c r="I138" s="13">
        <v>44795.50503472222</v>
      </c>
      <c r="K138" t="s">
        <v>412</v>
      </c>
      <c r="M138" s="13">
        <v>44545</v>
      </c>
      <c r="R138">
        <v>0</v>
      </c>
      <c r="S138" t="s">
        <v>380</v>
      </c>
      <c r="T138" t="s">
        <v>57</v>
      </c>
      <c r="V138" t="s">
        <v>381</v>
      </c>
      <c r="W138" t="s">
        <v>899</v>
      </c>
      <c r="X138" t="s">
        <v>899</v>
      </c>
      <c r="AC138" s="13">
        <v>44545</v>
      </c>
      <c r="AD138" s="13">
        <v>44545</v>
      </c>
      <c r="AI138">
        <v>-250</v>
      </c>
      <c r="AN138" t="s">
        <v>31</v>
      </c>
      <c r="AO138">
        <v>0</v>
      </c>
      <c r="AS138" t="s">
        <v>461</v>
      </c>
      <c r="AX138" t="s">
        <v>57</v>
      </c>
      <c r="AY138" t="s">
        <v>386</v>
      </c>
      <c r="AZ138" t="s">
        <v>721</v>
      </c>
      <c r="BF138">
        <v>0</v>
      </c>
      <c r="BK138" t="s">
        <v>31</v>
      </c>
      <c r="BS138" t="s">
        <v>412</v>
      </c>
      <c r="CI138" t="s">
        <v>388</v>
      </c>
      <c r="CJ138" s="14">
        <v>45013</v>
      </c>
      <c r="CK138">
        <v>1</v>
      </c>
    </row>
    <row r="139" spans="1:89">
      <c r="A139" t="s">
        <v>895</v>
      </c>
      <c r="B139" t="s">
        <v>374</v>
      </c>
      <c r="C139" t="s">
        <v>896</v>
      </c>
      <c r="D139" t="s">
        <v>900</v>
      </c>
      <c r="E139" t="s">
        <v>901</v>
      </c>
      <c r="F139" s="13">
        <v>44795.504988425928</v>
      </c>
      <c r="G139" t="s">
        <v>641</v>
      </c>
      <c r="H139" t="s">
        <v>642</v>
      </c>
      <c r="I139" s="13">
        <v>44795.505011574074</v>
      </c>
      <c r="K139" t="s">
        <v>412</v>
      </c>
      <c r="M139" s="13">
        <v>44545</v>
      </c>
      <c r="R139">
        <v>0</v>
      </c>
      <c r="S139" t="s">
        <v>380</v>
      </c>
      <c r="T139" t="s">
        <v>57</v>
      </c>
      <c r="V139" t="s">
        <v>381</v>
      </c>
      <c r="W139" t="s">
        <v>899</v>
      </c>
      <c r="X139" t="s">
        <v>899</v>
      </c>
      <c r="AC139" s="13">
        <v>44545</v>
      </c>
      <c r="AD139" s="13">
        <v>44545</v>
      </c>
      <c r="AI139">
        <v>-250</v>
      </c>
      <c r="AN139" t="s">
        <v>31</v>
      </c>
      <c r="AO139">
        <v>0</v>
      </c>
      <c r="AS139" t="s">
        <v>385</v>
      </c>
      <c r="AX139" t="s">
        <v>57</v>
      </c>
      <c r="AY139" t="s">
        <v>386</v>
      </c>
      <c r="AZ139" t="s">
        <v>721</v>
      </c>
      <c r="BF139">
        <v>0</v>
      </c>
      <c r="BK139" t="s">
        <v>31</v>
      </c>
      <c r="BS139" t="s">
        <v>412</v>
      </c>
      <c r="CI139" t="s">
        <v>388</v>
      </c>
      <c r="CJ139" s="14">
        <v>45013</v>
      </c>
      <c r="CK139">
        <v>1</v>
      </c>
    </row>
    <row r="140" spans="1:89">
      <c r="A140" t="s">
        <v>902</v>
      </c>
      <c r="B140" t="s">
        <v>374</v>
      </c>
      <c r="C140" t="s">
        <v>903</v>
      </c>
      <c r="D140" t="s">
        <v>904</v>
      </c>
      <c r="E140" t="s">
        <v>905</v>
      </c>
      <c r="F140" s="13">
        <v>44795.504965277774</v>
      </c>
      <c r="G140" t="s">
        <v>641</v>
      </c>
      <c r="H140" t="s">
        <v>642</v>
      </c>
      <c r="I140" s="13">
        <v>44795.504976851851</v>
      </c>
      <c r="K140" t="s">
        <v>412</v>
      </c>
      <c r="M140" s="13">
        <v>44545</v>
      </c>
      <c r="R140">
        <v>0</v>
      </c>
      <c r="S140" t="s">
        <v>416</v>
      </c>
      <c r="T140" t="s">
        <v>57</v>
      </c>
      <c r="V140" t="s">
        <v>381</v>
      </c>
      <c r="W140" t="s">
        <v>906</v>
      </c>
      <c r="X140" t="s">
        <v>906</v>
      </c>
      <c r="AC140" s="13">
        <v>44545</v>
      </c>
      <c r="AD140" s="13">
        <v>44545</v>
      </c>
      <c r="AI140">
        <v>-250</v>
      </c>
      <c r="AN140" t="s">
        <v>31</v>
      </c>
      <c r="AO140">
        <v>0</v>
      </c>
      <c r="AS140" t="s">
        <v>385</v>
      </c>
      <c r="AX140" t="s">
        <v>57</v>
      </c>
      <c r="AY140" t="s">
        <v>386</v>
      </c>
      <c r="AZ140" t="s">
        <v>721</v>
      </c>
      <c r="BF140">
        <v>0</v>
      </c>
      <c r="BK140" t="s">
        <v>31</v>
      </c>
      <c r="BS140" t="s">
        <v>412</v>
      </c>
      <c r="CI140" t="s">
        <v>388</v>
      </c>
      <c r="CJ140" s="14">
        <v>45013</v>
      </c>
      <c r="CK140">
        <v>1</v>
      </c>
    </row>
    <row r="141" spans="1:89">
      <c r="A141" t="s">
        <v>902</v>
      </c>
      <c r="B141" t="s">
        <v>374</v>
      </c>
      <c r="C141" t="s">
        <v>903</v>
      </c>
      <c r="D141" t="s">
        <v>907</v>
      </c>
      <c r="E141" t="s">
        <v>908</v>
      </c>
      <c r="F141" s="13">
        <v>44795.504942129628</v>
      </c>
      <c r="G141" t="s">
        <v>641</v>
      </c>
      <c r="H141" t="s">
        <v>642</v>
      </c>
      <c r="I141" s="13">
        <v>44795.504953703705</v>
      </c>
      <c r="K141" t="s">
        <v>412</v>
      </c>
      <c r="M141" s="13">
        <v>44545</v>
      </c>
      <c r="R141">
        <v>0</v>
      </c>
      <c r="S141" t="s">
        <v>380</v>
      </c>
      <c r="T141" t="s">
        <v>57</v>
      </c>
      <c r="V141" t="s">
        <v>381</v>
      </c>
      <c r="W141" t="s">
        <v>909</v>
      </c>
      <c r="X141" t="s">
        <v>909</v>
      </c>
      <c r="AC141" s="13">
        <v>44545</v>
      </c>
      <c r="AD141" s="13">
        <v>44545</v>
      </c>
      <c r="AI141">
        <v>-250</v>
      </c>
      <c r="AN141" t="s">
        <v>31</v>
      </c>
      <c r="AO141">
        <v>0</v>
      </c>
      <c r="AS141" t="s">
        <v>702</v>
      </c>
      <c r="AX141" t="s">
        <v>57</v>
      </c>
      <c r="AY141" t="s">
        <v>386</v>
      </c>
      <c r="AZ141" t="s">
        <v>721</v>
      </c>
      <c r="BF141">
        <v>0</v>
      </c>
      <c r="BK141" t="s">
        <v>31</v>
      </c>
      <c r="BS141" t="s">
        <v>412</v>
      </c>
      <c r="CI141" t="s">
        <v>388</v>
      </c>
      <c r="CJ141" s="14">
        <v>45013</v>
      </c>
      <c r="CK141">
        <v>1</v>
      </c>
    </row>
    <row r="142" spans="1:89">
      <c r="A142" t="s">
        <v>895</v>
      </c>
      <c r="B142" t="s">
        <v>374</v>
      </c>
      <c r="C142" t="s">
        <v>896</v>
      </c>
      <c r="D142" t="s">
        <v>910</v>
      </c>
      <c r="E142" t="s">
        <v>911</v>
      </c>
      <c r="F142" s="13">
        <v>44795.504918981482</v>
      </c>
      <c r="G142" t="s">
        <v>641</v>
      </c>
      <c r="H142" t="s">
        <v>642</v>
      </c>
      <c r="I142" s="13">
        <v>44795.504930555559</v>
      </c>
      <c r="K142" t="s">
        <v>412</v>
      </c>
      <c r="M142" s="13">
        <v>44576</v>
      </c>
      <c r="R142">
        <v>0</v>
      </c>
      <c r="S142" t="s">
        <v>380</v>
      </c>
      <c r="T142" t="s">
        <v>57</v>
      </c>
      <c r="V142" t="s">
        <v>381</v>
      </c>
      <c r="W142" t="s">
        <v>912</v>
      </c>
      <c r="X142" t="s">
        <v>912</v>
      </c>
      <c r="AC142" s="13">
        <v>44576</v>
      </c>
      <c r="AD142" s="13">
        <v>44576</v>
      </c>
      <c r="AI142">
        <v>-219</v>
      </c>
      <c r="AN142" t="s">
        <v>31</v>
      </c>
      <c r="AO142">
        <v>0</v>
      </c>
      <c r="AS142" t="s">
        <v>702</v>
      </c>
      <c r="AX142" t="s">
        <v>57</v>
      </c>
      <c r="AY142" t="s">
        <v>386</v>
      </c>
      <c r="AZ142" t="s">
        <v>721</v>
      </c>
      <c r="BF142">
        <v>0</v>
      </c>
      <c r="BK142" t="s">
        <v>31</v>
      </c>
      <c r="BS142" t="s">
        <v>412</v>
      </c>
      <c r="CI142" t="s">
        <v>388</v>
      </c>
      <c r="CJ142" s="14">
        <v>45013</v>
      </c>
      <c r="CK142">
        <v>1</v>
      </c>
    </row>
    <row r="143" spans="1:89">
      <c r="A143" t="s">
        <v>895</v>
      </c>
      <c r="B143" t="s">
        <v>374</v>
      </c>
      <c r="C143" t="s">
        <v>896</v>
      </c>
      <c r="D143" t="s">
        <v>913</v>
      </c>
      <c r="E143" t="s">
        <v>914</v>
      </c>
      <c r="F143" s="13">
        <v>44795.504895833335</v>
      </c>
      <c r="G143" t="s">
        <v>641</v>
      </c>
      <c r="H143" t="s">
        <v>642</v>
      </c>
      <c r="I143" s="13">
        <v>44795.504907407405</v>
      </c>
      <c r="K143" t="s">
        <v>412</v>
      </c>
      <c r="M143" s="13">
        <v>44545</v>
      </c>
      <c r="R143">
        <v>0</v>
      </c>
      <c r="S143" t="s">
        <v>380</v>
      </c>
      <c r="T143" t="s">
        <v>57</v>
      </c>
      <c r="V143" t="s">
        <v>381</v>
      </c>
      <c r="W143" t="s">
        <v>912</v>
      </c>
      <c r="X143" t="s">
        <v>912</v>
      </c>
      <c r="AC143" s="13">
        <v>44545</v>
      </c>
      <c r="AD143" s="13">
        <v>44545</v>
      </c>
      <c r="AI143">
        <v>-250</v>
      </c>
      <c r="AN143" t="s">
        <v>31</v>
      </c>
      <c r="AO143">
        <v>0</v>
      </c>
      <c r="AS143" t="s">
        <v>385</v>
      </c>
      <c r="AX143" t="s">
        <v>57</v>
      </c>
      <c r="AY143" t="s">
        <v>386</v>
      </c>
      <c r="AZ143" t="s">
        <v>721</v>
      </c>
      <c r="BF143">
        <v>0</v>
      </c>
      <c r="BK143" t="s">
        <v>31</v>
      </c>
      <c r="BS143" t="s">
        <v>412</v>
      </c>
      <c r="CI143" t="s">
        <v>388</v>
      </c>
      <c r="CJ143" s="14">
        <v>45013</v>
      </c>
      <c r="CK143">
        <v>1</v>
      </c>
    </row>
    <row r="144" spans="1:89">
      <c r="A144" t="s">
        <v>915</v>
      </c>
      <c r="B144" t="s">
        <v>374</v>
      </c>
      <c r="C144" t="s">
        <v>916</v>
      </c>
      <c r="D144" t="s">
        <v>917</v>
      </c>
      <c r="E144" t="s">
        <v>918</v>
      </c>
      <c r="F144" s="13">
        <v>44795.504872685182</v>
      </c>
      <c r="G144" t="s">
        <v>641</v>
      </c>
      <c r="H144" t="s">
        <v>642</v>
      </c>
      <c r="I144" s="13">
        <v>44795.504884259259</v>
      </c>
      <c r="K144" t="s">
        <v>412</v>
      </c>
      <c r="M144" s="13">
        <v>44456</v>
      </c>
      <c r="R144">
        <v>0</v>
      </c>
      <c r="S144" t="s">
        <v>380</v>
      </c>
      <c r="T144" t="s">
        <v>57</v>
      </c>
      <c r="V144" t="s">
        <v>381</v>
      </c>
      <c r="W144" t="s">
        <v>912</v>
      </c>
      <c r="X144" t="s">
        <v>912</v>
      </c>
      <c r="AC144" s="13">
        <v>44456</v>
      </c>
      <c r="AD144" s="13">
        <v>44456</v>
      </c>
      <c r="AI144">
        <v>-339</v>
      </c>
      <c r="AN144" t="s">
        <v>31</v>
      </c>
      <c r="AO144">
        <v>0</v>
      </c>
      <c r="AS144" t="s">
        <v>385</v>
      </c>
      <c r="AX144" t="s">
        <v>57</v>
      </c>
      <c r="AY144" t="s">
        <v>386</v>
      </c>
      <c r="AZ144" t="s">
        <v>721</v>
      </c>
      <c r="BF144">
        <v>0</v>
      </c>
      <c r="BK144" t="s">
        <v>31</v>
      </c>
      <c r="BS144" t="s">
        <v>412</v>
      </c>
      <c r="CI144" t="s">
        <v>388</v>
      </c>
      <c r="CJ144" s="14">
        <v>45013</v>
      </c>
      <c r="CK144">
        <v>1</v>
      </c>
    </row>
    <row r="145" spans="1:89">
      <c r="A145" t="s">
        <v>895</v>
      </c>
      <c r="B145" t="s">
        <v>374</v>
      </c>
      <c r="C145" t="s">
        <v>896</v>
      </c>
      <c r="D145" t="s">
        <v>919</v>
      </c>
      <c r="E145" t="s">
        <v>920</v>
      </c>
      <c r="F145" s="13">
        <v>44795.504849537036</v>
      </c>
      <c r="G145" t="s">
        <v>641</v>
      </c>
      <c r="H145" t="s">
        <v>642</v>
      </c>
      <c r="I145" s="13">
        <v>44795.504861111112</v>
      </c>
      <c r="K145" t="s">
        <v>412</v>
      </c>
      <c r="M145" s="13">
        <v>44484</v>
      </c>
      <c r="R145">
        <v>0</v>
      </c>
      <c r="S145" t="s">
        <v>380</v>
      </c>
      <c r="T145" t="s">
        <v>57</v>
      </c>
      <c r="V145" t="s">
        <v>381</v>
      </c>
      <c r="W145" t="s">
        <v>921</v>
      </c>
      <c r="X145" t="s">
        <v>921</v>
      </c>
      <c r="AC145" s="13">
        <v>44484</v>
      </c>
      <c r="AD145" s="13">
        <v>44484</v>
      </c>
      <c r="AI145">
        <v>-311</v>
      </c>
      <c r="AN145" t="s">
        <v>31</v>
      </c>
      <c r="AO145">
        <v>0</v>
      </c>
      <c r="AS145" t="s">
        <v>385</v>
      </c>
      <c r="AX145" t="s">
        <v>57</v>
      </c>
      <c r="AY145" t="s">
        <v>386</v>
      </c>
      <c r="AZ145" t="s">
        <v>721</v>
      </c>
      <c r="BF145">
        <v>0</v>
      </c>
      <c r="BK145" t="s">
        <v>31</v>
      </c>
      <c r="BS145" t="s">
        <v>412</v>
      </c>
      <c r="CI145" t="s">
        <v>388</v>
      </c>
      <c r="CJ145" s="14">
        <v>45013</v>
      </c>
      <c r="CK145">
        <v>1</v>
      </c>
    </row>
    <row r="146" spans="1:89">
      <c r="A146" t="s">
        <v>895</v>
      </c>
      <c r="B146" t="s">
        <v>374</v>
      </c>
      <c r="C146" t="s">
        <v>896</v>
      </c>
      <c r="D146" t="s">
        <v>922</v>
      </c>
      <c r="E146" t="s">
        <v>923</v>
      </c>
      <c r="F146" s="13">
        <v>44795.504826388889</v>
      </c>
      <c r="G146" t="s">
        <v>641</v>
      </c>
      <c r="H146" t="s">
        <v>642</v>
      </c>
      <c r="I146" s="13">
        <v>44795.504837962966</v>
      </c>
      <c r="K146" t="s">
        <v>412</v>
      </c>
      <c r="M146" s="13">
        <v>44530</v>
      </c>
      <c r="R146">
        <v>0</v>
      </c>
      <c r="S146" t="s">
        <v>380</v>
      </c>
      <c r="T146" t="s">
        <v>57</v>
      </c>
      <c r="V146" t="s">
        <v>381</v>
      </c>
      <c r="W146" t="s">
        <v>924</v>
      </c>
      <c r="X146" t="s">
        <v>924</v>
      </c>
      <c r="AC146" s="13">
        <v>44530</v>
      </c>
      <c r="AD146" s="13">
        <v>44530</v>
      </c>
      <c r="AI146">
        <v>-265</v>
      </c>
      <c r="AN146" t="s">
        <v>31</v>
      </c>
      <c r="AO146">
        <v>0</v>
      </c>
      <c r="AS146" t="s">
        <v>385</v>
      </c>
      <c r="AX146" t="s">
        <v>57</v>
      </c>
      <c r="AY146" t="s">
        <v>386</v>
      </c>
      <c r="AZ146" t="s">
        <v>721</v>
      </c>
      <c r="BF146">
        <v>0</v>
      </c>
      <c r="BK146" t="s">
        <v>31</v>
      </c>
      <c r="BS146" t="s">
        <v>412</v>
      </c>
      <c r="CI146" t="s">
        <v>388</v>
      </c>
      <c r="CJ146" s="14">
        <v>45013</v>
      </c>
      <c r="CK146">
        <v>1</v>
      </c>
    </row>
    <row r="147" spans="1:89">
      <c r="A147" t="s">
        <v>895</v>
      </c>
      <c r="B147" t="s">
        <v>374</v>
      </c>
      <c r="C147" t="s">
        <v>896</v>
      </c>
      <c r="D147" t="s">
        <v>925</v>
      </c>
      <c r="E147" t="s">
        <v>926</v>
      </c>
      <c r="F147" s="13">
        <v>44795.504803240743</v>
      </c>
      <c r="G147" t="s">
        <v>641</v>
      </c>
      <c r="H147" t="s">
        <v>642</v>
      </c>
      <c r="I147" s="13">
        <v>44795.504814814813</v>
      </c>
      <c r="K147" t="s">
        <v>412</v>
      </c>
      <c r="M147" s="13">
        <v>44484</v>
      </c>
      <c r="R147">
        <v>0</v>
      </c>
      <c r="S147" t="s">
        <v>380</v>
      </c>
      <c r="T147" t="s">
        <v>57</v>
      </c>
      <c r="V147" t="s">
        <v>381</v>
      </c>
      <c r="W147" t="s">
        <v>927</v>
      </c>
      <c r="X147" t="s">
        <v>927</v>
      </c>
      <c r="AC147" s="13">
        <v>44484</v>
      </c>
      <c r="AD147" s="13">
        <v>44484</v>
      </c>
      <c r="AI147">
        <v>-311</v>
      </c>
      <c r="AN147" t="s">
        <v>31</v>
      </c>
      <c r="AO147">
        <v>0</v>
      </c>
      <c r="AS147" t="s">
        <v>385</v>
      </c>
      <c r="AX147" t="s">
        <v>57</v>
      </c>
      <c r="AY147" t="s">
        <v>386</v>
      </c>
      <c r="AZ147" t="s">
        <v>721</v>
      </c>
      <c r="BF147">
        <v>0</v>
      </c>
      <c r="BK147" t="s">
        <v>31</v>
      </c>
      <c r="BS147" t="s">
        <v>412</v>
      </c>
      <c r="CI147" t="s">
        <v>388</v>
      </c>
      <c r="CJ147" s="14">
        <v>45013</v>
      </c>
      <c r="CK147">
        <v>1</v>
      </c>
    </row>
    <row r="148" spans="1:89">
      <c r="A148" t="s">
        <v>928</v>
      </c>
      <c r="B148" t="s">
        <v>374</v>
      </c>
      <c r="C148" t="s">
        <v>392</v>
      </c>
      <c r="D148" t="s">
        <v>929</v>
      </c>
      <c r="E148" t="s">
        <v>930</v>
      </c>
      <c r="F148" s="13">
        <v>44795.504780092589</v>
      </c>
      <c r="G148" t="s">
        <v>641</v>
      </c>
      <c r="H148" t="s">
        <v>642</v>
      </c>
      <c r="I148" s="13">
        <v>44795.504791666666</v>
      </c>
      <c r="K148" t="s">
        <v>412</v>
      </c>
      <c r="M148" s="13">
        <v>44484</v>
      </c>
      <c r="R148">
        <v>0</v>
      </c>
      <c r="S148" t="s">
        <v>416</v>
      </c>
      <c r="T148" t="s">
        <v>57</v>
      </c>
      <c r="V148" t="s">
        <v>381</v>
      </c>
      <c r="W148" t="s">
        <v>931</v>
      </c>
      <c r="X148" t="s">
        <v>931</v>
      </c>
      <c r="AC148" s="13">
        <v>44484</v>
      </c>
      <c r="AD148" s="13">
        <v>44484</v>
      </c>
      <c r="AI148">
        <v>-311</v>
      </c>
      <c r="AN148" t="s">
        <v>31</v>
      </c>
      <c r="AO148">
        <v>0</v>
      </c>
      <c r="AS148" t="s">
        <v>385</v>
      </c>
      <c r="AX148" t="s">
        <v>57</v>
      </c>
      <c r="AY148" t="s">
        <v>386</v>
      </c>
      <c r="AZ148" t="s">
        <v>721</v>
      </c>
      <c r="BF148">
        <v>0</v>
      </c>
      <c r="BK148" t="s">
        <v>31</v>
      </c>
      <c r="BS148" t="s">
        <v>412</v>
      </c>
      <c r="CI148" t="s">
        <v>388</v>
      </c>
      <c r="CJ148" s="14">
        <v>45013</v>
      </c>
      <c r="CK148">
        <v>1</v>
      </c>
    </row>
    <row r="149" spans="1:89">
      <c r="A149" t="s">
        <v>928</v>
      </c>
      <c r="B149" t="s">
        <v>374</v>
      </c>
      <c r="C149" t="s">
        <v>392</v>
      </c>
      <c r="D149" t="s">
        <v>932</v>
      </c>
      <c r="E149" t="s">
        <v>933</v>
      </c>
      <c r="F149" s="13">
        <v>44795.504756944443</v>
      </c>
      <c r="G149" t="s">
        <v>641</v>
      </c>
      <c r="H149" t="s">
        <v>642</v>
      </c>
      <c r="I149" s="13">
        <v>44795.50476851852</v>
      </c>
      <c r="K149" t="s">
        <v>412</v>
      </c>
      <c r="M149" s="13">
        <v>44484</v>
      </c>
      <c r="R149">
        <v>0</v>
      </c>
      <c r="S149" t="s">
        <v>416</v>
      </c>
      <c r="T149" t="s">
        <v>57</v>
      </c>
      <c r="V149" t="s">
        <v>381</v>
      </c>
      <c r="W149" t="s">
        <v>934</v>
      </c>
      <c r="X149" t="s">
        <v>934</v>
      </c>
      <c r="AC149" s="13">
        <v>44484</v>
      </c>
      <c r="AD149" s="13">
        <v>44484</v>
      </c>
      <c r="AI149">
        <v>-311</v>
      </c>
      <c r="AN149" t="s">
        <v>31</v>
      </c>
      <c r="AO149">
        <v>0</v>
      </c>
      <c r="AS149" t="s">
        <v>392</v>
      </c>
      <c r="AX149" t="s">
        <v>57</v>
      </c>
      <c r="AY149" t="s">
        <v>386</v>
      </c>
      <c r="AZ149" t="s">
        <v>721</v>
      </c>
      <c r="BF149">
        <v>0</v>
      </c>
      <c r="BK149" t="s">
        <v>31</v>
      </c>
      <c r="BS149" t="s">
        <v>412</v>
      </c>
      <c r="CI149" t="s">
        <v>388</v>
      </c>
      <c r="CJ149" s="14">
        <v>45013</v>
      </c>
      <c r="CK149">
        <v>1</v>
      </c>
    </row>
    <row r="150" spans="1:89">
      <c r="A150" t="s">
        <v>902</v>
      </c>
      <c r="B150" t="s">
        <v>374</v>
      </c>
      <c r="C150" t="s">
        <v>903</v>
      </c>
      <c r="D150" t="s">
        <v>935</v>
      </c>
      <c r="E150" t="s">
        <v>936</v>
      </c>
      <c r="F150" s="13">
        <v>44795.504733796297</v>
      </c>
      <c r="G150" t="s">
        <v>641</v>
      </c>
      <c r="H150" t="s">
        <v>642</v>
      </c>
      <c r="I150" s="13">
        <v>44795.504745370374</v>
      </c>
      <c r="K150" t="s">
        <v>412</v>
      </c>
      <c r="M150" s="13">
        <v>44458</v>
      </c>
      <c r="R150">
        <v>0</v>
      </c>
      <c r="S150" t="s">
        <v>416</v>
      </c>
      <c r="T150" t="s">
        <v>57</v>
      </c>
      <c r="V150" t="s">
        <v>381</v>
      </c>
      <c r="W150" t="s">
        <v>934</v>
      </c>
      <c r="X150" t="s">
        <v>934</v>
      </c>
      <c r="AC150" s="13">
        <v>44458</v>
      </c>
      <c r="AD150" s="13">
        <v>44458</v>
      </c>
      <c r="AI150">
        <v>-337</v>
      </c>
      <c r="AN150" t="s">
        <v>31</v>
      </c>
      <c r="AO150">
        <v>0</v>
      </c>
      <c r="AS150" t="s">
        <v>392</v>
      </c>
      <c r="AX150" t="s">
        <v>57</v>
      </c>
      <c r="AY150" t="s">
        <v>386</v>
      </c>
      <c r="AZ150" t="s">
        <v>721</v>
      </c>
      <c r="BF150">
        <v>0</v>
      </c>
      <c r="BK150" t="s">
        <v>31</v>
      </c>
      <c r="BS150" t="s">
        <v>412</v>
      </c>
      <c r="CI150" t="s">
        <v>388</v>
      </c>
      <c r="CJ150" s="14">
        <v>45013</v>
      </c>
      <c r="CK150">
        <v>1</v>
      </c>
    </row>
    <row r="151" spans="1:89">
      <c r="A151" t="s">
        <v>902</v>
      </c>
      <c r="B151" t="s">
        <v>374</v>
      </c>
      <c r="C151" t="s">
        <v>903</v>
      </c>
      <c r="D151" t="s">
        <v>937</v>
      </c>
      <c r="E151" t="s">
        <v>936</v>
      </c>
      <c r="F151" s="13">
        <v>44795.504710648151</v>
      </c>
      <c r="G151" t="s">
        <v>641</v>
      </c>
      <c r="H151" t="s">
        <v>642</v>
      </c>
      <c r="I151" s="13">
        <v>44795.50472222222</v>
      </c>
      <c r="K151" t="s">
        <v>412</v>
      </c>
      <c r="M151" s="13">
        <v>44458</v>
      </c>
      <c r="R151">
        <v>0</v>
      </c>
      <c r="S151" t="s">
        <v>416</v>
      </c>
      <c r="T151" t="s">
        <v>57</v>
      </c>
      <c r="V151" t="s">
        <v>381</v>
      </c>
      <c r="W151" t="s">
        <v>938</v>
      </c>
      <c r="X151" t="s">
        <v>938</v>
      </c>
      <c r="AC151" s="13">
        <v>44458</v>
      </c>
      <c r="AD151" s="13">
        <v>44458</v>
      </c>
      <c r="AI151">
        <v>-337</v>
      </c>
      <c r="AN151" t="s">
        <v>31</v>
      </c>
      <c r="AO151">
        <v>0</v>
      </c>
      <c r="AS151" t="s">
        <v>385</v>
      </c>
      <c r="AX151" t="s">
        <v>57</v>
      </c>
      <c r="AY151" t="s">
        <v>386</v>
      </c>
      <c r="AZ151" t="s">
        <v>721</v>
      </c>
      <c r="BF151">
        <v>0</v>
      </c>
      <c r="BK151" t="s">
        <v>31</v>
      </c>
      <c r="BS151" t="s">
        <v>412</v>
      </c>
      <c r="CI151" t="s">
        <v>388</v>
      </c>
      <c r="CJ151" s="14">
        <v>45013</v>
      </c>
      <c r="CK151">
        <v>1</v>
      </c>
    </row>
    <row r="152" spans="1:89">
      <c r="A152" t="s">
        <v>928</v>
      </c>
      <c r="B152" t="s">
        <v>374</v>
      </c>
      <c r="C152" t="s">
        <v>392</v>
      </c>
      <c r="D152" t="s">
        <v>939</v>
      </c>
      <c r="E152" t="s">
        <v>940</v>
      </c>
      <c r="F152" s="13">
        <v>44795.504687499997</v>
      </c>
      <c r="G152" t="s">
        <v>641</v>
      </c>
      <c r="H152" t="s">
        <v>642</v>
      </c>
      <c r="I152" s="13">
        <v>44795.504699074074</v>
      </c>
      <c r="K152" t="s">
        <v>412</v>
      </c>
      <c r="M152" s="13">
        <v>44484</v>
      </c>
      <c r="R152">
        <v>0</v>
      </c>
      <c r="S152" t="s">
        <v>416</v>
      </c>
      <c r="T152" t="s">
        <v>57</v>
      </c>
      <c r="V152" t="s">
        <v>381</v>
      </c>
      <c r="W152" t="s">
        <v>938</v>
      </c>
      <c r="X152" t="s">
        <v>938</v>
      </c>
      <c r="AC152" s="13">
        <v>44484</v>
      </c>
      <c r="AD152" s="13">
        <v>44484</v>
      </c>
      <c r="AI152">
        <v>-311</v>
      </c>
      <c r="AN152" t="s">
        <v>31</v>
      </c>
      <c r="AO152">
        <v>0</v>
      </c>
      <c r="AS152" t="s">
        <v>385</v>
      </c>
      <c r="AX152" t="s">
        <v>57</v>
      </c>
      <c r="AY152" t="s">
        <v>386</v>
      </c>
      <c r="AZ152" t="s">
        <v>721</v>
      </c>
      <c r="BF152">
        <v>0</v>
      </c>
      <c r="BK152" t="s">
        <v>31</v>
      </c>
      <c r="BS152" t="s">
        <v>412</v>
      </c>
      <c r="CI152" t="s">
        <v>388</v>
      </c>
      <c r="CJ152" s="14">
        <v>45013</v>
      </c>
      <c r="CK152">
        <v>1</v>
      </c>
    </row>
    <row r="153" spans="1:89">
      <c r="A153" t="s">
        <v>928</v>
      </c>
      <c r="B153" t="s">
        <v>374</v>
      </c>
      <c r="C153" t="s">
        <v>392</v>
      </c>
      <c r="D153" t="s">
        <v>941</v>
      </c>
      <c r="E153" t="s">
        <v>942</v>
      </c>
      <c r="F153" s="13">
        <v>44795.504664351851</v>
      </c>
      <c r="G153" t="s">
        <v>641</v>
      </c>
      <c r="H153" t="s">
        <v>642</v>
      </c>
      <c r="I153" s="13">
        <v>44795.504675925928</v>
      </c>
      <c r="K153" t="s">
        <v>412</v>
      </c>
      <c r="M153" s="13">
        <v>44484</v>
      </c>
      <c r="R153">
        <v>0</v>
      </c>
      <c r="S153" t="s">
        <v>416</v>
      </c>
      <c r="T153" t="s">
        <v>57</v>
      </c>
      <c r="V153" t="s">
        <v>381</v>
      </c>
      <c r="W153" t="s">
        <v>934</v>
      </c>
      <c r="X153" t="s">
        <v>934</v>
      </c>
      <c r="AC153" s="13">
        <v>44484</v>
      </c>
      <c r="AD153" s="13">
        <v>44484</v>
      </c>
      <c r="AI153">
        <v>-311</v>
      </c>
      <c r="AN153" t="s">
        <v>31</v>
      </c>
      <c r="AO153">
        <v>0</v>
      </c>
      <c r="AS153" t="s">
        <v>392</v>
      </c>
      <c r="AX153" t="s">
        <v>57</v>
      </c>
      <c r="AY153" t="s">
        <v>386</v>
      </c>
      <c r="AZ153" t="s">
        <v>721</v>
      </c>
      <c r="BF153">
        <v>0</v>
      </c>
      <c r="BK153" t="s">
        <v>31</v>
      </c>
      <c r="BS153" t="s">
        <v>412</v>
      </c>
      <c r="CI153" t="s">
        <v>388</v>
      </c>
      <c r="CJ153" s="14">
        <v>45013</v>
      </c>
      <c r="CK153">
        <v>1</v>
      </c>
    </row>
    <row r="154" spans="1:89">
      <c r="A154" t="s">
        <v>928</v>
      </c>
      <c r="B154" t="s">
        <v>374</v>
      </c>
      <c r="C154" t="s">
        <v>392</v>
      </c>
      <c r="D154" t="s">
        <v>943</v>
      </c>
      <c r="E154" t="s">
        <v>944</v>
      </c>
      <c r="F154" s="13">
        <v>44795.504641203705</v>
      </c>
      <c r="G154" t="s">
        <v>641</v>
      </c>
      <c r="H154" t="s">
        <v>642</v>
      </c>
      <c r="I154" s="13">
        <v>44795.504652777781</v>
      </c>
      <c r="K154" t="s">
        <v>412</v>
      </c>
      <c r="M154" s="13">
        <v>44484</v>
      </c>
      <c r="R154">
        <v>0</v>
      </c>
      <c r="S154" t="s">
        <v>416</v>
      </c>
      <c r="T154" t="s">
        <v>57</v>
      </c>
      <c r="V154" t="s">
        <v>381</v>
      </c>
      <c r="W154" t="s">
        <v>934</v>
      </c>
      <c r="X154" t="s">
        <v>934</v>
      </c>
      <c r="AC154" s="13">
        <v>44484</v>
      </c>
      <c r="AD154" s="13">
        <v>44484</v>
      </c>
      <c r="AI154">
        <v>-311</v>
      </c>
      <c r="AN154" t="s">
        <v>31</v>
      </c>
      <c r="AO154">
        <v>0</v>
      </c>
      <c r="AS154" t="s">
        <v>392</v>
      </c>
      <c r="AX154" t="s">
        <v>57</v>
      </c>
      <c r="AY154" t="s">
        <v>386</v>
      </c>
      <c r="AZ154" t="s">
        <v>721</v>
      </c>
      <c r="BF154">
        <v>0</v>
      </c>
      <c r="BK154" t="s">
        <v>31</v>
      </c>
      <c r="BS154" t="s">
        <v>412</v>
      </c>
      <c r="CI154" t="s">
        <v>388</v>
      </c>
      <c r="CJ154" s="14">
        <v>45013</v>
      </c>
      <c r="CK154">
        <v>1</v>
      </c>
    </row>
    <row r="155" spans="1:89">
      <c r="A155" t="s">
        <v>928</v>
      </c>
      <c r="B155" t="s">
        <v>374</v>
      </c>
      <c r="C155" t="s">
        <v>392</v>
      </c>
      <c r="D155" t="s">
        <v>945</v>
      </c>
      <c r="E155" t="s">
        <v>946</v>
      </c>
      <c r="F155" s="13">
        <v>44795.504618055558</v>
      </c>
      <c r="G155" t="s">
        <v>641</v>
      </c>
      <c r="H155" t="s">
        <v>642</v>
      </c>
      <c r="I155" s="13">
        <v>44795.504629629628</v>
      </c>
      <c r="K155" t="s">
        <v>412</v>
      </c>
      <c r="M155" s="13">
        <v>44484</v>
      </c>
      <c r="R155">
        <v>0</v>
      </c>
      <c r="S155" t="s">
        <v>416</v>
      </c>
      <c r="T155" t="s">
        <v>57</v>
      </c>
      <c r="V155" t="s">
        <v>381</v>
      </c>
      <c r="W155" t="s">
        <v>934</v>
      </c>
      <c r="X155" t="s">
        <v>934</v>
      </c>
      <c r="AC155" s="13">
        <v>44484</v>
      </c>
      <c r="AD155" s="13">
        <v>44484</v>
      </c>
      <c r="AI155">
        <v>-311</v>
      </c>
      <c r="AN155" t="s">
        <v>31</v>
      </c>
      <c r="AO155">
        <v>0</v>
      </c>
      <c r="AS155" t="s">
        <v>392</v>
      </c>
      <c r="AX155" t="s">
        <v>57</v>
      </c>
      <c r="AY155" t="s">
        <v>386</v>
      </c>
      <c r="AZ155" t="s">
        <v>721</v>
      </c>
      <c r="BF155">
        <v>0</v>
      </c>
      <c r="BK155" t="s">
        <v>31</v>
      </c>
      <c r="BS155" t="s">
        <v>412</v>
      </c>
      <c r="CI155" t="s">
        <v>388</v>
      </c>
      <c r="CJ155" s="14">
        <v>45013</v>
      </c>
      <c r="CK155">
        <v>1</v>
      </c>
    </row>
    <row r="156" spans="1:89">
      <c r="A156" t="s">
        <v>902</v>
      </c>
      <c r="B156" t="s">
        <v>374</v>
      </c>
      <c r="C156" t="s">
        <v>903</v>
      </c>
      <c r="D156" t="s">
        <v>947</v>
      </c>
      <c r="E156" t="s">
        <v>948</v>
      </c>
      <c r="F156" s="13">
        <v>44795.504594907405</v>
      </c>
      <c r="G156" t="s">
        <v>641</v>
      </c>
      <c r="H156" t="s">
        <v>642</v>
      </c>
      <c r="I156" s="13">
        <v>44795.504606481481</v>
      </c>
      <c r="K156" t="s">
        <v>412</v>
      </c>
      <c r="M156" s="13">
        <v>44458</v>
      </c>
      <c r="R156">
        <v>0</v>
      </c>
      <c r="S156" t="s">
        <v>416</v>
      </c>
      <c r="T156" t="s">
        <v>57</v>
      </c>
      <c r="V156" t="s">
        <v>381</v>
      </c>
      <c r="W156" t="s">
        <v>934</v>
      </c>
      <c r="X156" t="s">
        <v>934</v>
      </c>
      <c r="AC156" s="13">
        <v>44458</v>
      </c>
      <c r="AD156" s="13">
        <v>44458</v>
      </c>
      <c r="AI156">
        <v>-337</v>
      </c>
      <c r="AN156" t="s">
        <v>31</v>
      </c>
      <c r="AO156">
        <v>0</v>
      </c>
      <c r="AS156" t="s">
        <v>392</v>
      </c>
      <c r="AX156" t="s">
        <v>57</v>
      </c>
      <c r="AY156" t="s">
        <v>386</v>
      </c>
      <c r="AZ156" t="s">
        <v>721</v>
      </c>
      <c r="BF156">
        <v>0</v>
      </c>
      <c r="BK156" t="s">
        <v>31</v>
      </c>
      <c r="BS156" t="s">
        <v>412</v>
      </c>
      <c r="CI156" t="s">
        <v>388</v>
      </c>
      <c r="CJ156" s="14">
        <v>45013</v>
      </c>
      <c r="CK156">
        <v>1</v>
      </c>
    </row>
    <row r="157" spans="1:89">
      <c r="A157" t="s">
        <v>902</v>
      </c>
      <c r="B157" t="s">
        <v>374</v>
      </c>
      <c r="C157" t="s">
        <v>903</v>
      </c>
      <c r="D157" t="s">
        <v>949</v>
      </c>
      <c r="E157" t="s">
        <v>950</v>
      </c>
      <c r="F157" s="13">
        <v>44795.504571759258</v>
      </c>
      <c r="G157" t="s">
        <v>641</v>
      </c>
      <c r="H157" t="s">
        <v>642</v>
      </c>
      <c r="I157" s="13">
        <v>44795.504583333335</v>
      </c>
      <c r="K157" t="s">
        <v>412</v>
      </c>
      <c r="M157" s="13">
        <v>44458</v>
      </c>
      <c r="R157">
        <v>0</v>
      </c>
      <c r="S157" t="s">
        <v>416</v>
      </c>
      <c r="T157" t="s">
        <v>57</v>
      </c>
      <c r="V157" t="s">
        <v>381</v>
      </c>
      <c r="W157" t="s">
        <v>938</v>
      </c>
      <c r="X157" t="s">
        <v>938</v>
      </c>
      <c r="AC157" s="13">
        <v>44458</v>
      </c>
      <c r="AD157" s="13">
        <v>44458</v>
      </c>
      <c r="AI157">
        <v>-337</v>
      </c>
      <c r="AN157" t="s">
        <v>31</v>
      </c>
      <c r="AO157">
        <v>0</v>
      </c>
      <c r="AS157" t="s">
        <v>385</v>
      </c>
      <c r="AX157" t="s">
        <v>57</v>
      </c>
      <c r="AY157" t="s">
        <v>386</v>
      </c>
      <c r="AZ157" t="s">
        <v>721</v>
      </c>
      <c r="BF157">
        <v>0</v>
      </c>
      <c r="BK157" t="s">
        <v>31</v>
      </c>
      <c r="BS157" t="s">
        <v>412</v>
      </c>
      <c r="CI157" t="s">
        <v>388</v>
      </c>
      <c r="CJ157" s="14">
        <v>45013</v>
      </c>
      <c r="CK157">
        <v>1</v>
      </c>
    </row>
    <row r="158" spans="1:89">
      <c r="A158" t="s">
        <v>928</v>
      </c>
      <c r="B158" t="s">
        <v>374</v>
      </c>
      <c r="C158" t="s">
        <v>392</v>
      </c>
      <c r="D158" t="s">
        <v>951</v>
      </c>
      <c r="E158" t="s">
        <v>952</v>
      </c>
      <c r="F158" s="13">
        <v>44795.504548611112</v>
      </c>
      <c r="G158" t="s">
        <v>641</v>
      </c>
      <c r="H158" t="s">
        <v>642</v>
      </c>
      <c r="I158" s="13">
        <v>44795.504560185182</v>
      </c>
      <c r="K158" t="s">
        <v>412</v>
      </c>
      <c r="M158" s="13">
        <v>44484</v>
      </c>
      <c r="R158">
        <v>0</v>
      </c>
      <c r="S158" t="s">
        <v>416</v>
      </c>
      <c r="T158" t="s">
        <v>57</v>
      </c>
      <c r="V158" t="s">
        <v>381</v>
      </c>
      <c r="W158" t="s">
        <v>938</v>
      </c>
      <c r="X158" t="s">
        <v>938</v>
      </c>
      <c r="AC158" s="13">
        <v>44484</v>
      </c>
      <c r="AD158" s="13">
        <v>44484</v>
      </c>
      <c r="AI158">
        <v>-311</v>
      </c>
      <c r="AN158" t="s">
        <v>31</v>
      </c>
      <c r="AO158">
        <v>0</v>
      </c>
      <c r="AS158" t="s">
        <v>385</v>
      </c>
      <c r="AX158" t="s">
        <v>57</v>
      </c>
      <c r="AY158" t="s">
        <v>386</v>
      </c>
      <c r="AZ158" t="s">
        <v>721</v>
      </c>
      <c r="BF158">
        <v>0</v>
      </c>
      <c r="BK158" t="s">
        <v>31</v>
      </c>
      <c r="BS158" t="s">
        <v>412</v>
      </c>
      <c r="CI158" t="s">
        <v>388</v>
      </c>
      <c r="CJ158" s="14">
        <v>45013</v>
      </c>
      <c r="CK158">
        <v>1</v>
      </c>
    </row>
    <row r="159" spans="1:89">
      <c r="A159" t="s">
        <v>902</v>
      </c>
      <c r="B159" t="s">
        <v>374</v>
      </c>
      <c r="C159" t="s">
        <v>903</v>
      </c>
      <c r="D159" t="s">
        <v>953</v>
      </c>
      <c r="E159" t="s">
        <v>954</v>
      </c>
      <c r="F159" s="13">
        <v>44795.504537037035</v>
      </c>
      <c r="G159" t="s">
        <v>641</v>
      </c>
      <c r="H159" t="s">
        <v>642</v>
      </c>
      <c r="I159" s="13">
        <v>44795.504548611112</v>
      </c>
      <c r="K159" t="s">
        <v>412</v>
      </c>
      <c r="M159" s="13">
        <v>44458</v>
      </c>
      <c r="R159">
        <v>0</v>
      </c>
      <c r="S159" t="s">
        <v>416</v>
      </c>
      <c r="T159" t="s">
        <v>57</v>
      </c>
      <c r="V159" t="s">
        <v>381</v>
      </c>
      <c r="W159" t="s">
        <v>934</v>
      </c>
      <c r="X159" t="s">
        <v>934</v>
      </c>
      <c r="AC159" s="13">
        <v>44458</v>
      </c>
      <c r="AD159" s="13">
        <v>44458</v>
      </c>
      <c r="AI159">
        <v>-337</v>
      </c>
      <c r="AN159" t="s">
        <v>31</v>
      </c>
      <c r="AO159">
        <v>0</v>
      </c>
      <c r="AS159" t="s">
        <v>392</v>
      </c>
      <c r="AX159" t="s">
        <v>57</v>
      </c>
      <c r="AY159" t="s">
        <v>386</v>
      </c>
      <c r="AZ159" t="s">
        <v>721</v>
      </c>
      <c r="BF159">
        <v>0</v>
      </c>
      <c r="BK159" t="s">
        <v>31</v>
      </c>
      <c r="BS159" t="s">
        <v>412</v>
      </c>
      <c r="CI159" t="s">
        <v>388</v>
      </c>
      <c r="CJ159" s="14">
        <v>45013</v>
      </c>
      <c r="CK159">
        <v>1</v>
      </c>
    </row>
    <row r="160" spans="1:89">
      <c r="A160" t="s">
        <v>928</v>
      </c>
      <c r="B160" t="s">
        <v>374</v>
      </c>
      <c r="C160" t="s">
        <v>392</v>
      </c>
      <c r="D160" t="s">
        <v>955</v>
      </c>
      <c r="E160" t="s">
        <v>956</v>
      </c>
      <c r="F160" s="13">
        <v>44795.504513888889</v>
      </c>
      <c r="G160" t="s">
        <v>641</v>
      </c>
      <c r="H160" t="s">
        <v>642</v>
      </c>
      <c r="I160" s="13">
        <v>44795.504525462966</v>
      </c>
      <c r="K160" t="s">
        <v>412</v>
      </c>
      <c r="M160" s="13">
        <v>44484</v>
      </c>
      <c r="R160">
        <v>0</v>
      </c>
      <c r="S160" t="s">
        <v>416</v>
      </c>
      <c r="T160" t="s">
        <v>57</v>
      </c>
      <c r="V160" t="s">
        <v>381</v>
      </c>
      <c r="W160" t="s">
        <v>938</v>
      </c>
      <c r="X160" t="s">
        <v>938</v>
      </c>
      <c r="AC160" s="13">
        <v>44484</v>
      </c>
      <c r="AD160" s="13">
        <v>44484</v>
      </c>
      <c r="AI160">
        <v>-311</v>
      </c>
      <c r="AN160" t="s">
        <v>31</v>
      </c>
      <c r="AO160">
        <v>0</v>
      </c>
      <c r="AS160" t="s">
        <v>385</v>
      </c>
      <c r="AX160" t="s">
        <v>57</v>
      </c>
      <c r="AY160" t="s">
        <v>386</v>
      </c>
      <c r="AZ160" t="s">
        <v>721</v>
      </c>
      <c r="BF160">
        <v>0</v>
      </c>
      <c r="BK160" t="s">
        <v>31</v>
      </c>
      <c r="BS160" t="s">
        <v>412</v>
      </c>
      <c r="CI160" t="s">
        <v>388</v>
      </c>
      <c r="CJ160" s="14">
        <v>45013</v>
      </c>
      <c r="CK160">
        <v>1</v>
      </c>
    </row>
    <row r="161" spans="1:89">
      <c r="A161" t="s">
        <v>902</v>
      </c>
      <c r="B161" t="s">
        <v>374</v>
      </c>
      <c r="C161" t="s">
        <v>903</v>
      </c>
      <c r="D161" t="s">
        <v>957</v>
      </c>
      <c r="E161" t="s">
        <v>958</v>
      </c>
      <c r="F161" s="13">
        <v>44795.504490740743</v>
      </c>
      <c r="G161" t="s">
        <v>641</v>
      </c>
      <c r="H161" t="s">
        <v>642</v>
      </c>
      <c r="I161" s="13">
        <v>44795.504502314812</v>
      </c>
      <c r="K161" t="s">
        <v>412</v>
      </c>
      <c r="M161" s="13">
        <v>44456</v>
      </c>
      <c r="R161">
        <v>0</v>
      </c>
      <c r="S161" t="s">
        <v>416</v>
      </c>
      <c r="T161" t="s">
        <v>57</v>
      </c>
      <c r="V161" t="s">
        <v>381</v>
      </c>
      <c r="W161" t="s">
        <v>934</v>
      </c>
      <c r="X161" t="s">
        <v>934</v>
      </c>
      <c r="AC161" s="13">
        <v>44456</v>
      </c>
      <c r="AD161" s="13">
        <v>44456</v>
      </c>
      <c r="AI161">
        <v>-339</v>
      </c>
      <c r="AN161" t="s">
        <v>31</v>
      </c>
      <c r="AO161">
        <v>0</v>
      </c>
      <c r="AS161" t="s">
        <v>392</v>
      </c>
      <c r="AX161" t="s">
        <v>57</v>
      </c>
      <c r="AY161" t="s">
        <v>386</v>
      </c>
      <c r="AZ161" t="s">
        <v>721</v>
      </c>
      <c r="BF161">
        <v>0</v>
      </c>
      <c r="BK161" t="s">
        <v>31</v>
      </c>
      <c r="BS161" t="s">
        <v>412</v>
      </c>
      <c r="CI161" t="s">
        <v>388</v>
      </c>
      <c r="CJ161" s="14">
        <v>45013</v>
      </c>
      <c r="CK161">
        <v>1</v>
      </c>
    </row>
    <row r="162" spans="1:89">
      <c r="A162" t="s">
        <v>928</v>
      </c>
      <c r="B162" t="s">
        <v>374</v>
      </c>
      <c r="C162" t="s">
        <v>392</v>
      </c>
      <c r="D162" t="s">
        <v>959</v>
      </c>
      <c r="E162" t="s">
        <v>960</v>
      </c>
      <c r="F162" s="13">
        <v>44795.504467592589</v>
      </c>
      <c r="G162" t="s">
        <v>641</v>
      </c>
      <c r="H162" t="s">
        <v>642</v>
      </c>
      <c r="I162" s="13">
        <v>44795.504479166666</v>
      </c>
      <c r="K162" t="s">
        <v>412</v>
      </c>
      <c r="M162" s="13">
        <v>44484</v>
      </c>
      <c r="R162">
        <v>0</v>
      </c>
      <c r="S162" t="s">
        <v>416</v>
      </c>
      <c r="T162" t="s">
        <v>57</v>
      </c>
      <c r="V162" t="s">
        <v>381</v>
      </c>
      <c r="W162" t="s">
        <v>938</v>
      </c>
      <c r="X162" t="s">
        <v>938</v>
      </c>
      <c r="AC162" s="13">
        <v>44484</v>
      </c>
      <c r="AD162" s="13">
        <v>44484</v>
      </c>
      <c r="AI162">
        <v>-311</v>
      </c>
      <c r="AN162" t="s">
        <v>31</v>
      </c>
      <c r="AO162">
        <v>0</v>
      </c>
      <c r="AS162" t="s">
        <v>385</v>
      </c>
      <c r="AX162" t="s">
        <v>57</v>
      </c>
      <c r="AY162" t="s">
        <v>386</v>
      </c>
      <c r="AZ162" t="s">
        <v>721</v>
      </c>
      <c r="BF162">
        <v>0</v>
      </c>
      <c r="BK162" t="s">
        <v>31</v>
      </c>
      <c r="BS162" t="s">
        <v>412</v>
      </c>
      <c r="CI162" t="s">
        <v>388</v>
      </c>
      <c r="CJ162" s="14">
        <v>45013</v>
      </c>
      <c r="CK162">
        <v>1</v>
      </c>
    </row>
    <row r="163" spans="1:89">
      <c r="A163" t="s">
        <v>928</v>
      </c>
      <c r="B163" t="s">
        <v>374</v>
      </c>
      <c r="C163" t="s">
        <v>392</v>
      </c>
      <c r="D163" t="s">
        <v>961</v>
      </c>
      <c r="E163" t="s">
        <v>962</v>
      </c>
      <c r="F163" s="13">
        <v>44795.504444444443</v>
      </c>
      <c r="G163" t="s">
        <v>641</v>
      </c>
      <c r="H163" t="s">
        <v>642</v>
      </c>
      <c r="I163" s="13">
        <v>44795.50445601852</v>
      </c>
      <c r="K163" t="s">
        <v>412</v>
      </c>
      <c r="M163" s="13">
        <v>44484</v>
      </c>
      <c r="R163">
        <v>0</v>
      </c>
      <c r="S163" t="s">
        <v>416</v>
      </c>
      <c r="T163" t="s">
        <v>57</v>
      </c>
      <c r="V163" t="s">
        <v>381</v>
      </c>
      <c r="W163" t="s">
        <v>934</v>
      </c>
      <c r="X163" t="s">
        <v>934</v>
      </c>
      <c r="AC163" s="13">
        <v>44484</v>
      </c>
      <c r="AD163" s="13">
        <v>44484</v>
      </c>
      <c r="AI163">
        <v>-311</v>
      </c>
      <c r="AN163" t="s">
        <v>31</v>
      </c>
      <c r="AO163">
        <v>0</v>
      </c>
      <c r="AS163" t="s">
        <v>392</v>
      </c>
      <c r="AX163" t="s">
        <v>57</v>
      </c>
      <c r="AY163" t="s">
        <v>386</v>
      </c>
      <c r="AZ163" t="s">
        <v>721</v>
      </c>
      <c r="BF163">
        <v>0</v>
      </c>
      <c r="BK163" t="s">
        <v>31</v>
      </c>
      <c r="BS163" t="s">
        <v>412</v>
      </c>
      <c r="CI163" t="s">
        <v>388</v>
      </c>
      <c r="CJ163" s="14">
        <v>45013</v>
      </c>
      <c r="CK163">
        <v>1</v>
      </c>
    </row>
    <row r="164" spans="1:89">
      <c r="A164" t="s">
        <v>928</v>
      </c>
      <c r="B164" t="s">
        <v>374</v>
      </c>
      <c r="C164" t="s">
        <v>392</v>
      </c>
      <c r="D164" t="s">
        <v>963</v>
      </c>
      <c r="E164" t="s">
        <v>964</v>
      </c>
      <c r="F164" s="13">
        <v>44795.504432870373</v>
      </c>
      <c r="G164" t="s">
        <v>641</v>
      </c>
      <c r="H164" t="s">
        <v>642</v>
      </c>
      <c r="I164" s="13">
        <v>44795.504444444443</v>
      </c>
      <c r="K164" t="s">
        <v>412</v>
      </c>
      <c r="M164" s="13">
        <v>44484</v>
      </c>
      <c r="R164">
        <v>0</v>
      </c>
      <c r="S164" t="s">
        <v>416</v>
      </c>
      <c r="T164" t="s">
        <v>57</v>
      </c>
      <c r="V164" t="s">
        <v>381</v>
      </c>
      <c r="W164" t="s">
        <v>934</v>
      </c>
      <c r="X164" t="s">
        <v>934</v>
      </c>
      <c r="AC164" s="13">
        <v>44484</v>
      </c>
      <c r="AD164" s="13">
        <v>44484</v>
      </c>
      <c r="AI164">
        <v>-311</v>
      </c>
      <c r="AN164" t="s">
        <v>31</v>
      </c>
      <c r="AO164">
        <v>0</v>
      </c>
      <c r="AS164" t="s">
        <v>392</v>
      </c>
      <c r="AX164" t="s">
        <v>57</v>
      </c>
      <c r="AY164" t="s">
        <v>386</v>
      </c>
      <c r="AZ164" t="s">
        <v>721</v>
      </c>
      <c r="BF164">
        <v>0</v>
      </c>
      <c r="BK164" t="s">
        <v>31</v>
      </c>
      <c r="BS164" t="s">
        <v>412</v>
      </c>
      <c r="CI164" t="s">
        <v>388</v>
      </c>
      <c r="CJ164" s="14">
        <v>45013</v>
      </c>
      <c r="CK164">
        <v>1</v>
      </c>
    </row>
    <row r="165" spans="1:89">
      <c r="A165" t="s">
        <v>965</v>
      </c>
      <c r="B165" t="s">
        <v>374</v>
      </c>
      <c r="C165" t="s">
        <v>966</v>
      </c>
      <c r="D165" t="s">
        <v>967</v>
      </c>
      <c r="E165" t="s">
        <v>968</v>
      </c>
      <c r="F165" s="13">
        <v>44795.50440972222</v>
      </c>
      <c r="G165" t="s">
        <v>641</v>
      </c>
      <c r="H165" t="s">
        <v>642</v>
      </c>
      <c r="I165" s="13">
        <v>44795.504421296297</v>
      </c>
      <c r="K165" t="s">
        <v>412</v>
      </c>
      <c r="M165" s="13">
        <v>44454</v>
      </c>
      <c r="R165">
        <v>0</v>
      </c>
      <c r="S165" t="s">
        <v>380</v>
      </c>
      <c r="T165" t="s">
        <v>57</v>
      </c>
      <c r="V165" t="s">
        <v>381</v>
      </c>
      <c r="W165" t="s">
        <v>934</v>
      </c>
      <c r="X165" t="s">
        <v>934</v>
      </c>
      <c r="AC165" s="13">
        <v>44454</v>
      </c>
      <c r="AD165" s="13">
        <v>44454</v>
      </c>
      <c r="AI165">
        <v>-341</v>
      </c>
      <c r="AN165" t="s">
        <v>31</v>
      </c>
      <c r="AO165">
        <v>0</v>
      </c>
      <c r="AS165" t="s">
        <v>392</v>
      </c>
      <c r="AX165" t="s">
        <v>57</v>
      </c>
      <c r="AY165" t="s">
        <v>386</v>
      </c>
      <c r="AZ165" t="s">
        <v>721</v>
      </c>
      <c r="BF165">
        <v>0</v>
      </c>
      <c r="BK165" t="s">
        <v>31</v>
      </c>
      <c r="BS165" t="s">
        <v>412</v>
      </c>
      <c r="CI165" t="s">
        <v>388</v>
      </c>
      <c r="CJ165" s="14">
        <v>45013</v>
      </c>
      <c r="CK165">
        <v>1</v>
      </c>
    </row>
    <row r="166" spans="1:89">
      <c r="A166" t="s">
        <v>902</v>
      </c>
      <c r="B166" t="s">
        <v>374</v>
      </c>
      <c r="C166" t="s">
        <v>903</v>
      </c>
      <c r="D166" t="s">
        <v>969</v>
      </c>
      <c r="E166" t="s">
        <v>970</v>
      </c>
      <c r="F166" s="13">
        <v>44795.504386574074</v>
      </c>
      <c r="G166" t="s">
        <v>641</v>
      </c>
      <c r="H166" t="s">
        <v>642</v>
      </c>
      <c r="I166" s="13">
        <v>44795.50439814815</v>
      </c>
      <c r="K166" t="s">
        <v>412</v>
      </c>
      <c r="M166" s="13">
        <v>44331</v>
      </c>
      <c r="R166">
        <v>0</v>
      </c>
      <c r="S166" t="s">
        <v>380</v>
      </c>
      <c r="T166" t="s">
        <v>57</v>
      </c>
      <c r="V166" t="s">
        <v>381</v>
      </c>
      <c r="W166" t="s">
        <v>971</v>
      </c>
      <c r="X166" t="s">
        <v>971</v>
      </c>
      <c r="AC166" s="13">
        <v>44331</v>
      </c>
      <c r="AD166" s="13">
        <v>44331</v>
      </c>
      <c r="AI166">
        <v>-464</v>
      </c>
      <c r="AN166" t="s">
        <v>31</v>
      </c>
      <c r="AO166">
        <v>0</v>
      </c>
      <c r="AS166" t="s">
        <v>385</v>
      </c>
      <c r="AX166" t="s">
        <v>57</v>
      </c>
      <c r="AY166" t="s">
        <v>386</v>
      </c>
      <c r="AZ166" t="s">
        <v>721</v>
      </c>
      <c r="BF166">
        <v>0</v>
      </c>
      <c r="BK166" t="s">
        <v>31</v>
      </c>
      <c r="BS166" t="s">
        <v>412</v>
      </c>
      <c r="CI166" t="s">
        <v>388</v>
      </c>
      <c r="CJ166" s="14">
        <v>45013</v>
      </c>
      <c r="CK166">
        <v>1</v>
      </c>
    </row>
    <row r="167" spans="1:89">
      <c r="A167" t="s">
        <v>883</v>
      </c>
      <c r="B167" t="s">
        <v>374</v>
      </c>
      <c r="C167" t="s">
        <v>473</v>
      </c>
      <c r="D167" t="s">
        <v>972</v>
      </c>
      <c r="E167" t="s">
        <v>973</v>
      </c>
      <c r="F167" s="13">
        <v>44795.504363425927</v>
      </c>
      <c r="G167" t="s">
        <v>641</v>
      </c>
      <c r="H167" t="s">
        <v>642</v>
      </c>
      <c r="I167" s="13">
        <v>44795.504374999997</v>
      </c>
      <c r="K167" t="s">
        <v>412</v>
      </c>
      <c r="M167" s="13">
        <v>44301</v>
      </c>
      <c r="R167">
        <v>0</v>
      </c>
      <c r="S167" t="s">
        <v>380</v>
      </c>
      <c r="T167" t="s">
        <v>57</v>
      </c>
      <c r="V167" t="s">
        <v>381</v>
      </c>
      <c r="W167" t="s">
        <v>931</v>
      </c>
      <c r="X167" t="s">
        <v>931</v>
      </c>
      <c r="AC167" s="13">
        <v>44301</v>
      </c>
      <c r="AD167" s="13">
        <v>44301</v>
      </c>
      <c r="AI167">
        <v>-494</v>
      </c>
      <c r="AN167" t="s">
        <v>31</v>
      </c>
      <c r="AO167">
        <v>0</v>
      </c>
      <c r="AS167" t="s">
        <v>385</v>
      </c>
      <c r="AX167" t="s">
        <v>57</v>
      </c>
      <c r="AY167" t="s">
        <v>386</v>
      </c>
      <c r="AZ167" t="s">
        <v>721</v>
      </c>
      <c r="BF167">
        <v>0</v>
      </c>
      <c r="BK167" t="s">
        <v>31</v>
      </c>
      <c r="BS167" t="s">
        <v>412</v>
      </c>
      <c r="CI167" t="s">
        <v>388</v>
      </c>
      <c r="CJ167" s="14">
        <v>45013</v>
      </c>
      <c r="CK167">
        <v>1</v>
      </c>
    </row>
    <row r="168" spans="1:89">
      <c r="A168" t="s">
        <v>915</v>
      </c>
      <c r="B168" t="s">
        <v>374</v>
      </c>
      <c r="C168" t="s">
        <v>916</v>
      </c>
      <c r="D168" t="s">
        <v>974</v>
      </c>
      <c r="E168" t="s">
        <v>975</v>
      </c>
      <c r="F168" s="13">
        <v>44795.504340277781</v>
      </c>
      <c r="G168" t="s">
        <v>641</v>
      </c>
      <c r="H168" t="s">
        <v>642</v>
      </c>
      <c r="I168" s="13">
        <v>44795.504351851851</v>
      </c>
      <c r="K168" t="s">
        <v>412</v>
      </c>
      <c r="M168" s="13">
        <v>44135</v>
      </c>
      <c r="R168">
        <v>0</v>
      </c>
      <c r="S168" t="s">
        <v>380</v>
      </c>
      <c r="T168" t="s">
        <v>57</v>
      </c>
      <c r="V168" t="s">
        <v>381</v>
      </c>
      <c r="W168" t="s">
        <v>931</v>
      </c>
      <c r="X168" t="s">
        <v>931</v>
      </c>
      <c r="AC168" s="13">
        <v>44135</v>
      </c>
      <c r="AD168" s="13">
        <v>44135</v>
      </c>
      <c r="AI168">
        <v>-660</v>
      </c>
      <c r="AN168" t="s">
        <v>31</v>
      </c>
      <c r="AO168">
        <v>0</v>
      </c>
      <c r="AS168" t="s">
        <v>385</v>
      </c>
      <c r="AX168" t="s">
        <v>57</v>
      </c>
      <c r="AY168" t="s">
        <v>386</v>
      </c>
      <c r="AZ168" t="s">
        <v>976</v>
      </c>
      <c r="BF168">
        <v>0</v>
      </c>
      <c r="BK168" t="s">
        <v>31</v>
      </c>
      <c r="BS168" t="s">
        <v>412</v>
      </c>
      <c r="CI168" t="s">
        <v>388</v>
      </c>
      <c r="CJ168" s="14">
        <v>45013</v>
      </c>
      <c r="CK168">
        <v>1</v>
      </c>
    </row>
    <row r="169" spans="1:89">
      <c r="A169" t="s">
        <v>915</v>
      </c>
      <c r="B169" t="s">
        <v>374</v>
      </c>
      <c r="C169" t="s">
        <v>916</v>
      </c>
      <c r="D169" t="s">
        <v>977</v>
      </c>
      <c r="E169" t="s">
        <v>978</v>
      </c>
      <c r="F169" s="13">
        <v>44795.504328703704</v>
      </c>
      <c r="G169" t="s">
        <v>641</v>
      </c>
      <c r="H169" t="s">
        <v>642</v>
      </c>
      <c r="I169" s="13">
        <v>44795.504328703704</v>
      </c>
      <c r="K169" t="s">
        <v>412</v>
      </c>
      <c r="M169" s="13">
        <v>44135</v>
      </c>
      <c r="R169">
        <v>0</v>
      </c>
      <c r="S169" t="s">
        <v>380</v>
      </c>
      <c r="T169" t="s">
        <v>57</v>
      </c>
      <c r="V169" t="s">
        <v>381</v>
      </c>
      <c r="W169" t="s">
        <v>979</v>
      </c>
      <c r="X169" t="s">
        <v>979</v>
      </c>
      <c r="AC169" s="13">
        <v>44135</v>
      </c>
      <c r="AD169" s="13">
        <v>44135</v>
      </c>
      <c r="AI169">
        <v>-660</v>
      </c>
      <c r="AN169" t="s">
        <v>31</v>
      </c>
      <c r="AO169">
        <v>0</v>
      </c>
      <c r="AS169" t="s">
        <v>385</v>
      </c>
      <c r="AX169" t="s">
        <v>57</v>
      </c>
      <c r="AY169" t="s">
        <v>386</v>
      </c>
      <c r="AZ169" t="s">
        <v>745</v>
      </c>
      <c r="BF169">
        <v>0</v>
      </c>
      <c r="BK169" t="s">
        <v>31</v>
      </c>
      <c r="BS169" t="s">
        <v>412</v>
      </c>
      <c r="CI169" t="s">
        <v>388</v>
      </c>
      <c r="CJ169" s="14">
        <v>45013</v>
      </c>
      <c r="CK169">
        <v>1</v>
      </c>
    </row>
    <row r="170" spans="1:89">
      <c r="A170" t="s">
        <v>915</v>
      </c>
      <c r="B170" t="s">
        <v>374</v>
      </c>
      <c r="C170" t="s">
        <v>916</v>
      </c>
      <c r="D170" t="s">
        <v>980</v>
      </c>
      <c r="E170" t="s">
        <v>981</v>
      </c>
      <c r="F170" s="13">
        <v>44795.504305555558</v>
      </c>
      <c r="G170" t="s">
        <v>641</v>
      </c>
      <c r="H170" t="s">
        <v>642</v>
      </c>
      <c r="I170" s="13">
        <v>44795.504317129627</v>
      </c>
      <c r="K170" t="s">
        <v>412</v>
      </c>
      <c r="M170" s="13">
        <v>44135</v>
      </c>
      <c r="R170">
        <v>0</v>
      </c>
      <c r="S170" t="s">
        <v>380</v>
      </c>
      <c r="T170" t="s">
        <v>57</v>
      </c>
      <c r="V170" t="s">
        <v>381</v>
      </c>
      <c r="W170" t="s">
        <v>979</v>
      </c>
      <c r="X170" t="s">
        <v>979</v>
      </c>
      <c r="AC170" s="13">
        <v>44135</v>
      </c>
      <c r="AD170" s="13">
        <v>44135</v>
      </c>
      <c r="AI170">
        <v>-660</v>
      </c>
      <c r="AN170" t="s">
        <v>31</v>
      </c>
      <c r="AO170">
        <v>0</v>
      </c>
      <c r="AS170" t="s">
        <v>385</v>
      </c>
      <c r="AX170" t="s">
        <v>57</v>
      </c>
      <c r="AY170" t="s">
        <v>386</v>
      </c>
      <c r="AZ170" t="s">
        <v>721</v>
      </c>
      <c r="BF170">
        <v>0</v>
      </c>
      <c r="BK170" t="s">
        <v>31</v>
      </c>
      <c r="BS170" t="s">
        <v>412</v>
      </c>
      <c r="CI170" t="s">
        <v>388</v>
      </c>
      <c r="CJ170" s="14">
        <v>45013</v>
      </c>
      <c r="CK170">
        <v>1</v>
      </c>
    </row>
    <row r="171" spans="1:89">
      <c r="A171" t="s">
        <v>895</v>
      </c>
      <c r="B171" t="s">
        <v>374</v>
      </c>
      <c r="C171" t="s">
        <v>896</v>
      </c>
      <c r="D171" t="s">
        <v>982</v>
      </c>
      <c r="E171" t="s">
        <v>983</v>
      </c>
      <c r="F171" s="13">
        <v>44795.504282407404</v>
      </c>
      <c r="G171" t="s">
        <v>641</v>
      </c>
      <c r="H171" t="s">
        <v>642</v>
      </c>
      <c r="I171" s="13">
        <v>44795.504293981481</v>
      </c>
      <c r="K171" t="s">
        <v>412</v>
      </c>
      <c r="M171" s="13">
        <v>44586</v>
      </c>
      <c r="R171">
        <v>0</v>
      </c>
      <c r="S171" t="s">
        <v>380</v>
      </c>
      <c r="T171" t="s">
        <v>57</v>
      </c>
      <c r="V171" t="s">
        <v>381</v>
      </c>
      <c r="W171" t="s">
        <v>931</v>
      </c>
      <c r="X171" t="s">
        <v>931</v>
      </c>
      <c r="AC171" s="13">
        <v>44586</v>
      </c>
      <c r="AD171" s="13">
        <v>44586</v>
      </c>
      <c r="AI171">
        <v>-209</v>
      </c>
      <c r="AN171" t="s">
        <v>31</v>
      </c>
      <c r="AO171">
        <v>0</v>
      </c>
      <c r="AS171" t="s">
        <v>385</v>
      </c>
      <c r="AX171" t="s">
        <v>57</v>
      </c>
      <c r="AY171" t="s">
        <v>386</v>
      </c>
      <c r="AZ171" t="s">
        <v>721</v>
      </c>
      <c r="BF171">
        <v>0</v>
      </c>
      <c r="BK171" t="s">
        <v>31</v>
      </c>
      <c r="BS171" t="s">
        <v>412</v>
      </c>
      <c r="CI171" t="s">
        <v>388</v>
      </c>
      <c r="CJ171" s="14">
        <v>45013</v>
      </c>
      <c r="CK171">
        <v>1</v>
      </c>
    </row>
    <row r="172" spans="1:89">
      <c r="A172" t="s">
        <v>915</v>
      </c>
      <c r="B172" t="s">
        <v>374</v>
      </c>
      <c r="C172" t="s">
        <v>916</v>
      </c>
      <c r="D172" t="s">
        <v>984</v>
      </c>
      <c r="E172" t="s">
        <v>985</v>
      </c>
      <c r="F172" s="13">
        <v>44795.504270833335</v>
      </c>
      <c r="G172" t="s">
        <v>641</v>
      </c>
      <c r="H172" t="s">
        <v>642</v>
      </c>
      <c r="I172" s="13">
        <v>44795.504270833335</v>
      </c>
      <c r="K172" t="s">
        <v>412</v>
      </c>
      <c r="M172" s="13">
        <v>44638</v>
      </c>
      <c r="R172">
        <v>0</v>
      </c>
      <c r="S172" t="s">
        <v>380</v>
      </c>
      <c r="T172" t="s">
        <v>57</v>
      </c>
      <c r="V172" t="s">
        <v>381</v>
      </c>
      <c r="W172" t="s">
        <v>921</v>
      </c>
      <c r="X172" t="s">
        <v>921</v>
      </c>
      <c r="AC172" s="13">
        <v>44638</v>
      </c>
      <c r="AD172" s="13">
        <v>44638</v>
      </c>
      <c r="AI172">
        <v>-157</v>
      </c>
      <c r="AN172" t="s">
        <v>31</v>
      </c>
      <c r="AO172">
        <v>0</v>
      </c>
      <c r="AS172" t="s">
        <v>648</v>
      </c>
      <c r="AX172" t="s">
        <v>57</v>
      </c>
      <c r="AY172" t="s">
        <v>386</v>
      </c>
      <c r="AZ172" t="s">
        <v>745</v>
      </c>
      <c r="BF172">
        <v>0</v>
      </c>
      <c r="BK172" t="s">
        <v>31</v>
      </c>
      <c r="BS172" t="s">
        <v>412</v>
      </c>
      <c r="CI172" t="s">
        <v>388</v>
      </c>
      <c r="CJ172" s="14">
        <v>45013</v>
      </c>
      <c r="CK172">
        <v>1</v>
      </c>
    </row>
    <row r="173" spans="1:89">
      <c r="A173" t="s">
        <v>915</v>
      </c>
      <c r="B173" t="s">
        <v>374</v>
      </c>
      <c r="C173" t="s">
        <v>916</v>
      </c>
      <c r="D173" t="s">
        <v>986</v>
      </c>
      <c r="E173" t="s">
        <v>987</v>
      </c>
      <c r="F173" s="13">
        <v>44795.504247685189</v>
      </c>
      <c r="G173" t="s">
        <v>641</v>
      </c>
      <c r="H173" t="s">
        <v>642</v>
      </c>
      <c r="I173" s="13">
        <v>44795.504259259258</v>
      </c>
      <c r="K173" t="s">
        <v>412</v>
      </c>
      <c r="M173" s="13">
        <v>44638</v>
      </c>
      <c r="R173">
        <v>0</v>
      </c>
      <c r="S173" t="s">
        <v>380</v>
      </c>
      <c r="T173" t="s">
        <v>57</v>
      </c>
      <c r="V173" t="s">
        <v>381</v>
      </c>
      <c r="W173" t="s">
        <v>921</v>
      </c>
      <c r="X173" t="s">
        <v>921</v>
      </c>
      <c r="AC173" s="13">
        <v>44638</v>
      </c>
      <c r="AD173" s="13">
        <v>44638</v>
      </c>
      <c r="AI173">
        <v>-157</v>
      </c>
      <c r="AN173" t="s">
        <v>31</v>
      </c>
      <c r="AO173">
        <v>0</v>
      </c>
      <c r="AS173" t="s">
        <v>526</v>
      </c>
      <c r="AX173" t="s">
        <v>57</v>
      </c>
      <c r="AY173" t="s">
        <v>386</v>
      </c>
      <c r="AZ173" t="s">
        <v>721</v>
      </c>
      <c r="BF173">
        <v>0</v>
      </c>
      <c r="BK173" t="s">
        <v>31</v>
      </c>
      <c r="BS173" t="s">
        <v>412</v>
      </c>
      <c r="CI173" t="s">
        <v>388</v>
      </c>
      <c r="CJ173" s="14">
        <v>45013</v>
      </c>
      <c r="CK173">
        <v>1</v>
      </c>
    </row>
    <row r="174" spans="1:89">
      <c r="A174" t="s">
        <v>915</v>
      </c>
      <c r="B174" t="s">
        <v>374</v>
      </c>
      <c r="C174" t="s">
        <v>916</v>
      </c>
      <c r="D174" t="s">
        <v>988</v>
      </c>
      <c r="E174" t="s">
        <v>989</v>
      </c>
      <c r="F174" s="13">
        <v>44795.504224537035</v>
      </c>
      <c r="G174" t="s">
        <v>641</v>
      </c>
      <c r="H174" t="s">
        <v>642</v>
      </c>
      <c r="I174" s="13">
        <v>44795.504236111112</v>
      </c>
      <c r="K174" t="s">
        <v>412</v>
      </c>
      <c r="M174" s="13">
        <v>44610</v>
      </c>
      <c r="R174">
        <v>0</v>
      </c>
      <c r="S174" t="s">
        <v>380</v>
      </c>
      <c r="T174" t="s">
        <v>57</v>
      </c>
      <c r="V174" t="s">
        <v>381</v>
      </c>
      <c r="W174" t="s">
        <v>921</v>
      </c>
      <c r="X174" t="s">
        <v>921</v>
      </c>
      <c r="AC174" s="13">
        <v>44610</v>
      </c>
      <c r="AD174" s="13">
        <v>44610</v>
      </c>
      <c r="AI174">
        <v>-185</v>
      </c>
      <c r="AN174" t="s">
        <v>31</v>
      </c>
      <c r="AO174">
        <v>0</v>
      </c>
      <c r="AS174" t="s">
        <v>385</v>
      </c>
      <c r="AX174" t="s">
        <v>57</v>
      </c>
      <c r="AY174" t="s">
        <v>386</v>
      </c>
      <c r="AZ174" t="s">
        <v>745</v>
      </c>
      <c r="BF174">
        <v>0</v>
      </c>
      <c r="BK174" t="s">
        <v>31</v>
      </c>
      <c r="BS174" t="s">
        <v>412</v>
      </c>
      <c r="CI174" t="s">
        <v>388</v>
      </c>
      <c r="CJ174" s="14">
        <v>45013</v>
      </c>
      <c r="CK174">
        <v>1</v>
      </c>
    </row>
    <row r="175" spans="1:89">
      <c r="A175" t="s">
        <v>915</v>
      </c>
      <c r="B175" t="s">
        <v>374</v>
      </c>
      <c r="C175" t="s">
        <v>916</v>
      </c>
      <c r="D175" t="s">
        <v>990</v>
      </c>
      <c r="E175" t="s">
        <v>991</v>
      </c>
      <c r="F175" s="13">
        <v>44795.504212962966</v>
      </c>
      <c r="G175" t="s">
        <v>641</v>
      </c>
      <c r="H175" t="s">
        <v>642</v>
      </c>
      <c r="I175" s="13">
        <v>44795.504212962966</v>
      </c>
      <c r="K175" t="s">
        <v>412</v>
      </c>
      <c r="M175" s="13">
        <v>44610</v>
      </c>
      <c r="R175">
        <v>0</v>
      </c>
      <c r="S175" t="s">
        <v>380</v>
      </c>
      <c r="T175" t="s">
        <v>57</v>
      </c>
      <c r="V175" t="s">
        <v>381</v>
      </c>
      <c r="W175" t="s">
        <v>921</v>
      </c>
      <c r="X175" t="s">
        <v>921</v>
      </c>
      <c r="AC175" s="13">
        <v>44610</v>
      </c>
      <c r="AD175" s="13">
        <v>44610</v>
      </c>
      <c r="AI175">
        <v>-185</v>
      </c>
      <c r="AN175" t="s">
        <v>31</v>
      </c>
      <c r="AO175">
        <v>0</v>
      </c>
      <c r="AS175" t="s">
        <v>385</v>
      </c>
      <c r="AX175" t="s">
        <v>57</v>
      </c>
      <c r="AY175" t="s">
        <v>386</v>
      </c>
      <c r="AZ175" t="s">
        <v>721</v>
      </c>
      <c r="BF175">
        <v>0</v>
      </c>
      <c r="BK175" t="s">
        <v>31</v>
      </c>
      <c r="BS175" t="s">
        <v>412</v>
      </c>
      <c r="CI175" t="s">
        <v>388</v>
      </c>
      <c r="CJ175" s="14">
        <v>45013</v>
      </c>
      <c r="CK175">
        <v>1</v>
      </c>
    </row>
    <row r="176" spans="1:89">
      <c r="A176" t="s">
        <v>915</v>
      </c>
      <c r="B176" t="s">
        <v>374</v>
      </c>
      <c r="C176" t="s">
        <v>916</v>
      </c>
      <c r="D176" t="s">
        <v>992</v>
      </c>
      <c r="E176" t="s">
        <v>993</v>
      </c>
      <c r="F176" s="13">
        <v>44795.504189814812</v>
      </c>
      <c r="G176" t="s">
        <v>641</v>
      </c>
      <c r="H176" t="s">
        <v>642</v>
      </c>
      <c r="I176" s="13">
        <v>44795.504201388889</v>
      </c>
      <c r="K176" t="s">
        <v>412</v>
      </c>
      <c r="M176" s="13">
        <v>44638</v>
      </c>
      <c r="R176">
        <v>0</v>
      </c>
      <c r="S176" t="s">
        <v>380</v>
      </c>
      <c r="T176" t="s">
        <v>57</v>
      </c>
      <c r="V176" t="s">
        <v>381</v>
      </c>
      <c r="W176" t="s">
        <v>921</v>
      </c>
      <c r="X176" t="s">
        <v>921</v>
      </c>
      <c r="AC176" s="13">
        <v>44638</v>
      </c>
      <c r="AD176" s="13">
        <v>44638</v>
      </c>
      <c r="AI176">
        <v>-157</v>
      </c>
      <c r="AN176" t="s">
        <v>31</v>
      </c>
      <c r="AO176">
        <v>0</v>
      </c>
      <c r="AS176" t="s">
        <v>385</v>
      </c>
      <c r="AX176" t="s">
        <v>57</v>
      </c>
      <c r="AY176" t="s">
        <v>386</v>
      </c>
      <c r="AZ176" t="s">
        <v>976</v>
      </c>
      <c r="BF176">
        <v>0</v>
      </c>
      <c r="BK176" t="s">
        <v>31</v>
      </c>
      <c r="BS176" t="s">
        <v>412</v>
      </c>
      <c r="CI176" t="s">
        <v>388</v>
      </c>
      <c r="CJ176" s="14">
        <v>45013</v>
      </c>
      <c r="CK176">
        <v>1</v>
      </c>
    </row>
    <row r="177" spans="1:89">
      <c r="A177" t="s">
        <v>915</v>
      </c>
      <c r="B177" t="s">
        <v>374</v>
      </c>
      <c r="C177" t="s">
        <v>916</v>
      </c>
      <c r="D177" t="s">
        <v>994</v>
      </c>
      <c r="E177" t="s">
        <v>995</v>
      </c>
      <c r="F177" s="13">
        <v>44795.504166666666</v>
      </c>
      <c r="G177" t="s">
        <v>641</v>
      </c>
      <c r="H177" t="s">
        <v>642</v>
      </c>
      <c r="I177" s="13">
        <v>44795.504178240742</v>
      </c>
      <c r="K177" t="s">
        <v>412</v>
      </c>
      <c r="M177" s="13">
        <v>44638</v>
      </c>
      <c r="R177">
        <v>0</v>
      </c>
      <c r="S177" t="s">
        <v>380</v>
      </c>
      <c r="T177" t="s">
        <v>57</v>
      </c>
      <c r="V177" t="s">
        <v>381</v>
      </c>
      <c r="W177" t="s">
        <v>921</v>
      </c>
      <c r="X177" t="s">
        <v>921</v>
      </c>
      <c r="AC177" s="13">
        <v>44638</v>
      </c>
      <c r="AD177" s="13">
        <v>44638</v>
      </c>
      <c r="AI177">
        <v>-157</v>
      </c>
      <c r="AN177" t="s">
        <v>31</v>
      </c>
      <c r="AO177">
        <v>0</v>
      </c>
      <c r="AS177" t="s">
        <v>385</v>
      </c>
      <c r="AX177" t="s">
        <v>57</v>
      </c>
      <c r="AY177" t="s">
        <v>386</v>
      </c>
      <c r="AZ177" t="s">
        <v>745</v>
      </c>
      <c r="BF177">
        <v>0</v>
      </c>
      <c r="BK177" t="s">
        <v>31</v>
      </c>
      <c r="BS177" t="s">
        <v>412</v>
      </c>
      <c r="CI177" t="s">
        <v>388</v>
      </c>
      <c r="CJ177" s="14">
        <v>45013</v>
      </c>
      <c r="CK177">
        <v>1</v>
      </c>
    </row>
    <row r="178" spans="1:89">
      <c r="A178" t="s">
        <v>915</v>
      </c>
      <c r="B178" t="s">
        <v>374</v>
      </c>
      <c r="C178" t="s">
        <v>916</v>
      </c>
      <c r="D178" t="s">
        <v>996</v>
      </c>
      <c r="E178" t="s">
        <v>997</v>
      </c>
      <c r="F178" s="13">
        <v>44795.504143518519</v>
      </c>
      <c r="G178" t="s">
        <v>641</v>
      </c>
      <c r="H178" t="s">
        <v>642</v>
      </c>
      <c r="I178" s="13">
        <v>44795.504155092596</v>
      </c>
      <c r="K178" t="s">
        <v>412</v>
      </c>
      <c r="M178" s="13">
        <v>44638</v>
      </c>
      <c r="R178">
        <v>0</v>
      </c>
      <c r="S178" t="s">
        <v>416</v>
      </c>
      <c r="T178" t="s">
        <v>57</v>
      </c>
      <c r="V178" t="s">
        <v>381</v>
      </c>
      <c r="W178" t="s">
        <v>998</v>
      </c>
      <c r="X178" t="s">
        <v>998</v>
      </c>
      <c r="AC178" s="13">
        <v>44638</v>
      </c>
      <c r="AD178" s="13">
        <v>44638</v>
      </c>
      <c r="AI178">
        <v>-157</v>
      </c>
      <c r="AN178" t="s">
        <v>31</v>
      </c>
      <c r="AO178">
        <v>0</v>
      </c>
      <c r="AS178" t="s">
        <v>385</v>
      </c>
      <c r="AX178" t="s">
        <v>57</v>
      </c>
      <c r="AY178" t="s">
        <v>386</v>
      </c>
      <c r="AZ178" t="s">
        <v>721</v>
      </c>
      <c r="BF178">
        <v>0</v>
      </c>
      <c r="BK178" t="s">
        <v>31</v>
      </c>
      <c r="BS178" t="s">
        <v>412</v>
      </c>
      <c r="CI178" t="s">
        <v>388</v>
      </c>
      <c r="CJ178" s="14">
        <v>45013</v>
      </c>
      <c r="CK178">
        <v>1</v>
      </c>
    </row>
    <row r="179" spans="1:89">
      <c r="A179" t="s">
        <v>883</v>
      </c>
      <c r="B179" t="s">
        <v>374</v>
      </c>
      <c r="C179" t="s">
        <v>473</v>
      </c>
      <c r="D179" t="s">
        <v>999</v>
      </c>
      <c r="E179" t="s">
        <v>1000</v>
      </c>
      <c r="F179" s="13">
        <v>44795.504120370373</v>
      </c>
      <c r="G179" t="s">
        <v>641</v>
      </c>
      <c r="H179" t="s">
        <v>642</v>
      </c>
      <c r="I179" s="13">
        <v>44795.504131944443</v>
      </c>
      <c r="K179" t="s">
        <v>412</v>
      </c>
      <c r="M179" s="13">
        <v>44651</v>
      </c>
      <c r="R179">
        <v>0</v>
      </c>
      <c r="S179" t="s">
        <v>380</v>
      </c>
      <c r="T179" t="s">
        <v>57</v>
      </c>
      <c r="V179" t="s">
        <v>381</v>
      </c>
      <c r="W179" t="s">
        <v>1001</v>
      </c>
      <c r="X179" t="s">
        <v>1001</v>
      </c>
      <c r="AC179" s="13">
        <v>44651</v>
      </c>
      <c r="AD179" s="13">
        <v>44651</v>
      </c>
      <c r="AI179">
        <v>-144</v>
      </c>
      <c r="AN179" t="s">
        <v>31</v>
      </c>
      <c r="AO179">
        <v>0</v>
      </c>
      <c r="AS179" t="s">
        <v>392</v>
      </c>
      <c r="AX179" t="s">
        <v>57</v>
      </c>
      <c r="AY179" t="s">
        <v>386</v>
      </c>
      <c r="AZ179" t="s">
        <v>721</v>
      </c>
      <c r="BF179">
        <v>0</v>
      </c>
      <c r="BK179" t="s">
        <v>31</v>
      </c>
      <c r="BS179" t="s">
        <v>412</v>
      </c>
      <c r="CI179" t="s">
        <v>388</v>
      </c>
      <c r="CJ179" s="14">
        <v>45013</v>
      </c>
      <c r="CK179">
        <v>1</v>
      </c>
    </row>
    <row r="180" spans="1:89">
      <c r="A180" t="s">
        <v>714</v>
      </c>
      <c r="B180" t="s">
        <v>374</v>
      </c>
      <c r="C180" t="s">
        <v>715</v>
      </c>
      <c r="D180" t="s">
        <v>1002</v>
      </c>
      <c r="E180" t="s">
        <v>1003</v>
      </c>
      <c r="F180" s="13">
        <v>44795.504108796296</v>
      </c>
      <c r="G180" t="s">
        <v>641</v>
      </c>
      <c r="H180" t="s">
        <v>642</v>
      </c>
      <c r="I180" s="13">
        <v>44795.504120370373</v>
      </c>
      <c r="K180" t="s">
        <v>412</v>
      </c>
      <c r="M180" s="13">
        <v>44635</v>
      </c>
      <c r="R180">
        <v>0</v>
      </c>
      <c r="S180" t="s">
        <v>380</v>
      </c>
      <c r="T180" t="s">
        <v>57</v>
      </c>
      <c r="V180" t="s">
        <v>381</v>
      </c>
      <c r="W180" t="s">
        <v>1004</v>
      </c>
      <c r="X180" t="s">
        <v>1004</v>
      </c>
      <c r="AC180" s="13">
        <v>44635</v>
      </c>
      <c r="AD180" s="13">
        <v>44635</v>
      </c>
      <c r="AI180">
        <v>-160</v>
      </c>
      <c r="AN180" t="s">
        <v>31</v>
      </c>
      <c r="AO180">
        <v>0</v>
      </c>
      <c r="AS180" t="s">
        <v>730</v>
      </c>
      <c r="AX180" t="s">
        <v>57</v>
      </c>
      <c r="AY180" t="s">
        <v>386</v>
      </c>
      <c r="AZ180" t="s">
        <v>745</v>
      </c>
      <c r="BF180">
        <v>0</v>
      </c>
      <c r="BK180" t="s">
        <v>31</v>
      </c>
      <c r="BS180" t="s">
        <v>412</v>
      </c>
      <c r="CI180" t="s">
        <v>388</v>
      </c>
      <c r="CJ180" s="14">
        <v>45013</v>
      </c>
      <c r="CK180">
        <v>1</v>
      </c>
    </row>
    <row r="181" spans="1:89">
      <c r="A181" t="s">
        <v>714</v>
      </c>
      <c r="B181" t="s">
        <v>374</v>
      </c>
      <c r="C181" t="s">
        <v>715</v>
      </c>
      <c r="D181" t="s">
        <v>1005</v>
      </c>
      <c r="E181" t="s">
        <v>1006</v>
      </c>
      <c r="F181" s="13">
        <v>44795.50408564815</v>
      </c>
      <c r="G181" t="s">
        <v>641</v>
      </c>
      <c r="H181" t="s">
        <v>642</v>
      </c>
      <c r="I181" s="13">
        <v>44795.50409722222</v>
      </c>
      <c r="K181" t="s">
        <v>412</v>
      </c>
      <c r="M181" s="13">
        <v>44635</v>
      </c>
      <c r="R181">
        <v>0</v>
      </c>
      <c r="S181" t="s">
        <v>380</v>
      </c>
      <c r="T181" t="s">
        <v>57</v>
      </c>
      <c r="V181" t="s">
        <v>381</v>
      </c>
      <c r="W181" t="s">
        <v>1004</v>
      </c>
      <c r="X181" t="s">
        <v>1004</v>
      </c>
      <c r="AC181" s="13">
        <v>44635</v>
      </c>
      <c r="AD181" s="13">
        <v>44635</v>
      </c>
      <c r="AI181">
        <v>-160</v>
      </c>
      <c r="AN181" t="s">
        <v>31</v>
      </c>
      <c r="AO181">
        <v>0</v>
      </c>
      <c r="AS181" t="s">
        <v>730</v>
      </c>
      <c r="AX181" t="s">
        <v>57</v>
      </c>
      <c r="AY181" t="s">
        <v>386</v>
      </c>
      <c r="AZ181" t="s">
        <v>721</v>
      </c>
      <c r="BF181">
        <v>0</v>
      </c>
      <c r="BK181" t="s">
        <v>31</v>
      </c>
      <c r="BS181" t="s">
        <v>412</v>
      </c>
      <c r="CI181" t="s">
        <v>388</v>
      </c>
      <c r="CJ181" s="14">
        <v>45013</v>
      </c>
      <c r="CK181">
        <v>1</v>
      </c>
    </row>
    <row r="182" spans="1:89">
      <c r="A182" t="s">
        <v>714</v>
      </c>
      <c r="B182" t="s">
        <v>374</v>
      </c>
      <c r="C182" t="s">
        <v>715</v>
      </c>
      <c r="D182" t="s">
        <v>1007</v>
      </c>
      <c r="E182" t="s">
        <v>1008</v>
      </c>
      <c r="F182" s="13">
        <v>44795.504062499997</v>
      </c>
      <c r="G182" t="s">
        <v>641</v>
      </c>
      <c r="H182" t="s">
        <v>642</v>
      </c>
      <c r="I182" s="13">
        <v>44795.504074074073</v>
      </c>
      <c r="K182" t="s">
        <v>412</v>
      </c>
      <c r="M182" s="13">
        <v>44666</v>
      </c>
      <c r="R182">
        <v>0</v>
      </c>
      <c r="S182" t="s">
        <v>380</v>
      </c>
      <c r="T182" t="s">
        <v>57</v>
      </c>
      <c r="V182" t="s">
        <v>381</v>
      </c>
      <c r="W182" t="s">
        <v>1004</v>
      </c>
      <c r="X182" t="s">
        <v>1004</v>
      </c>
      <c r="AC182" s="13">
        <v>44666</v>
      </c>
      <c r="AD182" s="13">
        <v>44666</v>
      </c>
      <c r="AI182">
        <v>-129</v>
      </c>
      <c r="AN182" t="s">
        <v>31</v>
      </c>
      <c r="AO182">
        <v>0</v>
      </c>
      <c r="AS182" t="s">
        <v>730</v>
      </c>
      <c r="AX182" t="s">
        <v>57</v>
      </c>
      <c r="AY182" t="s">
        <v>386</v>
      </c>
      <c r="AZ182" t="s">
        <v>745</v>
      </c>
      <c r="BF182">
        <v>0</v>
      </c>
      <c r="BK182" t="s">
        <v>31</v>
      </c>
      <c r="BS182" t="s">
        <v>412</v>
      </c>
      <c r="CI182" t="s">
        <v>388</v>
      </c>
      <c r="CJ182" s="14">
        <v>45013</v>
      </c>
      <c r="CK182">
        <v>1</v>
      </c>
    </row>
    <row r="183" spans="1:89">
      <c r="A183" t="s">
        <v>714</v>
      </c>
      <c r="B183" t="s">
        <v>374</v>
      </c>
      <c r="C183" t="s">
        <v>715</v>
      </c>
      <c r="D183" t="s">
        <v>1009</v>
      </c>
      <c r="E183" t="s">
        <v>1010</v>
      </c>
      <c r="F183" s="13">
        <v>44795.50403935185</v>
      </c>
      <c r="G183" t="s">
        <v>641</v>
      </c>
      <c r="H183" t="s">
        <v>642</v>
      </c>
      <c r="I183" s="13">
        <v>44795.504050925927</v>
      </c>
      <c r="K183" t="s">
        <v>412</v>
      </c>
      <c r="M183" s="13">
        <v>44666</v>
      </c>
      <c r="R183">
        <v>0</v>
      </c>
      <c r="S183" t="s">
        <v>380</v>
      </c>
      <c r="T183" t="s">
        <v>57</v>
      </c>
      <c r="V183" t="s">
        <v>381</v>
      </c>
      <c r="W183" t="s">
        <v>1004</v>
      </c>
      <c r="X183" t="s">
        <v>1004</v>
      </c>
      <c r="AC183" s="13">
        <v>44666</v>
      </c>
      <c r="AD183" s="13">
        <v>44666</v>
      </c>
      <c r="AI183">
        <v>-129</v>
      </c>
      <c r="AN183" t="s">
        <v>31</v>
      </c>
      <c r="AO183">
        <v>0</v>
      </c>
      <c r="AS183" t="s">
        <v>730</v>
      </c>
      <c r="AX183" t="s">
        <v>57</v>
      </c>
      <c r="AY183" t="s">
        <v>386</v>
      </c>
      <c r="AZ183" t="s">
        <v>721</v>
      </c>
      <c r="BF183">
        <v>0</v>
      </c>
      <c r="BK183" t="s">
        <v>31</v>
      </c>
      <c r="BS183" t="s">
        <v>412</v>
      </c>
      <c r="CI183" t="s">
        <v>388</v>
      </c>
      <c r="CJ183" s="14">
        <v>45013</v>
      </c>
      <c r="CK183">
        <v>1</v>
      </c>
    </row>
    <row r="184" spans="1:89">
      <c r="A184" t="s">
        <v>714</v>
      </c>
      <c r="B184" t="s">
        <v>374</v>
      </c>
      <c r="C184" t="s">
        <v>715</v>
      </c>
      <c r="D184" t="s">
        <v>1011</v>
      </c>
      <c r="E184" t="s">
        <v>1012</v>
      </c>
      <c r="F184" s="13">
        <v>44795.504016203704</v>
      </c>
      <c r="G184" t="s">
        <v>641</v>
      </c>
      <c r="H184" t="s">
        <v>642</v>
      </c>
      <c r="I184" s="13">
        <v>44795.504027777781</v>
      </c>
      <c r="K184" t="s">
        <v>412</v>
      </c>
      <c r="M184" s="13">
        <v>44666</v>
      </c>
      <c r="R184">
        <v>0</v>
      </c>
      <c r="S184" t="s">
        <v>380</v>
      </c>
      <c r="T184" t="s">
        <v>57</v>
      </c>
      <c r="V184" t="s">
        <v>381</v>
      </c>
      <c r="W184" t="s">
        <v>1004</v>
      </c>
      <c r="X184" t="s">
        <v>1004</v>
      </c>
      <c r="AC184" s="13">
        <v>44666</v>
      </c>
      <c r="AD184" s="13">
        <v>44666</v>
      </c>
      <c r="AI184">
        <v>-129</v>
      </c>
      <c r="AN184" t="s">
        <v>31</v>
      </c>
      <c r="AO184">
        <v>0</v>
      </c>
      <c r="AS184" t="s">
        <v>730</v>
      </c>
      <c r="AX184" t="s">
        <v>57</v>
      </c>
      <c r="AY184" t="s">
        <v>386</v>
      </c>
      <c r="AZ184" t="s">
        <v>721</v>
      </c>
      <c r="BF184">
        <v>0</v>
      </c>
      <c r="BK184" t="s">
        <v>31</v>
      </c>
      <c r="BS184" t="s">
        <v>412</v>
      </c>
      <c r="CI184" t="s">
        <v>388</v>
      </c>
      <c r="CJ184" s="14">
        <v>45013</v>
      </c>
      <c r="CK184">
        <v>1</v>
      </c>
    </row>
    <row r="185" spans="1:89">
      <c r="A185" t="s">
        <v>714</v>
      </c>
      <c r="B185" t="s">
        <v>374</v>
      </c>
      <c r="C185" t="s">
        <v>715</v>
      </c>
      <c r="D185" t="s">
        <v>1013</v>
      </c>
      <c r="E185" t="s">
        <v>1014</v>
      </c>
      <c r="F185" s="13">
        <v>44795.503993055558</v>
      </c>
      <c r="G185" t="s">
        <v>641</v>
      </c>
      <c r="H185" t="s">
        <v>642</v>
      </c>
      <c r="I185" s="13">
        <v>44795.504004629627</v>
      </c>
      <c r="K185" t="s">
        <v>412</v>
      </c>
      <c r="M185" s="13">
        <v>44635</v>
      </c>
      <c r="R185">
        <v>0</v>
      </c>
      <c r="S185" t="s">
        <v>380</v>
      </c>
      <c r="T185" t="s">
        <v>57</v>
      </c>
      <c r="V185" t="s">
        <v>381</v>
      </c>
      <c r="W185" t="s">
        <v>1004</v>
      </c>
      <c r="X185" t="s">
        <v>1004</v>
      </c>
      <c r="AC185" s="13">
        <v>44635</v>
      </c>
      <c r="AD185" s="13">
        <v>44635</v>
      </c>
      <c r="AI185">
        <v>-160</v>
      </c>
      <c r="AN185" t="s">
        <v>31</v>
      </c>
      <c r="AO185">
        <v>0</v>
      </c>
      <c r="AS185" t="s">
        <v>730</v>
      </c>
      <c r="AX185" t="s">
        <v>57</v>
      </c>
      <c r="AY185" t="s">
        <v>386</v>
      </c>
      <c r="AZ185" t="s">
        <v>745</v>
      </c>
      <c r="BF185">
        <v>0</v>
      </c>
      <c r="BK185" t="s">
        <v>31</v>
      </c>
      <c r="BS185" t="s">
        <v>412</v>
      </c>
      <c r="CI185" t="s">
        <v>388</v>
      </c>
      <c r="CJ185" s="14">
        <v>45013</v>
      </c>
      <c r="CK185">
        <v>1</v>
      </c>
    </row>
    <row r="186" spans="1:89">
      <c r="A186" t="s">
        <v>714</v>
      </c>
      <c r="B186" t="s">
        <v>374</v>
      </c>
      <c r="C186" t="s">
        <v>715</v>
      </c>
      <c r="D186" t="s">
        <v>1015</v>
      </c>
      <c r="E186" t="s">
        <v>1016</v>
      </c>
      <c r="F186" s="13">
        <v>44795.503969907404</v>
      </c>
      <c r="G186" t="s">
        <v>641</v>
      </c>
      <c r="H186" t="s">
        <v>642</v>
      </c>
      <c r="I186" s="13">
        <v>44795.503981481481</v>
      </c>
      <c r="K186" t="s">
        <v>412</v>
      </c>
      <c r="M186" s="13">
        <v>44696</v>
      </c>
      <c r="R186">
        <v>0</v>
      </c>
      <c r="S186" t="s">
        <v>380</v>
      </c>
      <c r="T186" t="s">
        <v>57</v>
      </c>
      <c r="V186" t="s">
        <v>381</v>
      </c>
      <c r="W186" t="s">
        <v>1004</v>
      </c>
      <c r="X186" t="s">
        <v>1004</v>
      </c>
      <c r="AC186" s="13">
        <v>44696</v>
      </c>
      <c r="AD186" s="13">
        <v>44696</v>
      </c>
      <c r="AI186">
        <v>-99</v>
      </c>
      <c r="AN186" t="s">
        <v>31</v>
      </c>
      <c r="AO186">
        <v>0</v>
      </c>
      <c r="AS186" t="s">
        <v>730</v>
      </c>
      <c r="AX186" t="s">
        <v>57</v>
      </c>
      <c r="AY186" t="s">
        <v>386</v>
      </c>
      <c r="AZ186" t="s">
        <v>721</v>
      </c>
      <c r="BF186">
        <v>0</v>
      </c>
      <c r="BK186" t="s">
        <v>31</v>
      </c>
      <c r="BS186" t="s">
        <v>412</v>
      </c>
      <c r="CI186" t="s">
        <v>388</v>
      </c>
      <c r="CJ186" s="14">
        <v>45013</v>
      </c>
      <c r="CK186">
        <v>1</v>
      </c>
    </row>
    <row r="187" spans="1:89">
      <c r="A187" t="s">
        <v>714</v>
      </c>
      <c r="B187" t="s">
        <v>374</v>
      </c>
      <c r="C187" t="s">
        <v>715</v>
      </c>
      <c r="D187" t="s">
        <v>1017</v>
      </c>
      <c r="E187" t="s">
        <v>1018</v>
      </c>
      <c r="F187" s="13">
        <v>44795.503946759258</v>
      </c>
      <c r="G187" t="s">
        <v>641</v>
      </c>
      <c r="H187" t="s">
        <v>642</v>
      </c>
      <c r="I187" s="13">
        <v>44795.503958333335</v>
      </c>
      <c r="K187" t="s">
        <v>412</v>
      </c>
      <c r="M187" s="13">
        <v>44788</v>
      </c>
      <c r="R187">
        <v>0</v>
      </c>
      <c r="S187" t="s">
        <v>380</v>
      </c>
      <c r="T187" t="s">
        <v>57</v>
      </c>
      <c r="V187" t="s">
        <v>381</v>
      </c>
      <c r="W187" t="s">
        <v>1019</v>
      </c>
      <c r="X187" t="s">
        <v>1019</v>
      </c>
      <c r="AC187" s="13">
        <v>44788</v>
      </c>
      <c r="AD187" s="13">
        <v>44788</v>
      </c>
      <c r="AI187">
        <v>-7</v>
      </c>
      <c r="AN187" t="s">
        <v>31</v>
      </c>
      <c r="AO187">
        <v>0</v>
      </c>
      <c r="AS187" t="s">
        <v>744</v>
      </c>
      <c r="AX187" t="s">
        <v>57</v>
      </c>
      <c r="AY187" t="s">
        <v>386</v>
      </c>
      <c r="AZ187" t="s">
        <v>721</v>
      </c>
      <c r="BF187">
        <v>0</v>
      </c>
      <c r="BK187" t="s">
        <v>31</v>
      </c>
      <c r="BS187" t="s">
        <v>412</v>
      </c>
      <c r="CI187" t="s">
        <v>388</v>
      </c>
      <c r="CJ187" s="14">
        <v>45013</v>
      </c>
      <c r="CK187">
        <v>1</v>
      </c>
    </row>
    <row r="188" spans="1:89">
      <c r="A188" t="s">
        <v>895</v>
      </c>
      <c r="B188" t="s">
        <v>374</v>
      </c>
      <c r="C188" t="s">
        <v>896</v>
      </c>
      <c r="D188" t="s">
        <v>1020</v>
      </c>
      <c r="E188" t="s">
        <v>1021</v>
      </c>
      <c r="F188" s="13">
        <v>44795.503923611112</v>
      </c>
      <c r="G188" t="s">
        <v>641</v>
      </c>
      <c r="H188" t="s">
        <v>642</v>
      </c>
      <c r="I188" s="13">
        <v>44795.503935185188</v>
      </c>
      <c r="K188" t="s">
        <v>412</v>
      </c>
      <c r="M188" s="13">
        <v>44666</v>
      </c>
      <c r="R188">
        <v>0</v>
      </c>
      <c r="S188" t="s">
        <v>380</v>
      </c>
      <c r="T188" t="s">
        <v>57</v>
      </c>
      <c r="V188" t="s">
        <v>381</v>
      </c>
      <c r="W188" t="s">
        <v>924</v>
      </c>
      <c r="X188" t="s">
        <v>924</v>
      </c>
      <c r="AC188" s="13">
        <v>44666</v>
      </c>
      <c r="AD188" s="13">
        <v>44666</v>
      </c>
      <c r="AI188">
        <v>-129</v>
      </c>
      <c r="AN188" t="s">
        <v>31</v>
      </c>
      <c r="AO188">
        <v>0</v>
      </c>
      <c r="AS188" t="s">
        <v>707</v>
      </c>
      <c r="AX188" t="s">
        <v>57</v>
      </c>
      <c r="AY188" t="s">
        <v>386</v>
      </c>
      <c r="AZ188" t="s">
        <v>745</v>
      </c>
      <c r="BF188">
        <v>0</v>
      </c>
      <c r="BK188" t="s">
        <v>31</v>
      </c>
      <c r="BS188" t="s">
        <v>412</v>
      </c>
      <c r="CI188" t="s">
        <v>388</v>
      </c>
      <c r="CJ188" s="14">
        <v>45013</v>
      </c>
      <c r="CK188">
        <v>1</v>
      </c>
    </row>
    <row r="189" spans="1:89">
      <c r="A189" t="s">
        <v>895</v>
      </c>
      <c r="B189" t="s">
        <v>374</v>
      </c>
      <c r="C189" t="s">
        <v>896</v>
      </c>
      <c r="D189" t="s">
        <v>1022</v>
      </c>
      <c r="E189" t="s">
        <v>1023</v>
      </c>
      <c r="F189" s="13">
        <v>44795.503900462965</v>
      </c>
      <c r="G189" t="s">
        <v>641</v>
      </c>
      <c r="H189" t="s">
        <v>642</v>
      </c>
      <c r="I189" s="13">
        <v>44795.503912037035</v>
      </c>
      <c r="K189" t="s">
        <v>412</v>
      </c>
      <c r="M189" s="13">
        <v>44666</v>
      </c>
      <c r="R189">
        <v>0</v>
      </c>
      <c r="S189" t="s">
        <v>380</v>
      </c>
      <c r="T189" t="s">
        <v>57</v>
      </c>
      <c r="V189" t="s">
        <v>381</v>
      </c>
      <c r="W189" t="s">
        <v>924</v>
      </c>
      <c r="X189" t="s">
        <v>924</v>
      </c>
      <c r="AC189" s="13">
        <v>44666</v>
      </c>
      <c r="AD189" s="13">
        <v>44666</v>
      </c>
      <c r="AI189">
        <v>-129</v>
      </c>
      <c r="AN189" t="s">
        <v>31</v>
      </c>
      <c r="AO189">
        <v>0</v>
      </c>
      <c r="AS189" t="s">
        <v>385</v>
      </c>
      <c r="AX189" t="s">
        <v>57</v>
      </c>
      <c r="AY189" t="s">
        <v>386</v>
      </c>
      <c r="AZ189" t="s">
        <v>721</v>
      </c>
      <c r="BF189">
        <v>0</v>
      </c>
      <c r="BK189" t="s">
        <v>31</v>
      </c>
      <c r="BS189" t="s">
        <v>412</v>
      </c>
      <c r="CI189" t="s">
        <v>388</v>
      </c>
      <c r="CJ189" s="14">
        <v>45013</v>
      </c>
      <c r="CK189">
        <v>1</v>
      </c>
    </row>
    <row r="190" spans="1:89">
      <c r="A190" t="s">
        <v>895</v>
      </c>
      <c r="B190" t="s">
        <v>374</v>
      </c>
      <c r="C190" t="s">
        <v>896</v>
      </c>
      <c r="D190" t="s">
        <v>1024</v>
      </c>
      <c r="E190" t="s">
        <v>1025</v>
      </c>
      <c r="F190" s="13">
        <v>44795.503865740742</v>
      </c>
      <c r="G190" t="s">
        <v>641</v>
      </c>
      <c r="H190" t="s">
        <v>642</v>
      </c>
      <c r="I190" s="13">
        <v>44795.503888888888</v>
      </c>
      <c r="K190" t="s">
        <v>412</v>
      </c>
      <c r="M190" s="13">
        <v>44666</v>
      </c>
      <c r="R190">
        <v>0</v>
      </c>
      <c r="S190" t="s">
        <v>380</v>
      </c>
      <c r="T190" t="s">
        <v>57</v>
      </c>
      <c r="V190" t="s">
        <v>381</v>
      </c>
      <c r="W190" t="s">
        <v>924</v>
      </c>
      <c r="X190" t="s">
        <v>924</v>
      </c>
      <c r="AC190" s="13">
        <v>44666</v>
      </c>
      <c r="AD190" s="13">
        <v>44666</v>
      </c>
      <c r="AI190">
        <v>-129</v>
      </c>
      <c r="AN190" t="s">
        <v>31</v>
      </c>
      <c r="AO190">
        <v>0</v>
      </c>
      <c r="AS190" t="s">
        <v>648</v>
      </c>
      <c r="AX190" t="s">
        <v>57</v>
      </c>
      <c r="AY190" t="s">
        <v>386</v>
      </c>
      <c r="AZ190" t="s">
        <v>721</v>
      </c>
      <c r="BF190">
        <v>0</v>
      </c>
      <c r="BK190" t="s">
        <v>31</v>
      </c>
      <c r="BS190" t="s">
        <v>412</v>
      </c>
      <c r="CI190" t="s">
        <v>388</v>
      </c>
      <c r="CJ190" s="14">
        <v>45013</v>
      </c>
      <c r="CK190">
        <v>1</v>
      </c>
    </row>
    <row r="191" spans="1:89">
      <c r="A191" t="s">
        <v>895</v>
      </c>
      <c r="B191" t="s">
        <v>374</v>
      </c>
      <c r="C191" t="s">
        <v>896</v>
      </c>
      <c r="D191" t="s">
        <v>1026</v>
      </c>
      <c r="E191" t="s">
        <v>1027</v>
      </c>
      <c r="F191" s="13">
        <v>44795.503842592596</v>
      </c>
      <c r="G191" t="s">
        <v>641</v>
      </c>
      <c r="H191" t="s">
        <v>642</v>
      </c>
      <c r="I191" s="13">
        <v>44795.503854166665</v>
      </c>
      <c r="K191" t="s">
        <v>412</v>
      </c>
      <c r="M191" s="13">
        <v>44666</v>
      </c>
      <c r="R191">
        <v>0</v>
      </c>
      <c r="S191" t="s">
        <v>380</v>
      </c>
      <c r="T191" t="s">
        <v>57</v>
      </c>
      <c r="V191" t="s">
        <v>381</v>
      </c>
      <c r="W191" t="s">
        <v>924</v>
      </c>
      <c r="X191" t="s">
        <v>924</v>
      </c>
      <c r="AC191" s="13">
        <v>44666</v>
      </c>
      <c r="AD191" s="13">
        <v>44666</v>
      </c>
      <c r="AI191">
        <v>-129</v>
      </c>
      <c r="AN191" t="s">
        <v>31</v>
      </c>
      <c r="AO191">
        <v>0</v>
      </c>
      <c r="AS191" t="s">
        <v>385</v>
      </c>
      <c r="AX191" t="s">
        <v>57</v>
      </c>
      <c r="AY191" t="s">
        <v>386</v>
      </c>
      <c r="AZ191" t="s">
        <v>721</v>
      </c>
      <c r="BF191">
        <v>0</v>
      </c>
      <c r="BK191" t="s">
        <v>31</v>
      </c>
      <c r="BS191" t="s">
        <v>412</v>
      </c>
      <c r="CI191" t="s">
        <v>388</v>
      </c>
      <c r="CJ191" s="14">
        <v>45013</v>
      </c>
      <c r="CK191">
        <v>1</v>
      </c>
    </row>
    <row r="192" spans="1:89">
      <c r="A192" t="s">
        <v>883</v>
      </c>
      <c r="B192" t="s">
        <v>374</v>
      </c>
      <c r="C192" t="s">
        <v>473</v>
      </c>
      <c r="D192" t="s">
        <v>1028</v>
      </c>
      <c r="E192" t="s">
        <v>1029</v>
      </c>
      <c r="F192" s="13">
        <v>44795.503819444442</v>
      </c>
      <c r="G192" t="s">
        <v>641</v>
      </c>
      <c r="H192" t="s">
        <v>642</v>
      </c>
      <c r="I192" s="13">
        <v>44795.503831018519</v>
      </c>
      <c r="K192" t="s">
        <v>412</v>
      </c>
      <c r="M192" s="13">
        <v>44635</v>
      </c>
      <c r="R192">
        <v>0</v>
      </c>
      <c r="S192" t="s">
        <v>380</v>
      </c>
      <c r="T192" t="s">
        <v>57</v>
      </c>
      <c r="V192" t="s">
        <v>381</v>
      </c>
      <c r="W192" t="s">
        <v>1030</v>
      </c>
      <c r="X192" t="s">
        <v>1030</v>
      </c>
      <c r="AC192" s="13">
        <v>44635</v>
      </c>
      <c r="AD192" s="13">
        <v>44635</v>
      </c>
      <c r="AI192">
        <v>-160</v>
      </c>
      <c r="AN192" t="s">
        <v>31</v>
      </c>
      <c r="AO192">
        <v>0</v>
      </c>
      <c r="AS192" t="s">
        <v>385</v>
      </c>
      <c r="AX192" t="s">
        <v>57</v>
      </c>
      <c r="AY192" t="s">
        <v>386</v>
      </c>
      <c r="AZ192" t="s">
        <v>721</v>
      </c>
      <c r="BF192">
        <v>0</v>
      </c>
      <c r="BK192" t="s">
        <v>31</v>
      </c>
      <c r="BS192" t="s">
        <v>412</v>
      </c>
      <c r="CI192" t="s">
        <v>388</v>
      </c>
      <c r="CJ192" s="14">
        <v>45013</v>
      </c>
      <c r="CK192">
        <v>1</v>
      </c>
    </row>
    <row r="193" spans="1:89">
      <c r="A193" t="s">
        <v>883</v>
      </c>
      <c r="B193" t="s">
        <v>374</v>
      </c>
      <c r="C193" t="s">
        <v>473</v>
      </c>
      <c r="D193" t="s">
        <v>1031</v>
      </c>
      <c r="E193" t="s">
        <v>1032</v>
      </c>
      <c r="F193" s="13">
        <v>44795.503796296296</v>
      </c>
      <c r="G193" t="s">
        <v>641</v>
      </c>
      <c r="H193" t="s">
        <v>642</v>
      </c>
      <c r="I193" s="13">
        <v>44795.503807870373</v>
      </c>
      <c r="K193" t="s">
        <v>412</v>
      </c>
      <c r="M193" s="13">
        <v>44635</v>
      </c>
      <c r="R193">
        <v>0</v>
      </c>
      <c r="S193" t="s">
        <v>380</v>
      </c>
      <c r="T193" t="s">
        <v>57</v>
      </c>
      <c r="V193" t="s">
        <v>381</v>
      </c>
      <c r="W193" t="s">
        <v>1033</v>
      </c>
      <c r="X193" t="s">
        <v>1033</v>
      </c>
      <c r="AC193" s="13">
        <v>44635</v>
      </c>
      <c r="AD193" s="13">
        <v>44635</v>
      </c>
      <c r="AI193">
        <v>-160</v>
      </c>
      <c r="AN193" t="s">
        <v>31</v>
      </c>
      <c r="AO193">
        <v>0</v>
      </c>
      <c r="AS193" t="s">
        <v>385</v>
      </c>
      <c r="AX193" t="s">
        <v>57</v>
      </c>
      <c r="AY193" t="s">
        <v>386</v>
      </c>
      <c r="AZ193" t="s">
        <v>721</v>
      </c>
      <c r="BF193">
        <v>0</v>
      </c>
      <c r="BK193" t="s">
        <v>31</v>
      </c>
      <c r="BS193" t="s">
        <v>412</v>
      </c>
      <c r="CI193" t="s">
        <v>388</v>
      </c>
      <c r="CJ193" s="14">
        <v>45013</v>
      </c>
      <c r="CK193">
        <v>1</v>
      </c>
    </row>
    <row r="194" spans="1:89">
      <c r="A194" t="s">
        <v>883</v>
      </c>
      <c r="B194" t="s">
        <v>374</v>
      </c>
      <c r="C194" t="s">
        <v>473</v>
      </c>
      <c r="D194" t="s">
        <v>1034</v>
      </c>
      <c r="E194" t="s">
        <v>1035</v>
      </c>
      <c r="F194" s="13">
        <v>44795.50377314815</v>
      </c>
      <c r="G194" t="s">
        <v>641</v>
      </c>
      <c r="H194" t="s">
        <v>642</v>
      </c>
      <c r="I194" s="13">
        <v>44795.503784722219</v>
      </c>
      <c r="K194" t="s">
        <v>412</v>
      </c>
      <c r="M194" s="13">
        <v>44635</v>
      </c>
      <c r="R194">
        <v>0</v>
      </c>
      <c r="S194" t="s">
        <v>380</v>
      </c>
      <c r="T194" t="s">
        <v>57</v>
      </c>
      <c r="V194" t="s">
        <v>381</v>
      </c>
      <c r="W194" t="s">
        <v>1033</v>
      </c>
      <c r="X194" t="s">
        <v>1033</v>
      </c>
      <c r="AC194" s="13">
        <v>44635</v>
      </c>
      <c r="AD194" s="13">
        <v>44635</v>
      </c>
      <c r="AI194">
        <v>-160</v>
      </c>
      <c r="AN194" t="s">
        <v>31</v>
      </c>
      <c r="AO194">
        <v>0</v>
      </c>
      <c r="AS194" t="s">
        <v>385</v>
      </c>
      <c r="AX194" t="s">
        <v>57</v>
      </c>
      <c r="AY194" t="s">
        <v>386</v>
      </c>
      <c r="AZ194" t="s">
        <v>721</v>
      </c>
      <c r="BF194">
        <v>0</v>
      </c>
      <c r="BK194" t="s">
        <v>31</v>
      </c>
      <c r="BS194" t="s">
        <v>412</v>
      </c>
      <c r="CI194" t="s">
        <v>388</v>
      </c>
      <c r="CJ194" s="14">
        <v>45013</v>
      </c>
      <c r="CK194">
        <v>1</v>
      </c>
    </row>
    <row r="195" spans="1:89">
      <c r="A195" t="s">
        <v>883</v>
      </c>
      <c r="B195" t="s">
        <v>374</v>
      </c>
      <c r="C195" t="s">
        <v>473</v>
      </c>
      <c r="D195" t="s">
        <v>1036</v>
      </c>
      <c r="E195" t="s">
        <v>1035</v>
      </c>
      <c r="F195" s="13">
        <v>44795.503750000003</v>
      </c>
      <c r="G195" t="s">
        <v>641</v>
      </c>
      <c r="H195" t="s">
        <v>642</v>
      </c>
      <c r="I195" s="13">
        <v>44795.503761574073</v>
      </c>
      <c r="K195" t="s">
        <v>412</v>
      </c>
      <c r="M195" s="13">
        <v>44635</v>
      </c>
      <c r="R195">
        <v>0</v>
      </c>
      <c r="S195" t="s">
        <v>380</v>
      </c>
      <c r="T195" t="s">
        <v>57</v>
      </c>
      <c r="V195" t="s">
        <v>381</v>
      </c>
      <c r="W195" t="s">
        <v>1033</v>
      </c>
      <c r="X195" t="s">
        <v>1033</v>
      </c>
      <c r="AC195" s="13">
        <v>44635</v>
      </c>
      <c r="AD195" s="13">
        <v>44635</v>
      </c>
      <c r="AI195">
        <v>-160</v>
      </c>
      <c r="AN195" t="s">
        <v>31</v>
      </c>
      <c r="AO195">
        <v>0</v>
      </c>
      <c r="AS195" t="s">
        <v>385</v>
      </c>
      <c r="AX195" t="s">
        <v>57</v>
      </c>
      <c r="AY195" t="s">
        <v>386</v>
      </c>
      <c r="AZ195" t="s">
        <v>721</v>
      </c>
      <c r="BF195">
        <v>0</v>
      </c>
      <c r="BK195" t="s">
        <v>31</v>
      </c>
      <c r="BS195" t="s">
        <v>412</v>
      </c>
      <c r="CI195" t="s">
        <v>388</v>
      </c>
      <c r="CJ195" s="14">
        <v>45013</v>
      </c>
      <c r="CK195">
        <v>1</v>
      </c>
    </row>
    <row r="196" spans="1:89">
      <c r="A196" t="s">
        <v>883</v>
      </c>
      <c r="B196" t="s">
        <v>374</v>
      </c>
      <c r="C196" t="s">
        <v>473</v>
      </c>
      <c r="D196" t="s">
        <v>1037</v>
      </c>
      <c r="E196" t="s">
        <v>1038</v>
      </c>
      <c r="F196" s="13">
        <v>44795.50372685185</v>
      </c>
      <c r="G196" t="s">
        <v>641</v>
      </c>
      <c r="H196" t="s">
        <v>642</v>
      </c>
      <c r="I196" s="13">
        <v>44795.503738425927</v>
      </c>
      <c r="K196" t="s">
        <v>412</v>
      </c>
      <c r="M196" s="13">
        <v>44607</v>
      </c>
      <c r="R196">
        <v>0</v>
      </c>
      <c r="S196" t="s">
        <v>380</v>
      </c>
      <c r="T196" t="s">
        <v>57</v>
      </c>
      <c r="V196" t="s">
        <v>381</v>
      </c>
      <c r="W196" t="s">
        <v>886</v>
      </c>
      <c r="X196" t="s">
        <v>886</v>
      </c>
      <c r="AC196" s="13">
        <v>44607</v>
      </c>
      <c r="AD196" s="13">
        <v>44607</v>
      </c>
      <c r="AI196">
        <v>-188</v>
      </c>
      <c r="AN196" t="s">
        <v>31</v>
      </c>
      <c r="AO196">
        <v>0</v>
      </c>
      <c r="AS196" t="s">
        <v>385</v>
      </c>
      <c r="AX196" t="s">
        <v>57</v>
      </c>
      <c r="AY196" t="s">
        <v>386</v>
      </c>
      <c r="AZ196" t="s">
        <v>721</v>
      </c>
      <c r="BF196">
        <v>0</v>
      </c>
      <c r="BK196" t="s">
        <v>31</v>
      </c>
      <c r="BS196" t="s">
        <v>412</v>
      </c>
      <c r="CI196" t="s">
        <v>388</v>
      </c>
      <c r="CJ196" s="14">
        <v>45013</v>
      </c>
      <c r="CK196">
        <v>1</v>
      </c>
    </row>
    <row r="197" spans="1:89">
      <c r="A197" t="s">
        <v>883</v>
      </c>
      <c r="B197" t="s">
        <v>374</v>
      </c>
      <c r="C197" t="s">
        <v>473</v>
      </c>
      <c r="D197" t="s">
        <v>1039</v>
      </c>
      <c r="E197" t="s">
        <v>1040</v>
      </c>
      <c r="F197" s="13">
        <v>44795.503703703704</v>
      </c>
      <c r="G197" t="s">
        <v>641</v>
      </c>
      <c r="H197" t="s">
        <v>642</v>
      </c>
      <c r="I197" s="13">
        <v>44795.50371527778</v>
      </c>
      <c r="K197" t="s">
        <v>412</v>
      </c>
      <c r="M197" s="13">
        <v>44607</v>
      </c>
      <c r="R197">
        <v>0</v>
      </c>
      <c r="S197" t="s">
        <v>380</v>
      </c>
      <c r="T197" t="s">
        <v>57</v>
      </c>
      <c r="V197" t="s">
        <v>381</v>
      </c>
      <c r="W197" t="s">
        <v>886</v>
      </c>
      <c r="X197" t="s">
        <v>886</v>
      </c>
      <c r="AC197" s="13">
        <v>44607</v>
      </c>
      <c r="AD197" s="13">
        <v>44607</v>
      </c>
      <c r="AI197">
        <v>-188</v>
      </c>
      <c r="AN197" t="s">
        <v>31</v>
      </c>
      <c r="AO197">
        <v>0</v>
      </c>
      <c r="AS197" t="s">
        <v>385</v>
      </c>
      <c r="AX197" t="s">
        <v>57</v>
      </c>
      <c r="AY197" t="s">
        <v>386</v>
      </c>
      <c r="AZ197" t="s">
        <v>721</v>
      </c>
      <c r="BF197">
        <v>0</v>
      </c>
      <c r="BK197" t="s">
        <v>31</v>
      </c>
      <c r="BS197" t="s">
        <v>412</v>
      </c>
      <c r="CI197" t="s">
        <v>388</v>
      </c>
      <c r="CJ197" s="14">
        <v>45013</v>
      </c>
      <c r="CK197">
        <v>1</v>
      </c>
    </row>
    <row r="198" spans="1:89">
      <c r="A198" t="s">
        <v>883</v>
      </c>
      <c r="B198" t="s">
        <v>374</v>
      </c>
      <c r="C198" t="s">
        <v>473</v>
      </c>
      <c r="D198" t="s">
        <v>1041</v>
      </c>
      <c r="E198" t="s">
        <v>1042</v>
      </c>
      <c r="F198" s="13">
        <v>44795.503680555557</v>
      </c>
      <c r="G198" t="s">
        <v>641</v>
      </c>
      <c r="H198" t="s">
        <v>642</v>
      </c>
      <c r="I198" s="13">
        <v>44795.503692129627</v>
      </c>
      <c r="K198" t="s">
        <v>412</v>
      </c>
      <c r="M198" s="13">
        <v>44607</v>
      </c>
      <c r="R198">
        <v>0</v>
      </c>
      <c r="S198" t="s">
        <v>380</v>
      </c>
      <c r="T198" t="s">
        <v>57</v>
      </c>
      <c r="V198" t="s">
        <v>381</v>
      </c>
      <c r="W198" t="s">
        <v>886</v>
      </c>
      <c r="X198" t="s">
        <v>886</v>
      </c>
      <c r="AC198" s="13">
        <v>44607</v>
      </c>
      <c r="AD198" s="13">
        <v>44607</v>
      </c>
      <c r="AI198">
        <v>-188</v>
      </c>
      <c r="AN198" t="s">
        <v>31</v>
      </c>
      <c r="AO198">
        <v>0</v>
      </c>
      <c r="AS198" t="s">
        <v>385</v>
      </c>
      <c r="AX198" t="s">
        <v>57</v>
      </c>
      <c r="AY198" t="s">
        <v>386</v>
      </c>
      <c r="AZ198" t="s">
        <v>721</v>
      </c>
      <c r="BF198">
        <v>0</v>
      </c>
      <c r="BK198" t="s">
        <v>31</v>
      </c>
      <c r="BS198" t="s">
        <v>412</v>
      </c>
      <c r="CI198" t="s">
        <v>388</v>
      </c>
      <c r="CJ198" s="14">
        <v>45013</v>
      </c>
      <c r="CK198">
        <v>1</v>
      </c>
    </row>
    <row r="199" spans="1:89">
      <c r="A199" t="s">
        <v>883</v>
      </c>
      <c r="B199" t="s">
        <v>374</v>
      </c>
      <c r="C199" t="s">
        <v>473</v>
      </c>
      <c r="D199" t="s">
        <v>1043</v>
      </c>
      <c r="E199" t="s">
        <v>1040</v>
      </c>
      <c r="F199" s="13">
        <v>44795.503657407404</v>
      </c>
      <c r="G199" t="s">
        <v>641</v>
      </c>
      <c r="H199" t="s">
        <v>642</v>
      </c>
      <c r="I199" s="13">
        <v>44795.503668981481</v>
      </c>
      <c r="K199" t="s">
        <v>412</v>
      </c>
      <c r="M199" s="13">
        <v>44607</v>
      </c>
      <c r="R199">
        <v>0</v>
      </c>
      <c r="S199" t="s">
        <v>380</v>
      </c>
      <c r="T199" t="s">
        <v>57</v>
      </c>
      <c r="V199" t="s">
        <v>381</v>
      </c>
      <c r="W199" t="s">
        <v>886</v>
      </c>
      <c r="X199" t="s">
        <v>886</v>
      </c>
      <c r="AC199" s="13">
        <v>44607</v>
      </c>
      <c r="AD199" s="13">
        <v>44607</v>
      </c>
      <c r="AI199">
        <v>-188</v>
      </c>
      <c r="AN199" t="s">
        <v>31</v>
      </c>
      <c r="AO199">
        <v>0</v>
      </c>
      <c r="AS199" t="s">
        <v>385</v>
      </c>
      <c r="AX199" t="s">
        <v>57</v>
      </c>
      <c r="AY199" t="s">
        <v>386</v>
      </c>
      <c r="AZ199" t="s">
        <v>721</v>
      </c>
      <c r="BF199">
        <v>0</v>
      </c>
      <c r="BK199" t="s">
        <v>31</v>
      </c>
      <c r="BS199" t="s">
        <v>412</v>
      </c>
      <c r="CI199" t="s">
        <v>388</v>
      </c>
      <c r="CJ199" s="14">
        <v>45013</v>
      </c>
      <c r="CK199">
        <v>1</v>
      </c>
    </row>
    <row r="200" spans="1:89">
      <c r="A200" t="s">
        <v>895</v>
      </c>
      <c r="B200" t="s">
        <v>374</v>
      </c>
      <c r="C200" t="s">
        <v>896</v>
      </c>
      <c r="D200" t="s">
        <v>1044</v>
      </c>
      <c r="E200" t="s">
        <v>1045</v>
      </c>
      <c r="F200" s="13">
        <v>44795.503634259258</v>
      </c>
      <c r="G200" t="s">
        <v>641</v>
      </c>
      <c r="H200" t="s">
        <v>642</v>
      </c>
      <c r="I200" s="13">
        <v>44795.503645833334</v>
      </c>
      <c r="K200" t="s">
        <v>412</v>
      </c>
      <c r="M200" s="13">
        <v>44696</v>
      </c>
      <c r="R200">
        <v>0</v>
      </c>
      <c r="S200" t="s">
        <v>416</v>
      </c>
      <c r="T200" t="s">
        <v>57</v>
      </c>
      <c r="V200" t="s">
        <v>381</v>
      </c>
      <c r="W200" t="s">
        <v>899</v>
      </c>
      <c r="X200" t="s">
        <v>899</v>
      </c>
      <c r="AC200" s="13">
        <v>44696</v>
      </c>
      <c r="AD200" s="13">
        <v>44696</v>
      </c>
      <c r="AI200">
        <v>-99</v>
      </c>
      <c r="AN200" t="s">
        <v>31</v>
      </c>
      <c r="AO200">
        <v>0</v>
      </c>
      <c r="AS200" t="s">
        <v>385</v>
      </c>
      <c r="AX200" t="s">
        <v>57</v>
      </c>
      <c r="AY200" t="s">
        <v>386</v>
      </c>
      <c r="AZ200" t="s">
        <v>721</v>
      </c>
      <c r="BF200">
        <v>0</v>
      </c>
      <c r="BK200" t="s">
        <v>31</v>
      </c>
      <c r="BS200" t="s">
        <v>412</v>
      </c>
      <c r="CI200" t="s">
        <v>388</v>
      </c>
      <c r="CJ200" s="14">
        <v>45013</v>
      </c>
      <c r="CK200">
        <v>1</v>
      </c>
    </row>
    <row r="201" spans="1:89">
      <c r="A201" t="s">
        <v>895</v>
      </c>
      <c r="B201" t="s">
        <v>374</v>
      </c>
      <c r="C201" t="s">
        <v>896</v>
      </c>
      <c r="D201" t="s">
        <v>1046</v>
      </c>
      <c r="E201" t="s">
        <v>1047</v>
      </c>
      <c r="F201" s="13">
        <v>44795.503611111111</v>
      </c>
      <c r="G201" t="s">
        <v>641</v>
      </c>
      <c r="H201" t="s">
        <v>642</v>
      </c>
      <c r="I201" s="13">
        <v>44795.503622685188</v>
      </c>
      <c r="K201" t="s">
        <v>412</v>
      </c>
      <c r="M201" s="13">
        <v>44696</v>
      </c>
      <c r="R201">
        <v>0</v>
      </c>
      <c r="S201" t="s">
        <v>380</v>
      </c>
      <c r="T201" t="s">
        <v>57</v>
      </c>
      <c r="V201" t="s">
        <v>381</v>
      </c>
      <c r="W201" t="s">
        <v>899</v>
      </c>
      <c r="X201" t="s">
        <v>899</v>
      </c>
      <c r="AC201" s="13">
        <v>44696</v>
      </c>
      <c r="AD201" s="13">
        <v>44696</v>
      </c>
      <c r="AI201">
        <v>-99</v>
      </c>
      <c r="AN201" t="s">
        <v>31</v>
      </c>
      <c r="AO201">
        <v>0</v>
      </c>
      <c r="AS201" t="s">
        <v>385</v>
      </c>
      <c r="AX201" t="s">
        <v>57</v>
      </c>
      <c r="AY201" t="s">
        <v>386</v>
      </c>
      <c r="AZ201" t="s">
        <v>745</v>
      </c>
      <c r="BF201">
        <v>0</v>
      </c>
      <c r="BK201" t="s">
        <v>31</v>
      </c>
      <c r="BS201" t="s">
        <v>412</v>
      </c>
      <c r="CI201" t="s">
        <v>388</v>
      </c>
      <c r="CJ201" s="14">
        <v>45013</v>
      </c>
      <c r="CK201">
        <v>1</v>
      </c>
    </row>
    <row r="202" spans="1:89">
      <c r="A202" t="s">
        <v>895</v>
      </c>
      <c r="B202" t="s">
        <v>374</v>
      </c>
      <c r="C202" t="s">
        <v>896</v>
      </c>
      <c r="D202" t="s">
        <v>1048</v>
      </c>
      <c r="E202" t="s">
        <v>1049</v>
      </c>
      <c r="F202" s="13">
        <v>44795.503587962965</v>
      </c>
      <c r="G202" t="s">
        <v>641</v>
      </c>
      <c r="H202" t="s">
        <v>642</v>
      </c>
      <c r="I202" s="13">
        <v>44795.503599537034</v>
      </c>
      <c r="K202" t="s">
        <v>412</v>
      </c>
      <c r="M202" s="13">
        <v>44607</v>
      </c>
      <c r="R202">
        <v>0</v>
      </c>
      <c r="S202" t="s">
        <v>416</v>
      </c>
      <c r="T202" t="s">
        <v>57</v>
      </c>
      <c r="V202" t="s">
        <v>381</v>
      </c>
      <c r="W202" t="s">
        <v>899</v>
      </c>
      <c r="X202" t="s">
        <v>899</v>
      </c>
      <c r="AC202" s="13">
        <v>44607</v>
      </c>
      <c r="AD202" s="13">
        <v>44607</v>
      </c>
      <c r="AI202">
        <v>-188</v>
      </c>
      <c r="AN202" t="s">
        <v>31</v>
      </c>
      <c r="AO202">
        <v>0</v>
      </c>
      <c r="AS202" t="s">
        <v>385</v>
      </c>
      <c r="AX202" t="s">
        <v>57</v>
      </c>
      <c r="AY202" t="s">
        <v>386</v>
      </c>
      <c r="AZ202" t="s">
        <v>721</v>
      </c>
      <c r="BF202">
        <v>0</v>
      </c>
      <c r="BK202" t="s">
        <v>31</v>
      </c>
      <c r="BS202" t="s">
        <v>412</v>
      </c>
      <c r="CI202" t="s">
        <v>388</v>
      </c>
      <c r="CJ202" s="14">
        <v>45013</v>
      </c>
      <c r="CK202">
        <v>1</v>
      </c>
    </row>
    <row r="203" spans="1:89">
      <c r="A203" t="s">
        <v>895</v>
      </c>
      <c r="B203" t="s">
        <v>374</v>
      </c>
      <c r="C203" t="s">
        <v>896</v>
      </c>
      <c r="D203" t="s">
        <v>1050</v>
      </c>
      <c r="E203" t="s">
        <v>1051</v>
      </c>
      <c r="F203" s="13">
        <v>44795.503564814811</v>
      </c>
      <c r="G203" t="s">
        <v>641</v>
      </c>
      <c r="H203" t="s">
        <v>642</v>
      </c>
      <c r="I203" s="13">
        <v>44795.503576388888</v>
      </c>
      <c r="K203" t="s">
        <v>412</v>
      </c>
      <c r="M203" s="13">
        <v>44607</v>
      </c>
      <c r="R203">
        <v>0</v>
      </c>
      <c r="S203" t="s">
        <v>416</v>
      </c>
      <c r="T203" t="s">
        <v>57</v>
      </c>
      <c r="V203" t="s">
        <v>381</v>
      </c>
      <c r="W203" t="s">
        <v>899</v>
      </c>
      <c r="X203" t="s">
        <v>899</v>
      </c>
      <c r="AC203" s="13">
        <v>44607</v>
      </c>
      <c r="AD203" s="13">
        <v>44607</v>
      </c>
      <c r="AI203">
        <v>-188</v>
      </c>
      <c r="AN203" t="s">
        <v>31</v>
      </c>
      <c r="AO203">
        <v>0</v>
      </c>
      <c r="AS203" t="s">
        <v>385</v>
      </c>
      <c r="AX203" t="s">
        <v>57</v>
      </c>
      <c r="AY203" t="s">
        <v>386</v>
      </c>
      <c r="AZ203" t="s">
        <v>721</v>
      </c>
      <c r="BF203">
        <v>0</v>
      </c>
      <c r="BK203" t="s">
        <v>31</v>
      </c>
      <c r="BS203" t="s">
        <v>412</v>
      </c>
      <c r="CI203" t="s">
        <v>388</v>
      </c>
      <c r="CJ203" s="14">
        <v>45013</v>
      </c>
      <c r="CK203">
        <v>1</v>
      </c>
    </row>
    <row r="204" spans="1:89">
      <c r="A204" t="s">
        <v>895</v>
      </c>
      <c r="B204" t="s">
        <v>374</v>
      </c>
      <c r="C204" t="s">
        <v>896</v>
      </c>
      <c r="D204" t="s">
        <v>1052</v>
      </c>
      <c r="E204" t="s">
        <v>1053</v>
      </c>
      <c r="F204" s="13">
        <v>44795.503541666665</v>
      </c>
      <c r="G204" t="s">
        <v>641</v>
      </c>
      <c r="H204" t="s">
        <v>642</v>
      </c>
      <c r="I204" s="13">
        <v>44795.503553240742</v>
      </c>
      <c r="K204" t="s">
        <v>412</v>
      </c>
      <c r="M204" s="13">
        <v>44607</v>
      </c>
      <c r="R204">
        <v>0</v>
      </c>
      <c r="S204" t="s">
        <v>416</v>
      </c>
      <c r="T204" t="s">
        <v>57</v>
      </c>
      <c r="V204" t="s">
        <v>381</v>
      </c>
      <c r="W204" t="s">
        <v>899</v>
      </c>
      <c r="X204" t="s">
        <v>899</v>
      </c>
      <c r="AC204" s="13">
        <v>44607</v>
      </c>
      <c r="AD204" s="13">
        <v>44607</v>
      </c>
      <c r="AI204">
        <v>-188</v>
      </c>
      <c r="AN204" t="s">
        <v>31</v>
      </c>
      <c r="AO204">
        <v>0</v>
      </c>
      <c r="AS204" t="s">
        <v>385</v>
      </c>
      <c r="AX204" t="s">
        <v>57</v>
      </c>
      <c r="AY204" t="s">
        <v>386</v>
      </c>
      <c r="AZ204" t="s">
        <v>721</v>
      </c>
      <c r="BF204">
        <v>0</v>
      </c>
      <c r="BK204" t="s">
        <v>31</v>
      </c>
      <c r="BS204" t="s">
        <v>412</v>
      </c>
      <c r="CI204" t="s">
        <v>388</v>
      </c>
      <c r="CJ204" s="14">
        <v>45013</v>
      </c>
      <c r="CK204">
        <v>1</v>
      </c>
    </row>
    <row r="205" spans="1:89">
      <c r="A205" t="s">
        <v>902</v>
      </c>
      <c r="B205" t="s">
        <v>374</v>
      </c>
      <c r="C205" t="s">
        <v>903</v>
      </c>
      <c r="D205" t="s">
        <v>1054</v>
      </c>
      <c r="E205" t="s">
        <v>1055</v>
      </c>
      <c r="F205" s="13">
        <v>44795.503518518519</v>
      </c>
      <c r="G205" t="s">
        <v>641</v>
      </c>
      <c r="H205" t="s">
        <v>642</v>
      </c>
      <c r="I205" s="13">
        <v>44795.503530092596</v>
      </c>
      <c r="K205" t="s">
        <v>412</v>
      </c>
      <c r="M205" s="13">
        <v>44635</v>
      </c>
      <c r="R205">
        <v>0</v>
      </c>
      <c r="S205" t="s">
        <v>380</v>
      </c>
      <c r="T205" t="s">
        <v>57</v>
      </c>
      <c r="V205" t="s">
        <v>381</v>
      </c>
      <c r="W205" t="s">
        <v>1056</v>
      </c>
      <c r="X205" t="s">
        <v>1056</v>
      </c>
      <c r="AC205" s="13">
        <v>44635</v>
      </c>
      <c r="AD205" s="13">
        <v>44635</v>
      </c>
      <c r="AI205">
        <v>-160</v>
      </c>
      <c r="AN205" t="s">
        <v>31</v>
      </c>
      <c r="AO205">
        <v>0</v>
      </c>
      <c r="AS205" t="s">
        <v>385</v>
      </c>
      <c r="AX205" t="s">
        <v>57</v>
      </c>
      <c r="AY205" t="s">
        <v>386</v>
      </c>
      <c r="AZ205" t="s">
        <v>721</v>
      </c>
      <c r="BF205">
        <v>0</v>
      </c>
      <c r="BK205" t="s">
        <v>31</v>
      </c>
      <c r="BS205" t="s">
        <v>412</v>
      </c>
      <c r="CI205" t="s">
        <v>388</v>
      </c>
      <c r="CJ205" s="14">
        <v>45013</v>
      </c>
      <c r="CK205">
        <v>1</v>
      </c>
    </row>
    <row r="206" spans="1:89">
      <c r="A206" t="s">
        <v>902</v>
      </c>
      <c r="B206" t="s">
        <v>374</v>
      </c>
      <c r="C206" t="s">
        <v>903</v>
      </c>
      <c r="D206" t="s">
        <v>1057</v>
      </c>
      <c r="E206" t="s">
        <v>1058</v>
      </c>
      <c r="F206" s="13">
        <v>44795.503495370373</v>
      </c>
      <c r="G206" t="s">
        <v>641</v>
      </c>
      <c r="H206" t="s">
        <v>642</v>
      </c>
      <c r="I206" s="13">
        <v>44795.503506944442</v>
      </c>
      <c r="K206" t="s">
        <v>412</v>
      </c>
      <c r="M206" s="13">
        <v>44681</v>
      </c>
      <c r="R206">
        <v>0</v>
      </c>
      <c r="S206" t="s">
        <v>380</v>
      </c>
      <c r="T206" t="s">
        <v>57</v>
      </c>
      <c r="V206" t="s">
        <v>381</v>
      </c>
      <c r="W206" t="s">
        <v>1059</v>
      </c>
      <c r="X206" t="s">
        <v>1059</v>
      </c>
      <c r="AC206" s="13">
        <v>44681</v>
      </c>
      <c r="AD206" s="13">
        <v>44681</v>
      </c>
      <c r="AI206">
        <v>-114</v>
      </c>
      <c r="AN206" t="s">
        <v>31</v>
      </c>
      <c r="AO206">
        <v>0</v>
      </c>
      <c r="AS206" t="s">
        <v>385</v>
      </c>
      <c r="AX206" t="s">
        <v>57</v>
      </c>
      <c r="AY206" t="s">
        <v>386</v>
      </c>
      <c r="AZ206" t="s">
        <v>745</v>
      </c>
      <c r="BF206">
        <v>0</v>
      </c>
      <c r="BK206" t="s">
        <v>31</v>
      </c>
      <c r="BS206" t="s">
        <v>412</v>
      </c>
      <c r="CI206" t="s">
        <v>388</v>
      </c>
      <c r="CJ206" s="14">
        <v>45013</v>
      </c>
      <c r="CK206">
        <v>1</v>
      </c>
    </row>
    <row r="207" spans="1:89">
      <c r="A207" t="s">
        <v>902</v>
      </c>
      <c r="B207" t="s">
        <v>374</v>
      </c>
      <c r="C207" t="s">
        <v>903</v>
      </c>
      <c r="D207" t="s">
        <v>1060</v>
      </c>
      <c r="E207" t="s">
        <v>1061</v>
      </c>
      <c r="F207" s="13">
        <v>44795.503483796296</v>
      </c>
      <c r="G207" t="s">
        <v>641</v>
      </c>
      <c r="H207" t="s">
        <v>642</v>
      </c>
      <c r="I207" s="13">
        <v>44795.503495370373</v>
      </c>
      <c r="K207" t="s">
        <v>412</v>
      </c>
      <c r="M207" s="13">
        <v>44620</v>
      </c>
      <c r="R207">
        <v>0</v>
      </c>
      <c r="S207" t="s">
        <v>380</v>
      </c>
      <c r="T207" t="s">
        <v>57</v>
      </c>
      <c r="V207" t="s">
        <v>381</v>
      </c>
      <c r="W207" t="s">
        <v>1059</v>
      </c>
      <c r="X207" t="s">
        <v>1059</v>
      </c>
      <c r="AC207" s="13">
        <v>44620</v>
      </c>
      <c r="AD207" s="13">
        <v>44620</v>
      </c>
      <c r="AI207">
        <v>-175</v>
      </c>
      <c r="AN207" t="s">
        <v>31</v>
      </c>
      <c r="AO207">
        <v>0</v>
      </c>
      <c r="AS207" t="s">
        <v>385</v>
      </c>
      <c r="AX207" t="s">
        <v>57</v>
      </c>
      <c r="AY207" t="s">
        <v>386</v>
      </c>
      <c r="AZ207" t="s">
        <v>721</v>
      </c>
      <c r="BF207">
        <v>0</v>
      </c>
      <c r="BK207" t="s">
        <v>31</v>
      </c>
      <c r="BS207" t="s">
        <v>412</v>
      </c>
      <c r="CI207" t="s">
        <v>388</v>
      </c>
      <c r="CJ207" s="14">
        <v>45013</v>
      </c>
      <c r="CK207">
        <v>1</v>
      </c>
    </row>
    <row r="208" spans="1:89">
      <c r="A208" t="s">
        <v>1062</v>
      </c>
      <c r="B208" t="s">
        <v>374</v>
      </c>
      <c r="C208" t="s">
        <v>1063</v>
      </c>
      <c r="D208" t="s">
        <v>1064</v>
      </c>
      <c r="E208" t="s">
        <v>1065</v>
      </c>
      <c r="F208" s="13">
        <v>44795.503460648149</v>
      </c>
      <c r="G208" t="s">
        <v>641</v>
      </c>
      <c r="H208" t="s">
        <v>642</v>
      </c>
      <c r="I208" s="13">
        <v>44795.503472222219</v>
      </c>
      <c r="K208" t="s">
        <v>412</v>
      </c>
      <c r="M208" s="13">
        <v>44607</v>
      </c>
      <c r="R208">
        <v>0</v>
      </c>
      <c r="S208" t="s">
        <v>380</v>
      </c>
      <c r="T208" t="s">
        <v>57</v>
      </c>
      <c r="V208" t="s">
        <v>381</v>
      </c>
      <c r="W208" t="s">
        <v>1066</v>
      </c>
      <c r="X208" t="s">
        <v>1066</v>
      </c>
      <c r="AC208" s="13">
        <v>44607</v>
      </c>
      <c r="AD208" s="13">
        <v>44607</v>
      </c>
      <c r="AI208">
        <v>-188</v>
      </c>
      <c r="AN208" t="s">
        <v>31</v>
      </c>
      <c r="AO208">
        <v>0</v>
      </c>
      <c r="AS208" t="s">
        <v>730</v>
      </c>
      <c r="AX208" t="s">
        <v>57</v>
      </c>
      <c r="AY208" t="s">
        <v>386</v>
      </c>
      <c r="AZ208" t="s">
        <v>721</v>
      </c>
      <c r="BF208">
        <v>0</v>
      </c>
      <c r="BK208" t="s">
        <v>31</v>
      </c>
      <c r="BS208" t="s">
        <v>412</v>
      </c>
      <c r="CI208" t="s">
        <v>388</v>
      </c>
      <c r="CJ208" s="14">
        <v>45013</v>
      </c>
      <c r="CK208">
        <v>1</v>
      </c>
    </row>
    <row r="209" spans="1:89">
      <c r="A209" t="s">
        <v>883</v>
      </c>
      <c r="B209" t="s">
        <v>374</v>
      </c>
      <c r="C209" t="s">
        <v>473</v>
      </c>
      <c r="D209" t="s">
        <v>1067</v>
      </c>
      <c r="E209" t="s">
        <v>1068</v>
      </c>
      <c r="F209" s="13">
        <v>44795.503437500003</v>
      </c>
      <c r="G209" t="s">
        <v>641</v>
      </c>
      <c r="H209" t="s">
        <v>642</v>
      </c>
      <c r="I209" s="13">
        <v>44795.503449074073</v>
      </c>
      <c r="K209" t="s">
        <v>412</v>
      </c>
      <c r="M209" s="13">
        <v>44645</v>
      </c>
      <c r="R209">
        <v>0</v>
      </c>
      <c r="S209" t="s">
        <v>380</v>
      </c>
      <c r="T209" t="s">
        <v>57</v>
      </c>
      <c r="V209" t="s">
        <v>381</v>
      </c>
      <c r="W209" t="s">
        <v>1069</v>
      </c>
      <c r="X209" t="s">
        <v>1069</v>
      </c>
      <c r="AC209" s="13">
        <v>44645</v>
      </c>
      <c r="AD209" s="13">
        <v>44645</v>
      </c>
      <c r="AI209">
        <v>-150</v>
      </c>
      <c r="AN209" t="s">
        <v>31</v>
      </c>
      <c r="AO209">
        <v>0</v>
      </c>
      <c r="AS209" t="s">
        <v>385</v>
      </c>
      <c r="AX209" t="s">
        <v>57</v>
      </c>
      <c r="AY209" t="s">
        <v>386</v>
      </c>
      <c r="AZ209" t="s">
        <v>721</v>
      </c>
      <c r="BF209">
        <v>0</v>
      </c>
      <c r="BK209" t="s">
        <v>31</v>
      </c>
      <c r="BS209" t="s">
        <v>412</v>
      </c>
      <c r="CI209" t="s">
        <v>388</v>
      </c>
      <c r="CJ209" s="14">
        <v>45013</v>
      </c>
      <c r="CK209">
        <v>1</v>
      </c>
    </row>
    <row r="210" spans="1:89">
      <c r="A210" t="s">
        <v>883</v>
      </c>
      <c r="B210" t="s">
        <v>374</v>
      </c>
      <c r="C210" t="s">
        <v>473</v>
      </c>
      <c r="D210" t="s">
        <v>1070</v>
      </c>
      <c r="E210" t="s">
        <v>1071</v>
      </c>
      <c r="F210" s="13">
        <v>44795.50341435185</v>
      </c>
      <c r="G210" t="s">
        <v>641</v>
      </c>
      <c r="H210" t="s">
        <v>642</v>
      </c>
      <c r="I210" s="13">
        <v>44795.503425925926</v>
      </c>
      <c r="K210" t="s">
        <v>412</v>
      </c>
      <c r="M210" s="13">
        <v>44671</v>
      </c>
      <c r="R210">
        <v>0</v>
      </c>
      <c r="S210" t="s">
        <v>416</v>
      </c>
      <c r="T210" t="s">
        <v>57</v>
      </c>
      <c r="V210" t="s">
        <v>381</v>
      </c>
      <c r="W210" t="s">
        <v>1069</v>
      </c>
      <c r="X210" t="s">
        <v>1069</v>
      </c>
      <c r="AC210" s="13">
        <v>44671</v>
      </c>
      <c r="AD210" s="13">
        <v>44671</v>
      </c>
      <c r="AI210">
        <v>-124</v>
      </c>
      <c r="AN210" t="s">
        <v>31</v>
      </c>
      <c r="AO210">
        <v>0</v>
      </c>
      <c r="AS210" t="s">
        <v>385</v>
      </c>
      <c r="AX210" t="s">
        <v>57</v>
      </c>
      <c r="AY210" t="s">
        <v>386</v>
      </c>
      <c r="AZ210" t="s">
        <v>721</v>
      </c>
      <c r="BF210">
        <v>0</v>
      </c>
      <c r="BK210" t="s">
        <v>31</v>
      </c>
      <c r="BS210" t="s">
        <v>412</v>
      </c>
      <c r="CI210" t="s">
        <v>388</v>
      </c>
      <c r="CJ210" s="14">
        <v>45013</v>
      </c>
      <c r="CK210">
        <v>1</v>
      </c>
    </row>
    <row r="211" spans="1:89">
      <c r="A211" t="s">
        <v>895</v>
      </c>
      <c r="B211" t="s">
        <v>374</v>
      </c>
      <c r="C211" t="s">
        <v>896</v>
      </c>
      <c r="D211" t="s">
        <v>1072</v>
      </c>
      <c r="E211" t="s">
        <v>1073</v>
      </c>
      <c r="F211" s="13">
        <v>44795.503391203703</v>
      </c>
      <c r="G211" t="s">
        <v>641</v>
      </c>
      <c r="H211" t="s">
        <v>642</v>
      </c>
      <c r="I211" s="13">
        <v>44795.50340277778</v>
      </c>
      <c r="K211" t="s">
        <v>412</v>
      </c>
      <c r="M211" s="13">
        <v>44609</v>
      </c>
      <c r="R211">
        <v>0</v>
      </c>
      <c r="S211" t="s">
        <v>380</v>
      </c>
      <c r="T211" t="s">
        <v>57</v>
      </c>
      <c r="V211" t="s">
        <v>381</v>
      </c>
      <c r="W211" t="s">
        <v>855</v>
      </c>
      <c r="X211" t="s">
        <v>855</v>
      </c>
      <c r="AC211" s="13">
        <v>44609</v>
      </c>
      <c r="AD211" s="13">
        <v>44609</v>
      </c>
      <c r="AI211">
        <v>-186</v>
      </c>
      <c r="AN211" t="s">
        <v>31</v>
      </c>
      <c r="AO211">
        <v>0</v>
      </c>
      <c r="AS211" t="s">
        <v>385</v>
      </c>
      <c r="AX211" t="s">
        <v>57</v>
      </c>
      <c r="AY211" t="s">
        <v>386</v>
      </c>
      <c r="AZ211" t="s">
        <v>721</v>
      </c>
      <c r="BF211">
        <v>0</v>
      </c>
      <c r="BK211" t="s">
        <v>31</v>
      </c>
      <c r="BS211" t="s">
        <v>412</v>
      </c>
      <c r="CI211" t="s">
        <v>388</v>
      </c>
      <c r="CJ211" s="14">
        <v>45013</v>
      </c>
      <c r="CK211">
        <v>1</v>
      </c>
    </row>
    <row r="212" spans="1:89">
      <c r="A212" t="s">
        <v>902</v>
      </c>
      <c r="B212" t="s">
        <v>374</v>
      </c>
      <c r="C212" t="s">
        <v>903</v>
      </c>
      <c r="D212" t="s">
        <v>1074</v>
      </c>
      <c r="E212" t="s">
        <v>1075</v>
      </c>
      <c r="F212" s="13">
        <v>44795.503368055557</v>
      </c>
      <c r="G212" t="s">
        <v>641</v>
      </c>
      <c r="H212" t="s">
        <v>642</v>
      </c>
      <c r="I212" s="13">
        <v>44795.503379629627</v>
      </c>
      <c r="K212" t="s">
        <v>412</v>
      </c>
      <c r="M212" s="13">
        <v>44635</v>
      </c>
      <c r="R212">
        <v>0</v>
      </c>
      <c r="S212" t="s">
        <v>380</v>
      </c>
      <c r="T212" t="s">
        <v>57</v>
      </c>
      <c r="V212" t="s">
        <v>381</v>
      </c>
      <c r="W212" t="s">
        <v>1076</v>
      </c>
      <c r="X212" t="s">
        <v>1076</v>
      </c>
      <c r="AC212" s="13">
        <v>44635</v>
      </c>
      <c r="AD212" s="13">
        <v>44635</v>
      </c>
      <c r="AI212">
        <v>-160</v>
      </c>
      <c r="AN212" t="s">
        <v>31</v>
      </c>
      <c r="AO212">
        <v>0</v>
      </c>
      <c r="AS212" t="s">
        <v>385</v>
      </c>
      <c r="AX212" t="s">
        <v>57</v>
      </c>
      <c r="AY212" t="s">
        <v>386</v>
      </c>
      <c r="AZ212" t="s">
        <v>721</v>
      </c>
      <c r="BF212">
        <v>0</v>
      </c>
      <c r="BK212" t="s">
        <v>31</v>
      </c>
      <c r="BS212" t="s">
        <v>412</v>
      </c>
      <c r="CI212" t="s">
        <v>388</v>
      </c>
      <c r="CJ212" s="14">
        <v>45013</v>
      </c>
      <c r="CK212">
        <v>1</v>
      </c>
    </row>
    <row r="213" spans="1:89">
      <c r="A213" t="s">
        <v>902</v>
      </c>
      <c r="B213" t="s">
        <v>374</v>
      </c>
      <c r="C213" t="s">
        <v>903</v>
      </c>
      <c r="D213" t="s">
        <v>1077</v>
      </c>
      <c r="E213" t="s">
        <v>1078</v>
      </c>
      <c r="F213" s="13">
        <v>44795.50335648148</v>
      </c>
      <c r="G213" t="s">
        <v>641</v>
      </c>
      <c r="H213" t="s">
        <v>642</v>
      </c>
      <c r="I213" s="13">
        <v>44795.503368055557</v>
      </c>
      <c r="K213" t="s">
        <v>412</v>
      </c>
      <c r="M213" s="13">
        <v>44607</v>
      </c>
      <c r="R213">
        <v>0</v>
      </c>
      <c r="S213" t="s">
        <v>380</v>
      </c>
      <c r="T213" t="s">
        <v>57</v>
      </c>
      <c r="V213" t="s">
        <v>381</v>
      </c>
      <c r="W213" t="s">
        <v>938</v>
      </c>
      <c r="X213" t="s">
        <v>938</v>
      </c>
      <c r="AC213" s="13">
        <v>44607</v>
      </c>
      <c r="AD213" s="13">
        <v>44607</v>
      </c>
      <c r="AI213">
        <v>-188</v>
      </c>
      <c r="AN213" t="s">
        <v>31</v>
      </c>
      <c r="AO213">
        <v>0</v>
      </c>
      <c r="AS213" t="s">
        <v>385</v>
      </c>
      <c r="AX213" t="s">
        <v>57</v>
      </c>
      <c r="AY213" t="s">
        <v>386</v>
      </c>
      <c r="AZ213" t="s">
        <v>721</v>
      </c>
      <c r="BF213">
        <v>0</v>
      </c>
      <c r="BK213" t="s">
        <v>31</v>
      </c>
      <c r="BS213" t="s">
        <v>412</v>
      </c>
      <c r="CI213" t="s">
        <v>388</v>
      </c>
      <c r="CJ213" s="14">
        <v>45013</v>
      </c>
      <c r="CK213">
        <v>1</v>
      </c>
    </row>
    <row r="214" spans="1:89">
      <c r="A214" t="s">
        <v>1062</v>
      </c>
      <c r="B214" t="s">
        <v>374</v>
      </c>
      <c r="C214" t="s">
        <v>1063</v>
      </c>
      <c r="D214" t="s">
        <v>1079</v>
      </c>
      <c r="E214" t="s">
        <v>1080</v>
      </c>
      <c r="F214" s="13">
        <v>44795.503333333334</v>
      </c>
      <c r="G214" t="s">
        <v>641</v>
      </c>
      <c r="H214" t="s">
        <v>642</v>
      </c>
      <c r="I214" s="13">
        <v>44795.503344907411</v>
      </c>
      <c r="K214" t="s">
        <v>412</v>
      </c>
      <c r="M214" s="13">
        <v>44609</v>
      </c>
      <c r="R214">
        <v>0</v>
      </c>
      <c r="S214" t="s">
        <v>416</v>
      </c>
      <c r="T214" t="s">
        <v>57</v>
      </c>
      <c r="V214" t="s">
        <v>381</v>
      </c>
      <c r="W214" t="s">
        <v>1081</v>
      </c>
      <c r="X214" t="s">
        <v>1081</v>
      </c>
      <c r="AC214" s="13">
        <v>44609</v>
      </c>
      <c r="AD214" s="13">
        <v>44609</v>
      </c>
      <c r="AI214">
        <v>-186</v>
      </c>
      <c r="AN214" t="s">
        <v>31</v>
      </c>
      <c r="AO214">
        <v>0</v>
      </c>
      <c r="AS214" t="s">
        <v>385</v>
      </c>
      <c r="AX214" t="s">
        <v>57</v>
      </c>
      <c r="AY214" t="s">
        <v>386</v>
      </c>
      <c r="AZ214" t="s">
        <v>721</v>
      </c>
      <c r="BF214">
        <v>0</v>
      </c>
      <c r="BK214" t="s">
        <v>31</v>
      </c>
      <c r="BS214" t="s">
        <v>412</v>
      </c>
      <c r="CI214" t="s">
        <v>388</v>
      </c>
      <c r="CJ214" s="14">
        <v>45013</v>
      </c>
      <c r="CK214">
        <v>1</v>
      </c>
    </row>
    <row r="215" spans="1:89">
      <c r="A215" t="s">
        <v>1082</v>
      </c>
      <c r="B215" t="s">
        <v>374</v>
      </c>
      <c r="C215" t="s">
        <v>1083</v>
      </c>
      <c r="D215" t="s">
        <v>1084</v>
      </c>
      <c r="E215" t="s">
        <v>1085</v>
      </c>
      <c r="F215" s="13">
        <v>44795.503310185188</v>
      </c>
      <c r="G215" t="s">
        <v>641</v>
      </c>
      <c r="H215" t="s">
        <v>642</v>
      </c>
      <c r="I215" s="13">
        <v>44795.503321759257</v>
      </c>
      <c r="K215" t="s">
        <v>412</v>
      </c>
      <c r="M215" s="13">
        <v>44666</v>
      </c>
      <c r="R215">
        <v>0</v>
      </c>
      <c r="S215" t="s">
        <v>380</v>
      </c>
      <c r="T215" t="s">
        <v>57</v>
      </c>
      <c r="V215" t="s">
        <v>381</v>
      </c>
      <c r="W215" t="s">
        <v>1086</v>
      </c>
      <c r="X215" t="s">
        <v>1086</v>
      </c>
      <c r="AC215" s="13">
        <v>44666</v>
      </c>
      <c r="AD215" s="13">
        <v>44666</v>
      </c>
      <c r="AI215">
        <v>-129</v>
      </c>
      <c r="AN215" t="s">
        <v>31</v>
      </c>
      <c r="AO215">
        <v>0</v>
      </c>
      <c r="AS215" t="s">
        <v>461</v>
      </c>
      <c r="AX215" t="s">
        <v>57</v>
      </c>
      <c r="AY215" t="s">
        <v>386</v>
      </c>
      <c r="AZ215" t="s">
        <v>721</v>
      </c>
      <c r="BF215">
        <v>0</v>
      </c>
      <c r="BK215" t="s">
        <v>31</v>
      </c>
      <c r="BS215" t="s">
        <v>412</v>
      </c>
      <c r="CI215" t="s">
        <v>388</v>
      </c>
      <c r="CJ215" s="14">
        <v>45013</v>
      </c>
      <c r="CK215">
        <v>1</v>
      </c>
    </row>
    <row r="216" spans="1:89">
      <c r="A216" t="s">
        <v>849</v>
      </c>
      <c r="B216" t="s">
        <v>374</v>
      </c>
      <c r="C216" t="s">
        <v>850</v>
      </c>
      <c r="D216" t="s">
        <v>1087</v>
      </c>
      <c r="E216" t="s">
        <v>1088</v>
      </c>
      <c r="F216" s="13">
        <v>44795.503287037034</v>
      </c>
      <c r="G216" t="s">
        <v>641</v>
      </c>
      <c r="H216" t="s">
        <v>642</v>
      </c>
      <c r="I216" s="13">
        <v>44795.503298611111</v>
      </c>
      <c r="K216" t="s">
        <v>412</v>
      </c>
      <c r="M216" s="13">
        <v>44701</v>
      </c>
      <c r="R216">
        <v>0</v>
      </c>
      <c r="S216" t="s">
        <v>380</v>
      </c>
      <c r="T216" t="s">
        <v>57</v>
      </c>
      <c r="V216" t="s">
        <v>381</v>
      </c>
      <c r="W216" t="s">
        <v>858</v>
      </c>
      <c r="X216" t="s">
        <v>858</v>
      </c>
      <c r="AC216" s="13">
        <v>44701</v>
      </c>
      <c r="AD216" s="13">
        <v>44701</v>
      </c>
      <c r="AI216">
        <v>-94</v>
      </c>
      <c r="AN216" t="s">
        <v>31</v>
      </c>
      <c r="AO216">
        <v>0</v>
      </c>
      <c r="AS216" t="s">
        <v>385</v>
      </c>
      <c r="AX216" t="s">
        <v>31</v>
      </c>
      <c r="AY216" t="s">
        <v>442</v>
      </c>
      <c r="AZ216" t="s">
        <v>1089</v>
      </c>
      <c r="BF216">
        <v>0</v>
      </c>
      <c r="BK216" t="s">
        <v>31</v>
      </c>
      <c r="BS216" t="s">
        <v>412</v>
      </c>
      <c r="CI216" t="s">
        <v>388</v>
      </c>
      <c r="CJ216" s="14">
        <v>45013</v>
      </c>
      <c r="CK216">
        <v>1</v>
      </c>
    </row>
    <row r="217" spans="1:89">
      <c r="A217" t="s">
        <v>849</v>
      </c>
      <c r="B217" t="s">
        <v>374</v>
      </c>
      <c r="C217" t="s">
        <v>850</v>
      </c>
      <c r="D217" t="s">
        <v>1090</v>
      </c>
      <c r="E217" t="s">
        <v>1091</v>
      </c>
      <c r="F217" s="13">
        <v>44795.503263888888</v>
      </c>
      <c r="G217" t="s">
        <v>641</v>
      </c>
      <c r="H217" t="s">
        <v>642</v>
      </c>
      <c r="I217" s="13">
        <v>44795.503275462965</v>
      </c>
      <c r="K217" t="s">
        <v>412</v>
      </c>
      <c r="M217" s="13">
        <v>44635</v>
      </c>
      <c r="R217">
        <v>0</v>
      </c>
      <c r="S217" t="s">
        <v>380</v>
      </c>
      <c r="T217" t="s">
        <v>57</v>
      </c>
      <c r="V217" t="s">
        <v>381</v>
      </c>
      <c r="W217" t="s">
        <v>1092</v>
      </c>
      <c r="X217" t="s">
        <v>1092</v>
      </c>
      <c r="AC217" s="13">
        <v>44635</v>
      </c>
      <c r="AD217" s="13">
        <v>44635</v>
      </c>
      <c r="AI217">
        <v>-160</v>
      </c>
      <c r="AN217" t="s">
        <v>31</v>
      </c>
      <c r="AO217">
        <v>0</v>
      </c>
      <c r="AS217" t="s">
        <v>648</v>
      </c>
      <c r="AX217" t="s">
        <v>31</v>
      </c>
      <c r="AY217" t="s">
        <v>442</v>
      </c>
      <c r="AZ217" t="s">
        <v>1093</v>
      </c>
      <c r="BF217">
        <v>0</v>
      </c>
      <c r="BK217" t="s">
        <v>31</v>
      </c>
      <c r="BS217" t="s">
        <v>412</v>
      </c>
      <c r="CI217" t="s">
        <v>388</v>
      </c>
      <c r="CJ217" s="14">
        <v>45013</v>
      </c>
      <c r="CK217">
        <v>1</v>
      </c>
    </row>
    <row r="218" spans="1:89">
      <c r="A218" t="s">
        <v>849</v>
      </c>
      <c r="B218" t="s">
        <v>374</v>
      </c>
      <c r="C218" t="s">
        <v>850</v>
      </c>
      <c r="D218" t="s">
        <v>1094</v>
      </c>
      <c r="E218" t="s">
        <v>1095</v>
      </c>
      <c r="F218" s="13">
        <v>44795.503252314818</v>
      </c>
      <c r="G218" t="s">
        <v>641</v>
      </c>
      <c r="H218" t="s">
        <v>642</v>
      </c>
      <c r="I218" s="13">
        <v>44795.503252314818</v>
      </c>
      <c r="K218" t="s">
        <v>412</v>
      </c>
      <c r="M218" s="13">
        <v>44666</v>
      </c>
      <c r="R218">
        <v>0</v>
      </c>
      <c r="S218" t="s">
        <v>380</v>
      </c>
      <c r="T218" t="s">
        <v>57</v>
      </c>
      <c r="V218" t="s">
        <v>381</v>
      </c>
      <c r="W218" t="s">
        <v>1092</v>
      </c>
      <c r="X218" t="s">
        <v>1092</v>
      </c>
      <c r="AC218" s="13">
        <v>44666</v>
      </c>
      <c r="AD218" s="13">
        <v>44666</v>
      </c>
      <c r="AI218">
        <v>-129</v>
      </c>
      <c r="AN218" t="s">
        <v>31</v>
      </c>
      <c r="AO218">
        <v>0</v>
      </c>
      <c r="AS218" t="s">
        <v>385</v>
      </c>
      <c r="AX218" t="s">
        <v>31</v>
      </c>
      <c r="AY218" t="s">
        <v>442</v>
      </c>
      <c r="AZ218" t="s">
        <v>1093</v>
      </c>
      <c r="BF218">
        <v>0</v>
      </c>
      <c r="BK218" t="s">
        <v>31</v>
      </c>
      <c r="BS218" t="s">
        <v>412</v>
      </c>
      <c r="CI218" t="s">
        <v>388</v>
      </c>
      <c r="CJ218" s="14">
        <v>45013</v>
      </c>
      <c r="CK218">
        <v>1</v>
      </c>
    </row>
    <row r="219" spans="1:89">
      <c r="A219" t="s">
        <v>849</v>
      </c>
      <c r="B219" t="s">
        <v>374</v>
      </c>
      <c r="C219" t="s">
        <v>850</v>
      </c>
      <c r="D219" t="s">
        <v>1096</v>
      </c>
      <c r="E219" t="s">
        <v>1097</v>
      </c>
      <c r="F219" s="13">
        <v>44795.503229166665</v>
      </c>
      <c r="G219" t="s">
        <v>641</v>
      </c>
      <c r="H219" t="s">
        <v>642</v>
      </c>
      <c r="I219" s="13">
        <v>44795.503240740742</v>
      </c>
      <c r="K219" t="s">
        <v>412</v>
      </c>
      <c r="M219" s="13">
        <v>44651</v>
      </c>
      <c r="R219">
        <v>0</v>
      </c>
      <c r="S219" t="s">
        <v>380</v>
      </c>
      <c r="T219" t="s">
        <v>57</v>
      </c>
      <c r="V219" t="s">
        <v>381</v>
      </c>
      <c r="W219" t="s">
        <v>858</v>
      </c>
      <c r="X219" t="s">
        <v>858</v>
      </c>
      <c r="AC219" s="13">
        <v>44651</v>
      </c>
      <c r="AD219" s="13">
        <v>44651</v>
      </c>
      <c r="AI219">
        <v>-144</v>
      </c>
      <c r="AN219" t="s">
        <v>31</v>
      </c>
      <c r="AO219">
        <v>0</v>
      </c>
      <c r="AS219" t="s">
        <v>385</v>
      </c>
      <c r="AX219" t="s">
        <v>31</v>
      </c>
      <c r="AY219" t="s">
        <v>442</v>
      </c>
      <c r="AZ219" t="s">
        <v>1098</v>
      </c>
      <c r="BF219">
        <v>0</v>
      </c>
      <c r="BK219" t="s">
        <v>31</v>
      </c>
      <c r="BS219" t="s">
        <v>412</v>
      </c>
      <c r="CI219" t="s">
        <v>388</v>
      </c>
      <c r="CJ219" s="14">
        <v>45013</v>
      </c>
      <c r="CK219">
        <v>1</v>
      </c>
    </row>
    <row r="220" spans="1:89">
      <c r="A220" t="s">
        <v>849</v>
      </c>
      <c r="B220" t="s">
        <v>374</v>
      </c>
      <c r="C220" t="s">
        <v>850</v>
      </c>
      <c r="D220" t="s">
        <v>1099</v>
      </c>
      <c r="E220" t="s">
        <v>1100</v>
      </c>
      <c r="F220" s="13">
        <v>44795.503206018519</v>
      </c>
      <c r="G220" t="s">
        <v>641</v>
      </c>
      <c r="H220" t="s">
        <v>642</v>
      </c>
      <c r="I220" s="13">
        <v>44795.503217592595</v>
      </c>
      <c r="K220" t="s">
        <v>412</v>
      </c>
      <c r="M220" s="13">
        <v>44651</v>
      </c>
      <c r="R220">
        <v>0</v>
      </c>
      <c r="S220" t="s">
        <v>380</v>
      </c>
      <c r="T220" t="s">
        <v>57</v>
      </c>
      <c r="V220" t="s">
        <v>381</v>
      </c>
      <c r="W220" t="s">
        <v>1101</v>
      </c>
      <c r="X220" t="s">
        <v>1101</v>
      </c>
      <c r="AC220" s="13">
        <v>44651</v>
      </c>
      <c r="AD220" s="13">
        <v>44651</v>
      </c>
      <c r="AI220">
        <v>-144</v>
      </c>
      <c r="AN220" t="s">
        <v>31</v>
      </c>
      <c r="AO220">
        <v>0</v>
      </c>
      <c r="AS220" t="s">
        <v>385</v>
      </c>
      <c r="AX220" t="s">
        <v>31</v>
      </c>
      <c r="AY220" t="s">
        <v>442</v>
      </c>
      <c r="AZ220" t="s">
        <v>1102</v>
      </c>
      <c r="BF220">
        <v>0</v>
      </c>
      <c r="BK220" t="s">
        <v>31</v>
      </c>
      <c r="BS220" t="s">
        <v>412</v>
      </c>
      <c r="CI220" t="s">
        <v>388</v>
      </c>
      <c r="CJ220" s="14">
        <v>45013</v>
      </c>
      <c r="CK220">
        <v>1</v>
      </c>
    </row>
    <row r="221" spans="1:89">
      <c r="A221" t="s">
        <v>859</v>
      </c>
      <c r="B221" t="s">
        <v>374</v>
      </c>
      <c r="C221" t="s">
        <v>860</v>
      </c>
      <c r="D221" t="s">
        <v>1103</v>
      </c>
      <c r="E221" t="s">
        <v>1104</v>
      </c>
      <c r="F221" s="13">
        <v>44795.503182870372</v>
      </c>
      <c r="G221" t="s">
        <v>641</v>
      </c>
      <c r="H221" t="s">
        <v>642</v>
      </c>
      <c r="I221" s="13">
        <v>44795.503194444442</v>
      </c>
      <c r="K221" t="s">
        <v>412</v>
      </c>
      <c r="M221" s="13">
        <v>44591</v>
      </c>
      <c r="R221">
        <v>0</v>
      </c>
      <c r="S221" t="s">
        <v>380</v>
      </c>
      <c r="T221" t="s">
        <v>57</v>
      </c>
      <c r="V221" t="s">
        <v>381</v>
      </c>
      <c r="W221" t="s">
        <v>1105</v>
      </c>
      <c r="X221" t="s">
        <v>1105</v>
      </c>
      <c r="AC221" s="13">
        <v>44592</v>
      </c>
      <c r="AD221" s="13">
        <v>44592</v>
      </c>
      <c r="AI221">
        <v>-204</v>
      </c>
      <c r="AN221" t="s">
        <v>31</v>
      </c>
      <c r="AO221">
        <v>0</v>
      </c>
      <c r="AS221" t="s">
        <v>385</v>
      </c>
      <c r="AX221" t="s">
        <v>31</v>
      </c>
      <c r="AY221" t="s">
        <v>442</v>
      </c>
      <c r="AZ221" t="s">
        <v>1106</v>
      </c>
      <c r="BF221">
        <v>0</v>
      </c>
      <c r="BK221" t="s">
        <v>31</v>
      </c>
      <c r="BS221" t="s">
        <v>412</v>
      </c>
      <c r="CI221" t="s">
        <v>388</v>
      </c>
      <c r="CJ221" s="14">
        <v>45013</v>
      </c>
      <c r="CK221">
        <v>1</v>
      </c>
    </row>
    <row r="222" spans="1:89">
      <c r="A222" t="s">
        <v>859</v>
      </c>
      <c r="B222" t="s">
        <v>374</v>
      </c>
      <c r="C222" t="s">
        <v>860</v>
      </c>
      <c r="D222" t="s">
        <v>1107</v>
      </c>
      <c r="E222" t="s">
        <v>1108</v>
      </c>
      <c r="F222" s="13">
        <v>44795.503159722219</v>
      </c>
      <c r="G222" t="s">
        <v>641</v>
      </c>
      <c r="H222" t="s">
        <v>642</v>
      </c>
      <c r="I222" s="13">
        <v>44795.503171296295</v>
      </c>
      <c r="K222" t="s">
        <v>412</v>
      </c>
      <c r="M222" s="13">
        <v>44591</v>
      </c>
      <c r="R222">
        <v>0</v>
      </c>
      <c r="S222" t="s">
        <v>380</v>
      </c>
      <c r="T222" t="s">
        <v>57</v>
      </c>
      <c r="V222" t="s">
        <v>381</v>
      </c>
      <c r="W222" t="s">
        <v>1105</v>
      </c>
      <c r="X222" t="s">
        <v>1105</v>
      </c>
      <c r="AC222" s="13">
        <v>44592</v>
      </c>
      <c r="AD222" s="13">
        <v>44592</v>
      </c>
      <c r="AI222">
        <v>-204</v>
      </c>
      <c r="AN222" t="s">
        <v>31</v>
      </c>
      <c r="AO222">
        <v>0</v>
      </c>
      <c r="AS222" t="s">
        <v>385</v>
      </c>
      <c r="AX222" t="s">
        <v>31</v>
      </c>
      <c r="AY222" t="s">
        <v>442</v>
      </c>
      <c r="AZ222" t="s">
        <v>1109</v>
      </c>
      <c r="BF222">
        <v>0</v>
      </c>
      <c r="BK222" t="s">
        <v>31</v>
      </c>
      <c r="BS222" t="s">
        <v>412</v>
      </c>
      <c r="CI222" t="s">
        <v>388</v>
      </c>
      <c r="CJ222" s="14">
        <v>45013</v>
      </c>
      <c r="CK222">
        <v>1</v>
      </c>
    </row>
    <row r="223" spans="1:89">
      <c r="A223" t="s">
        <v>859</v>
      </c>
      <c r="B223" t="s">
        <v>374</v>
      </c>
      <c r="C223" t="s">
        <v>860</v>
      </c>
      <c r="D223" t="s">
        <v>1110</v>
      </c>
      <c r="E223" t="s">
        <v>1111</v>
      </c>
      <c r="F223" s="13">
        <v>44795.503136574072</v>
      </c>
      <c r="G223" t="s">
        <v>641</v>
      </c>
      <c r="H223" t="s">
        <v>642</v>
      </c>
      <c r="I223" s="13">
        <v>44795.503148148149</v>
      </c>
      <c r="K223" t="s">
        <v>412</v>
      </c>
      <c r="M223" s="13">
        <v>44591</v>
      </c>
      <c r="R223">
        <v>0</v>
      </c>
      <c r="S223" t="s">
        <v>380</v>
      </c>
      <c r="T223" t="s">
        <v>57</v>
      </c>
      <c r="V223" t="s">
        <v>381</v>
      </c>
      <c r="W223" t="s">
        <v>1105</v>
      </c>
      <c r="X223" t="s">
        <v>1105</v>
      </c>
      <c r="AC223" s="13">
        <v>44592</v>
      </c>
      <c r="AD223" s="13">
        <v>44592</v>
      </c>
      <c r="AI223">
        <v>-204</v>
      </c>
      <c r="AN223" t="s">
        <v>31</v>
      </c>
      <c r="AO223">
        <v>0</v>
      </c>
      <c r="AS223" t="s">
        <v>385</v>
      </c>
      <c r="AX223" t="s">
        <v>31</v>
      </c>
      <c r="AY223" t="s">
        <v>442</v>
      </c>
      <c r="AZ223" t="s">
        <v>1112</v>
      </c>
      <c r="BF223">
        <v>0</v>
      </c>
      <c r="BK223" t="s">
        <v>31</v>
      </c>
      <c r="BS223" t="s">
        <v>412</v>
      </c>
      <c r="CI223" t="s">
        <v>388</v>
      </c>
      <c r="CJ223" s="14">
        <v>45013</v>
      </c>
      <c r="CK223">
        <v>1</v>
      </c>
    </row>
    <row r="224" spans="1:89">
      <c r="A224" t="s">
        <v>859</v>
      </c>
      <c r="B224" t="s">
        <v>374</v>
      </c>
      <c r="C224" t="s">
        <v>860</v>
      </c>
      <c r="D224" t="s">
        <v>1113</v>
      </c>
      <c r="E224" t="s">
        <v>1114</v>
      </c>
      <c r="F224" s="13">
        <v>44795.503113425926</v>
      </c>
      <c r="G224" t="s">
        <v>641</v>
      </c>
      <c r="H224" t="s">
        <v>642</v>
      </c>
      <c r="I224" s="13">
        <v>44795.503125000003</v>
      </c>
      <c r="K224" t="s">
        <v>412</v>
      </c>
      <c r="M224" s="13">
        <v>44545</v>
      </c>
      <c r="R224">
        <v>0</v>
      </c>
      <c r="S224" t="s">
        <v>380</v>
      </c>
      <c r="T224" t="s">
        <v>57</v>
      </c>
      <c r="V224" t="s">
        <v>381</v>
      </c>
      <c r="W224" t="s">
        <v>1115</v>
      </c>
      <c r="X224" t="s">
        <v>1115</v>
      </c>
      <c r="AC224" s="13">
        <v>44545</v>
      </c>
      <c r="AD224" s="13">
        <v>44545</v>
      </c>
      <c r="AI224">
        <v>-250</v>
      </c>
      <c r="AN224" t="s">
        <v>31</v>
      </c>
      <c r="AO224">
        <v>0</v>
      </c>
      <c r="AS224" t="s">
        <v>385</v>
      </c>
      <c r="AX224" t="s">
        <v>31</v>
      </c>
      <c r="AY224" t="s">
        <v>442</v>
      </c>
      <c r="AZ224" t="s">
        <v>1116</v>
      </c>
      <c r="BF224">
        <v>0</v>
      </c>
      <c r="BK224" t="s">
        <v>31</v>
      </c>
      <c r="BS224" t="s">
        <v>412</v>
      </c>
      <c r="CI224" t="s">
        <v>388</v>
      </c>
      <c r="CJ224" s="14">
        <v>45013</v>
      </c>
      <c r="CK224">
        <v>1</v>
      </c>
    </row>
    <row r="225" spans="1:89">
      <c r="A225" t="s">
        <v>867</v>
      </c>
      <c r="B225" t="s">
        <v>374</v>
      </c>
      <c r="C225" t="s">
        <v>607</v>
      </c>
      <c r="D225" t="s">
        <v>1117</v>
      </c>
      <c r="E225" t="s">
        <v>857</v>
      </c>
      <c r="F225" s="13">
        <v>44795.50309027778</v>
      </c>
      <c r="G225" t="s">
        <v>641</v>
      </c>
      <c r="H225" t="s">
        <v>642</v>
      </c>
      <c r="I225" s="13">
        <v>44795.503101851849</v>
      </c>
      <c r="K225" t="s">
        <v>412</v>
      </c>
      <c r="M225" s="13">
        <v>44469</v>
      </c>
      <c r="R225">
        <v>0</v>
      </c>
      <c r="S225" t="s">
        <v>380</v>
      </c>
      <c r="T225" t="s">
        <v>57</v>
      </c>
      <c r="V225" t="s">
        <v>381</v>
      </c>
      <c r="W225" t="s">
        <v>863</v>
      </c>
      <c r="X225" t="s">
        <v>863</v>
      </c>
      <c r="AC225" s="13">
        <v>44469</v>
      </c>
      <c r="AD225" s="13">
        <v>44469</v>
      </c>
      <c r="AI225">
        <v>-326</v>
      </c>
      <c r="AN225" t="s">
        <v>31</v>
      </c>
      <c r="AO225">
        <v>0</v>
      </c>
      <c r="AS225" t="s">
        <v>385</v>
      </c>
      <c r="AX225" t="s">
        <v>31</v>
      </c>
      <c r="AY225" t="s">
        <v>442</v>
      </c>
      <c r="AZ225" t="s">
        <v>1118</v>
      </c>
      <c r="BF225">
        <v>0</v>
      </c>
      <c r="BK225" t="s">
        <v>31</v>
      </c>
      <c r="BS225" t="s">
        <v>412</v>
      </c>
      <c r="CI225" t="s">
        <v>388</v>
      </c>
      <c r="CJ225" s="14">
        <v>45013</v>
      </c>
      <c r="CK225">
        <v>1</v>
      </c>
    </row>
    <row r="226" spans="1:89">
      <c r="A226" t="s">
        <v>867</v>
      </c>
      <c r="B226" t="s">
        <v>374</v>
      </c>
      <c r="C226" t="s">
        <v>607</v>
      </c>
      <c r="D226" t="s">
        <v>1119</v>
      </c>
      <c r="E226" t="s">
        <v>862</v>
      </c>
      <c r="F226" s="13">
        <v>44795.503032407411</v>
      </c>
      <c r="G226" t="s">
        <v>641</v>
      </c>
      <c r="H226" t="s">
        <v>642</v>
      </c>
      <c r="I226" s="13">
        <v>44795.503055555557</v>
      </c>
      <c r="K226" t="s">
        <v>412</v>
      </c>
      <c r="M226" s="13">
        <v>44469</v>
      </c>
      <c r="R226">
        <v>0</v>
      </c>
      <c r="S226" t="s">
        <v>380</v>
      </c>
      <c r="T226" t="s">
        <v>57</v>
      </c>
      <c r="V226" t="s">
        <v>381</v>
      </c>
      <c r="W226" t="s">
        <v>863</v>
      </c>
      <c r="X226" t="s">
        <v>863</v>
      </c>
      <c r="AC226" s="13">
        <v>44469</v>
      </c>
      <c r="AD226" s="13">
        <v>44469</v>
      </c>
      <c r="AI226">
        <v>-326</v>
      </c>
      <c r="AN226" t="s">
        <v>31</v>
      </c>
      <c r="AO226">
        <v>0</v>
      </c>
      <c r="AS226" t="s">
        <v>385</v>
      </c>
      <c r="AX226" t="s">
        <v>31</v>
      </c>
      <c r="AY226" t="s">
        <v>442</v>
      </c>
      <c r="AZ226" t="s">
        <v>1120</v>
      </c>
      <c r="BF226">
        <v>0</v>
      </c>
      <c r="BK226" t="s">
        <v>31</v>
      </c>
      <c r="BS226" t="s">
        <v>412</v>
      </c>
      <c r="CI226" t="s">
        <v>388</v>
      </c>
      <c r="CJ226" s="14">
        <v>45013</v>
      </c>
      <c r="CK226">
        <v>1</v>
      </c>
    </row>
    <row r="227" spans="1:89">
      <c r="A227" t="s">
        <v>1121</v>
      </c>
      <c r="B227" t="s">
        <v>374</v>
      </c>
      <c r="C227" t="s">
        <v>1122</v>
      </c>
      <c r="D227" t="s">
        <v>1123</v>
      </c>
      <c r="E227" t="s">
        <v>1124</v>
      </c>
      <c r="F227" s="13">
        <v>44790.677453703705</v>
      </c>
      <c r="G227" t="s">
        <v>1125</v>
      </c>
      <c r="H227" t="s">
        <v>1126</v>
      </c>
      <c r="I227" s="13">
        <v>44790.677916666667</v>
      </c>
      <c r="K227" t="s">
        <v>412</v>
      </c>
      <c r="R227">
        <v>0</v>
      </c>
      <c r="S227" t="s">
        <v>380</v>
      </c>
      <c r="T227" t="s">
        <v>57</v>
      </c>
      <c r="V227" t="s">
        <v>381</v>
      </c>
      <c r="W227" t="s">
        <v>1127</v>
      </c>
      <c r="X227" t="s">
        <v>1127</v>
      </c>
      <c r="AI227">
        <v>23</v>
      </c>
      <c r="AL227" t="s">
        <v>1128</v>
      </c>
      <c r="AN227" t="s">
        <v>31</v>
      </c>
      <c r="AO227">
        <v>0</v>
      </c>
      <c r="AZ227" t="s">
        <v>1129</v>
      </c>
      <c r="BF227">
        <v>0</v>
      </c>
      <c r="BK227" t="s">
        <v>31</v>
      </c>
      <c r="BS227" t="s">
        <v>412</v>
      </c>
      <c r="BT227" t="s">
        <v>412</v>
      </c>
      <c r="CI227" t="s">
        <v>388</v>
      </c>
      <c r="CJ227" s="14">
        <v>45013</v>
      </c>
      <c r="CK227">
        <v>1</v>
      </c>
    </row>
    <row r="228" spans="1:89">
      <c r="A228" t="s">
        <v>1130</v>
      </c>
      <c r="B228" t="s">
        <v>374</v>
      </c>
      <c r="C228" t="s">
        <v>1131</v>
      </c>
      <c r="D228" t="s">
        <v>1132</v>
      </c>
      <c r="E228" t="s">
        <v>406</v>
      </c>
      <c r="F228" s="13">
        <v>44784.473414351851</v>
      </c>
      <c r="G228" t="s">
        <v>1133</v>
      </c>
      <c r="H228" t="s">
        <v>1134</v>
      </c>
      <c r="I228" s="13">
        <v>44784.476620370369</v>
      </c>
      <c r="K228" t="s">
        <v>379</v>
      </c>
      <c r="M228" s="13">
        <v>44784</v>
      </c>
      <c r="R228">
        <v>100</v>
      </c>
      <c r="S228" t="s">
        <v>380</v>
      </c>
      <c r="T228" t="s">
        <v>31</v>
      </c>
      <c r="V228" t="s">
        <v>381</v>
      </c>
      <c r="W228" t="s">
        <v>406</v>
      </c>
      <c r="X228" t="s">
        <v>406</v>
      </c>
      <c r="AC228" s="13">
        <v>44784</v>
      </c>
      <c r="AD228" s="13">
        <v>44784</v>
      </c>
      <c r="AF228" t="s">
        <v>382</v>
      </c>
      <c r="AG228" t="s">
        <v>406</v>
      </c>
      <c r="AI228">
        <v>0</v>
      </c>
      <c r="AL228" t="s">
        <v>1135</v>
      </c>
      <c r="AN228" t="s">
        <v>31</v>
      </c>
      <c r="AO228">
        <v>0</v>
      </c>
      <c r="AS228" t="s">
        <v>526</v>
      </c>
      <c r="AX228" t="s">
        <v>57</v>
      </c>
      <c r="AY228" t="s">
        <v>386</v>
      </c>
      <c r="AZ228" t="s">
        <v>406</v>
      </c>
      <c r="BF228">
        <v>0</v>
      </c>
      <c r="BK228" t="s">
        <v>31</v>
      </c>
      <c r="BS228" t="s">
        <v>379</v>
      </c>
      <c r="BT228" t="s">
        <v>379</v>
      </c>
      <c r="CI228" t="s">
        <v>388</v>
      </c>
      <c r="CJ228" s="14">
        <v>45013</v>
      </c>
      <c r="CK228">
        <v>1</v>
      </c>
    </row>
    <row r="229" spans="1:89">
      <c r="A229" t="s">
        <v>1136</v>
      </c>
      <c r="B229" t="s">
        <v>374</v>
      </c>
      <c r="C229" t="s">
        <v>1137</v>
      </c>
      <c r="D229" t="s">
        <v>1138</v>
      </c>
      <c r="E229" t="s">
        <v>438</v>
      </c>
      <c r="F229" s="13">
        <v>44783.450891203705</v>
      </c>
      <c r="G229" t="s">
        <v>1139</v>
      </c>
      <c r="H229" t="s">
        <v>1140</v>
      </c>
      <c r="I229" s="13">
        <v>44785.595879629633</v>
      </c>
      <c r="K229" t="s">
        <v>379</v>
      </c>
      <c r="M229" s="13">
        <v>44813</v>
      </c>
      <c r="R229">
        <v>100</v>
      </c>
      <c r="S229" t="s">
        <v>380</v>
      </c>
      <c r="V229" t="s">
        <v>381</v>
      </c>
      <c r="W229" t="s">
        <v>1141</v>
      </c>
      <c r="X229" t="s">
        <v>1141</v>
      </c>
      <c r="AF229" t="s">
        <v>382</v>
      </c>
      <c r="AG229" t="s">
        <v>1142</v>
      </c>
      <c r="AI229">
        <v>30</v>
      </c>
      <c r="AL229" t="s">
        <v>1143</v>
      </c>
      <c r="AN229" t="s">
        <v>31</v>
      </c>
      <c r="AO229">
        <v>0</v>
      </c>
      <c r="AS229" t="s">
        <v>385</v>
      </c>
      <c r="AX229" t="s">
        <v>57</v>
      </c>
      <c r="AY229" t="s">
        <v>386</v>
      </c>
      <c r="AZ229" t="s">
        <v>438</v>
      </c>
      <c r="BF229">
        <v>0</v>
      </c>
      <c r="BK229" t="s">
        <v>31</v>
      </c>
      <c r="BS229" t="s">
        <v>379</v>
      </c>
      <c r="BT229" t="s">
        <v>379</v>
      </c>
      <c r="CI229" t="s">
        <v>388</v>
      </c>
      <c r="CJ229" s="14">
        <v>45013</v>
      </c>
      <c r="CK229">
        <v>1</v>
      </c>
    </row>
    <row r="230" spans="1:89">
      <c r="A230" t="s">
        <v>404</v>
      </c>
      <c r="B230" t="s">
        <v>374</v>
      </c>
      <c r="C230" t="s">
        <v>375</v>
      </c>
      <c r="D230" t="s">
        <v>1144</v>
      </c>
      <c r="E230" t="s">
        <v>1145</v>
      </c>
      <c r="F230" s="13">
        <v>44748.352326388886</v>
      </c>
      <c r="G230" t="s">
        <v>1146</v>
      </c>
      <c r="H230" t="s">
        <v>1147</v>
      </c>
      <c r="I230" s="13">
        <v>45012.044421296298</v>
      </c>
      <c r="K230" t="s">
        <v>415</v>
      </c>
      <c r="M230" s="13">
        <v>44771</v>
      </c>
      <c r="R230">
        <v>0</v>
      </c>
      <c r="S230" t="s">
        <v>380</v>
      </c>
      <c r="T230" t="s">
        <v>57</v>
      </c>
      <c r="V230" t="s">
        <v>478</v>
      </c>
      <c r="W230" t="s">
        <v>1145</v>
      </c>
      <c r="X230" t="s">
        <v>1145</v>
      </c>
      <c r="AF230" t="s">
        <v>451</v>
      </c>
      <c r="AI230">
        <v>-241</v>
      </c>
      <c r="AL230" t="s">
        <v>1148</v>
      </c>
      <c r="AN230" t="s">
        <v>31</v>
      </c>
      <c r="AO230">
        <v>0</v>
      </c>
      <c r="AY230" t="s">
        <v>442</v>
      </c>
      <c r="AZ230" t="s">
        <v>1149</v>
      </c>
      <c r="BE230" t="s">
        <v>1150</v>
      </c>
      <c r="BF230">
        <v>0</v>
      </c>
      <c r="BK230" t="s">
        <v>31</v>
      </c>
      <c r="BS230" t="s">
        <v>419</v>
      </c>
      <c r="BT230" t="s">
        <v>419</v>
      </c>
      <c r="CI230" t="s">
        <v>388</v>
      </c>
      <c r="CJ230" s="14">
        <v>45013</v>
      </c>
      <c r="CK230">
        <v>1</v>
      </c>
    </row>
    <row r="231" spans="1:89">
      <c r="A231" t="s">
        <v>1151</v>
      </c>
      <c r="B231" t="s">
        <v>374</v>
      </c>
      <c r="C231" t="s">
        <v>1152</v>
      </c>
      <c r="D231" t="s">
        <v>1153</v>
      </c>
      <c r="E231" t="s">
        <v>1154</v>
      </c>
      <c r="F231" s="13">
        <v>44715.646168981482</v>
      </c>
      <c r="G231" t="s">
        <v>1155</v>
      </c>
      <c r="H231" t="s">
        <v>1156</v>
      </c>
      <c r="I231" s="13">
        <v>44715.646585648145</v>
      </c>
      <c r="K231" t="s">
        <v>412</v>
      </c>
      <c r="R231">
        <v>0</v>
      </c>
      <c r="S231" t="s">
        <v>380</v>
      </c>
      <c r="T231" t="s">
        <v>57</v>
      </c>
      <c r="V231" t="s">
        <v>381</v>
      </c>
      <c r="W231" t="s">
        <v>1157</v>
      </c>
      <c r="X231" t="s">
        <v>1157</v>
      </c>
      <c r="AI231">
        <v>58</v>
      </c>
      <c r="AL231" t="s">
        <v>1158</v>
      </c>
      <c r="AN231" t="s">
        <v>31</v>
      </c>
      <c r="AO231">
        <v>0</v>
      </c>
      <c r="AZ231" t="s">
        <v>1159</v>
      </c>
      <c r="BF231">
        <v>0</v>
      </c>
      <c r="BK231" t="s">
        <v>31</v>
      </c>
      <c r="BS231" t="s">
        <v>412</v>
      </c>
      <c r="BT231" t="s">
        <v>412</v>
      </c>
      <c r="CI231" t="s">
        <v>388</v>
      </c>
      <c r="CJ231" s="14">
        <v>45013</v>
      </c>
      <c r="CK231">
        <v>1</v>
      </c>
    </row>
    <row r="232" spans="1:89">
      <c r="A232" t="s">
        <v>1151</v>
      </c>
      <c r="B232" t="s">
        <v>374</v>
      </c>
      <c r="C232" t="s">
        <v>1152</v>
      </c>
      <c r="D232" t="s">
        <v>1160</v>
      </c>
      <c r="E232" t="s">
        <v>1161</v>
      </c>
      <c r="F232" s="13">
        <v>44715.63622685185</v>
      </c>
      <c r="G232" t="s">
        <v>1155</v>
      </c>
      <c r="H232" t="s">
        <v>1156</v>
      </c>
      <c r="I232" s="13">
        <v>44715.638981481483</v>
      </c>
      <c r="K232" t="s">
        <v>412</v>
      </c>
      <c r="R232">
        <v>0</v>
      </c>
      <c r="S232" t="s">
        <v>380</v>
      </c>
      <c r="T232" t="s">
        <v>57</v>
      </c>
      <c r="V232" t="s">
        <v>381</v>
      </c>
      <c r="W232" t="s">
        <v>1162</v>
      </c>
      <c r="X232" t="s">
        <v>1162</v>
      </c>
      <c r="AI232">
        <v>58</v>
      </c>
      <c r="AL232" t="s">
        <v>1163</v>
      </c>
      <c r="AN232" t="s">
        <v>31</v>
      </c>
      <c r="AO232">
        <v>0</v>
      </c>
      <c r="AZ232" t="s">
        <v>1164</v>
      </c>
      <c r="BF232">
        <v>0</v>
      </c>
      <c r="BK232" t="s">
        <v>31</v>
      </c>
      <c r="BS232" t="s">
        <v>412</v>
      </c>
      <c r="BT232" t="s">
        <v>412</v>
      </c>
      <c r="CI232" t="s">
        <v>388</v>
      </c>
      <c r="CJ232" s="14">
        <v>45013</v>
      </c>
      <c r="CK232">
        <v>1</v>
      </c>
    </row>
    <row r="233" spans="1:89">
      <c r="A233" t="s">
        <v>404</v>
      </c>
      <c r="B233" t="s">
        <v>374</v>
      </c>
      <c r="C233" t="s">
        <v>375</v>
      </c>
      <c r="D233" t="s">
        <v>1165</v>
      </c>
      <c r="E233" t="s">
        <v>406</v>
      </c>
      <c r="F233" s="13">
        <v>44713.519189814811</v>
      </c>
      <c r="G233" t="s">
        <v>407</v>
      </c>
      <c r="H233" t="s">
        <v>408</v>
      </c>
      <c r="I233" s="13">
        <v>45012.619733796295</v>
      </c>
      <c r="K233" t="s">
        <v>379</v>
      </c>
      <c r="L233" t="s">
        <v>570</v>
      </c>
      <c r="M233" s="13">
        <v>44755</v>
      </c>
      <c r="O233" s="13">
        <v>45012</v>
      </c>
      <c r="R233">
        <v>100</v>
      </c>
      <c r="S233" t="s">
        <v>416</v>
      </c>
      <c r="T233" t="s">
        <v>57</v>
      </c>
      <c r="V233" t="s">
        <v>478</v>
      </c>
      <c r="W233" t="s">
        <v>406</v>
      </c>
      <c r="X233" t="s">
        <v>406</v>
      </c>
      <c r="AF233" t="s">
        <v>451</v>
      </c>
      <c r="AI233">
        <v>4</v>
      </c>
      <c r="AL233" t="s">
        <v>1166</v>
      </c>
      <c r="AN233" t="s">
        <v>31</v>
      </c>
      <c r="AO233">
        <v>0</v>
      </c>
      <c r="AZ233" t="s">
        <v>406</v>
      </c>
      <c r="BF233">
        <v>0</v>
      </c>
      <c r="BK233" t="s">
        <v>31</v>
      </c>
      <c r="BS233" t="s">
        <v>419</v>
      </c>
      <c r="BT233" t="s">
        <v>412</v>
      </c>
      <c r="CI233" t="s">
        <v>388</v>
      </c>
      <c r="CJ233" s="14">
        <v>45013</v>
      </c>
      <c r="CK233">
        <v>1</v>
      </c>
    </row>
    <row r="234" spans="1:89">
      <c r="A234" t="s">
        <v>404</v>
      </c>
      <c r="B234" t="s">
        <v>374</v>
      </c>
      <c r="C234" t="s">
        <v>375</v>
      </c>
      <c r="D234" t="s">
        <v>1167</v>
      </c>
      <c r="E234" t="s">
        <v>1168</v>
      </c>
      <c r="F234" s="13">
        <v>44706.526238425926</v>
      </c>
      <c r="G234" t="s">
        <v>407</v>
      </c>
      <c r="H234" t="s">
        <v>408</v>
      </c>
      <c r="I234" s="13">
        <v>45012.044409722221</v>
      </c>
      <c r="K234" t="s">
        <v>415</v>
      </c>
      <c r="M234" s="13">
        <v>44741</v>
      </c>
      <c r="R234">
        <v>0</v>
      </c>
      <c r="S234" t="s">
        <v>380</v>
      </c>
      <c r="T234" t="s">
        <v>57</v>
      </c>
      <c r="V234" t="s">
        <v>478</v>
      </c>
      <c r="W234" t="s">
        <v>1169</v>
      </c>
      <c r="X234" t="s">
        <v>1169</v>
      </c>
      <c r="AF234" t="s">
        <v>451</v>
      </c>
      <c r="AG234" t="s">
        <v>406</v>
      </c>
      <c r="AI234">
        <v>-271</v>
      </c>
      <c r="AJ234" s="13">
        <v>44926</v>
      </c>
      <c r="AL234" t="s">
        <v>1170</v>
      </c>
      <c r="AN234" t="s">
        <v>31</v>
      </c>
      <c r="AO234">
        <v>0</v>
      </c>
      <c r="AR234" t="s">
        <v>574</v>
      </c>
      <c r="AS234" t="s">
        <v>385</v>
      </c>
      <c r="AX234" t="s">
        <v>31</v>
      </c>
      <c r="AZ234" t="s">
        <v>1168</v>
      </c>
      <c r="BF234">
        <v>0</v>
      </c>
      <c r="BK234" t="s">
        <v>31</v>
      </c>
      <c r="BS234" t="s">
        <v>419</v>
      </c>
      <c r="BT234" t="s">
        <v>419</v>
      </c>
      <c r="CI234" t="s">
        <v>388</v>
      </c>
      <c r="CJ234" s="14">
        <v>45013</v>
      </c>
      <c r="CK234">
        <v>1</v>
      </c>
    </row>
    <row r="235" spans="1:89">
      <c r="A235" t="s">
        <v>404</v>
      </c>
      <c r="B235" t="s">
        <v>374</v>
      </c>
      <c r="C235" t="s">
        <v>375</v>
      </c>
      <c r="D235" t="s">
        <v>1171</v>
      </c>
      <c r="E235" t="s">
        <v>406</v>
      </c>
      <c r="F235" s="13">
        <v>44699.435590277775</v>
      </c>
      <c r="G235" t="s">
        <v>407</v>
      </c>
      <c r="H235" t="s">
        <v>408</v>
      </c>
      <c r="I235" s="13">
        <v>45012.044409722221</v>
      </c>
      <c r="K235" t="s">
        <v>415</v>
      </c>
      <c r="M235" s="13">
        <v>44742</v>
      </c>
      <c r="R235">
        <v>100</v>
      </c>
      <c r="S235" t="s">
        <v>380</v>
      </c>
      <c r="T235" t="s">
        <v>57</v>
      </c>
      <c r="V235" t="s">
        <v>478</v>
      </c>
      <c r="W235" t="s">
        <v>603</v>
      </c>
      <c r="X235" t="s">
        <v>603</v>
      </c>
      <c r="AF235" t="s">
        <v>382</v>
      </c>
      <c r="AG235" t="s">
        <v>406</v>
      </c>
      <c r="AI235">
        <v>-270</v>
      </c>
      <c r="AL235" t="s">
        <v>1172</v>
      </c>
      <c r="AN235" t="s">
        <v>31</v>
      </c>
      <c r="AO235">
        <v>0</v>
      </c>
      <c r="AZ235" t="s">
        <v>406</v>
      </c>
      <c r="BF235">
        <v>0</v>
      </c>
      <c r="BK235" t="s">
        <v>31</v>
      </c>
      <c r="BS235" t="s">
        <v>419</v>
      </c>
      <c r="BT235" t="s">
        <v>419</v>
      </c>
      <c r="CI235" t="s">
        <v>388</v>
      </c>
      <c r="CJ235" s="14">
        <v>45013</v>
      </c>
      <c r="CK235">
        <v>1</v>
      </c>
    </row>
    <row r="236" spans="1:89">
      <c r="A236" t="s">
        <v>637</v>
      </c>
      <c r="B236" t="s">
        <v>374</v>
      </c>
      <c r="C236" t="s">
        <v>638</v>
      </c>
      <c r="D236" t="s">
        <v>1173</v>
      </c>
      <c r="E236" t="s">
        <v>640</v>
      </c>
      <c r="F236" s="13">
        <v>44696.931226851855</v>
      </c>
      <c r="G236" t="s">
        <v>641</v>
      </c>
      <c r="H236" t="s">
        <v>642</v>
      </c>
      <c r="I236" s="13">
        <v>44833.703101851854</v>
      </c>
      <c r="K236" t="s">
        <v>412</v>
      </c>
      <c r="M236" s="13">
        <v>44742</v>
      </c>
      <c r="R236">
        <v>0</v>
      </c>
      <c r="S236" t="s">
        <v>380</v>
      </c>
      <c r="T236" t="s">
        <v>57</v>
      </c>
      <c r="V236" t="s">
        <v>381</v>
      </c>
      <c r="W236" t="s">
        <v>643</v>
      </c>
      <c r="X236" t="s">
        <v>643</v>
      </c>
      <c r="AC236" s="13">
        <v>44834</v>
      </c>
      <c r="AD236" s="13">
        <v>44834</v>
      </c>
      <c r="AI236">
        <v>46</v>
      </c>
      <c r="AN236" t="s">
        <v>31</v>
      </c>
      <c r="AO236">
        <v>0</v>
      </c>
      <c r="AS236" t="s">
        <v>538</v>
      </c>
      <c r="AX236" t="s">
        <v>57</v>
      </c>
      <c r="AY236" t="s">
        <v>442</v>
      </c>
      <c r="AZ236" t="s">
        <v>644</v>
      </c>
      <c r="BF236">
        <v>0</v>
      </c>
      <c r="BK236" t="s">
        <v>31</v>
      </c>
      <c r="BS236" t="s">
        <v>412</v>
      </c>
      <c r="CI236" t="s">
        <v>388</v>
      </c>
      <c r="CJ236" s="14">
        <v>45013</v>
      </c>
      <c r="CK236">
        <v>1</v>
      </c>
    </row>
    <row r="237" spans="1:89">
      <c r="A237" t="s">
        <v>637</v>
      </c>
      <c r="B237" t="s">
        <v>374</v>
      </c>
      <c r="C237" t="s">
        <v>638</v>
      </c>
      <c r="D237" t="s">
        <v>1174</v>
      </c>
      <c r="E237" t="s">
        <v>646</v>
      </c>
      <c r="F237" s="13">
        <v>44696.931215277778</v>
      </c>
      <c r="G237" t="s">
        <v>641</v>
      </c>
      <c r="H237" t="s">
        <v>642</v>
      </c>
      <c r="I237" s="13">
        <v>44833.703101851854</v>
      </c>
      <c r="K237" t="s">
        <v>412</v>
      </c>
      <c r="M237" s="13">
        <v>44620</v>
      </c>
      <c r="R237">
        <v>0</v>
      </c>
      <c r="S237" t="s">
        <v>416</v>
      </c>
      <c r="T237" t="s">
        <v>57</v>
      </c>
      <c r="V237" t="s">
        <v>381</v>
      </c>
      <c r="W237" t="s">
        <v>647</v>
      </c>
      <c r="X237" t="s">
        <v>647</v>
      </c>
      <c r="AC237" s="13">
        <v>44711</v>
      </c>
      <c r="AD237" s="13">
        <v>44711</v>
      </c>
      <c r="AI237">
        <v>-76</v>
      </c>
      <c r="AN237" t="s">
        <v>31</v>
      </c>
      <c r="AO237">
        <v>0</v>
      </c>
      <c r="AS237" t="s">
        <v>648</v>
      </c>
      <c r="AX237" t="s">
        <v>31</v>
      </c>
      <c r="AY237" t="s">
        <v>386</v>
      </c>
      <c r="AZ237" t="s">
        <v>649</v>
      </c>
      <c r="BF237">
        <v>0</v>
      </c>
      <c r="BK237" t="s">
        <v>31</v>
      </c>
      <c r="BS237" t="s">
        <v>412</v>
      </c>
      <c r="CI237" t="s">
        <v>388</v>
      </c>
      <c r="CJ237" s="14">
        <v>45013</v>
      </c>
      <c r="CK237">
        <v>1</v>
      </c>
    </row>
    <row r="238" spans="1:89">
      <c r="A238" t="s">
        <v>637</v>
      </c>
      <c r="B238" t="s">
        <v>374</v>
      </c>
      <c r="C238" t="s">
        <v>638</v>
      </c>
      <c r="D238" t="s">
        <v>1175</v>
      </c>
      <c r="E238" t="s">
        <v>651</v>
      </c>
      <c r="F238" s="13">
        <v>44696.931203703702</v>
      </c>
      <c r="G238" t="s">
        <v>641</v>
      </c>
      <c r="H238" t="s">
        <v>642</v>
      </c>
      <c r="I238" s="13">
        <v>44833.703101851854</v>
      </c>
      <c r="K238" t="s">
        <v>412</v>
      </c>
      <c r="M238" s="13">
        <v>44620</v>
      </c>
      <c r="R238">
        <v>0</v>
      </c>
      <c r="S238" t="s">
        <v>416</v>
      </c>
      <c r="T238" t="s">
        <v>57</v>
      </c>
      <c r="V238" t="s">
        <v>381</v>
      </c>
      <c r="W238" t="s">
        <v>647</v>
      </c>
      <c r="X238" t="s">
        <v>647</v>
      </c>
      <c r="AC238" s="13">
        <v>44711</v>
      </c>
      <c r="AD238" s="13">
        <v>44711</v>
      </c>
      <c r="AI238">
        <v>-76</v>
      </c>
      <c r="AN238" t="s">
        <v>31</v>
      </c>
      <c r="AO238">
        <v>0</v>
      </c>
      <c r="AS238" t="s">
        <v>392</v>
      </c>
      <c r="AX238" t="s">
        <v>31</v>
      </c>
      <c r="AY238" t="s">
        <v>386</v>
      </c>
      <c r="AZ238" t="s">
        <v>652</v>
      </c>
      <c r="BF238">
        <v>0</v>
      </c>
      <c r="BK238" t="s">
        <v>31</v>
      </c>
      <c r="BS238" t="s">
        <v>412</v>
      </c>
      <c r="CI238" t="s">
        <v>388</v>
      </c>
      <c r="CJ238" s="14">
        <v>45013</v>
      </c>
      <c r="CK238">
        <v>1</v>
      </c>
    </row>
    <row r="239" spans="1:89">
      <c r="A239" t="s">
        <v>637</v>
      </c>
      <c r="B239" t="s">
        <v>374</v>
      </c>
      <c r="C239" t="s">
        <v>638</v>
      </c>
      <c r="D239" t="s">
        <v>1176</v>
      </c>
      <c r="E239" t="s">
        <v>654</v>
      </c>
      <c r="F239" s="13">
        <v>44696.931192129632</v>
      </c>
      <c r="G239" t="s">
        <v>641</v>
      </c>
      <c r="H239" t="s">
        <v>642</v>
      </c>
      <c r="I239" s="13">
        <v>44833.703101851854</v>
      </c>
      <c r="K239" t="s">
        <v>412</v>
      </c>
      <c r="M239" s="13">
        <v>44620</v>
      </c>
      <c r="R239">
        <v>0</v>
      </c>
      <c r="S239" t="s">
        <v>380</v>
      </c>
      <c r="T239" t="s">
        <v>57</v>
      </c>
      <c r="V239" t="s">
        <v>381</v>
      </c>
      <c r="W239" t="s">
        <v>647</v>
      </c>
      <c r="X239" t="s">
        <v>647</v>
      </c>
      <c r="AC239" s="13">
        <v>44711</v>
      </c>
      <c r="AD239" s="13">
        <v>44711</v>
      </c>
      <c r="AI239">
        <v>-76</v>
      </c>
      <c r="AN239" t="s">
        <v>31</v>
      </c>
      <c r="AO239">
        <v>0</v>
      </c>
      <c r="AS239" t="s">
        <v>385</v>
      </c>
      <c r="AX239" t="s">
        <v>31</v>
      </c>
      <c r="AY239" t="s">
        <v>442</v>
      </c>
      <c r="AZ239" t="s">
        <v>655</v>
      </c>
      <c r="BF239">
        <v>0</v>
      </c>
      <c r="BK239" t="s">
        <v>31</v>
      </c>
      <c r="BS239" t="s">
        <v>412</v>
      </c>
      <c r="CI239" t="s">
        <v>388</v>
      </c>
      <c r="CJ239" s="14">
        <v>45013</v>
      </c>
      <c r="CK239">
        <v>1</v>
      </c>
    </row>
    <row r="240" spans="1:89">
      <c r="A240" t="s">
        <v>637</v>
      </c>
      <c r="B240" t="s">
        <v>374</v>
      </c>
      <c r="C240" t="s">
        <v>638</v>
      </c>
      <c r="D240" t="s">
        <v>1177</v>
      </c>
      <c r="E240" t="s">
        <v>657</v>
      </c>
      <c r="F240" s="13">
        <v>44696.931180555555</v>
      </c>
      <c r="G240" t="s">
        <v>641</v>
      </c>
      <c r="H240" t="s">
        <v>642</v>
      </c>
      <c r="I240" s="13">
        <v>44833.703101851854</v>
      </c>
      <c r="K240" t="s">
        <v>412</v>
      </c>
      <c r="M240" s="13">
        <v>44620</v>
      </c>
      <c r="R240">
        <v>0</v>
      </c>
      <c r="S240" t="s">
        <v>380</v>
      </c>
      <c r="T240" t="s">
        <v>57</v>
      </c>
      <c r="V240" t="s">
        <v>381</v>
      </c>
      <c r="W240" t="s">
        <v>647</v>
      </c>
      <c r="X240" t="s">
        <v>647</v>
      </c>
      <c r="AC240" s="13">
        <v>44711</v>
      </c>
      <c r="AD240" s="13">
        <v>44711</v>
      </c>
      <c r="AI240">
        <v>-76</v>
      </c>
      <c r="AN240" t="s">
        <v>31</v>
      </c>
      <c r="AO240">
        <v>0</v>
      </c>
      <c r="AS240" t="s">
        <v>385</v>
      </c>
      <c r="AX240" t="s">
        <v>31</v>
      </c>
      <c r="AY240" t="s">
        <v>442</v>
      </c>
      <c r="AZ240" t="s">
        <v>658</v>
      </c>
      <c r="BF240">
        <v>0</v>
      </c>
      <c r="BK240" t="s">
        <v>31</v>
      </c>
      <c r="BS240" t="s">
        <v>412</v>
      </c>
      <c r="CI240" t="s">
        <v>388</v>
      </c>
      <c r="CJ240" s="14">
        <v>45013</v>
      </c>
      <c r="CK240">
        <v>1</v>
      </c>
    </row>
    <row r="241" spans="1:89">
      <c r="A241" t="s">
        <v>637</v>
      </c>
      <c r="B241" t="s">
        <v>374</v>
      </c>
      <c r="C241" t="s">
        <v>638</v>
      </c>
      <c r="D241" t="s">
        <v>1178</v>
      </c>
      <c r="E241" t="s">
        <v>660</v>
      </c>
      <c r="F241" s="13">
        <v>44696.931168981479</v>
      </c>
      <c r="G241" t="s">
        <v>641</v>
      </c>
      <c r="H241" t="s">
        <v>642</v>
      </c>
      <c r="I241" s="13">
        <v>44833.703101851854</v>
      </c>
      <c r="K241" t="s">
        <v>412</v>
      </c>
      <c r="M241" s="13">
        <v>44620</v>
      </c>
      <c r="R241">
        <v>0</v>
      </c>
      <c r="S241" t="s">
        <v>380</v>
      </c>
      <c r="T241" t="s">
        <v>57</v>
      </c>
      <c r="V241" t="s">
        <v>381</v>
      </c>
      <c r="W241" t="s">
        <v>647</v>
      </c>
      <c r="X241" t="s">
        <v>647</v>
      </c>
      <c r="AC241" s="13">
        <v>44711</v>
      </c>
      <c r="AD241" s="13">
        <v>44711</v>
      </c>
      <c r="AI241">
        <v>-76</v>
      </c>
      <c r="AN241" t="s">
        <v>31</v>
      </c>
      <c r="AO241">
        <v>0</v>
      </c>
      <c r="AS241" t="s">
        <v>526</v>
      </c>
      <c r="AX241" t="s">
        <v>31</v>
      </c>
      <c r="AY241" t="s">
        <v>442</v>
      </c>
      <c r="AZ241" t="s">
        <v>661</v>
      </c>
      <c r="BF241">
        <v>0</v>
      </c>
      <c r="BK241" t="s">
        <v>31</v>
      </c>
      <c r="BS241" t="s">
        <v>412</v>
      </c>
      <c r="CI241" t="s">
        <v>388</v>
      </c>
      <c r="CJ241" s="14">
        <v>45013</v>
      </c>
      <c r="CK241">
        <v>1</v>
      </c>
    </row>
    <row r="242" spans="1:89">
      <c r="A242" t="s">
        <v>637</v>
      </c>
      <c r="B242" t="s">
        <v>374</v>
      </c>
      <c r="C242" t="s">
        <v>638</v>
      </c>
      <c r="D242" t="s">
        <v>1179</v>
      </c>
      <c r="E242" t="s">
        <v>663</v>
      </c>
      <c r="F242" s="13">
        <v>44696.931157407409</v>
      </c>
      <c r="G242" t="s">
        <v>641</v>
      </c>
      <c r="H242" t="s">
        <v>642</v>
      </c>
      <c r="I242" s="13">
        <v>44833.703101851854</v>
      </c>
      <c r="K242" t="s">
        <v>412</v>
      </c>
      <c r="M242" s="13">
        <v>44620</v>
      </c>
      <c r="R242">
        <v>0</v>
      </c>
      <c r="S242" t="s">
        <v>380</v>
      </c>
      <c r="T242" t="s">
        <v>57</v>
      </c>
      <c r="V242" t="s">
        <v>381</v>
      </c>
      <c r="W242" t="s">
        <v>647</v>
      </c>
      <c r="X242" t="s">
        <v>647</v>
      </c>
      <c r="AC242" s="13">
        <v>44711</v>
      </c>
      <c r="AD242" s="13">
        <v>44711</v>
      </c>
      <c r="AI242">
        <v>-76</v>
      </c>
      <c r="AN242" t="s">
        <v>31</v>
      </c>
      <c r="AO242">
        <v>0</v>
      </c>
      <c r="AS242" t="s">
        <v>648</v>
      </c>
      <c r="AX242" t="s">
        <v>31</v>
      </c>
      <c r="AY242" t="s">
        <v>442</v>
      </c>
      <c r="AZ242" t="s">
        <v>648</v>
      </c>
      <c r="BF242">
        <v>0</v>
      </c>
      <c r="BK242" t="s">
        <v>31</v>
      </c>
      <c r="BS242" t="s">
        <v>412</v>
      </c>
      <c r="CI242" t="s">
        <v>388</v>
      </c>
      <c r="CJ242" s="14">
        <v>45013</v>
      </c>
      <c r="CK242">
        <v>1</v>
      </c>
    </row>
    <row r="243" spans="1:89">
      <c r="A243" t="s">
        <v>637</v>
      </c>
      <c r="B243" t="s">
        <v>374</v>
      </c>
      <c r="C243" t="s">
        <v>638</v>
      </c>
      <c r="D243" t="s">
        <v>1180</v>
      </c>
      <c r="E243" t="s">
        <v>665</v>
      </c>
      <c r="F243" s="13">
        <v>44696.931145833332</v>
      </c>
      <c r="G243" t="s">
        <v>641</v>
      </c>
      <c r="H243" t="s">
        <v>642</v>
      </c>
      <c r="I243" s="13">
        <v>44833.703101851854</v>
      </c>
      <c r="K243" t="s">
        <v>412</v>
      </c>
      <c r="M243" s="13">
        <v>44620</v>
      </c>
      <c r="R243">
        <v>0</v>
      </c>
      <c r="S243" t="s">
        <v>380</v>
      </c>
      <c r="T243" t="s">
        <v>57</v>
      </c>
      <c r="V243" t="s">
        <v>381</v>
      </c>
      <c r="W243" t="s">
        <v>647</v>
      </c>
      <c r="X243" t="s">
        <v>647</v>
      </c>
      <c r="AC243" s="13">
        <v>44711</v>
      </c>
      <c r="AD243" s="13">
        <v>44711</v>
      </c>
      <c r="AI243">
        <v>-76</v>
      </c>
      <c r="AN243" t="s">
        <v>31</v>
      </c>
      <c r="AO243">
        <v>0</v>
      </c>
      <c r="AS243" t="s">
        <v>385</v>
      </c>
      <c r="AX243" t="s">
        <v>31</v>
      </c>
      <c r="AY243" t="s">
        <v>442</v>
      </c>
      <c r="AZ243" t="s">
        <v>666</v>
      </c>
      <c r="BF243">
        <v>0</v>
      </c>
      <c r="BK243" t="s">
        <v>31</v>
      </c>
      <c r="BS243" t="s">
        <v>412</v>
      </c>
      <c r="CI243" t="s">
        <v>388</v>
      </c>
      <c r="CJ243" s="14">
        <v>45013</v>
      </c>
      <c r="CK243">
        <v>1</v>
      </c>
    </row>
    <row r="244" spans="1:89">
      <c r="A244" t="s">
        <v>1181</v>
      </c>
      <c r="B244" t="s">
        <v>374</v>
      </c>
      <c r="C244" t="s">
        <v>1182</v>
      </c>
      <c r="D244" t="s">
        <v>1183</v>
      </c>
      <c r="E244" t="s">
        <v>668</v>
      </c>
      <c r="F244" s="13">
        <v>44696.931134259263</v>
      </c>
      <c r="G244" t="s">
        <v>641</v>
      </c>
      <c r="H244" t="s">
        <v>642</v>
      </c>
      <c r="I244" s="13">
        <v>44833.703101851854</v>
      </c>
      <c r="K244" t="s">
        <v>412</v>
      </c>
      <c r="M244" s="13">
        <v>44620</v>
      </c>
      <c r="R244">
        <v>0</v>
      </c>
      <c r="S244" t="s">
        <v>380</v>
      </c>
      <c r="T244" t="s">
        <v>57</v>
      </c>
      <c r="V244" t="s">
        <v>381</v>
      </c>
      <c r="W244" t="s">
        <v>647</v>
      </c>
      <c r="X244" t="s">
        <v>647</v>
      </c>
      <c r="AC244" s="13">
        <v>44711</v>
      </c>
      <c r="AD244" s="13">
        <v>44711</v>
      </c>
      <c r="AI244">
        <v>-76</v>
      </c>
      <c r="AN244" t="s">
        <v>31</v>
      </c>
      <c r="AO244">
        <v>0</v>
      </c>
      <c r="AS244" t="s">
        <v>648</v>
      </c>
      <c r="AX244" t="s">
        <v>31</v>
      </c>
      <c r="AY244" t="s">
        <v>442</v>
      </c>
      <c r="AZ244" t="s">
        <v>669</v>
      </c>
      <c r="BF244">
        <v>0</v>
      </c>
      <c r="BK244" t="s">
        <v>31</v>
      </c>
      <c r="BS244" t="s">
        <v>412</v>
      </c>
      <c r="CI244" t="s">
        <v>388</v>
      </c>
      <c r="CJ244" s="14">
        <v>45013</v>
      </c>
      <c r="CK244">
        <v>1</v>
      </c>
    </row>
    <row r="245" spans="1:89">
      <c r="A245" t="s">
        <v>1181</v>
      </c>
      <c r="B245" t="s">
        <v>374</v>
      </c>
      <c r="C245" t="s">
        <v>1182</v>
      </c>
      <c r="D245" t="s">
        <v>1184</v>
      </c>
      <c r="E245" t="s">
        <v>671</v>
      </c>
      <c r="F245" s="13">
        <v>44696.931087962963</v>
      </c>
      <c r="G245" t="s">
        <v>641</v>
      </c>
      <c r="H245" t="s">
        <v>642</v>
      </c>
      <c r="I245" s="13">
        <v>44833.703101851854</v>
      </c>
      <c r="K245" t="s">
        <v>412</v>
      </c>
      <c r="M245" s="13">
        <v>44620</v>
      </c>
      <c r="R245">
        <v>0</v>
      </c>
      <c r="S245" t="s">
        <v>380</v>
      </c>
      <c r="T245" t="s">
        <v>57</v>
      </c>
      <c r="V245" t="s">
        <v>381</v>
      </c>
      <c r="W245" t="s">
        <v>647</v>
      </c>
      <c r="X245" t="s">
        <v>647</v>
      </c>
      <c r="AC245" s="13">
        <v>44711</v>
      </c>
      <c r="AD245" s="13">
        <v>44711</v>
      </c>
      <c r="AI245">
        <v>-76</v>
      </c>
      <c r="AN245" t="s">
        <v>31</v>
      </c>
      <c r="AO245">
        <v>0</v>
      </c>
      <c r="AS245" t="s">
        <v>538</v>
      </c>
      <c r="AX245" t="s">
        <v>31</v>
      </c>
      <c r="AY245" t="s">
        <v>442</v>
      </c>
      <c r="AZ245" t="s">
        <v>672</v>
      </c>
      <c r="BF245">
        <v>0</v>
      </c>
      <c r="BK245" t="s">
        <v>31</v>
      </c>
      <c r="BS245" t="s">
        <v>412</v>
      </c>
      <c r="CI245" t="s">
        <v>388</v>
      </c>
      <c r="CJ245" s="14">
        <v>45013</v>
      </c>
      <c r="CK245">
        <v>1</v>
      </c>
    </row>
    <row r="246" spans="1:89">
      <c r="A246" t="s">
        <v>1185</v>
      </c>
      <c r="B246" t="s">
        <v>374</v>
      </c>
      <c r="C246" t="s">
        <v>1186</v>
      </c>
      <c r="D246" t="s">
        <v>1187</v>
      </c>
      <c r="E246" t="s">
        <v>1188</v>
      </c>
      <c r="F246" s="13">
        <v>44694.775405092594</v>
      </c>
      <c r="G246" t="s">
        <v>1189</v>
      </c>
      <c r="H246" t="s">
        <v>1190</v>
      </c>
      <c r="I246" s="13">
        <v>44694.775439814817</v>
      </c>
      <c r="K246" t="s">
        <v>412</v>
      </c>
      <c r="R246">
        <v>0</v>
      </c>
      <c r="S246" t="s">
        <v>380</v>
      </c>
      <c r="V246" t="s">
        <v>381</v>
      </c>
      <c r="W246" t="s">
        <v>1191</v>
      </c>
      <c r="X246" t="s">
        <v>1191</v>
      </c>
      <c r="AI246">
        <v>0</v>
      </c>
      <c r="AL246" t="s">
        <v>1192</v>
      </c>
      <c r="AN246" t="s">
        <v>31</v>
      </c>
      <c r="AO246">
        <v>0</v>
      </c>
      <c r="AZ246" t="s">
        <v>1193</v>
      </c>
      <c r="BF246">
        <v>0</v>
      </c>
      <c r="BK246" t="s">
        <v>31</v>
      </c>
      <c r="BS246" t="s">
        <v>412</v>
      </c>
      <c r="BT246" t="s">
        <v>412</v>
      </c>
      <c r="CI246" t="s">
        <v>388</v>
      </c>
      <c r="CJ246" s="14">
        <v>45013</v>
      </c>
      <c r="CK246">
        <v>1</v>
      </c>
    </row>
    <row r="247" spans="1:89">
      <c r="A247" t="s">
        <v>1185</v>
      </c>
      <c r="B247" t="s">
        <v>374</v>
      </c>
      <c r="C247" t="s">
        <v>1186</v>
      </c>
      <c r="D247" t="s">
        <v>1194</v>
      </c>
      <c r="E247" t="s">
        <v>1188</v>
      </c>
      <c r="F247" s="13">
        <v>44694.736921296295</v>
      </c>
      <c r="G247" t="s">
        <v>1189</v>
      </c>
      <c r="H247" t="s">
        <v>1190</v>
      </c>
      <c r="I247" s="13">
        <v>44694.736944444441</v>
      </c>
      <c r="K247" t="s">
        <v>412</v>
      </c>
      <c r="R247">
        <v>0</v>
      </c>
      <c r="S247" t="s">
        <v>380</v>
      </c>
      <c r="V247" t="s">
        <v>381</v>
      </c>
      <c r="W247" t="s">
        <v>1191</v>
      </c>
      <c r="X247" t="s">
        <v>1191</v>
      </c>
      <c r="AI247">
        <v>109</v>
      </c>
      <c r="AL247" t="s">
        <v>1192</v>
      </c>
      <c r="AN247" t="s">
        <v>31</v>
      </c>
      <c r="AO247">
        <v>0</v>
      </c>
      <c r="AZ247" t="s">
        <v>1195</v>
      </c>
      <c r="BF247">
        <v>0</v>
      </c>
      <c r="BK247" t="s">
        <v>31</v>
      </c>
      <c r="BS247" t="s">
        <v>412</v>
      </c>
      <c r="BT247" t="s">
        <v>412</v>
      </c>
      <c r="CI247" t="s">
        <v>388</v>
      </c>
      <c r="CJ247" s="14">
        <v>45013</v>
      </c>
      <c r="CK247">
        <v>1</v>
      </c>
    </row>
    <row r="248" spans="1:89">
      <c r="A248" t="s">
        <v>1196</v>
      </c>
      <c r="B248" t="s">
        <v>374</v>
      </c>
      <c r="C248" t="s">
        <v>1182</v>
      </c>
      <c r="D248" t="s">
        <v>1197</v>
      </c>
      <c r="E248" t="s">
        <v>1198</v>
      </c>
      <c r="F248" s="13">
        <v>44694.566168981481</v>
      </c>
      <c r="G248" t="s">
        <v>1125</v>
      </c>
      <c r="H248" t="s">
        <v>1126</v>
      </c>
      <c r="I248" s="13">
        <v>45012.044398148151</v>
      </c>
      <c r="K248" t="s">
        <v>415</v>
      </c>
      <c r="M248" s="13">
        <v>44740</v>
      </c>
      <c r="R248">
        <v>100</v>
      </c>
      <c r="S248" t="s">
        <v>380</v>
      </c>
      <c r="T248" t="s">
        <v>57</v>
      </c>
      <c r="V248" t="s">
        <v>478</v>
      </c>
      <c r="W248" t="s">
        <v>1126</v>
      </c>
      <c r="X248" t="s">
        <v>1126</v>
      </c>
      <c r="AF248" t="s">
        <v>382</v>
      </c>
      <c r="AG248" t="s">
        <v>1199</v>
      </c>
      <c r="AI248">
        <v>-272</v>
      </c>
      <c r="AL248" t="s">
        <v>1200</v>
      </c>
      <c r="AN248" t="s">
        <v>57</v>
      </c>
      <c r="AO248">
        <v>0</v>
      </c>
      <c r="AS248" t="s">
        <v>385</v>
      </c>
      <c r="AX248" t="s">
        <v>57</v>
      </c>
      <c r="AY248" t="s">
        <v>442</v>
      </c>
      <c r="AZ248" t="s">
        <v>745</v>
      </c>
      <c r="BF248">
        <v>0</v>
      </c>
      <c r="BK248" t="s">
        <v>31</v>
      </c>
      <c r="BS248" t="s">
        <v>1201</v>
      </c>
      <c r="BT248" t="s">
        <v>1202</v>
      </c>
      <c r="CI248" t="s">
        <v>388</v>
      </c>
      <c r="CJ248" s="14">
        <v>45013</v>
      </c>
      <c r="CK248">
        <v>1</v>
      </c>
    </row>
    <row r="249" spans="1:89">
      <c r="A249" t="s">
        <v>1196</v>
      </c>
      <c r="B249" t="s">
        <v>374</v>
      </c>
      <c r="C249" t="s">
        <v>1182</v>
      </c>
      <c r="D249" t="s">
        <v>1203</v>
      </c>
      <c r="E249" t="s">
        <v>1204</v>
      </c>
      <c r="F249" s="13">
        <v>44694.551689814813</v>
      </c>
      <c r="G249" t="s">
        <v>1125</v>
      </c>
      <c r="H249" t="s">
        <v>1126</v>
      </c>
      <c r="I249" s="13">
        <v>44694.673750000002</v>
      </c>
      <c r="K249" t="s">
        <v>379</v>
      </c>
      <c r="M249" s="13">
        <v>44770</v>
      </c>
      <c r="R249">
        <v>100</v>
      </c>
      <c r="S249" t="s">
        <v>416</v>
      </c>
      <c r="T249" t="s">
        <v>57</v>
      </c>
      <c r="V249" t="s">
        <v>381</v>
      </c>
      <c r="W249" t="s">
        <v>1205</v>
      </c>
      <c r="X249" t="s">
        <v>1205</v>
      </c>
      <c r="AF249" t="s">
        <v>382</v>
      </c>
      <c r="AG249" t="s">
        <v>1206</v>
      </c>
      <c r="AI249">
        <v>76</v>
      </c>
      <c r="AL249" t="s">
        <v>1200</v>
      </c>
      <c r="AM249">
        <v>1</v>
      </c>
      <c r="AN249" t="s">
        <v>31</v>
      </c>
      <c r="AO249">
        <v>0</v>
      </c>
      <c r="AS249" t="s">
        <v>385</v>
      </c>
      <c r="AX249" t="s">
        <v>57</v>
      </c>
      <c r="AY249" t="s">
        <v>442</v>
      </c>
      <c r="AZ249" t="s">
        <v>1204</v>
      </c>
      <c r="BF249">
        <v>0</v>
      </c>
      <c r="BK249" t="s">
        <v>31</v>
      </c>
      <c r="BS249" t="s">
        <v>379</v>
      </c>
      <c r="BT249" t="s">
        <v>379</v>
      </c>
      <c r="CI249" t="s">
        <v>388</v>
      </c>
      <c r="CJ249" s="14">
        <v>45013</v>
      </c>
      <c r="CK249">
        <v>1</v>
      </c>
    </row>
    <row r="250" spans="1:89">
      <c r="A250" t="s">
        <v>673</v>
      </c>
      <c r="B250" t="s">
        <v>374</v>
      </c>
      <c r="C250" t="s">
        <v>674</v>
      </c>
      <c r="D250" t="s">
        <v>1207</v>
      </c>
      <c r="E250" t="s">
        <v>406</v>
      </c>
      <c r="F250" s="13">
        <v>44694.483888888892</v>
      </c>
      <c r="G250" t="s">
        <v>1208</v>
      </c>
      <c r="H250" t="s">
        <v>1209</v>
      </c>
      <c r="I250" s="13">
        <v>44694.56821759259</v>
      </c>
      <c r="K250" t="s">
        <v>379</v>
      </c>
      <c r="M250" s="13">
        <v>44784</v>
      </c>
      <c r="R250">
        <v>100</v>
      </c>
      <c r="S250" t="s">
        <v>380</v>
      </c>
      <c r="T250" t="s">
        <v>57</v>
      </c>
      <c r="V250" t="s">
        <v>381</v>
      </c>
      <c r="W250" t="s">
        <v>1210</v>
      </c>
      <c r="X250" t="s">
        <v>1210</v>
      </c>
      <c r="AB250" t="s">
        <v>57</v>
      </c>
      <c r="AC250" s="13">
        <v>44809</v>
      </c>
      <c r="AD250" s="13">
        <v>44788</v>
      </c>
      <c r="AF250" t="s">
        <v>382</v>
      </c>
      <c r="AG250" t="s">
        <v>406</v>
      </c>
      <c r="AI250">
        <v>90</v>
      </c>
      <c r="AL250" t="s">
        <v>1211</v>
      </c>
      <c r="AN250" t="s">
        <v>57</v>
      </c>
      <c r="AO250">
        <v>0</v>
      </c>
      <c r="AS250" t="s">
        <v>461</v>
      </c>
      <c r="AX250" t="s">
        <v>57</v>
      </c>
      <c r="AY250" t="s">
        <v>386</v>
      </c>
      <c r="AZ250" t="s">
        <v>1212</v>
      </c>
      <c r="BC250" t="s">
        <v>480</v>
      </c>
      <c r="BD250" t="s">
        <v>406</v>
      </c>
      <c r="BF250">
        <v>0</v>
      </c>
      <c r="BK250" t="s">
        <v>31</v>
      </c>
      <c r="BS250" t="s">
        <v>379</v>
      </c>
      <c r="BT250" t="s">
        <v>379</v>
      </c>
      <c r="CC250" t="s">
        <v>1213</v>
      </c>
      <c r="CI250" t="s">
        <v>388</v>
      </c>
      <c r="CJ250" s="14">
        <v>45013</v>
      </c>
      <c r="CK250">
        <v>1</v>
      </c>
    </row>
    <row r="251" spans="1:89">
      <c r="A251" t="s">
        <v>673</v>
      </c>
      <c r="B251" t="s">
        <v>374</v>
      </c>
      <c r="C251" t="s">
        <v>674</v>
      </c>
      <c r="D251" t="s">
        <v>1214</v>
      </c>
      <c r="E251" t="s">
        <v>406</v>
      </c>
      <c r="F251" s="13">
        <v>44694.477835648147</v>
      </c>
      <c r="G251" t="s">
        <v>1208</v>
      </c>
      <c r="H251" t="s">
        <v>1209</v>
      </c>
      <c r="I251" s="13">
        <v>44694.495983796296</v>
      </c>
      <c r="K251" t="s">
        <v>379</v>
      </c>
      <c r="M251" s="13">
        <v>44784</v>
      </c>
      <c r="R251">
        <v>100</v>
      </c>
      <c r="S251" t="s">
        <v>416</v>
      </c>
      <c r="T251" t="s">
        <v>31</v>
      </c>
      <c r="V251" t="s">
        <v>381</v>
      </c>
      <c r="W251" t="s">
        <v>1209</v>
      </c>
      <c r="X251" t="s">
        <v>1209</v>
      </c>
      <c r="AF251" t="s">
        <v>382</v>
      </c>
      <c r="AG251" t="s">
        <v>406</v>
      </c>
      <c r="AI251">
        <v>90</v>
      </c>
      <c r="AL251" t="s">
        <v>1211</v>
      </c>
      <c r="AM251">
        <v>1</v>
      </c>
      <c r="AN251" t="s">
        <v>31</v>
      </c>
      <c r="AO251">
        <v>0</v>
      </c>
      <c r="AS251" t="s">
        <v>522</v>
      </c>
      <c r="AX251" t="s">
        <v>31</v>
      </c>
      <c r="AY251" t="s">
        <v>442</v>
      </c>
      <c r="AZ251" t="s">
        <v>1215</v>
      </c>
      <c r="BF251">
        <v>0</v>
      </c>
      <c r="BK251" t="s">
        <v>31</v>
      </c>
      <c r="BS251" t="s">
        <v>379</v>
      </c>
      <c r="BT251" t="s">
        <v>379</v>
      </c>
      <c r="CI251" t="s">
        <v>388</v>
      </c>
      <c r="CJ251" s="14">
        <v>45013</v>
      </c>
      <c r="CK251">
        <v>1</v>
      </c>
    </row>
    <row r="252" spans="1:89">
      <c r="A252" t="s">
        <v>673</v>
      </c>
      <c r="B252" t="s">
        <v>374</v>
      </c>
      <c r="C252" t="s">
        <v>674</v>
      </c>
      <c r="D252" t="s">
        <v>1216</v>
      </c>
      <c r="E252" t="s">
        <v>406</v>
      </c>
      <c r="F252" s="13">
        <v>44694.476412037038</v>
      </c>
      <c r="G252" t="s">
        <v>1208</v>
      </c>
      <c r="H252" t="s">
        <v>1209</v>
      </c>
      <c r="I252" s="13">
        <v>44694.569525462961</v>
      </c>
      <c r="K252" t="s">
        <v>379</v>
      </c>
      <c r="M252" s="13">
        <v>44819</v>
      </c>
      <c r="R252">
        <v>100</v>
      </c>
      <c r="S252" t="s">
        <v>380</v>
      </c>
      <c r="T252" t="s">
        <v>57</v>
      </c>
      <c r="V252" t="s">
        <v>381</v>
      </c>
      <c r="W252" t="s">
        <v>1209</v>
      </c>
      <c r="X252" t="s">
        <v>1209</v>
      </c>
      <c r="AF252" t="s">
        <v>382</v>
      </c>
      <c r="AG252" t="s">
        <v>406</v>
      </c>
      <c r="AI252">
        <v>125</v>
      </c>
      <c r="AL252" t="s">
        <v>1211</v>
      </c>
      <c r="AN252" t="s">
        <v>31</v>
      </c>
      <c r="AO252">
        <v>0</v>
      </c>
      <c r="AS252" t="s">
        <v>385</v>
      </c>
      <c r="AX252" t="s">
        <v>31</v>
      </c>
      <c r="AY252" t="s">
        <v>442</v>
      </c>
      <c r="AZ252" t="s">
        <v>1217</v>
      </c>
      <c r="BF252">
        <v>0</v>
      </c>
      <c r="BK252" t="s">
        <v>31</v>
      </c>
      <c r="BS252" t="s">
        <v>379</v>
      </c>
      <c r="BT252" t="s">
        <v>379</v>
      </c>
      <c r="CI252" t="s">
        <v>388</v>
      </c>
      <c r="CJ252" s="14">
        <v>45013</v>
      </c>
      <c r="CK252">
        <v>1</v>
      </c>
    </row>
    <row r="253" spans="1:89">
      <c r="A253" t="s">
        <v>1218</v>
      </c>
      <c r="B253" t="s">
        <v>374</v>
      </c>
      <c r="C253" t="s">
        <v>1219</v>
      </c>
      <c r="D253" t="s">
        <v>1220</v>
      </c>
      <c r="E253" t="s">
        <v>406</v>
      </c>
      <c r="F253" s="13">
        <v>44694.440717592595</v>
      </c>
      <c r="G253" t="s">
        <v>1208</v>
      </c>
      <c r="H253" t="s">
        <v>1209</v>
      </c>
      <c r="I253" s="13">
        <v>44694.451631944445</v>
      </c>
      <c r="K253" t="s">
        <v>379</v>
      </c>
      <c r="M253" s="13">
        <v>44917</v>
      </c>
      <c r="R253">
        <v>100</v>
      </c>
      <c r="S253" t="s">
        <v>380</v>
      </c>
      <c r="T253" t="s">
        <v>57</v>
      </c>
      <c r="V253" t="s">
        <v>381</v>
      </c>
      <c r="W253" t="s">
        <v>1209</v>
      </c>
      <c r="X253" t="s">
        <v>1209</v>
      </c>
      <c r="AF253" t="s">
        <v>382</v>
      </c>
      <c r="AG253" t="s">
        <v>406</v>
      </c>
      <c r="AI253">
        <v>223</v>
      </c>
      <c r="AL253" t="s">
        <v>1221</v>
      </c>
      <c r="AN253" t="s">
        <v>31</v>
      </c>
      <c r="AO253">
        <v>0</v>
      </c>
      <c r="AS253" t="s">
        <v>522</v>
      </c>
      <c r="AX253" t="s">
        <v>57</v>
      </c>
      <c r="AY253" t="s">
        <v>386</v>
      </c>
      <c r="AZ253" t="s">
        <v>1222</v>
      </c>
      <c r="BF253">
        <v>0</v>
      </c>
      <c r="BK253" t="s">
        <v>31</v>
      </c>
      <c r="BS253" t="s">
        <v>379</v>
      </c>
      <c r="BT253" t="s">
        <v>379</v>
      </c>
      <c r="CI253" t="s">
        <v>388</v>
      </c>
      <c r="CJ253" s="14">
        <v>45013</v>
      </c>
      <c r="CK253">
        <v>1</v>
      </c>
    </row>
    <row r="254" spans="1:89">
      <c r="A254" t="s">
        <v>1218</v>
      </c>
      <c r="B254" t="s">
        <v>374</v>
      </c>
      <c r="C254" t="s">
        <v>1219</v>
      </c>
      <c r="D254" t="s">
        <v>1223</v>
      </c>
      <c r="E254" t="s">
        <v>406</v>
      </c>
      <c r="F254" s="13">
        <v>44694.423657407409</v>
      </c>
      <c r="G254" t="s">
        <v>1208</v>
      </c>
      <c r="H254" t="s">
        <v>1209</v>
      </c>
      <c r="I254" s="13">
        <v>44694.445833333331</v>
      </c>
      <c r="K254" t="s">
        <v>379</v>
      </c>
      <c r="M254" s="13">
        <v>44784</v>
      </c>
      <c r="R254">
        <v>100</v>
      </c>
      <c r="S254" t="s">
        <v>416</v>
      </c>
      <c r="T254" t="s">
        <v>57</v>
      </c>
      <c r="V254" t="s">
        <v>381</v>
      </c>
      <c r="W254" t="s">
        <v>1209</v>
      </c>
      <c r="X254" t="s">
        <v>1209</v>
      </c>
      <c r="AF254" t="s">
        <v>382</v>
      </c>
      <c r="AG254" t="s">
        <v>406</v>
      </c>
      <c r="AI254">
        <v>90</v>
      </c>
      <c r="AL254" t="s">
        <v>1221</v>
      </c>
      <c r="AM254">
        <v>1</v>
      </c>
      <c r="AN254" t="s">
        <v>31</v>
      </c>
      <c r="AO254">
        <v>0</v>
      </c>
      <c r="AS254" t="s">
        <v>526</v>
      </c>
      <c r="AX254" t="s">
        <v>31</v>
      </c>
      <c r="AY254" t="s">
        <v>386</v>
      </c>
      <c r="AZ254" t="s">
        <v>1215</v>
      </c>
      <c r="BF254">
        <v>0</v>
      </c>
      <c r="BK254" t="s">
        <v>31</v>
      </c>
      <c r="BS254" t="s">
        <v>379</v>
      </c>
      <c r="BT254" t="s">
        <v>379</v>
      </c>
      <c r="CI254" t="s">
        <v>388</v>
      </c>
      <c r="CJ254" s="14">
        <v>45013</v>
      </c>
      <c r="CK254">
        <v>1</v>
      </c>
    </row>
    <row r="255" spans="1:89">
      <c r="A255" t="s">
        <v>1224</v>
      </c>
      <c r="B255" t="s">
        <v>374</v>
      </c>
      <c r="C255" t="s">
        <v>1225</v>
      </c>
      <c r="D255" t="s">
        <v>1226</v>
      </c>
      <c r="E255" t="s">
        <v>1227</v>
      </c>
      <c r="F255" s="13">
        <v>44693.673796296294</v>
      </c>
      <c r="G255" t="s">
        <v>1228</v>
      </c>
      <c r="H255" t="s">
        <v>1229</v>
      </c>
      <c r="I255" s="13">
        <v>44694.511446759258</v>
      </c>
      <c r="K255" t="s">
        <v>379</v>
      </c>
      <c r="M255" s="13">
        <v>44784</v>
      </c>
      <c r="R255">
        <v>100</v>
      </c>
      <c r="S255" t="s">
        <v>380</v>
      </c>
      <c r="T255" t="s">
        <v>57</v>
      </c>
      <c r="V255" t="s">
        <v>381</v>
      </c>
      <c r="W255" t="s">
        <v>1230</v>
      </c>
      <c r="X255" t="s">
        <v>1230</v>
      </c>
      <c r="AB255" t="s">
        <v>57</v>
      </c>
      <c r="AF255" t="s">
        <v>382</v>
      </c>
      <c r="AG255" t="s">
        <v>383</v>
      </c>
      <c r="AI255">
        <v>91</v>
      </c>
      <c r="AL255" t="s">
        <v>1231</v>
      </c>
      <c r="AN255" t="s">
        <v>57</v>
      </c>
      <c r="AO255">
        <v>0</v>
      </c>
      <c r="AS255" t="s">
        <v>526</v>
      </c>
      <c r="AX255" t="s">
        <v>57</v>
      </c>
      <c r="AY255" t="s">
        <v>386</v>
      </c>
      <c r="AZ255" t="s">
        <v>1232</v>
      </c>
      <c r="BC255" t="s">
        <v>480</v>
      </c>
      <c r="BD255" t="s">
        <v>1233</v>
      </c>
      <c r="BF255">
        <v>0</v>
      </c>
      <c r="BK255" t="s">
        <v>31</v>
      </c>
      <c r="BS255" t="s">
        <v>379</v>
      </c>
      <c r="BT255" t="s">
        <v>379</v>
      </c>
      <c r="CC255" t="s">
        <v>1234</v>
      </c>
      <c r="CI255" t="s">
        <v>388</v>
      </c>
      <c r="CJ255" s="14">
        <v>45013</v>
      </c>
      <c r="CK255">
        <v>1</v>
      </c>
    </row>
    <row r="256" spans="1:89">
      <c r="A256" t="s">
        <v>1235</v>
      </c>
      <c r="B256" t="s">
        <v>374</v>
      </c>
      <c r="C256" t="s">
        <v>1236</v>
      </c>
      <c r="D256" t="s">
        <v>1237</v>
      </c>
      <c r="E256" t="s">
        <v>1238</v>
      </c>
      <c r="F256" s="13">
        <v>44693.670543981483</v>
      </c>
      <c r="G256" t="s">
        <v>1239</v>
      </c>
      <c r="H256" t="s">
        <v>1240</v>
      </c>
      <c r="I256" s="13">
        <v>44694.509363425925</v>
      </c>
      <c r="K256" t="s">
        <v>379</v>
      </c>
      <c r="M256" s="13">
        <v>44960</v>
      </c>
      <c r="R256">
        <v>100</v>
      </c>
      <c r="S256" t="s">
        <v>380</v>
      </c>
      <c r="T256" t="s">
        <v>57</v>
      </c>
      <c r="V256" t="s">
        <v>381</v>
      </c>
      <c r="W256" t="s">
        <v>1240</v>
      </c>
      <c r="X256" t="s">
        <v>1240</v>
      </c>
      <c r="AB256" t="s">
        <v>57</v>
      </c>
      <c r="AF256" t="s">
        <v>382</v>
      </c>
      <c r="AG256" t="s">
        <v>1241</v>
      </c>
      <c r="AI256">
        <v>267</v>
      </c>
      <c r="AL256" t="s">
        <v>1242</v>
      </c>
      <c r="AN256" t="s">
        <v>31</v>
      </c>
      <c r="AO256">
        <v>0</v>
      </c>
      <c r="AS256" t="s">
        <v>385</v>
      </c>
      <c r="AX256" t="s">
        <v>31</v>
      </c>
      <c r="AY256" t="s">
        <v>386</v>
      </c>
      <c r="AZ256" t="s">
        <v>1243</v>
      </c>
      <c r="BC256" t="s">
        <v>480</v>
      </c>
      <c r="BD256" t="s">
        <v>1244</v>
      </c>
      <c r="BF256">
        <v>0</v>
      </c>
      <c r="BK256" t="s">
        <v>31</v>
      </c>
      <c r="BS256" t="s">
        <v>379</v>
      </c>
      <c r="BT256" t="s">
        <v>379</v>
      </c>
      <c r="CC256" t="s">
        <v>1245</v>
      </c>
      <c r="CI256" t="s">
        <v>388</v>
      </c>
      <c r="CJ256" s="14">
        <v>45013</v>
      </c>
      <c r="CK256">
        <v>1</v>
      </c>
    </row>
    <row r="257" spans="1:89">
      <c r="A257" t="s">
        <v>1224</v>
      </c>
      <c r="B257" t="s">
        <v>374</v>
      </c>
      <c r="C257" t="s">
        <v>1225</v>
      </c>
      <c r="D257" t="s">
        <v>1246</v>
      </c>
      <c r="E257" t="s">
        <v>1247</v>
      </c>
      <c r="F257" s="13">
        <v>44693.657916666663</v>
      </c>
      <c r="G257" t="s">
        <v>1228</v>
      </c>
      <c r="H257" t="s">
        <v>1229</v>
      </c>
      <c r="I257" s="13">
        <v>44693.689259259256</v>
      </c>
      <c r="K257" t="s">
        <v>379</v>
      </c>
      <c r="M257" s="13">
        <v>44781</v>
      </c>
      <c r="R257">
        <v>100</v>
      </c>
      <c r="S257" t="s">
        <v>416</v>
      </c>
      <c r="T257" t="s">
        <v>57</v>
      </c>
      <c r="V257" t="s">
        <v>381</v>
      </c>
      <c r="W257" t="s">
        <v>1240</v>
      </c>
      <c r="X257" t="s">
        <v>1240</v>
      </c>
      <c r="AF257" t="s">
        <v>382</v>
      </c>
      <c r="AG257" t="s">
        <v>1248</v>
      </c>
      <c r="AI257">
        <v>88</v>
      </c>
      <c r="AL257" t="s">
        <v>1231</v>
      </c>
      <c r="AM257">
        <v>1</v>
      </c>
      <c r="AN257" t="s">
        <v>31</v>
      </c>
      <c r="AO257">
        <v>0</v>
      </c>
      <c r="AS257" t="s">
        <v>526</v>
      </c>
      <c r="AX257" t="s">
        <v>31</v>
      </c>
      <c r="AY257" t="s">
        <v>386</v>
      </c>
      <c r="AZ257" t="s">
        <v>1249</v>
      </c>
      <c r="BF257">
        <v>0</v>
      </c>
      <c r="BK257" t="s">
        <v>31</v>
      </c>
      <c r="BS257" t="s">
        <v>379</v>
      </c>
      <c r="BT257" t="s">
        <v>379</v>
      </c>
      <c r="CI257" t="s">
        <v>388</v>
      </c>
      <c r="CJ257" s="14">
        <v>45013</v>
      </c>
      <c r="CK257">
        <v>1</v>
      </c>
    </row>
    <row r="258" spans="1:89">
      <c r="A258" t="s">
        <v>1235</v>
      </c>
      <c r="B258" t="s">
        <v>374</v>
      </c>
      <c r="C258" t="s">
        <v>1236</v>
      </c>
      <c r="D258" t="s">
        <v>1250</v>
      </c>
      <c r="E258" t="s">
        <v>1251</v>
      </c>
      <c r="F258" s="13">
        <v>44693.657442129632</v>
      </c>
      <c r="G258" t="s">
        <v>1239</v>
      </c>
      <c r="H258" t="s">
        <v>1240</v>
      </c>
      <c r="I258" s="13">
        <v>44693.687673611108</v>
      </c>
      <c r="K258" t="s">
        <v>379</v>
      </c>
      <c r="M258" s="13">
        <v>44776</v>
      </c>
      <c r="R258">
        <v>100</v>
      </c>
      <c r="S258" t="s">
        <v>416</v>
      </c>
      <c r="T258" t="s">
        <v>57</v>
      </c>
      <c r="V258" t="s">
        <v>381</v>
      </c>
      <c r="W258" t="s">
        <v>1240</v>
      </c>
      <c r="X258" t="s">
        <v>1240</v>
      </c>
      <c r="AF258" t="s">
        <v>382</v>
      </c>
      <c r="AG258" t="s">
        <v>1252</v>
      </c>
      <c r="AI258">
        <v>83</v>
      </c>
      <c r="AL258" t="s">
        <v>1242</v>
      </c>
      <c r="AM258">
        <v>1</v>
      </c>
      <c r="AN258" t="s">
        <v>31</v>
      </c>
      <c r="AO258">
        <v>0</v>
      </c>
      <c r="AS258" t="s">
        <v>461</v>
      </c>
      <c r="AX258" t="s">
        <v>31</v>
      </c>
      <c r="AY258" t="s">
        <v>386</v>
      </c>
      <c r="AZ258" t="s">
        <v>1253</v>
      </c>
      <c r="BF258">
        <v>0</v>
      </c>
      <c r="BK258" t="s">
        <v>31</v>
      </c>
      <c r="BS258" t="s">
        <v>379</v>
      </c>
      <c r="BT258" t="s">
        <v>379</v>
      </c>
      <c r="CI258" t="s">
        <v>388</v>
      </c>
      <c r="CJ258" s="14">
        <v>45013</v>
      </c>
      <c r="CK258">
        <v>1</v>
      </c>
    </row>
    <row r="259" spans="1:89">
      <c r="A259" t="s">
        <v>1235</v>
      </c>
      <c r="B259" t="s">
        <v>374</v>
      </c>
      <c r="C259" t="s">
        <v>1236</v>
      </c>
      <c r="D259" t="s">
        <v>1254</v>
      </c>
      <c r="E259" t="s">
        <v>1255</v>
      </c>
      <c r="F259" s="13">
        <v>44693.653969907406</v>
      </c>
      <c r="G259" t="s">
        <v>1239</v>
      </c>
      <c r="H259" t="s">
        <v>1240</v>
      </c>
      <c r="I259" s="13">
        <v>44694.491446759261</v>
      </c>
      <c r="K259" t="s">
        <v>379</v>
      </c>
      <c r="M259" s="13">
        <v>44778</v>
      </c>
      <c r="R259">
        <v>100</v>
      </c>
      <c r="S259" t="s">
        <v>380</v>
      </c>
      <c r="T259" t="s">
        <v>57</v>
      </c>
      <c r="V259" t="s">
        <v>381</v>
      </c>
      <c r="W259" t="s">
        <v>1240</v>
      </c>
      <c r="X259" t="s">
        <v>1240</v>
      </c>
      <c r="AF259" t="s">
        <v>382</v>
      </c>
      <c r="AG259" t="s">
        <v>1256</v>
      </c>
      <c r="AI259">
        <v>85</v>
      </c>
      <c r="AL259" t="s">
        <v>1242</v>
      </c>
      <c r="AN259" t="s">
        <v>31</v>
      </c>
      <c r="AO259">
        <v>0</v>
      </c>
      <c r="AS259" t="s">
        <v>648</v>
      </c>
      <c r="AX259" t="s">
        <v>31</v>
      </c>
      <c r="AY259" t="s">
        <v>386</v>
      </c>
      <c r="AZ259" t="s">
        <v>1257</v>
      </c>
      <c r="BF259">
        <v>0</v>
      </c>
      <c r="BK259" t="s">
        <v>31</v>
      </c>
      <c r="BS259" t="s">
        <v>379</v>
      </c>
      <c r="BT259" t="s">
        <v>379</v>
      </c>
      <c r="CI259" t="s">
        <v>388</v>
      </c>
      <c r="CJ259" s="14">
        <v>45013</v>
      </c>
      <c r="CK259">
        <v>1</v>
      </c>
    </row>
    <row r="260" spans="1:89">
      <c r="A260" t="s">
        <v>1224</v>
      </c>
      <c r="B260" t="s">
        <v>374</v>
      </c>
      <c r="C260" t="s">
        <v>1225</v>
      </c>
      <c r="D260" t="s">
        <v>1258</v>
      </c>
      <c r="E260" t="s">
        <v>1259</v>
      </c>
      <c r="F260" s="13">
        <v>44693.653599537036</v>
      </c>
      <c r="G260" t="s">
        <v>1228</v>
      </c>
      <c r="H260" t="s">
        <v>1229</v>
      </c>
      <c r="I260" s="13">
        <v>44694.492048611108</v>
      </c>
      <c r="K260" t="s">
        <v>379</v>
      </c>
      <c r="M260" s="13">
        <v>44784</v>
      </c>
      <c r="R260">
        <v>100</v>
      </c>
      <c r="S260" t="s">
        <v>380</v>
      </c>
      <c r="T260" t="s">
        <v>57</v>
      </c>
      <c r="V260" t="s">
        <v>381</v>
      </c>
      <c r="W260" t="s">
        <v>1240</v>
      </c>
      <c r="X260" t="s">
        <v>1240</v>
      </c>
      <c r="AF260" t="s">
        <v>382</v>
      </c>
      <c r="AG260" t="s">
        <v>1260</v>
      </c>
      <c r="AI260">
        <v>91</v>
      </c>
      <c r="AJ260" s="13">
        <v>44785</v>
      </c>
      <c r="AL260" t="s">
        <v>1231</v>
      </c>
      <c r="AN260" t="s">
        <v>31</v>
      </c>
      <c r="AO260">
        <v>0</v>
      </c>
      <c r="AS260" t="s">
        <v>385</v>
      </c>
      <c r="AX260" t="s">
        <v>31</v>
      </c>
      <c r="AY260" t="s">
        <v>386</v>
      </c>
      <c r="AZ260" t="s">
        <v>1261</v>
      </c>
      <c r="BF260">
        <v>0</v>
      </c>
      <c r="BK260" t="s">
        <v>31</v>
      </c>
      <c r="BS260" t="s">
        <v>379</v>
      </c>
      <c r="BT260" t="s">
        <v>379</v>
      </c>
      <c r="CI260" t="s">
        <v>388</v>
      </c>
      <c r="CJ260" s="14">
        <v>45013</v>
      </c>
      <c r="CK260">
        <v>1</v>
      </c>
    </row>
    <row r="261" spans="1:89">
      <c r="A261" t="s">
        <v>454</v>
      </c>
      <c r="B261" t="s">
        <v>374</v>
      </c>
      <c r="C261" t="s">
        <v>455</v>
      </c>
      <c r="D261" t="s">
        <v>1262</v>
      </c>
      <c r="E261" t="s">
        <v>1263</v>
      </c>
      <c r="F261" s="13">
        <v>44693.577951388892</v>
      </c>
      <c r="G261" t="s">
        <v>1264</v>
      </c>
      <c r="H261" t="s">
        <v>1265</v>
      </c>
      <c r="I261" s="13">
        <v>44693.579050925924</v>
      </c>
      <c r="K261" t="s">
        <v>412</v>
      </c>
      <c r="R261">
        <v>0</v>
      </c>
      <c r="S261" t="s">
        <v>380</v>
      </c>
      <c r="T261" t="s">
        <v>57</v>
      </c>
      <c r="V261" t="s">
        <v>381</v>
      </c>
      <c r="W261" t="s">
        <v>1266</v>
      </c>
      <c r="X261" t="s">
        <v>1266</v>
      </c>
      <c r="AI261">
        <v>49</v>
      </c>
      <c r="AL261" t="s">
        <v>1267</v>
      </c>
      <c r="AN261" t="s">
        <v>31</v>
      </c>
      <c r="AO261">
        <v>0</v>
      </c>
      <c r="AS261" t="s">
        <v>385</v>
      </c>
      <c r="AX261" t="s">
        <v>57</v>
      </c>
      <c r="AY261" t="s">
        <v>386</v>
      </c>
      <c r="AZ261" t="s">
        <v>1268</v>
      </c>
      <c r="BE261" t="s">
        <v>1269</v>
      </c>
      <c r="BF261">
        <v>0</v>
      </c>
      <c r="BK261" t="s">
        <v>31</v>
      </c>
      <c r="BS261" t="s">
        <v>412</v>
      </c>
      <c r="BT261" t="s">
        <v>412</v>
      </c>
      <c r="CI261" t="s">
        <v>388</v>
      </c>
      <c r="CJ261" s="14">
        <v>45013</v>
      </c>
      <c r="CK261">
        <v>1</v>
      </c>
    </row>
    <row r="262" spans="1:89">
      <c r="A262" t="s">
        <v>404</v>
      </c>
      <c r="B262" t="s">
        <v>374</v>
      </c>
      <c r="C262" t="s">
        <v>375</v>
      </c>
      <c r="D262" t="s">
        <v>1270</v>
      </c>
      <c r="E262" t="s">
        <v>406</v>
      </c>
      <c r="F262" s="13">
        <v>44693.576689814814</v>
      </c>
      <c r="G262" t="s">
        <v>1271</v>
      </c>
      <c r="H262" t="s">
        <v>1272</v>
      </c>
      <c r="I262" s="13">
        <v>44693.605671296296</v>
      </c>
      <c r="K262" t="s">
        <v>379</v>
      </c>
      <c r="M262" s="13">
        <v>44699</v>
      </c>
      <c r="R262">
        <v>100</v>
      </c>
      <c r="S262" t="s">
        <v>380</v>
      </c>
      <c r="T262" t="s">
        <v>57</v>
      </c>
      <c r="V262" t="s">
        <v>381</v>
      </c>
      <c r="W262" t="s">
        <v>1273</v>
      </c>
      <c r="X262" t="s">
        <v>1273</v>
      </c>
      <c r="AF262" t="s">
        <v>382</v>
      </c>
      <c r="AG262" t="s">
        <v>406</v>
      </c>
      <c r="AI262">
        <v>6</v>
      </c>
      <c r="AL262" t="s">
        <v>1274</v>
      </c>
      <c r="AN262" t="s">
        <v>31</v>
      </c>
      <c r="AO262">
        <v>0</v>
      </c>
      <c r="AS262" t="s">
        <v>526</v>
      </c>
      <c r="AX262" t="s">
        <v>31</v>
      </c>
      <c r="AY262" t="s">
        <v>442</v>
      </c>
      <c r="AZ262" t="s">
        <v>1275</v>
      </c>
      <c r="BF262">
        <v>0</v>
      </c>
      <c r="BK262" t="s">
        <v>31</v>
      </c>
      <c r="BS262" t="s">
        <v>379</v>
      </c>
      <c r="BT262" t="s">
        <v>379</v>
      </c>
      <c r="CI262" t="s">
        <v>388</v>
      </c>
      <c r="CJ262" s="14">
        <v>45013</v>
      </c>
      <c r="CK262">
        <v>1</v>
      </c>
    </row>
    <row r="263" spans="1:89">
      <c r="A263" t="s">
        <v>454</v>
      </c>
      <c r="B263" t="s">
        <v>374</v>
      </c>
      <c r="C263" t="s">
        <v>455</v>
      </c>
      <c r="D263" t="s">
        <v>1276</v>
      </c>
      <c r="E263" t="s">
        <v>1277</v>
      </c>
      <c r="F263" s="13">
        <v>44693.576423611114</v>
      </c>
      <c r="G263" t="s">
        <v>1264</v>
      </c>
      <c r="H263" t="s">
        <v>1265</v>
      </c>
      <c r="I263" s="13">
        <v>44693.57707175926</v>
      </c>
      <c r="K263" t="s">
        <v>412</v>
      </c>
      <c r="R263">
        <v>0</v>
      </c>
      <c r="S263" t="s">
        <v>380</v>
      </c>
      <c r="T263" t="s">
        <v>57</v>
      </c>
      <c r="V263" t="s">
        <v>381</v>
      </c>
      <c r="W263" t="s">
        <v>1266</v>
      </c>
      <c r="X263" t="s">
        <v>1266</v>
      </c>
      <c r="AI263">
        <v>49</v>
      </c>
      <c r="AL263" t="s">
        <v>1267</v>
      </c>
      <c r="AN263" t="s">
        <v>31</v>
      </c>
      <c r="AO263">
        <v>0</v>
      </c>
      <c r="AS263" t="s">
        <v>385</v>
      </c>
      <c r="AX263" t="s">
        <v>57</v>
      </c>
      <c r="AY263" t="s">
        <v>386</v>
      </c>
      <c r="AZ263" t="s">
        <v>1278</v>
      </c>
      <c r="BE263" t="s">
        <v>1279</v>
      </c>
      <c r="BF263">
        <v>0</v>
      </c>
      <c r="BK263" t="s">
        <v>31</v>
      </c>
      <c r="BS263" t="s">
        <v>412</v>
      </c>
      <c r="BT263" t="s">
        <v>412</v>
      </c>
      <c r="CI263" t="s">
        <v>388</v>
      </c>
      <c r="CJ263" s="14">
        <v>45013</v>
      </c>
      <c r="CK263">
        <v>1</v>
      </c>
    </row>
    <row r="264" spans="1:89">
      <c r="A264" t="s">
        <v>454</v>
      </c>
      <c r="B264" t="s">
        <v>374</v>
      </c>
      <c r="C264" t="s">
        <v>455</v>
      </c>
      <c r="D264" t="s">
        <v>1280</v>
      </c>
      <c r="E264" t="s">
        <v>1281</v>
      </c>
      <c r="F264" s="13">
        <v>44693.575023148151</v>
      </c>
      <c r="G264" t="s">
        <v>1264</v>
      </c>
      <c r="H264" t="s">
        <v>1265</v>
      </c>
      <c r="I264" s="13">
        <v>44693.575509259259</v>
      </c>
      <c r="K264" t="s">
        <v>412</v>
      </c>
      <c r="R264">
        <v>0</v>
      </c>
      <c r="S264" t="s">
        <v>380</v>
      </c>
      <c r="T264" t="s">
        <v>57</v>
      </c>
      <c r="V264" t="s">
        <v>381</v>
      </c>
      <c r="W264" t="s">
        <v>1266</v>
      </c>
      <c r="X264" t="s">
        <v>1266</v>
      </c>
      <c r="AI264">
        <v>49</v>
      </c>
      <c r="AL264" t="s">
        <v>1267</v>
      </c>
      <c r="AN264" t="s">
        <v>31</v>
      </c>
      <c r="AO264">
        <v>0</v>
      </c>
      <c r="AS264" t="s">
        <v>385</v>
      </c>
      <c r="AX264" t="s">
        <v>57</v>
      </c>
      <c r="AY264" t="s">
        <v>386</v>
      </c>
      <c r="AZ264" t="s">
        <v>1282</v>
      </c>
      <c r="BF264">
        <v>0</v>
      </c>
      <c r="BK264" t="s">
        <v>31</v>
      </c>
      <c r="BS264" t="s">
        <v>412</v>
      </c>
      <c r="BT264" t="s">
        <v>412</v>
      </c>
      <c r="CI264" t="s">
        <v>388</v>
      </c>
      <c r="CJ264" s="14">
        <v>45013</v>
      </c>
      <c r="CK264">
        <v>1</v>
      </c>
    </row>
    <row r="265" spans="1:89">
      <c r="A265" t="s">
        <v>454</v>
      </c>
      <c r="B265" t="s">
        <v>374</v>
      </c>
      <c r="C265" t="s">
        <v>455</v>
      </c>
      <c r="D265" t="s">
        <v>1283</v>
      </c>
      <c r="E265" t="s">
        <v>1284</v>
      </c>
      <c r="F265" s="13">
        <v>44693.573182870372</v>
      </c>
      <c r="G265" t="s">
        <v>1264</v>
      </c>
      <c r="H265" t="s">
        <v>1265</v>
      </c>
      <c r="I265" s="13">
        <v>44693.573958333334</v>
      </c>
      <c r="K265" t="s">
        <v>412</v>
      </c>
      <c r="R265">
        <v>0</v>
      </c>
      <c r="S265" t="s">
        <v>380</v>
      </c>
      <c r="T265" t="s">
        <v>57</v>
      </c>
      <c r="V265" t="s">
        <v>381</v>
      </c>
      <c r="W265" t="s">
        <v>1266</v>
      </c>
      <c r="X265" t="s">
        <v>1266</v>
      </c>
      <c r="AI265">
        <v>49</v>
      </c>
      <c r="AL265" t="s">
        <v>1267</v>
      </c>
      <c r="AN265" t="s">
        <v>31</v>
      </c>
      <c r="AO265">
        <v>0</v>
      </c>
      <c r="AS265" t="s">
        <v>385</v>
      </c>
      <c r="AX265" t="s">
        <v>57</v>
      </c>
      <c r="AY265" t="s">
        <v>386</v>
      </c>
      <c r="AZ265" t="s">
        <v>1285</v>
      </c>
      <c r="BE265" t="s">
        <v>1286</v>
      </c>
      <c r="BF265">
        <v>0</v>
      </c>
      <c r="BK265" t="s">
        <v>31</v>
      </c>
      <c r="BS265" t="s">
        <v>412</v>
      </c>
      <c r="BT265" t="s">
        <v>412</v>
      </c>
      <c r="CI265" t="s">
        <v>388</v>
      </c>
      <c r="CJ265" s="14">
        <v>45013</v>
      </c>
      <c r="CK265">
        <v>1</v>
      </c>
    </row>
    <row r="266" spans="1:89">
      <c r="A266" t="s">
        <v>404</v>
      </c>
      <c r="B266" t="s">
        <v>374</v>
      </c>
      <c r="C266" t="s">
        <v>375</v>
      </c>
      <c r="D266" t="s">
        <v>1287</v>
      </c>
      <c r="E266" t="s">
        <v>406</v>
      </c>
      <c r="F266" s="13">
        <v>44693.571053240739</v>
      </c>
      <c r="G266" t="s">
        <v>1271</v>
      </c>
      <c r="H266" t="s">
        <v>1272</v>
      </c>
      <c r="I266" s="13">
        <v>44693.574317129627</v>
      </c>
      <c r="K266" t="s">
        <v>379</v>
      </c>
      <c r="M266" s="13">
        <v>44705</v>
      </c>
      <c r="R266">
        <v>100</v>
      </c>
      <c r="S266" t="s">
        <v>380</v>
      </c>
      <c r="T266" t="s">
        <v>57</v>
      </c>
      <c r="V266" t="s">
        <v>381</v>
      </c>
      <c r="W266" t="s">
        <v>1273</v>
      </c>
      <c r="X266" t="s">
        <v>1273</v>
      </c>
      <c r="AF266" t="s">
        <v>382</v>
      </c>
      <c r="AG266" t="s">
        <v>1288</v>
      </c>
      <c r="AI266">
        <v>12</v>
      </c>
      <c r="AL266" t="s">
        <v>1274</v>
      </c>
      <c r="AN266" t="s">
        <v>31</v>
      </c>
      <c r="AO266">
        <v>0</v>
      </c>
      <c r="AS266" t="s">
        <v>522</v>
      </c>
      <c r="AX266" t="s">
        <v>31</v>
      </c>
      <c r="AY266" t="s">
        <v>442</v>
      </c>
      <c r="AZ266" t="s">
        <v>1275</v>
      </c>
      <c r="BF266">
        <v>0</v>
      </c>
      <c r="BK266" t="s">
        <v>31</v>
      </c>
      <c r="BS266" t="s">
        <v>379</v>
      </c>
      <c r="BT266" t="s">
        <v>379</v>
      </c>
      <c r="CI266" t="s">
        <v>388</v>
      </c>
      <c r="CJ266" s="14">
        <v>45013</v>
      </c>
      <c r="CK266">
        <v>1</v>
      </c>
    </row>
    <row r="267" spans="1:89">
      <c r="A267" t="s">
        <v>454</v>
      </c>
      <c r="B267" t="s">
        <v>374</v>
      </c>
      <c r="C267" t="s">
        <v>455</v>
      </c>
      <c r="D267" t="s">
        <v>1289</v>
      </c>
      <c r="E267" t="s">
        <v>1290</v>
      </c>
      <c r="F267" s="13">
        <v>44693.570914351854</v>
      </c>
      <c r="G267" t="s">
        <v>1264</v>
      </c>
      <c r="H267" t="s">
        <v>1265</v>
      </c>
      <c r="I267" s="13">
        <v>44693.572187500002</v>
      </c>
      <c r="K267" t="s">
        <v>412</v>
      </c>
      <c r="R267">
        <v>0</v>
      </c>
      <c r="S267" t="s">
        <v>380</v>
      </c>
      <c r="T267" t="s">
        <v>57</v>
      </c>
      <c r="V267" t="s">
        <v>381</v>
      </c>
      <c r="W267" t="s">
        <v>1291</v>
      </c>
      <c r="X267" t="s">
        <v>1291</v>
      </c>
      <c r="AI267">
        <v>49</v>
      </c>
      <c r="AL267" t="s">
        <v>1267</v>
      </c>
      <c r="AN267" t="s">
        <v>31</v>
      </c>
      <c r="AO267">
        <v>0</v>
      </c>
      <c r="AS267" t="s">
        <v>385</v>
      </c>
      <c r="AX267" t="s">
        <v>57</v>
      </c>
      <c r="AY267" t="s">
        <v>386</v>
      </c>
      <c r="AZ267" t="s">
        <v>1292</v>
      </c>
      <c r="BE267" t="s">
        <v>1293</v>
      </c>
      <c r="BF267">
        <v>0</v>
      </c>
      <c r="BK267" t="s">
        <v>31</v>
      </c>
      <c r="BS267" t="s">
        <v>412</v>
      </c>
      <c r="BT267" t="s">
        <v>412</v>
      </c>
      <c r="CI267" t="s">
        <v>388</v>
      </c>
      <c r="CJ267" s="14">
        <v>45013</v>
      </c>
      <c r="CK267">
        <v>1</v>
      </c>
    </row>
    <row r="268" spans="1:89">
      <c r="A268" t="s">
        <v>404</v>
      </c>
      <c r="B268" t="s">
        <v>374</v>
      </c>
      <c r="C268" t="s">
        <v>375</v>
      </c>
      <c r="D268" t="s">
        <v>1294</v>
      </c>
      <c r="E268" t="s">
        <v>406</v>
      </c>
      <c r="F268" s="13">
        <v>44693.569675925923</v>
      </c>
      <c r="G268" t="s">
        <v>1271</v>
      </c>
      <c r="H268" t="s">
        <v>1272</v>
      </c>
      <c r="I268" s="13">
        <v>44693.604756944442</v>
      </c>
      <c r="K268" t="s">
        <v>379</v>
      </c>
      <c r="M268" s="13">
        <v>44708</v>
      </c>
      <c r="R268">
        <v>100</v>
      </c>
      <c r="S268" t="s">
        <v>416</v>
      </c>
      <c r="T268" t="s">
        <v>57</v>
      </c>
      <c r="V268" t="s">
        <v>381</v>
      </c>
      <c r="W268" t="s">
        <v>1273</v>
      </c>
      <c r="X268" t="s">
        <v>1273</v>
      </c>
      <c r="AF268" t="s">
        <v>382</v>
      </c>
      <c r="AG268" t="s">
        <v>406</v>
      </c>
      <c r="AI268">
        <v>15</v>
      </c>
      <c r="AL268" t="s">
        <v>1274</v>
      </c>
      <c r="AM268">
        <v>1</v>
      </c>
      <c r="AN268" t="s">
        <v>31</v>
      </c>
      <c r="AO268">
        <v>0</v>
      </c>
      <c r="AS268" t="s">
        <v>522</v>
      </c>
      <c r="AX268" t="s">
        <v>31</v>
      </c>
      <c r="AY268" t="s">
        <v>442</v>
      </c>
      <c r="AZ268" t="s">
        <v>1295</v>
      </c>
      <c r="BF268">
        <v>0</v>
      </c>
      <c r="BK268" t="s">
        <v>31</v>
      </c>
      <c r="BS268" t="s">
        <v>379</v>
      </c>
      <c r="BT268" t="s">
        <v>379</v>
      </c>
      <c r="CI268" t="s">
        <v>388</v>
      </c>
      <c r="CJ268" s="14">
        <v>45013</v>
      </c>
      <c r="CK268">
        <v>1</v>
      </c>
    </row>
    <row r="269" spans="1:89">
      <c r="A269" t="s">
        <v>454</v>
      </c>
      <c r="B269" t="s">
        <v>374</v>
      </c>
      <c r="C269" t="s">
        <v>455</v>
      </c>
      <c r="D269" t="s">
        <v>1296</v>
      </c>
      <c r="E269" t="s">
        <v>1297</v>
      </c>
      <c r="F269" s="13">
        <v>44693.568078703705</v>
      </c>
      <c r="G269" t="s">
        <v>1264</v>
      </c>
      <c r="H269" t="s">
        <v>1265</v>
      </c>
      <c r="I269" s="13">
        <v>44693.568877314814</v>
      </c>
      <c r="K269" t="s">
        <v>412</v>
      </c>
      <c r="R269">
        <v>0</v>
      </c>
      <c r="S269" t="s">
        <v>380</v>
      </c>
      <c r="T269" t="s">
        <v>57</v>
      </c>
      <c r="V269" t="s">
        <v>381</v>
      </c>
      <c r="W269" t="s">
        <v>1266</v>
      </c>
      <c r="X269" t="s">
        <v>1266</v>
      </c>
      <c r="AI269">
        <v>48</v>
      </c>
      <c r="AL269" t="s">
        <v>1267</v>
      </c>
      <c r="AN269" t="s">
        <v>31</v>
      </c>
      <c r="AO269">
        <v>0</v>
      </c>
      <c r="AS269" t="s">
        <v>385</v>
      </c>
      <c r="AX269" t="s">
        <v>57</v>
      </c>
      <c r="AY269" t="s">
        <v>386</v>
      </c>
      <c r="AZ269" t="s">
        <v>1298</v>
      </c>
      <c r="BE269" t="s">
        <v>1299</v>
      </c>
      <c r="BF269">
        <v>0</v>
      </c>
      <c r="BK269" t="s">
        <v>31</v>
      </c>
      <c r="BS269" t="s">
        <v>412</v>
      </c>
      <c r="BT269" t="s">
        <v>412</v>
      </c>
      <c r="CI269" t="s">
        <v>388</v>
      </c>
      <c r="CJ269" s="14">
        <v>45013</v>
      </c>
      <c r="CK269">
        <v>1</v>
      </c>
    </row>
    <row r="270" spans="1:89">
      <c r="A270" t="s">
        <v>687</v>
      </c>
      <c r="B270" t="s">
        <v>374</v>
      </c>
      <c r="C270" t="s">
        <v>688</v>
      </c>
      <c r="D270" t="s">
        <v>1300</v>
      </c>
      <c r="E270" t="s">
        <v>406</v>
      </c>
      <c r="F270" s="13">
        <v>44693.566018518519</v>
      </c>
      <c r="G270" t="s">
        <v>1208</v>
      </c>
      <c r="H270" t="s">
        <v>1209</v>
      </c>
      <c r="I270" s="13">
        <v>45012.044398148151</v>
      </c>
      <c r="K270" t="s">
        <v>415</v>
      </c>
      <c r="M270" s="13">
        <v>44693</v>
      </c>
      <c r="R270">
        <v>0</v>
      </c>
      <c r="S270" t="s">
        <v>380</v>
      </c>
      <c r="T270" t="s">
        <v>57</v>
      </c>
      <c r="V270" t="s">
        <v>478</v>
      </c>
      <c r="W270" t="s">
        <v>1209</v>
      </c>
      <c r="X270" t="s">
        <v>1209</v>
      </c>
      <c r="Y270" t="s">
        <v>480</v>
      </c>
      <c r="AF270" t="s">
        <v>1301</v>
      </c>
      <c r="AG270" t="s">
        <v>406</v>
      </c>
      <c r="AI270">
        <v>-319</v>
      </c>
      <c r="AJ270" s="13">
        <v>44713</v>
      </c>
      <c r="AK270" t="s">
        <v>480</v>
      </c>
      <c r="AL270" t="s">
        <v>1302</v>
      </c>
      <c r="AN270" t="s">
        <v>31</v>
      </c>
      <c r="AO270">
        <v>0</v>
      </c>
      <c r="AS270" t="s">
        <v>385</v>
      </c>
      <c r="AX270" t="s">
        <v>31</v>
      </c>
      <c r="AY270" t="s">
        <v>442</v>
      </c>
      <c r="AZ270" t="s">
        <v>406</v>
      </c>
      <c r="BF270">
        <v>1</v>
      </c>
      <c r="BK270" t="s">
        <v>57</v>
      </c>
      <c r="BR270" s="13">
        <v>44713</v>
      </c>
      <c r="BS270" t="s">
        <v>419</v>
      </c>
      <c r="BT270" t="s">
        <v>419</v>
      </c>
      <c r="BZ270" s="13">
        <v>44693</v>
      </c>
      <c r="CI270" t="s">
        <v>388</v>
      </c>
      <c r="CJ270" s="14">
        <v>45013</v>
      </c>
      <c r="CK270">
        <v>1</v>
      </c>
    </row>
    <row r="271" spans="1:89">
      <c r="A271" t="s">
        <v>404</v>
      </c>
      <c r="B271" t="s">
        <v>374</v>
      </c>
      <c r="C271" t="s">
        <v>375</v>
      </c>
      <c r="D271" t="s">
        <v>1303</v>
      </c>
      <c r="E271" t="s">
        <v>406</v>
      </c>
      <c r="F271" s="13">
        <v>44693.555104166669</v>
      </c>
      <c r="G271" t="s">
        <v>1271</v>
      </c>
      <c r="H271" t="s">
        <v>1272</v>
      </c>
      <c r="I271" s="13">
        <v>44693.565937500003</v>
      </c>
      <c r="K271" t="s">
        <v>379</v>
      </c>
      <c r="M271" s="13">
        <v>44701</v>
      </c>
      <c r="R271">
        <v>100</v>
      </c>
      <c r="S271" t="s">
        <v>380</v>
      </c>
      <c r="T271" t="s">
        <v>57</v>
      </c>
      <c r="V271" t="s">
        <v>381</v>
      </c>
      <c r="W271" t="s">
        <v>1304</v>
      </c>
      <c r="X271" t="s">
        <v>1304</v>
      </c>
      <c r="AF271" t="s">
        <v>382</v>
      </c>
      <c r="AG271" t="s">
        <v>406</v>
      </c>
      <c r="AI271">
        <v>8</v>
      </c>
      <c r="AL271" t="s">
        <v>1305</v>
      </c>
      <c r="AN271" t="s">
        <v>31</v>
      </c>
      <c r="AO271">
        <v>0</v>
      </c>
      <c r="AS271" t="s">
        <v>526</v>
      </c>
      <c r="AX271" t="s">
        <v>31</v>
      </c>
      <c r="AY271" t="s">
        <v>442</v>
      </c>
      <c r="AZ271" t="s">
        <v>1306</v>
      </c>
      <c r="BF271">
        <v>0</v>
      </c>
      <c r="BK271" t="s">
        <v>31</v>
      </c>
      <c r="BS271" t="s">
        <v>379</v>
      </c>
      <c r="BT271" t="s">
        <v>379</v>
      </c>
      <c r="CI271" t="s">
        <v>388</v>
      </c>
      <c r="CJ271" s="14">
        <v>45013</v>
      </c>
      <c r="CK271">
        <v>1</v>
      </c>
    </row>
    <row r="272" spans="1:89">
      <c r="A272" t="s">
        <v>404</v>
      </c>
      <c r="B272" t="s">
        <v>374</v>
      </c>
      <c r="C272" t="s">
        <v>375</v>
      </c>
      <c r="D272" t="s">
        <v>1307</v>
      </c>
      <c r="E272" t="s">
        <v>406</v>
      </c>
      <c r="F272" s="13">
        <v>44693.545011574075</v>
      </c>
      <c r="G272" t="s">
        <v>1271</v>
      </c>
      <c r="H272" t="s">
        <v>1272</v>
      </c>
      <c r="I272" s="13">
        <v>44693.561782407407</v>
      </c>
      <c r="K272" t="s">
        <v>379</v>
      </c>
      <c r="M272" s="13">
        <v>44728</v>
      </c>
      <c r="R272">
        <v>100</v>
      </c>
      <c r="S272" t="s">
        <v>416</v>
      </c>
      <c r="T272" t="s">
        <v>57</v>
      </c>
      <c r="V272" t="s">
        <v>381</v>
      </c>
      <c r="W272" t="s">
        <v>1304</v>
      </c>
      <c r="X272" t="s">
        <v>1304</v>
      </c>
      <c r="AF272" t="s">
        <v>382</v>
      </c>
      <c r="AG272" t="s">
        <v>406</v>
      </c>
      <c r="AI272">
        <v>35</v>
      </c>
      <c r="AL272" t="s">
        <v>1305</v>
      </c>
      <c r="AM272">
        <v>1</v>
      </c>
      <c r="AN272" t="s">
        <v>31</v>
      </c>
      <c r="AO272">
        <v>0</v>
      </c>
      <c r="AS272" t="s">
        <v>526</v>
      </c>
      <c r="AX272" t="s">
        <v>57</v>
      </c>
      <c r="AY272" t="s">
        <v>442</v>
      </c>
      <c r="AZ272" t="s">
        <v>1308</v>
      </c>
      <c r="BF272">
        <v>0</v>
      </c>
      <c r="BK272" t="s">
        <v>31</v>
      </c>
      <c r="BS272" t="s">
        <v>379</v>
      </c>
      <c r="BT272" t="s">
        <v>379</v>
      </c>
      <c r="CI272" t="s">
        <v>388</v>
      </c>
      <c r="CJ272" s="14">
        <v>45013</v>
      </c>
      <c r="CK272">
        <v>1</v>
      </c>
    </row>
    <row r="273" spans="1:89">
      <c r="A273" t="s">
        <v>454</v>
      </c>
      <c r="B273" t="s">
        <v>374</v>
      </c>
      <c r="C273" t="s">
        <v>455</v>
      </c>
      <c r="D273" t="s">
        <v>1309</v>
      </c>
      <c r="E273" t="s">
        <v>1310</v>
      </c>
      <c r="F273" s="13">
        <v>44693.536585648151</v>
      </c>
      <c r="G273" t="s">
        <v>1264</v>
      </c>
      <c r="H273" t="s">
        <v>1265</v>
      </c>
      <c r="I273" s="13">
        <v>44693.540289351855</v>
      </c>
      <c r="K273" t="s">
        <v>379</v>
      </c>
      <c r="M273" s="13">
        <v>44693</v>
      </c>
      <c r="R273">
        <v>100</v>
      </c>
      <c r="S273" t="s">
        <v>380</v>
      </c>
      <c r="T273" t="s">
        <v>57</v>
      </c>
      <c r="V273" t="s">
        <v>381</v>
      </c>
      <c r="W273" t="s">
        <v>1266</v>
      </c>
      <c r="X273" t="s">
        <v>1266</v>
      </c>
      <c r="AF273" t="s">
        <v>382</v>
      </c>
      <c r="AG273" t="s">
        <v>1311</v>
      </c>
      <c r="AI273">
        <v>0</v>
      </c>
      <c r="AL273" t="s">
        <v>1312</v>
      </c>
      <c r="AN273" t="s">
        <v>31</v>
      </c>
      <c r="AO273">
        <v>0</v>
      </c>
      <c r="AS273" t="s">
        <v>385</v>
      </c>
      <c r="AX273" t="s">
        <v>57</v>
      </c>
      <c r="AY273" t="s">
        <v>386</v>
      </c>
      <c r="AZ273" t="s">
        <v>1313</v>
      </c>
      <c r="BE273" t="s">
        <v>1313</v>
      </c>
      <c r="BF273">
        <v>0</v>
      </c>
      <c r="BK273" t="s">
        <v>31</v>
      </c>
      <c r="BS273" t="s">
        <v>379</v>
      </c>
      <c r="BT273" t="s">
        <v>379</v>
      </c>
      <c r="CI273" t="s">
        <v>388</v>
      </c>
      <c r="CJ273" s="14">
        <v>45013</v>
      </c>
      <c r="CK273">
        <v>1</v>
      </c>
    </row>
    <row r="274" spans="1:89">
      <c r="A274" t="s">
        <v>404</v>
      </c>
      <c r="B274" t="s">
        <v>374</v>
      </c>
      <c r="C274" t="s">
        <v>375</v>
      </c>
      <c r="D274" t="s">
        <v>1314</v>
      </c>
      <c r="E274" t="s">
        <v>406</v>
      </c>
      <c r="F274" s="13">
        <v>44693.52</v>
      </c>
      <c r="G274" t="s">
        <v>1271</v>
      </c>
      <c r="H274" t="s">
        <v>1272</v>
      </c>
      <c r="I274" s="13">
        <v>44693.539166666669</v>
      </c>
      <c r="K274" t="s">
        <v>379</v>
      </c>
      <c r="M274" s="13">
        <v>44701</v>
      </c>
      <c r="R274">
        <v>100</v>
      </c>
      <c r="S274" t="s">
        <v>380</v>
      </c>
      <c r="T274" t="s">
        <v>57</v>
      </c>
      <c r="V274" t="s">
        <v>381</v>
      </c>
      <c r="W274" t="s">
        <v>1272</v>
      </c>
      <c r="X274" t="s">
        <v>1272</v>
      </c>
      <c r="AF274" t="s">
        <v>382</v>
      </c>
      <c r="AG274" t="s">
        <v>406</v>
      </c>
      <c r="AI274">
        <v>8</v>
      </c>
      <c r="AK274" t="s">
        <v>480</v>
      </c>
      <c r="AL274" t="s">
        <v>1315</v>
      </c>
      <c r="AN274" t="s">
        <v>31</v>
      </c>
      <c r="AO274">
        <v>0</v>
      </c>
      <c r="AS274" t="s">
        <v>526</v>
      </c>
      <c r="AX274" t="s">
        <v>31</v>
      </c>
      <c r="AY274" t="s">
        <v>442</v>
      </c>
      <c r="AZ274" t="s">
        <v>1316</v>
      </c>
      <c r="BF274">
        <v>0</v>
      </c>
      <c r="BK274" t="s">
        <v>31</v>
      </c>
      <c r="BS274" t="s">
        <v>379</v>
      </c>
      <c r="BT274" t="s">
        <v>379</v>
      </c>
      <c r="CI274" t="s">
        <v>388</v>
      </c>
      <c r="CJ274" s="14">
        <v>45013</v>
      </c>
      <c r="CK274">
        <v>1</v>
      </c>
    </row>
    <row r="275" spans="1:89">
      <c r="A275" t="s">
        <v>1317</v>
      </c>
      <c r="B275" t="s">
        <v>374</v>
      </c>
      <c r="C275" t="s">
        <v>1318</v>
      </c>
      <c r="D275" t="s">
        <v>1319</v>
      </c>
      <c r="E275" t="s">
        <v>1320</v>
      </c>
      <c r="F275" s="13">
        <v>44693.49050925926</v>
      </c>
      <c r="G275" t="s">
        <v>1321</v>
      </c>
      <c r="H275" t="s">
        <v>1322</v>
      </c>
      <c r="I275" s="13">
        <v>45012.044398148151</v>
      </c>
      <c r="K275" t="s">
        <v>415</v>
      </c>
      <c r="M275" s="13">
        <v>44693</v>
      </c>
      <c r="R275">
        <v>100</v>
      </c>
      <c r="S275" t="s">
        <v>380</v>
      </c>
      <c r="T275" t="s">
        <v>57</v>
      </c>
      <c r="V275" t="s">
        <v>478</v>
      </c>
      <c r="W275" t="s">
        <v>1323</v>
      </c>
      <c r="X275" t="s">
        <v>1323</v>
      </c>
      <c r="AB275" t="s">
        <v>57</v>
      </c>
      <c r="AF275" t="s">
        <v>382</v>
      </c>
      <c r="AG275" t="s">
        <v>1324</v>
      </c>
      <c r="AI275">
        <v>-319</v>
      </c>
      <c r="AL275" t="s">
        <v>1325</v>
      </c>
      <c r="AN275" t="s">
        <v>57</v>
      </c>
      <c r="AO275">
        <v>0</v>
      </c>
      <c r="AS275" t="s">
        <v>385</v>
      </c>
      <c r="AX275" t="s">
        <v>57</v>
      </c>
      <c r="AY275" t="s">
        <v>442</v>
      </c>
      <c r="AZ275" t="s">
        <v>1326</v>
      </c>
      <c r="BF275">
        <v>0</v>
      </c>
      <c r="BK275" t="s">
        <v>31</v>
      </c>
      <c r="BS275" t="s">
        <v>1327</v>
      </c>
      <c r="BT275" t="s">
        <v>1328</v>
      </c>
      <c r="CC275" t="s">
        <v>1329</v>
      </c>
      <c r="CI275" t="s">
        <v>388</v>
      </c>
      <c r="CJ275" s="14">
        <v>45013</v>
      </c>
      <c r="CK275">
        <v>1</v>
      </c>
    </row>
    <row r="276" spans="1:89">
      <c r="A276" t="s">
        <v>1330</v>
      </c>
      <c r="B276" t="s">
        <v>374</v>
      </c>
      <c r="C276" t="s">
        <v>1331</v>
      </c>
      <c r="D276" t="s">
        <v>1332</v>
      </c>
      <c r="E276" t="s">
        <v>574</v>
      </c>
      <c r="F276" s="13">
        <v>44693.430046296293</v>
      </c>
      <c r="G276" t="s">
        <v>1125</v>
      </c>
      <c r="H276" t="s">
        <v>1126</v>
      </c>
      <c r="I276" s="13">
        <v>44694.532569444447</v>
      </c>
      <c r="K276" t="s">
        <v>379</v>
      </c>
      <c r="M276" s="13">
        <v>44894</v>
      </c>
      <c r="R276">
        <v>100</v>
      </c>
      <c r="S276" t="s">
        <v>380</v>
      </c>
      <c r="T276" t="s">
        <v>57</v>
      </c>
      <c r="V276" t="s">
        <v>381</v>
      </c>
      <c r="W276" t="s">
        <v>1126</v>
      </c>
      <c r="X276" t="s">
        <v>1126</v>
      </c>
      <c r="AF276" t="s">
        <v>382</v>
      </c>
      <c r="AG276" t="s">
        <v>1333</v>
      </c>
      <c r="AI276">
        <v>200</v>
      </c>
      <c r="AL276" t="s">
        <v>1334</v>
      </c>
      <c r="AN276" t="s">
        <v>31</v>
      </c>
      <c r="AO276">
        <v>0</v>
      </c>
      <c r="AS276" t="s">
        <v>392</v>
      </c>
      <c r="AX276" t="s">
        <v>57</v>
      </c>
      <c r="AY276" t="s">
        <v>442</v>
      </c>
      <c r="AZ276" t="s">
        <v>574</v>
      </c>
      <c r="BF276">
        <v>0</v>
      </c>
      <c r="BK276" t="s">
        <v>31</v>
      </c>
      <c r="BS276" t="s">
        <v>379</v>
      </c>
      <c r="BT276" t="s">
        <v>379</v>
      </c>
      <c r="CI276" t="s">
        <v>388</v>
      </c>
      <c r="CJ276" s="14">
        <v>45013</v>
      </c>
      <c r="CK276">
        <v>1</v>
      </c>
    </row>
    <row r="277" spans="1:89">
      <c r="A277" t="s">
        <v>1330</v>
      </c>
      <c r="B277" t="s">
        <v>374</v>
      </c>
      <c r="C277" t="s">
        <v>1331</v>
      </c>
      <c r="D277" t="s">
        <v>1335</v>
      </c>
      <c r="E277" t="s">
        <v>1336</v>
      </c>
      <c r="F277" s="13">
        <v>44693.396770833337</v>
      </c>
      <c r="G277" t="s">
        <v>1125</v>
      </c>
      <c r="H277" t="s">
        <v>1126</v>
      </c>
      <c r="I277" s="13">
        <v>44694.529664351852</v>
      </c>
      <c r="K277" t="s">
        <v>379</v>
      </c>
      <c r="M277" s="13">
        <v>44764</v>
      </c>
      <c r="R277">
        <v>100</v>
      </c>
      <c r="S277" t="s">
        <v>416</v>
      </c>
      <c r="T277" t="s">
        <v>57</v>
      </c>
      <c r="V277" t="s">
        <v>381</v>
      </c>
      <c r="W277" t="s">
        <v>1126</v>
      </c>
      <c r="X277" t="s">
        <v>1126</v>
      </c>
      <c r="AF277" t="s">
        <v>382</v>
      </c>
      <c r="AG277" t="s">
        <v>1337</v>
      </c>
      <c r="AI277">
        <v>71</v>
      </c>
      <c r="AL277" t="s">
        <v>1334</v>
      </c>
      <c r="AM277">
        <v>1</v>
      </c>
      <c r="AN277" t="s">
        <v>31</v>
      </c>
      <c r="AO277">
        <v>0</v>
      </c>
      <c r="AS277" t="s">
        <v>392</v>
      </c>
      <c r="AX277" t="s">
        <v>31</v>
      </c>
      <c r="AY277" t="s">
        <v>442</v>
      </c>
      <c r="AZ277" t="s">
        <v>1336</v>
      </c>
      <c r="BF277">
        <v>0</v>
      </c>
      <c r="BK277" t="s">
        <v>31</v>
      </c>
      <c r="BS277" t="s">
        <v>379</v>
      </c>
      <c r="BT277" t="s">
        <v>379</v>
      </c>
      <c r="CI277" t="s">
        <v>388</v>
      </c>
      <c r="CJ277" s="14">
        <v>45013</v>
      </c>
      <c r="CK277">
        <v>1</v>
      </c>
    </row>
    <row r="278" spans="1:89">
      <c r="A278" t="s">
        <v>687</v>
      </c>
      <c r="B278" t="s">
        <v>374</v>
      </c>
      <c r="C278" t="s">
        <v>688</v>
      </c>
      <c r="D278" t="s">
        <v>1338</v>
      </c>
      <c r="E278" t="s">
        <v>1339</v>
      </c>
      <c r="F278" s="13">
        <v>44692.656400462962</v>
      </c>
      <c r="G278" t="s">
        <v>1340</v>
      </c>
      <c r="H278" t="s">
        <v>1341</v>
      </c>
      <c r="I278" s="13">
        <v>45012.04414351852</v>
      </c>
      <c r="K278" t="s">
        <v>415</v>
      </c>
      <c r="M278" s="13">
        <v>44753</v>
      </c>
      <c r="R278">
        <v>30</v>
      </c>
      <c r="S278" t="s">
        <v>416</v>
      </c>
      <c r="T278" t="s">
        <v>57</v>
      </c>
      <c r="V278" t="s">
        <v>478</v>
      </c>
      <c r="W278" t="s">
        <v>1341</v>
      </c>
      <c r="X278" t="s">
        <v>1341</v>
      </c>
      <c r="Y278" t="s">
        <v>480</v>
      </c>
      <c r="AF278" t="s">
        <v>1301</v>
      </c>
      <c r="AG278" t="s">
        <v>1342</v>
      </c>
      <c r="AI278">
        <v>-259</v>
      </c>
      <c r="AL278" t="s">
        <v>1343</v>
      </c>
      <c r="AN278" t="s">
        <v>31</v>
      </c>
      <c r="AO278">
        <v>0</v>
      </c>
      <c r="AS278" t="s">
        <v>385</v>
      </c>
      <c r="AT278" t="s">
        <v>31</v>
      </c>
      <c r="AX278" t="s">
        <v>57</v>
      </c>
      <c r="AY278" t="s">
        <v>442</v>
      </c>
      <c r="AZ278" t="s">
        <v>1339</v>
      </c>
      <c r="BF278">
        <v>0</v>
      </c>
      <c r="BK278" t="s">
        <v>31</v>
      </c>
      <c r="BS278" t="s">
        <v>484</v>
      </c>
      <c r="BT278" t="s">
        <v>484</v>
      </c>
      <c r="CI278" t="s">
        <v>388</v>
      </c>
      <c r="CJ278" s="14">
        <v>45013</v>
      </c>
      <c r="CK278">
        <v>1</v>
      </c>
    </row>
    <row r="279" spans="1:89">
      <c r="A279" t="s">
        <v>1344</v>
      </c>
      <c r="B279" t="s">
        <v>374</v>
      </c>
      <c r="C279" t="s">
        <v>1345</v>
      </c>
      <c r="D279" t="s">
        <v>1346</v>
      </c>
      <c r="E279" t="s">
        <v>1347</v>
      </c>
      <c r="F279" s="13">
        <v>44692.634479166663</v>
      </c>
      <c r="G279" t="s">
        <v>1228</v>
      </c>
      <c r="H279" t="s">
        <v>1229</v>
      </c>
      <c r="I279" s="13">
        <v>44692.695879629631</v>
      </c>
      <c r="K279" t="s">
        <v>379</v>
      </c>
      <c r="M279" s="13">
        <v>44875</v>
      </c>
      <c r="R279">
        <v>100</v>
      </c>
      <c r="S279" t="s">
        <v>380</v>
      </c>
      <c r="T279" t="s">
        <v>57</v>
      </c>
      <c r="V279" t="s">
        <v>381</v>
      </c>
      <c r="W279" t="s">
        <v>1240</v>
      </c>
      <c r="X279" t="s">
        <v>1240</v>
      </c>
      <c r="AF279" t="s">
        <v>382</v>
      </c>
      <c r="AG279" t="s">
        <v>1260</v>
      </c>
      <c r="AI279">
        <v>183</v>
      </c>
      <c r="AL279" t="s">
        <v>1348</v>
      </c>
      <c r="AN279" t="s">
        <v>31</v>
      </c>
      <c r="AO279">
        <v>0</v>
      </c>
      <c r="AS279" t="s">
        <v>385</v>
      </c>
      <c r="AX279" t="s">
        <v>57</v>
      </c>
      <c r="AY279" t="s">
        <v>386</v>
      </c>
      <c r="AZ279" t="s">
        <v>1349</v>
      </c>
      <c r="BF279">
        <v>0</v>
      </c>
      <c r="BK279" t="s">
        <v>31</v>
      </c>
      <c r="BS279" t="s">
        <v>379</v>
      </c>
      <c r="BT279" t="s">
        <v>379</v>
      </c>
      <c r="CI279" t="s">
        <v>388</v>
      </c>
      <c r="CJ279" s="14">
        <v>45013</v>
      </c>
      <c r="CK279">
        <v>1</v>
      </c>
    </row>
    <row r="280" spans="1:89">
      <c r="A280" t="s">
        <v>1235</v>
      </c>
      <c r="B280" t="s">
        <v>374</v>
      </c>
      <c r="C280" t="s">
        <v>1236</v>
      </c>
      <c r="D280" t="s">
        <v>1350</v>
      </c>
      <c r="E280" t="s">
        <v>1351</v>
      </c>
      <c r="F280" s="13">
        <v>44692.630972222221</v>
      </c>
      <c r="G280" t="s">
        <v>1239</v>
      </c>
      <c r="H280" t="s">
        <v>1240</v>
      </c>
      <c r="I280" s="13">
        <v>44692.695011574076</v>
      </c>
      <c r="K280" t="s">
        <v>379</v>
      </c>
      <c r="M280" s="13">
        <v>44972</v>
      </c>
      <c r="R280">
        <v>100</v>
      </c>
      <c r="S280" t="s">
        <v>380</v>
      </c>
      <c r="T280" t="s">
        <v>57</v>
      </c>
      <c r="V280" t="s">
        <v>381</v>
      </c>
      <c r="W280" t="s">
        <v>1240</v>
      </c>
      <c r="X280" t="s">
        <v>1240</v>
      </c>
      <c r="AF280" t="s">
        <v>382</v>
      </c>
      <c r="AG280" t="s">
        <v>1352</v>
      </c>
      <c r="AI280">
        <v>280</v>
      </c>
      <c r="AL280" t="s">
        <v>1353</v>
      </c>
      <c r="AN280" t="s">
        <v>31</v>
      </c>
      <c r="AO280">
        <v>0</v>
      </c>
      <c r="AS280" t="s">
        <v>392</v>
      </c>
      <c r="AX280" t="s">
        <v>31</v>
      </c>
      <c r="AY280" t="s">
        <v>386</v>
      </c>
      <c r="AZ280" t="s">
        <v>1354</v>
      </c>
      <c r="BF280">
        <v>0</v>
      </c>
      <c r="BK280" t="s">
        <v>31</v>
      </c>
      <c r="BS280" t="s">
        <v>379</v>
      </c>
      <c r="BT280" t="s">
        <v>379</v>
      </c>
      <c r="CI280" t="s">
        <v>388</v>
      </c>
      <c r="CJ280" s="14">
        <v>45013</v>
      </c>
      <c r="CK280">
        <v>1</v>
      </c>
    </row>
    <row r="281" spans="1:89">
      <c r="A281" t="s">
        <v>1355</v>
      </c>
      <c r="B281" t="s">
        <v>374</v>
      </c>
      <c r="C281" t="s">
        <v>1356</v>
      </c>
      <c r="D281" t="s">
        <v>1357</v>
      </c>
      <c r="E281" t="s">
        <v>1358</v>
      </c>
      <c r="F281" s="13">
        <v>44692.626203703701</v>
      </c>
      <c r="G281" t="s">
        <v>1340</v>
      </c>
      <c r="H281" t="s">
        <v>1341</v>
      </c>
      <c r="I281" s="13">
        <v>44692.632835648146</v>
      </c>
      <c r="K281" t="s">
        <v>379</v>
      </c>
      <c r="M281" s="13">
        <v>44712</v>
      </c>
      <c r="R281">
        <v>100</v>
      </c>
      <c r="S281" t="s">
        <v>380</v>
      </c>
      <c r="T281" t="s">
        <v>57</v>
      </c>
      <c r="V281" t="s">
        <v>381</v>
      </c>
      <c r="W281" t="s">
        <v>1359</v>
      </c>
      <c r="X281" t="s">
        <v>1359</v>
      </c>
      <c r="AF281" t="s">
        <v>382</v>
      </c>
      <c r="AG281" t="s">
        <v>1360</v>
      </c>
      <c r="AI281">
        <v>20</v>
      </c>
      <c r="AL281" t="s">
        <v>1361</v>
      </c>
      <c r="AN281" t="s">
        <v>31</v>
      </c>
      <c r="AO281">
        <v>0</v>
      </c>
      <c r="AS281" t="s">
        <v>461</v>
      </c>
      <c r="AX281" t="s">
        <v>31</v>
      </c>
      <c r="AY281" t="s">
        <v>442</v>
      </c>
      <c r="AZ281" t="s">
        <v>1358</v>
      </c>
      <c r="BF281">
        <v>0</v>
      </c>
      <c r="BK281" t="s">
        <v>31</v>
      </c>
      <c r="BS281" t="s">
        <v>379</v>
      </c>
      <c r="BT281" t="s">
        <v>379</v>
      </c>
      <c r="CI281" t="s">
        <v>388</v>
      </c>
      <c r="CJ281" s="14">
        <v>45013</v>
      </c>
      <c r="CK281">
        <v>1</v>
      </c>
    </row>
    <row r="282" spans="1:89">
      <c r="A282" t="s">
        <v>1344</v>
      </c>
      <c r="B282" t="s">
        <v>374</v>
      </c>
      <c r="C282" t="s">
        <v>1345</v>
      </c>
      <c r="D282" t="s">
        <v>1362</v>
      </c>
      <c r="E282" t="s">
        <v>1363</v>
      </c>
      <c r="F282" s="13">
        <v>44692.602453703701</v>
      </c>
      <c r="G282" t="s">
        <v>1228</v>
      </c>
      <c r="H282" t="s">
        <v>1229</v>
      </c>
      <c r="I282" s="13">
        <v>44692.655706018515</v>
      </c>
      <c r="K282" t="s">
        <v>379</v>
      </c>
      <c r="M282" s="13">
        <v>44783</v>
      </c>
      <c r="R282">
        <v>100</v>
      </c>
      <c r="S282" t="s">
        <v>416</v>
      </c>
      <c r="T282" t="s">
        <v>57</v>
      </c>
      <c r="V282" t="s">
        <v>381</v>
      </c>
      <c r="W282" t="s">
        <v>1240</v>
      </c>
      <c r="X282" t="s">
        <v>1240</v>
      </c>
      <c r="AF282" t="s">
        <v>382</v>
      </c>
      <c r="AG282" t="s">
        <v>1260</v>
      </c>
      <c r="AI282">
        <v>91</v>
      </c>
      <c r="AL282" t="s">
        <v>1348</v>
      </c>
      <c r="AM282">
        <v>1</v>
      </c>
      <c r="AN282" t="s">
        <v>31</v>
      </c>
      <c r="AO282">
        <v>0</v>
      </c>
      <c r="AS282" t="s">
        <v>707</v>
      </c>
      <c r="AX282" t="s">
        <v>31</v>
      </c>
      <c r="AY282" t="s">
        <v>386</v>
      </c>
      <c r="AZ282" t="s">
        <v>1249</v>
      </c>
      <c r="BE282" t="s">
        <v>1364</v>
      </c>
      <c r="BF282">
        <v>0</v>
      </c>
      <c r="BK282" t="s">
        <v>31</v>
      </c>
      <c r="BS282" t="s">
        <v>379</v>
      </c>
      <c r="BT282" t="s">
        <v>379</v>
      </c>
      <c r="CI282" t="s">
        <v>388</v>
      </c>
      <c r="CJ282" s="14">
        <v>45013</v>
      </c>
      <c r="CK282">
        <v>1</v>
      </c>
    </row>
    <row r="283" spans="1:89">
      <c r="A283" t="s">
        <v>1235</v>
      </c>
      <c r="B283" t="s">
        <v>374</v>
      </c>
      <c r="C283" t="s">
        <v>1236</v>
      </c>
      <c r="D283" t="s">
        <v>1365</v>
      </c>
      <c r="E283" t="s">
        <v>1366</v>
      </c>
      <c r="F283" s="13">
        <v>44692.529699074075</v>
      </c>
      <c r="G283" t="s">
        <v>1239</v>
      </c>
      <c r="H283" t="s">
        <v>1240</v>
      </c>
      <c r="I283" s="13">
        <v>44692.664722222224</v>
      </c>
      <c r="K283" t="s">
        <v>379</v>
      </c>
      <c r="M283" s="13">
        <v>44775</v>
      </c>
      <c r="R283">
        <v>100</v>
      </c>
      <c r="S283" t="s">
        <v>416</v>
      </c>
      <c r="T283" t="s">
        <v>57</v>
      </c>
      <c r="V283" t="s">
        <v>381</v>
      </c>
      <c r="W283" t="s">
        <v>1367</v>
      </c>
      <c r="X283" t="s">
        <v>1367</v>
      </c>
      <c r="AF283" t="s">
        <v>382</v>
      </c>
      <c r="AG283" t="s">
        <v>1241</v>
      </c>
      <c r="AI283">
        <v>83</v>
      </c>
      <c r="AL283" t="s">
        <v>1353</v>
      </c>
      <c r="AM283">
        <v>1</v>
      </c>
      <c r="AN283" t="s">
        <v>31</v>
      </c>
      <c r="AO283">
        <v>0</v>
      </c>
      <c r="AS283" t="s">
        <v>648</v>
      </c>
      <c r="AX283" t="s">
        <v>31</v>
      </c>
      <c r="AY283" t="s">
        <v>386</v>
      </c>
      <c r="AZ283" t="s">
        <v>1368</v>
      </c>
      <c r="BF283">
        <v>0</v>
      </c>
      <c r="BK283" t="s">
        <v>31</v>
      </c>
      <c r="BS283" t="s">
        <v>379</v>
      </c>
      <c r="BT283" t="s">
        <v>379</v>
      </c>
      <c r="CI283" t="s">
        <v>388</v>
      </c>
      <c r="CJ283" s="14">
        <v>45013</v>
      </c>
      <c r="CK283">
        <v>1</v>
      </c>
    </row>
    <row r="284" spans="1:89">
      <c r="A284" t="s">
        <v>1344</v>
      </c>
      <c r="B284" t="s">
        <v>374</v>
      </c>
      <c r="C284" t="s">
        <v>1345</v>
      </c>
      <c r="D284" t="s">
        <v>1369</v>
      </c>
      <c r="E284" t="s">
        <v>1370</v>
      </c>
      <c r="F284" s="13">
        <v>44692.48064814815</v>
      </c>
      <c r="G284" t="s">
        <v>1228</v>
      </c>
      <c r="H284" t="s">
        <v>1229</v>
      </c>
      <c r="I284" s="13">
        <v>45012.044398148151</v>
      </c>
      <c r="K284" t="s">
        <v>415</v>
      </c>
      <c r="M284" s="13">
        <v>44783</v>
      </c>
      <c r="R284">
        <v>0</v>
      </c>
      <c r="S284" t="s">
        <v>380</v>
      </c>
      <c r="T284" t="s">
        <v>57</v>
      </c>
      <c r="V284" t="s">
        <v>478</v>
      </c>
      <c r="W284" t="s">
        <v>1240</v>
      </c>
      <c r="X284" t="s">
        <v>1240</v>
      </c>
      <c r="AF284" t="s">
        <v>451</v>
      </c>
      <c r="AI284">
        <v>-229</v>
      </c>
      <c r="AL284" t="s">
        <v>1371</v>
      </c>
      <c r="AN284" t="s">
        <v>31</v>
      </c>
      <c r="AO284">
        <v>0</v>
      </c>
      <c r="AS284" t="s">
        <v>707</v>
      </c>
      <c r="AX284" t="s">
        <v>31</v>
      </c>
      <c r="AY284" t="s">
        <v>386</v>
      </c>
      <c r="AZ284" t="s">
        <v>1249</v>
      </c>
      <c r="BF284">
        <v>0</v>
      </c>
      <c r="BK284" t="s">
        <v>31</v>
      </c>
      <c r="BS284" t="s">
        <v>419</v>
      </c>
      <c r="BT284" t="s">
        <v>419</v>
      </c>
      <c r="CI284" t="s">
        <v>388</v>
      </c>
      <c r="CJ284" s="14">
        <v>45013</v>
      </c>
      <c r="CK284">
        <v>1</v>
      </c>
    </row>
    <row r="285" spans="1:89">
      <c r="A285" t="s">
        <v>1317</v>
      </c>
      <c r="B285" t="s">
        <v>374</v>
      </c>
      <c r="C285" t="s">
        <v>1318</v>
      </c>
      <c r="D285" t="s">
        <v>1372</v>
      </c>
      <c r="E285" t="s">
        <v>1373</v>
      </c>
      <c r="F285" s="13">
        <v>44691.751469907409</v>
      </c>
      <c r="G285" t="s">
        <v>1321</v>
      </c>
      <c r="H285" t="s">
        <v>1322</v>
      </c>
      <c r="I285" s="13">
        <v>45012.044386574074</v>
      </c>
      <c r="K285" t="s">
        <v>415</v>
      </c>
      <c r="M285" s="13">
        <v>44781</v>
      </c>
      <c r="R285">
        <v>100</v>
      </c>
      <c r="S285" t="s">
        <v>380</v>
      </c>
      <c r="T285" t="s">
        <v>57</v>
      </c>
      <c r="V285" t="s">
        <v>478</v>
      </c>
      <c r="W285" t="s">
        <v>1323</v>
      </c>
      <c r="X285" t="s">
        <v>1323</v>
      </c>
      <c r="AB285" t="s">
        <v>57</v>
      </c>
      <c r="AF285" t="s">
        <v>382</v>
      </c>
      <c r="AG285" t="s">
        <v>1206</v>
      </c>
      <c r="AI285">
        <v>-231</v>
      </c>
      <c r="AL285" t="s">
        <v>1325</v>
      </c>
      <c r="AN285" t="s">
        <v>57</v>
      </c>
      <c r="AO285">
        <v>0</v>
      </c>
      <c r="AS285" t="s">
        <v>385</v>
      </c>
      <c r="AX285" t="s">
        <v>57</v>
      </c>
      <c r="AY285" t="s">
        <v>442</v>
      </c>
      <c r="AZ285" t="s">
        <v>1374</v>
      </c>
      <c r="BF285">
        <v>0</v>
      </c>
      <c r="BK285" t="s">
        <v>31</v>
      </c>
      <c r="BS285" t="s">
        <v>1327</v>
      </c>
      <c r="BT285" t="s">
        <v>1328</v>
      </c>
      <c r="CC285" t="s">
        <v>1375</v>
      </c>
      <c r="CI285" t="s">
        <v>388</v>
      </c>
      <c r="CJ285" s="14">
        <v>45013</v>
      </c>
      <c r="CK285">
        <v>1</v>
      </c>
    </row>
    <row r="286" spans="1:89">
      <c r="A286" t="s">
        <v>1317</v>
      </c>
      <c r="B286" t="s">
        <v>374</v>
      </c>
      <c r="C286" t="s">
        <v>1318</v>
      </c>
      <c r="D286" t="s">
        <v>1376</v>
      </c>
      <c r="E286" t="s">
        <v>1377</v>
      </c>
      <c r="F286" s="13">
        <v>44691.730983796297</v>
      </c>
      <c r="G286" t="s">
        <v>1321</v>
      </c>
      <c r="H286" t="s">
        <v>1322</v>
      </c>
      <c r="I286" s="13">
        <v>44833.703101851854</v>
      </c>
      <c r="K286" t="s">
        <v>379</v>
      </c>
      <c r="M286" s="13">
        <v>44781</v>
      </c>
      <c r="R286">
        <v>100</v>
      </c>
      <c r="S286" t="s">
        <v>416</v>
      </c>
      <c r="T286" t="s">
        <v>57</v>
      </c>
      <c r="V286" t="s">
        <v>381</v>
      </c>
      <c r="W286" t="s">
        <v>1323</v>
      </c>
      <c r="X286" t="s">
        <v>1323</v>
      </c>
      <c r="AF286" t="s">
        <v>382</v>
      </c>
      <c r="AG286" t="s">
        <v>1324</v>
      </c>
      <c r="AI286">
        <v>90</v>
      </c>
      <c r="AL286" t="s">
        <v>1325</v>
      </c>
      <c r="AM286">
        <v>1</v>
      </c>
      <c r="AN286" t="s">
        <v>31</v>
      </c>
      <c r="AO286">
        <v>0</v>
      </c>
      <c r="AS286" t="s">
        <v>385</v>
      </c>
      <c r="AX286" t="s">
        <v>31</v>
      </c>
      <c r="AY286" t="s">
        <v>442</v>
      </c>
      <c r="AZ286" t="s">
        <v>1378</v>
      </c>
      <c r="BF286">
        <v>0</v>
      </c>
      <c r="BK286" t="s">
        <v>31</v>
      </c>
      <c r="BS286" t="s">
        <v>379</v>
      </c>
      <c r="BT286" t="s">
        <v>379</v>
      </c>
      <c r="CI286" t="s">
        <v>388</v>
      </c>
      <c r="CJ286" s="14">
        <v>45013</v>
      </c>
      <c r="CK286">
        <v>1</v>
      </c>
    </row>
    <row r="287" spans="1:89">
      <c r="A287" t="s">
        <v>1317</v>
      </c>
      <c r="B287" t="s">
        <v>374</v>
      </c>
      <c r="C287" t="s">
        <v>1318</v>
      </c>
      <c r="D287" t="s">
        <v>1379</v>
      </c>
      <c r="E287" t="s">
        <v>1373</v>
      </c>
      <c r="F287" s="13">
        <v>44691.728912037041</v>
      </c>
      <c r="G287" t="s">
        <v>1321</v>
      </c>
      <c r="H287" t="s">
        <v>1322</v>
      </c>
      <c r="I287" s="13">
        <v>44833.703101851854</v>
      </c>
      <c r="K287" t="s">
        <v>379</v>
      </c>
      <c r="M287" s="13">
        <v>44781</v>
      </c>
      <c r="R287">
        <v>100</v>
      </c>
      <c r="S287" t="s">
        <v>416</v>
      </c>
      <c r="T287" t="s">
        <v>57</v>
      </c>
      <c r="V287" t="s">
        <v>381</v>
      </c>
      <c r="W287" t="s">
        <v>1323</v>
      </c>
      <c r="X287" t="s">
        <v>1323</v>
      </c>
      <c r="AF287" t="s">
        <v>382</v>
      </c>
      <c r="AG287" t="s">
        <v>1380</v>
      </c>
      <c r="AI287">
        <v>90</v>
      </c>
      <c r="AL287" t="s">
        <v>1325</v>
      </c>
      <c r="AM287">
        <v>1</v>
      </c>
      <c r="AN287" t="s">
        <v>31</v>
      </c>
      <c r="AO287">
        <v>0</v>
      </c>
      <c r="AS287" t="s">
        <v>385</v>
      </c>
      <c r="AX287" t="s">
        <v>31</v>
      </c>
      <c r="AY287" t="s">
        <v>442</v>
      </c>
      <c r="AZ287" t="s">
        <v>1374</v>
      </c>
      <c r="BF287">
        <v>0</v>
      </c>
      <c r="BK287" t="s">
        <v>31</v>
      </c>
      <c r="BS287" t="s">
        <v>379</v>
      </c>
      <c r="BT287" t="s">
        <v>379</v>
      </c>
      <c r="CI287" t="s">
        <v>388</v>
      </c>
      <c r="CJ287" s="14">
        <v>45013</v>
      </c>
      <c r="CK287">
        <v>1</v>
      </c>
    </row>
    <row r="288" spans="1:89">
      <c r="A288" t="s">
        <v>404</v>
      </c>
      <c r="B288" t="s">
        <v>374</v>
      </c>
      <c r="C288" t="s">
        <v>375</v>
      </c>
      <c r="D288" t="s">
        <v>1381</v>
      </c>
      <c r="E288" t="s">
        <v>595</v>
      </c>
      <c r="F288" s="13">
        <v>44691.657569444447</v>
      </c>
      <c r="G288" t="s">
        <v>407</v>
      </c>
      <c r="H288" t="s">
        <v>408</v>
      </c>
      <c r="I288" s="13">
        <v>44692.456782407404</v>
      </c>
      <c r="K288" t="s">
        <v>379</v>
      </c>
      <c r="M288" s="13">
        <v>44774</v>
      </c>
      <c r="R288">
        <v>100</v>
      </c>
      <c r="S288" t="s">
        <v>380</v>
      </c>
      <c r="T288" t="s">
        <v>57</v>
      </c>
      <c r="V288" t="s">
        <v>381</v>
      </c>
      <c r="W288" t="s">
        <v>686</v>
      </c>
      <c r="X288" t="s">
        <v>686</v>
      </c>
      <c r="AC288" s="13">
        <v>44833</v>
      </c>
      <c r="AD288" s="13">
        <v>44776</v>
      </c>
      <c r="AF288" t="s">
        <v>382</v>
      </c>
      <c r="AG288" t="s">
        <v>406</v>
      </c>
      <c r="AI288">
        <v>83</v>
      </c>
      <c r="AK288" t="s">
        <v>480</v>
      </c>
      <c r="AL288" t="s">
        <v>1382</v>
      </c>
      <c r="AN288" t="s">
        <v>31</v>
      </c>
      <c r="AO288">
        <v>0</v>
      </c>
      <c r="AS288" t="s">
        <v>526</v>
      </c>
      <c r="AX288" t="s">
        <v>57</v>
      </c>
      <c r="AY288" t="s">
        <v>442</v>
      </c>
      <c r="AZ288" t="s">
        <v>406</v>
      </c>
      <c r="BF288">
        <v>0</v>
      </c>
      <c r="BK288" t="s">
        <v>31</v>
      </c>
      <c r="BS288" t="s">
        <v>379</v>
      </c>
      <c r="BT288" t="s">
        <v>379</v>
      </c>
      <c r="CI288" t="s">
        <v>388</v>
      </c>
      <c r="CJ288" s="14">
        <v>45013</v>
      </c>
      <c r="CK288">
        <v>1</v>
      </c>
    </row>
    <row r="289" spans="1:89">
      <c r="A289" t="s">
        <v>1383</v>
      </c>
      <c r="B289" t="s">
        <v>374</v>
      </c>
      <c r="C289" t="s">
        <v>1384</v>
      </c>
      <c r="D289" t="s">
        <v>1385</v>
      </c>
      <c r="E289" t="s">
        <v>1386</v>
      </c>
      <c r="F289" s="13">
        <v>44691.624212962961</v>
      </c>
      <c r="G289" t="s">
        <v>1321</v>
      </c>
      <c r="H289" t="s">
        <v>1322</v>
      </c>
      <c r="I289" s="13">
        <v>44833.703101851854</v>
      </c>
      <c r="K289" t="s">
        <v>379</v>
      </c>
      <c r="M289" s="13">
        <v>44873</v>
      </c>
      <c r="R289">
        <v>100</v>
      </c>
      <c r="S289" t="s">
        <v>380</v>
      </c>
      <c r="T289" t="s">
        <v>57</v>
      </c>
      <c r="V289" t="s">
        <v>381</v>
      </c>
      <c r="W289" t="s">
        <v>1323</v>
      </c>
      <c r="X289" t="s">
        <v>1323</v>
      </c>
      <c r="AF289" t="s">
        <v>382</v>
      </c>
      <c r="AG289" t="s">
        <v>1387</v>
      </c>
      <c r="AI289">
        <v>180</v>
      </c>
      <c r="AL289" t="s">
        <v>1388</v>
      </c>
      <c r="AN289" t="s">
        <v>31</v>
      </c>
      <c r="AO289">
        <v>0</v>
      </c>
      <c r="AS289" t="s">
        <v>744</v>
      </c>
      <c r="AX289" t="s">
        <v>57</v>
      </c>
      <c r="AY289" t="s">
        <v>442</v>
      </c>
      <c r="AZ289" t="s">
        <v>1389</v>
      </c>
      <c r="BF289">
        <v>0</v>
      </c>
      <c r="BK289" t="s">
        <v>31</v>
      </c>
      <c r="BS289" t="s">
        <v>379</v>
      </c>
      <c r="BT289" t="s">
        <v>379</v>
      </c>
      <c r="CI289" t="s">
        <v>388</v>
      </c>
      <c r="CJ289" s="14">
        <v>45013</v>
      </c>
      <c r="CK289">
        <v>1</v>
      </c>
    </row>
    <row r="290" spans="1:89">
      <c r="A290" t="s">
        <v>1383</v>
      </c>
      <c r="B290" t="s">
        <v>374</v>
      </c>
      <c r="C290" t="s">
        <v>1384</v>
      </c>
      <c r="D290" t="s">
        <v>1390</v>
      </c>
      <c r="E290" t="s">
        <v>1386</v>
      </c>
      <c r="F290" s="13">
        <v>44691.60560185185</v>
      </c>
      <c r="G290" t="s">
        <v>1321</v>
      </c>
      <c r="H290" t="s">
        <v>1322</v>
      </c>
      <c r="I290" s="13">
        <v>44833.703101851854</v>
      </c>
      <c r="K290" t="s">
        <v>379</v>
      </c>
      <c r="M290" s="13">
        <v>44781</v>
      </c>
      <c r="R290">
        <v>100</v>
      </c>
      <c r="S290" t="s">
        <v>416</v>
      </c>
      <c r="T290" t="s">
        <v>57</v>
      </c>
      <c r="V290" t="s">
        <v>381</v>
      </c>
      <c r="W290" t="s">
        <v>1323</v>
      </c>
      <c r="X290" t="s">
        <v>1323</v>
      </c>
      <c r="AF290" t="s">
        <v>382</v>
      </c>
      <c r="AG290" t="s">
        <v>382</v>
      </c>
      <c r="AI290">
        <v>90</v>
      </c>
      <c r="AL290" t="s">
        <v>1388</v>
      </c>
      <c r="AM290">
        <v>1</v>
      </c>
      <c r="AN290" t="s">
        <v>31</v>
      </c>
      <c r="AO290">
        <v>0</v>
      </c>
      <c r="AS290" t="s">
        <v>744</v>
      </c>
      <c r="AX290" t="s">
        <v>31</v>
      </c>
      <c r="AY290" t="s">
        <v>442</v>
      </c>
      <c r="AZ290" t="s">
        <v>1389</v>
      </c>
      <c r="BF290">
        <v>0</v>
      </c>
      <c r="BK290" t="s">
        <v>31</v>
      </c>
      <c r="BS290" t="s">
        <v>379</v>
      </c>
      <c r="BT290" t="s">
        <v>379</v>
      </c>
      <c r="CI290" t="s">
        <v>388</v>
      </c>
      <c r="CJ290" s="14">
        <v>45013</v>
      </c>
      <c r="CK290">
        <v>1</v>
      </c>
    </row>
    <row r="291" spans="1:89">
      <c r="A291" t="s">
        <v>404</v>
      </c>
      <c r="B291" t="s">
        <v>374</v>
      </c>
      <c r="C291" t="s">
        <v>375</v>
      </c>
      <c r="D291" t="s">
        <v>1391</v>
      </c>
      <c r="E291" t="s">
        <v>406</v>
      </c>
      <c r="F291" s="13">
        <v>44691.5309375</v>
      </c>
      <c r="G291" t="s">
        <v>407</v>
      </c>
      <c r="H291" t="s">
        <v>408</v>
      </c>
      <c r="I291" s="13">
        <v>45012.044386574074</v>
      </c>
      <c r="K291" t="s">
        <v>415</v>
      </c>
      <c r="M291" s="13">
        <v>44862</v>
      </c>
      <c r="R291">
        <v>0</v>
      </c>
      <c r="S291" t="s">
        <v>380</v>
      </c>
      <c r="T291" t="s">
        <v>57</v>
      </c>
      <c r="V291" t="s">
        <v>478</v>
      </c>
      <c r="W291" t="s">
        <v>406</v>
      </c>
      <c r="X291" t="s">
        <v>406</v>
      </c>
      <c r="Y291" t="s">
        <v>480</v>
      </c>
      <c r="AB291" t="s">
        <v>31</v>
      </c>
      <c r="AF291" t="s">
        <v>1301</v>
      </c>
      <c r="AG291" t="s">
        <v>406</v>
      </c>
      <c r="AI291">
        <v>-150</v>
      </c>
      <c r="AJ291" s="13">
        <v>44875</v>
      </c>
      <c r="AK291" t="s">
        <v>480</v>
      </c>
      <c r="AL291" t="s">
        <v>1392</v>
      </c>
      <c r="AN291" t="s">
        <v>31</v>
      </c>
      <c r="AO291">
        <v>0</v>
      </c>
      <c r="AS291" t="s">
        <v>526</v>
      </c>
      <c r="AT291" t="s">
        <v>31</v>
      </c>
      <c r="AX291" t="s">
        <v>31</v>
      </c>
      <c r="AY291" t="s">
        <v>386</v>
      </c>
      <c r="AZ291" t="s">
        <v>406</v>
      </c>
      <c r="BC291" t="s">
        <v>480</v>
      </c>
      <c r="BD291" t="s">
        <v>406</v>
      </c>
      <c r="BE291" t="s">
        <v>520</v>
      </c>
      <c r="BF291">
        <v>1</v>
      </c>
      <c r="BK291" t="s">
        <v>57</v>
      </c>
      <c r="BR291" s="13">
        <v>44875</v>
      </c>
      <c r="BS291" t="s">
        <v>484</v>
      </c>
      <c r="BT291" t="s">
        <v>484</v>
      </c>
      <c r="BZ291" s="13">
        <v>44714</v>
      </c>
      <c r="CI291" t="s">
        <v>388</v>
      </c>
      <c r="CJ291" s="14">
        <v>45013</v>
      </c>
      <c r="CK291">
        <v>1</v>
      </c>
    </row>
    <row r="292" spans="1:89">
      <c r="A292" t="s">
        <v>404</v>
      </c>
      <c r="B292" t="s">
        <v>374</v>
      </c>
      <c r="C292" t="s">
        <v>375</v>
      </c>
      <c r="D292" t="s">
        <v>1393</v>
      </c>
      <c r="E292" t="s">
        <v>406</v>
      </c>
      <c r="F292" s="13">
        <v>44691.514976851853</v>
      </c>
      <c r="G292" t="s">
        <v>407</v>
      </c>
      <c r="H292" t="s">
        <v>408</v>
      </c>
      <c r="I292" s="13">
        <v>44691.563460648147</v>
      </c>
      <c r="K292" t="s">
        <v>379</v>
      </c>
      <c r="M292" s="13">
        <v>44781</v>
      </c>
      <c r="R292">
        <v>100</v>
      </c>
      <c r="S292" t="s">
        <v>416</v>
      </c>
      <c r="T292" t="s">
        <v>57</v>
      </c>
      <c r="V292" t="s">
        <v>381</v>
      </c>
      <c r="W292" t="s">
        <v>406</v>
      </c>
      <c r="X292" t="s">
        <v>406</v>
      </c>
      <c r="AF292" t="s">
        <v>382</v>
      </c>
      <c r="AG292" t="s">
        <v>406</v>
      </c>
      <c r="AI292">
        <v>90</v>
      </c>
      <c r="AL292" t="s">
        <v>1392</v>
      </c>
      <c r="AM292">
        <v>1</v>
      </c>
      <c r="AN292" t="s">
        <v>31</v>
      </c>
      <c r="AO292">
        <v>0</v>
      </c>
      <c r="AS292" t="s">
        <v>385</v>
      </c>
      <c r="AX292" t="s">
        <v>57</v>
      </c>
      <c r="AY292" t="s">
        <v>442</v>
      </c>
      <c r="AZ292" t="s">
        <v>406</v>
      </c>
      <c r="BF292">
        <v>0</v>
      </c>
      <c r="BK292" t="s">
        <v>31</v>
      </c>
      <c r="BS292" t="s">
        <v>379</v>
      </c>
      <c r="BT292" t="s">
        <v>379</v>
      </c>
      <c r="CI292" t="s">
        <v>388</v>
      </c>
      <c r="CJ292" s="14">
        <v>45013</v>
      </c>
      <c r="CK292">
        <v>1</v>
      </c>
    </row>
    <row r="293" spans="1:89">
      <c r="A293" t="s">
        <v>1383</v>
      </c>
      <c r="B293" t="s">
        <v>374</v>
      </c>
      <c r="C293" t="s">
        <v>1384</v>
      </c>
      <c r="D293" t="s">
        <v>1394</v>
      </c>
      <c r="E293" t="s">
        <v>1395</v>
      </c>
      <c r="F293" s="13">
        <v>44691.51122685185</v>
      </c>
      <c r="G293" t="s">
        <v>1321</v>
      </c>
      <c r="H293" t="s">
        <v>1322</v>
      </c>
      <c r="I293" s="13">
        <v>44833.703101851854</v>
      </c>
      <c r="K293" t="s">
        <v>379</v>
      </c>
      <c r="M293" s="13">
        <v>44783</v>
      </c>
      <c r="R293">
        <v>100</v>
      </c>
      <c r="S293" t="s">
        <v>380</v>
      </c>
      <c r="T293" t="s">
        <v>57</v>
      </c>
      <c r="V293" t="s">
        <v>381</v>
      </c>
      <c r="W293" t="s">
        <v>1323</v>
      </c>
      <c r="X293" t="s">
        <v>1323</v>
      </c>
      <c r="Y293" t="s">
        <v>480</v>
      </c>
      <c r="AF293" t="s">
        <v>382</v>
      </c>
      <c r="AG293" t="s">
        <v>382</v>
      </c>
      <c r="AI293">
        <v>91</v>
      </c>
      <c r="AJ293" s="13">
        <v>44798</v>
      </c>
      <c r="AK293" t="s">
        <v>480</v>
      </c>
      <c r="AL293" t="s">
        <v>1396</v>
      </c>
      <c r="AN293" t="s">
        <v>31</v>
      </c>
      <c r="AO293">
        <v>0</v>
      </c>
      <c r="AS293" t="s">
        <v>744</v>
      </c>
      <c r="AX293" t="s">
        <v>31</v>
      </c>
      <c r="AY293" t="s">
        <v>442</v>
      </c>
      <c r="AZ293" t="s">
        <v>1397</v>
      </c>
      <c r="BF293">
        <v>1</v>
      </c>
      <c r="BK293" t="s">
        <v>57</v>
      </c>
      <c r="BR293" s="13">
        <v>44798</v>
      </c>
      <c r="BS293" t="s">
        <v>379</v>
      </c>
      <c r="BT293" t="s">
        <v>379</v>
      </c>
      <c r="BZ293" s="13">
        <v>44692</v>
      </c>
      <c r="CI293" t="s">
        <v>388</v>
      </c>
      <c r="CJ293" s="14">
        <v>45013</v>
      </c>
      <c r="CK293">
        <v>1</v>
      </c>
    </row>
    <row r="294" spans="1:89">
      <c r="A294" t="s">
        <v>1398</v>
      </c>
      <c r="B294" t="s">
        <v>374</v>
      </c>
      <c r="C294" t="s">
        <v>35</v>
      </c>
      <c r="D294" t="s">
        <v>1399</v>
      </c>
      <c r="E294" t="s">
        <v>1400</v>
      </c>
      <c r="F294" s="13">
        <v>44691.51116898148</v>
      </c>
      <c r="G294" t="s">
        <v>1228</v>
      </c>
      <c r="H294" t="s">
        <v>1229</v>
      </c>
      <c r="I294" s="13">
        <v>44691.688090277778</v>
      </c>
      <c r="K294" t="s">
        <v>379</v>
      </c>
      <c r="M294" s="13">
        <v>44706</v>
      </c>
      <c r="R294">
        <v>100</v>
      </c>
      <c r="S294" t="s">
        <v>380</v>
      </c>
      <c r="T294" t="s">
        <v>57</v>
      </c>
      <c r="V294" t="s">
        <v>381</v>
      </c>
      <c r="W294" t="s">
        <v>1230</v>
      </c>
      <c r="X294" t="s">
        <v>1230</v>
      </c>
      <c r="AF294" t="s">
        <v>382</v>
      </c>
      <c r="AG294" t="s">
        <v>1401</v>
      </c>
      <c r="AI294">
        <v>15</v>
      </c>
      <c r="AK294" t="s">
        <v>480</v>
      </c>
      <c r="AL294" t="s">
        <v>1402</v>
      </c>
      <c r="AN294" t="s">
        <v>31</v>
      </c>
      <c r="AO294">
        <v>0</v>
      </c>
      <c r="AS294" t="s">
        <v>526</v>
      </c>
      <c r="AX294" t="s">
        <v>31</v>
      </c>
      <c r="AY294" t="s">
        <v>386</v>
      </c>
      <c r="AZ294" t="s">
        <v>1403</v>
      </c>
      <c r="BE294" t="s">
        <v>1404</v>
      </c>
      <c r="BF294">
        <v>0</v>
      </c>
      <c r="BK294" t="s">
        <v>31</v>
      </c>
      <c r="BS294" t="s">
        <v>379</v>
      </c>
      <c r="BT294" t="s">
        <v>379</v>
      </c>
      <c r="CI294" t="s">
        <v>388</v>
      </c>
      <c r="CJ294" s="14">
        <v>45013</v>
      </c>
      <c r="CK294">
        <v>1</v>
      </c>
    </row>
    <row r="295" spans="1:89">
      <c r="A295" t="s">
        <v>1235</v>
      </c>
      <c r="B295" t="s">
        <v>374</v>
      </c>
      <c r="C295" t="s">
        <v>1236</v>
      </c>
      <c r="D295" t="s">
        <v>1405</v>
      </c>
      <c r="E295" t="s">
        <v>1406</v>
      </c>
      <c r="F295" s="13">
        <v>44691.508020833331</v>
      </c>
      <c r="G295" t="s">
        <v>1239</v>
      </c>
      <c r="H295" t="s">
        <v>1240</v>
      </c>
      <c r="I295" s="13">
        <v>45012.044386574074</v>
      </c>
      <c r="K295" t="s">
        <v>415</v>
      </c>
      <c r="M295" s="13">
        <v>44712</v>
      </c>
      <c r="R295">
        <v>0</v>
      </c>
      <c r="S295" t="s">
        <v>380</v>
      </c>
      <c r="T295" t="s">
        <v>57</v>
      </c>
      <c r="V295" t="s">
        <v>478</v>
      </c>
      <c r="W295" t="s">
        <v>1240</v>
      </c>
      <c r="X295" t="s">
        <v>1240</v>
      </c>
      <c r="Y295" t="s">
        <v>480</v>
      </c>
      <c r="AF295" t="s">
        <v>1301</v>
      </c>
      <c r="AG295" t="s">
        <v>1407</v>
      </c>
      <c r="AI295">
        <v>-300</v>
      </c>
      <c r="AJ295" s="13">
        <v>44713</v>
      </c>
      <c r="AK295" t="s">
        <v>480</v>
      </c>
      <c r="AL295" t="s">
        <v>1408</v>
      </c>
      <c r="AN295" t="s">
        <v>31</v>
      </c>
      <c r="AO295">
        <v>0</v>
      </c>
      <c r="AS295" t="s">
        <v>648</v>
      </c>
      <c r="AX295" t="s">
        <v>31</v>
      </c>
      <c r="AY295" t="s">
        <v>386</v>
      </c>
      <c r="AZ295" t="s">
        <v>1409</v>
      </c>
      <c r="BF295">
        <v>1</v>
      </c>
      <c r="BK295" t="s">
        <v>57</v>
      </c>
      <c r="BR295" s="13">
        <v>44713</v>
      </c>
      <c r="BS295" t="s">
        <v>419</v>
      </c>
      <c r="BT295" t="s">
        <v>419</v>
      </c>
      <c r="BZ295" s="13">
        <v>44691</v>
      </c>
      <c r="CI295" t="s">
        <v>388</v>
      </c>
      <c r="CJ295" s="14">
        <v>45013</v>
      </c>
      <c r="CK295">
        <v>1</v>
      </c>
    </row>
    <row r="296" spans="1:89">
      <c r="A296" t="s">
        <v>1224</v>
      </c>
      <c r="B296" t="s">
        <v>374</v>
      </c>
      <c r="C296" t="s">
        <v>1225</v>
      </c>
      <c r="D296" t="s">
        <v>1410</v>
      </c>
      <c r="E296" t="s">
        <v>1411</v>
      </c>
      <c r="F296" s="13">
        <v>44691.494120370371</v>
      </c>
      <c r="G296" t="s">
        <v>1125</v>
      </c>
      <c r="H296" t="s">
        <v>1126</v>
      </c>
      <c r="I296" s="13">
        <v>44691.700300925928</v>
      </c>
      <c r="K296" t="s">
        <v>379</v>
      </c>
      <c r="M296" s="13">
        <v>44742</v>
      </c>
      <c r="R296">
        <v>100</v>
      </c>
      <c r="S296" t="s">
        <v>380</v>
      </c>
      <c r="T296" t="s">
        <v>57</v>
      </c>
      <c r="V296" t="s">
        <v>381</v>
      </c>
      <c r="W296" t="s">
        <v>1205</v>
      </c>
      <c r="X296" t="s">
        <v>1205</v>
      </c>
      <c r="AF296" t="s">
        <v>382</v>
      </c>
      <c r="AG296" t="s">
        <v>1412</v>
      </c>
      <c r="AI296">
        <v>51</v>
      </c>
      <c r="AJ296" s="13">
        <v>44773</v>
      </c>
      <c r="AK296" t="s">
        <v>480</v>
      </c>
      <c r="AL296" t="s">
        <v>1413</v>
      </c>
      <c r="AN296" t="s">
        <v>31</v>
      </c>
      <c r="AO296">
        <v>0</v>
      </c>
      <c r="AS296" t="s">
        <v>385</v>
      </c>
      <c r="AX296" t="s">
        <v>31</v>
      </c>
      <c r="AY296" t="s">
        <v>386</v>
      </c>
      <c r="AZ296" t="s">
        <v>1414</v>
      </c>
      <c r="BF296">
        <v>0</v>
      </c>
      <c r="BK296" t="s">
        <v>31</v>
      </c>
      <c r="BS296" t="s">
        <v>379</v>
      </c>
      <c r="BT296" t="s">
        <v>379</v>
      </c>
      <c r="CI296" t="s">
        <v>388</v>
      </c>
      <c r="CJ296" s="14">
        <v>45013</v>
      </c>
      <c r="CK296">
        <v>1</v>
      </c>
    </row>
    <row r="297" spans="1:89">
      <c r="A297" t="s">
        <v>1415</v>
      </c>
      <c r="B297" t="s">
        <v>374</v>
      </c>
      <c r="C297" t="s">
        <v>1416</v>
      </c>
      <c r="D297" t="s">
        <v>1417</v>
      </c>
      <c r="E297" t="s">
        <v>574</v>
      </c>
      <c r="F297" s="13">
        <v>44691.479548611111</v>
      </c>
      <c r="G297" t="s">
        <v>1418</v>
      </c>
      <c r="H297" t="s">
        <v>1419</v>
      </c>
      <c r="I297" s="13">
        <v>45012.044374999998</v>
      </c>
      <c r="K297" t="s">
        <v>415</v>
      </c>
      <c r="M297" s="13">
        <v>44773</v>
      </c>
      <c r="R297">
        <v>0</v>
      </c>
      <c r="S297" t="s">
        <v>380</v>
      </c>
      <c r="T297" t="s">
        <v>57</v>
      </c>
      <c r="V297" t="s">
        <v>478</v>
      </c>
      <c r="W297" t="s">
        <v>574</v>
      </c>
      <c r="X297" t="s">
        <v>574</v>
      </c>
      <c r="AF297" t="s">
        <v>451</v>
      </c>
      <c r="AI297">
        <v>-239</v>
      </c>
      <c r="AL297" t="s">
        <v>1420</v>
      </c>
      <c r="AN297" t="s">
        <v>31</v>
      </c>
      <c r="AO297">
        <v>0</v>
      </c>
      <c r="AS297" t="s">
        <v>385</v>
      </c>
      <c r="AX297" t="s">
        <v>31</v>
      </c>
      <c r="AY297" t="s">
        <v>442</v>
      </c>
      <c r="AZ297" t="s">
        <v>574</v>
      </c>
      <c r="BF297">
        <v>0</v>
      </c>
      <c r="BK297" t="s">
        <v>31</v>
      </c>
      <c r="BS297" t="s">
        <v>419</v>
      </c>
      <c r="BT297" t="s">
        <v>419</v>
      </c>
      <c r="CI297" t="s">
        <v>388</v>
      </c>
      <c r="CJ297" s="14">
        <v>45013</v>
      </c>
      <c r="CK297">
        <v>1</v>
      </c>
    </row>
    <row r="298" spans="1:89">
      <c r="A298" t="s">
        <v>1421</v>
      </c>
      <c r="B298" t="s">
        <v>374</v>
      </c>
      <c r="C298" t="s">
        <v>1422</v>
      </c>
      <c r="D298" t="s">
        <v>1423</v>
      </c>
      <c r="E298" t="s">
        <v>1424</v>
      </c>
      <c r="F298" s="13">
        <v>44685.547037037039</v>
      </c>
      <c r="G298" t="s">
        <v>1155</v>
      </c>
      <c r="H298" t="s">
        <v>1156</v>
      </c>
      <c r="I298" s="13">
        <v>45012.044374999998</v>
      </c>
      <c r="K298" t="s">
        <v>415</v>
      </c>
      <c r="M298" s="13">
        <v>44712</v>
      </c>
      <c r="R298">
        <v>0</v>
      </c>
      <c r="S298" t="s">
        <v>380</v>
      </c>
      <c r="T298" t="s">
        <v>57</v>
      </c>
      <c r="V298" t="s">
        <v>478</v>
      </c>
      <c r="W298" t="s">
        <v>1425</v>
      </c>
      <c r="X298" t="s">
        <v>1425</v>
      </c>
      <c r="AF298" t="s">
        <v>451</v>
      </c>
      <c r="AI298">
        <v>-300</v>
      </c>
      <c r="AL298" t="s">
        <v>1426</v>
      </c>
      <c r="AN298" t="s">
        <v>31</v>
      </c>
      <c r="AO298">
        <v>0</v>
      </c>
      <c r="AS298" t="s">
        <v>385</v>
      </c>
      <c r="AX298" t="s">
        <v>31</v>
      </c>
      <c r="AY298" t="s">
        <v>386</v>
      </c>
      <c r="AZ298" t="s">
        <v>1427</v>
      </c>
      <c r="BF298">
        <v>0</v>
      </c>
      <c r="BK298" t="s">
        <v>31</v>
      </c>
      <c r="BS298" t="s">
        <v>419</v>
      </c>
      <c r="BT298" t="s">
        <v>419</v>
      </c>
      <c r="CI298" t="s">
        <v>388</v>
      </c>
      <c r="CJ298" s="14">
        <v>45013</v>
      </c>
      <c r="CK298">
        <v>1</v>
      </c>
    </row>
    <row r="299" spans="1:89">
      <c r="A299" t="s">
        <v>1421</v>
      </c>
      <c r="B299" t="s">
        <v>374</v>
      </c>
      <c r="C299" t="s">
        <v>1422</v>
      </c>
      <c r="D299" t="s">
        <v>1428</v>
      </c>
      <c r="E299" t="s">
        <v>1429</v>
      </c>
      <c r="F299" s="13">
        <v>44684.737430555557</v>
      </c>
      <c r="G299" t="s">
        <v>1155</v>
      </c>
      <c r="H299" t="s">
        <v>1156</v>
      </c>
      <c r="I299" s="13">
        <v>44684.748599537037</v>
      </c>
      <c r="K299" t="s">
        <v>412</v>
      </c>
      <c r="R299">
        <v>0</v>
      </c>
      <c r="S299" t="s">
        <v>380</v>
      </c>
      <c r="T299" t="s">
        <v>57</v>
      </c>
      <c r="V299" t="s">
        <v>381</v>
      </c>
      <c r="W299" t="s">
        <v>1425</v>
      </c>
      <c r="X299" t="s">
        <v>1425</v>
      </c>
      <c r="AI299">
        <v>87</v>
      </c>
      <c r="AL299" t="s">
        <v>1430</v>
      </c>
      <c r="AN299" t="s">
        <v>31</v>
      </c>
      <c r="AO299">
        <v>0</v>
      </c>
      <c r="AS299" t="s">
        <v>730</v>
      </c>
      <c r="AX299" t="s">
        <v>31</v>
      </c>
      <c r="AY299" t="s">
        <v>386</v>
      </c>
      <c r="AZ299" t="s">
        <v>1431</v>
      </c>
      <c r="BF299">
        <v>0</v>
      </c>
      <c r="BK299" t="s">
        <v>31</v>
      </c>
      <c r="BS299" t="s">
        <v>412</v>
      </c>
      <c r="BT299" t="s">
        <v>412</v>
      </c>
      <c r="CI299" t="s">
        <v>388</v>
      </c>
      <c r="CJ299" s="14">
        <v>45013</v>
      </c>
      <c r="CK299">
        <v>1</v>
      </c>
    </row>
    <row r="300" spans="1:89">
      <c r="A300" t="s">
        <v>1421</v>
      </c>
      <c r="B300" t="s">
        <v>374</v>
      </c>
      <c r="C300" t="s">
        <v>1422</v>
      </c>
      <c r="D300" t="s">
        <v>1432</v>
      </c>
      <c r="E300" t="s">
        <v>1433</v>
      </c>
      <c r="F300" s="13">
        <v>44684.593078703707</v>
      </c>
      <c r="G300" t="s">
        <v>1155</v>
      </c>
      <c r="H300" t="s">
        <v>1156</v>
      </c>
      <c r="I300" s="13">
        <v>44684.593622685185</v>
      </c>
      <c r="K300" t="s">
        <v>412</v>
      </c>
      <c r="R300">
        <v>0</v>
      </c>
      <c r="S300" t="s">
        <v>416</v>
      </c>
      <c r="T300" t="s">
        <v>57</v>
      </c>
      <c r="V300" t="s">
        <v>381</v>
      </c>
      <c r="W300" t="s">
        <v>1425</v>
      </c>
      <c r="X300" t="s">
        <v>1425</v>
      </c>
      <c r="AI300">
        <v>73</v>
      </c>
      <c r="AL300" t="s">
        <v>1434</v>
      </c>
      <c r="AN300" t="s">
        <v>31</v>
      </c>
      <c r="AO300">
        <v>0</v>
      </c>
      <c r="AS300" t="s">
        <v>385</v>
      </c>
      <c r="AX300" t="s">
        <v>31</v>
      </c>
      <c r="AY300" t="s">
        <v>386</v>
      </c>
      <c r="AZ300" t="s">
        <v>1435</v>
      </c>
      <c r="BF300">
        <v>0</v>
      </c>
      <c r="BK300" t="s">
        <v>31</v>
      </c>
      <c r="BS300" t="s">
        <v>412</v>
      </c>
      <c r="BT300" t="s">
        <v>412</v>
      </c>
      <c r="CI300" t="s">
        <v>388</v>
      </c>
      <c r="CJ300" s="14">
        <v>45013</v>
      </c>
      <c r="CK300">
        <v>1</v>
      </c>
    </row>
    <row r="301" spans="1:89">
      <c r="A301" t="s">
        <v>1421</v>
      </c>
      <c r="B301" t="s">
        <v>374</v>
      </c>
      <c r="C301" t="s">
        <v>1422</v>
      </c>
      <c r="D301" t="s">
        <v>1436</v>
      </c>
      <c r="E301" t="s">
        <v>1433</v>
      </c>
      <c r="F301" s="13">
        <v>44684.567986111113</v>
      </c>
      <c r="G301" t="s">
        <v>1155</v>
      </c>
      <c r="H301" t="s">
        <v>1156</v>
      </c>
      <c r="I301" s="13">
        <v>44684.56821759259</v>
      </c>
      <c r="K301" t="s">
        <v>409</v>
      </c>
      <c r="R301">
        <v>0</v>
      </c>
      <c r="S301" t="s">
        <v>380</v>
      </c>
      <c r="V301" t="s">
        <v>381</v>
      </c>
      <c r="W301" t="s">
        <v>1425</v>
      </c>
      <c r="X301" t="s">
        <v>1425</v>
      </c>
      <c r="AI301">
        <v>73</v>
      </c>
      <c r="AL301" t="s">
        <v>1434</v>
      </c>
      <c r="AN301" t="s">
        <v>31</v>
      </c>
      <c r="AO301">
        <v>0</v>
      </c>
      <c r="AZ301" t="s">
        <v>1435</v>
      </c>
      <c r="BF301">
        <v>0</v>
      </c>
      <c r="BK301" t="s">
        <v>31</v>
      </c>
      <c r="BS301" t="s">
        <v>409</v>
      </c>
      <c r="BT301" t="s">
        <v>409</v>
      </c>
      <c r="CI301" t="s">
        <v>388</v>
      </c>
      <c r="CJ301" s="14">
        <v>45013</v>
      </c>
      <c r="CK301">
        <v>1</v>
      </c>
    </row>
    <row r="302" spans="1:89">
      <c r="A302" t="s">
        <v>1421</v>
      </c>
      <c r="B302" t="s">
        <v>374</v>
      </c>
      <c r="C302" t="s">
        <v>1422</v>
      </c>
      <c r="D302" t="s">
        <v>1437</v>
      </c>
      <c r="E302" t="s">
        <v>1438</v>
      </c>
      <c r="F302" s="13">
        <v>44684.562303240738</v>
      </c>
      <c r="G302" t="s">
        <v>1155</v>
      </c>
      <c r="H302" t="s">
        <v>1156</v>
      </c>
      <c r="I302" s="13">
        <v>44685.549849537034</v>
      </c>
      <c r="K302" t="s">
        <v>409</v>
      </c>
      <c r="R302">
        <v>0</v>
      </c>
      <c r="S302" t="s">
        <v>380</v>
      </c>
      <c r="V302" t="s">
        <v>381</v>
      </c>
      <c r="W302" t="s">
        <v>1425</v>
      </c>
      <c r="X302" t="s">
        <v>1425</v>
      </c>
      <c r="AI302">
        <v>58</v>
      </c>
      <c r="AL302" t="s">
        <v>1434</v>
      </c>
      <c r="AN302" t="s">
        <v>31</v>
      </c>
      <c r="AO302">
        <v>0</v>
      </c>
      <c r="AZ302" t="s">
        <v>1439</v>
      </c>
      <c r="BF302">
        <v>0</v>
      </c>
      <c r="BK302" t="s">
        <v>31</v>
      </c>
      <c r="BS302" t="s">
        <v>409</v>
      </c>
      <c r="BT302" t="s">
        <v>409</v>
      </c>
      <c r="CI302" t="s">
        <v>388</v>
      </c>
      <c r="CJ302" s="14">
        <v>45013</v>
      </c>
      <c r="CK302">
        <v>1</v>
      </c>
    </row>
    <row r="303" spans="1:89">
      <c r="A303" t="s">
        <v>1421</v>
      </c>
      <c r="B303" t="s">
        <v>374</v>
      </c>
      <c r="C303" t="s">
        <v>1422</v>
      </c>
      <c r="D303" t="s">
        <v>1440</v>
      </c>
      <c r="E303" t="s">
        <v>1441</v>
      </c>
      <c r="F303" s="13">
        <v>44684.561377314814</v>
      </c>
      <c r="G303" t="s">
        <v>1155</v>
      </c>
      <c r="H303" t="s">
        <v>1156</v>
      </c>
      <c r="I303" s="13">
        <v>44685.55064814815</v>
      </c>
      <c r="K303" t="s">
        <v>409</v>
      </c>
      <c r="R303">
        <v>0</v>
      </c>
      <c r="S303" t="s">
        <v>380</v>
      </c>
      <c r="V303" t="s">
        <v>381</v>
      </c>
      <c r="W303" t="s">
        <v>1425</v>
      </c>
      <c r="X303" t="s">
        <v>1425</v>
      </c>
      <c r="AI303">
        <v>58</v>
      </c>
      <c r="AL303" t="s">
        <v>1434</v>
      </c>
      <c r="AN303" t="s">
        <v>31</v>
      </c>
      <c r="AO303">
        <v>0</v>
      </c>
      <c r="AZ303" t="s">
        <v>648</v>
      </c>
      <c r="BF303">
        <v>0</v>
      </c>
      <c r="BK303" t="s">
        <v>31</v>
      </c>
      <c r="BS303" t="s">
        <v>409</v>
      </c>
      <c r="BT303" t="s">
        <v>409</v>
      </c>
      <c r="CI303" t="s">
        <v>388</v>
      </c>
      <c r="CJ303" s="14">
        <v>45013</v>
      </c>
      <c r="CK303">
        <v>1</v>
      </c>
    </row>
    <row r="304" spans="1:89">
      <c r="A304" t="s">
        <v>1421</v>
      </c>
      <c r="B304" t="s">
        <v>374</v>
      </c>
      <c r="C304" t="s">
        <v>1422</v>
      </c>
      <c r="D304" t="s">
        <v>1442</v>
      </c>
      <c r="E304" t="s">
        <v>1443</v>
      </c>
      <c r="F304" s="13">
        <v>44684.560428240744</v>
      </c>
      <c r="G304" t="s">
        <v>1155</v>
      </c>
      <c r="H304" t="s">
        <v>1156</v>
      </c>
      <c r="I304" s="13">
        <v>44685.550300925926</v>
      </c>
      <c r="K304" t="s">
        <v>409</v>
      </c>
      <c r="R304">
        <v>0</v>
      </c>
      <c r="S304" t="s">
        <v>380</v>
      </c>
      <c r="V304" t="s">
        <v>381</v>
      </c>
      <c r="W304" t="s">
        <v>1425</v>
      </c>
      <c r="X304" t="s">
        <v>1425</v>
      </c>
      <c r="AI304">
        <v>28</v>
      </c>
      <c r="AL304" t="s">
        <v>1434</v>
      </c>
      <c r="AN304" t="s">
        <v>31</v>
      </c>
      <c r="AO304">
        <v>0</v>
      </c>
      <c r="AZ304" t="s">
        <v>1444</v>
      </c>
      <c r="BF304">
        <v>0</v>
      </c>
      <c r="BK304" t="s">
        <v>31</v>
      </c>
      <c r="BS304" t="s">
        <v>409</v>
      </c>
      <c r="BT304" t="s">
        <v>409</v>
      </c>
      <c r="CI304" t="s">
        <v>388</v>
      </c>
      <c r="CJ304" s="14">
        <v>45013</v>
      </c>
      <c r="CK304">
        <v>1</v>
      </c>
    </row>
    <row r="305" spans="1:89">
      <c r="A305" t="s">
        <v>1421</v>
      </c>
      <c r="B305" t="s">
        <v>374</v>
      </c>
      <c r="C305" t="s">
        <v>1422</v>
      </c>
      <c r="D305" t="s">
        <v>1445</v>
      </c>
      <c r="E305" t="s">
        <v>1433</v>
      </c>
      <c r="F305" s="13">
        <v>44680.290821759256</v>
      </c>
      <c r="G305" t="s">
        <v>1155</v>
      </c>
      <c r="H305" t="s">
        <v>1156</v>
      </c>
      <c r="I305" s="13">
        <v>45012.044374999998</v>
      </c>
      <c r="K305" t="s">
        <v>415</v>
      </c>
      <c r="M305" s="13">
        <v>44757</v>
      </c>
      <c r="R305">
        <v>100</v>
      </c>
      <c r="S305" t="s">
        <v>416</v>
      </c>
      <c r="T305" t="s">
        <v>57</v>
      </c>
      <c r="V305" t="s">
        <v>478</v>
      </c>
      <c r="W305" t="s">
        <v>1425</v>
      </c>
      <c r="X305" t="s">
        <v>1425</v>
      </c>
      <c r="AF305" t="s">
        <v>451</v>
      </c>
      <c r="AG305" t="s">
        <v>1446</v>
      </c>
      <c r="AI305">
        <v>-255</v>
      </c>
      <c r="AL305" t="s">
        <v>1447</v>
      </c>
      <c r="AN305" t="s">
        <v>31</v>
      </c>
      <c r="AO305">
        <v>0</v>
      </c>
      <c r="AS305" t="s">
        <v>385</v>
      </c>
      <c r="AX305" t="s">
        <v>31</v>
      </c>
      <c r="AY305" t="s">
        <v>386</v>
      </c>
      <c r="AZ305" t="s">
        <v>1435</v>
      </c>
      <c r="BF305">
        <v>0</v>
      </c>
      <c r="BK305" t="s">
        <v>31</v>
      </c>
      <c r="BS305" t="s">
        <v>419</v>
      </c>
      <c r="BT305" t="s">
        <v>419</v>
      </c>
      <c r="CI305" t="s">
        <v>388</v>
      </c>
      <c r="CJ305" s="14">
        <v>45013</v>
      </c>
      <c r="CK305">
        <v>1</v>
      </c>
    </row>
    <row r="306" spans="1:89">
      <c r="A306" t="s">
        <v>1421</v>
      </c>
      <c r="B306" t="s">
        <v>374</v>
      </c>
      <c r="C306" t="s">
        <v>1422</v>
      </c>
      <c r="D306" t="s">
        <v>1448</v>
      </c>
      <c r="E306" t="s">
        <v>1449</v>
      </c>
      <c r="F306" s="13">
        <v>44680.28979166667</v>
      </c>
      <c r="G306" t="s">
        <v>1155</v>
      </c>
      <c r="H306" t="s">
        <v>1156</v>
      </c>
      <c r="I306" s="13">
        <v>45012.044363425928</v>
      </c>
      <c r="K306" t="s">
        <v>415</v>
      </c>
      <c r="M306" s="13">
        <v>44742</v>
      </c>
      <c r="R306">
        <v>0</v>
      </c>
      <c r="S306" t="s">
        <v>380</v>
      </c>
      <c r="T306" t="s">
        <v>57</v>
      </c>
      <c r="V306" t="s">
        <v>478</v>
      </c>
      <c r="W306" t="s">
        <v>1425</v>
      </c>
      <c r="X306" t="s">
        <v>1425</v>
      </c>
      <c r="AC306" s="13">
        <v>44676</v>
      </c>
      <c r="AD306" s="13">
        <v>44645</v>
      </c>
      <c r="AF306" t="s">
        <v>451</v>
      </c>
      <c r="AI306">
        <v>-270</v>
      </c>
      <c r="AL306" t="s">
        <v>1447</v>
      </c>
      <c r="AN306" t="s">
        <v>31</v>
      </c>
      <c r="AO306">
        <v>0</v>
      </c>
      <c r="AS306" t="s">
        <v>385</v>
      </c>
      <c r="AX306" t="s">
        <v>31</v>
      </c>
      <c r="AY306" t="s">
        <v>386</v>
      </c>
      <c r="AZ306" t="s">
        <v>1439</v>
      </c>
      <c r="BF306">
        <v>0</v>
      </c>
      <c r="BK306" t="s">
        <v>31</v>
      </c>
      <c r="BS306" t="s">
        <v>419</v>
      </c>
      <c r="BT306" t="s">
        <v>419</v>
      </c>
      <c r="CI306" t="s">
        <v>388</v>
      </c>
      <c r="CJ306" s="14">
        <v>45013</v>
      </c>
      <c r="CK306">
        <v>1</v>
      </c>
    </row>
    <row r="307" spans="1:89">
      <c r="A307" t="s">
        <v>1421</v>
      </c>
      <c r="B307" t="s">
        <v>374</v>
      </c>
      <c r="C307" t="s">
        <v>1422</v>
      </c>
      <c r="D307" t="s">
        <v>1450</v>
      </c>
      <c r="E307" t="s">
        <v>1451</v>
      </c>
      <c r="F307" s="13">
        <v>44680.289074074077</v>
      </c>
      <c r="G307" t="s">
        <v>1155</v>
      </c>
      <c r="H307" t="s">
        <v>1156</v>
      </c>
      <c r="I307" s="13">
        <v>45012.044363425928</v>
      </c>
      <c r="K307" t="s">
        <v>415</v>
      </c>
      <c r="M307" s="13">
        <v>44742</v>
      </c>
      <c r="R307">
        <v>0</v>
      </c>
      <c r="S307" t="s">
        <v>380</v>
      </c>
      <c r="T307" t="s">
        <v>57</v>
      </c>
      <c r="V307" t="s">
        <v>478</v>
      </c>
      <c r="W307" t="s">
        <v>1425</v>
      </c>
      <c r="X307" t="s">
        <v>1425</v>
      </c>
      <c r="AF307" t="s">
        <v>451</v>
      </c>
      <c r="AI307">
        <v>-270</v>
      </c>
      <c r="AL307" t="s">
        <v>1447</v>
      </c>
      <c r="AN307" t="s">
        <v>31</v>
      </c>
      <c r="AO307">
        <v>0</v>
      </c>
      <c r="AS307" t="s">
        <v>648</v>
      </c>
      <c r="AX307" t="s">
        <v>31</v>
      </c>
      <c r="AY307" t="s">
        <v>386</v>
      </c>
      <c r="AZ307" t="s">
        <v>648</v>
      </c>
      <c r="BF307">
        <v>0</v>
      </c>
      <c r="BK307" t="s">
        <v>31</v>
      </c>
      <c r="BS307" t="s">
        <v>419</v>
      </c>
      <c r="BT307" t="s">
        <v>419</v>
      </c>
      <c r="CI307" t="s">
        <v>388</v>
      </c>
      <c r="CJ307" s="14">
        <v>45013</v>
      </c>
      <c r="CK307">
        <v>1</v>
      </c>
    </row>
    <row r="308" spans="1:89">
      <c r="A308" t="s">
        <v>1421</v>
      </c>
      <c r="B308" t="s">
        <v>374</v>
      </c>
      <c r="C308" t="s">
        <v>1422</v>
      </c>
      <c r="D308" t="s">
        <v>1452</v>
      </c>
      <c r="E308" t="s">
        <v>1443</v>
      </c>
      <c r="F308" s="13">
        <v>44680.288368055553</v>
      </c>
      <c r="G308" t="s">
        <v>1155</v>
      </c>
      <c r="H308" t="s">
        <v>1156</v>
      </c>
      <c r="I308" s="13">
        <v>45012.044363425928</v>
      </c>
      <c r="K308" t="s">
        <v>415</v>
      </c>
      <c r="M308" s="13">
        <v>44712</v>
      </c>
      <c r="R308">
        <v>0</v>
      </c>
      <c r="S308" t="s">
        <v>380</v>
      </c>
      <c r="T308" t="s">
        <v>57</v>
      </c>
      <c r="V308" t="s">
        <v>478</v>
      </c>
      <c r="W308" t="s">
        <v>1425</v>
      </c>
      <c r="X308" t="s">
        <v>1425</v>
      </c>
      <c r="AF308" t="s">
        <v>451</v>
      </c>
      <c r="AI308">
        <v>-300</v>
      </c>
      <c r="AL308" t="s">
        <v>1447</v>
      </c>
      <c r="AN308" t="s">
        <v>31</v>
      </c>
      <c r="AO308">
        <v>0</v>
      </c>
      <c r="AS308" t="s">
        <v>385</v>
      </c>
      <c r="AX308" t="s">
        <v>31</v>
      </c>
      <c r="AY308" t="s">
        <v>386</v>
      </c>
      <c r="AZ308" t="s">
        <v>1444</v>
      </c>
      <c r="BF308">
        <v>0</v>
      </c>
      <c r="BK308" t="s">
        <v>31</v>
      </c>
      <c r="BS308" t="s">
        <v>419</v>
      </c>
      <c r="BT308" t="s">
        <v>419</v>
      </c>
      <c r="CI308" t="s">
        <v>388</v>
      </c>
      <c r="CJ308" s="14">
        <v>45013</v>
      </c>
      <c r="CK308">
        <v>1</v>
      </c>
    </row>
    <row r="309" spans="1:89">
      <c r="A309" t="s">
        <v>435</v>
      </c>
      <c r="B309" t="s">
        <v>374</v>
      </c>
      <c r="C309" t="s">
        <v>436</v>
      </c>
      <c r="D309" t="s">
        <v>1453</v>
      </c>
      <c r="E309" t="s">
        <v>1454</v>
      </c>
      <c r="F309" s="13">
        <v>44665.52516203704</v>
      </c>
      <c r="G309" t="s">
        <v>1139</v>
      </c>
      <c r="H309" t="s">
        <v>1140</v>
      </c>
      <c r="I309" s="13">
        <v>44665.534675925926</v>
      </c>
      <c r="K309" t="s">
        <v>379</v>
      </c>
      <c r="M309" s="13">
        <v>44712</v>
      </c>
      <c r="R309">
        <v>100</v>
      </c>
      <c r="S309" t="s">
        <v>380</v>
      </c>
      <c r="T309" t="s">
        <v>57</v>
      </c>
      <c r="V309" t="s">
        <v>381</v>
      </c>
      <c r="W309" t="s">
        <v>1141</v>
      </c>
      <c r="X309" t="s">
        <v>1141</v>
      </c>
      <c r="AC309" s="13">
        <v>44742</v>
      </c>
      <c r="AD309" s="13">
        <v>44712</v>
      </c>
      <c r="AF309" t="s">
        <v>382</v>
      </c>
      <c r="AG309" t="s">
        <v>1455</v>
      </c>
      <c r="AI309">
        <v>47</v>
      </c>
      <c r="AL309" t="s">
        <v>1456</v>
      </c>
      <c r="AN309" t="s">
        <v>31</v>
      </c>
      <c r="AO309">
        <v>0</v>
      </c>
      <c r="AS309" t="s">
        <v>385</v>
      </c>
      <c r="AX309" t="s">
        <v>57</v>
      </c>
      <c r="AY309" t="s">
        <v>386</v>
      </c>
      <c r="AZ309" t="s">
        <v>1457</v>
      </c>
      <c r="BE309" t="s">
        <v>1458</v>
      </c>
      <c r="BF309">
        <v>0</v>
      </c>
      <c r="BK309" t="s">
        <v>31</v>
      </c>
      <c r="BS309" t="s">
        <v>379</v>
      </c>
      <c r="BT309" t="s">
        <v>379</v>
      </c>
      <c r="CI309" t="s">
        <v>388</v>
      </c>
      <c r="CJ309" s="14">
        <v>45013</v>
      </c>
      <c r="CK309">
        <v>1</v>
      </c>
    </row>
    <row r="310" spans="1:89">
      <c r="A310" t="s">
        <v>1459</v>
      </c>
      <c r="B310" t="s">
        <v>374</v>
      </c>
      <c r="C310" t="s">
        <v>1460</v>
      </c>
      <c r="D310" t="s">
        <v>1461</v>
      </c>
      <c r="E310" t="s">
        <v>1462</v>
      </c>
      <c r="F310" s="13">
        <v>44650.419722222221</v>
      </c>
      <c r="G310" t="s">
        <v>1463</v>
      </c>
      <c r="H310" t="s">
        <v>1464</v>
      </c>
      <c r="I310" s="13">
        <v>45012.044351851851</v>
      </c>
      <c r="K310" t="s">
        <v>415</v>
      </c>
      <c r="M310" s="13">
        <v>44651</v>
      </c>
      <c r="R310">
        <v>0</v>
      </c>
      <c r="S310" t="s">
        <v>380</v>
      </c>
      <c r="T310" t="s">
        <v>57</v>
      </c>
      <c r="V310" t="s">
        <v>478</v>
      </c>
      <c r="W310" t="s">
        <v>1465</v>
      </c>
      <c r="X310" t="s">
        <v>1465</v>
      </c>
      <c r="Y310" t="s">
        <v>480</v>
      </c>
      <c r="AF310" t="s">
        <v>451</v>
      </c>
      <c r="AI310">
        <v>-361</v>
      </c>
      <c r="AL310" t="s">
        <v>1466</v>
      </c>
      <c r="AN310" t="s">
        <v>31</v>
      </c>
      <c r="AO310">
        <v>0</v>
      </c>
      <c r="AS310" t="s">
        <v>881</v>
      </c>
      <c r="AT310" t="s">
        <v>31</v>
      </c>
      <c r="AX310" t="s">
        <v>57</v>
      </c>
      <c r="AY310" t="s">
        <v>386</v>
      </c>
      <c r="AZ310" t="s">
        <v>1467</v>
      </c>
      <c r="BF310">
        <v>0</v>
      </c>
      <c r="BK310" t="s">
        <v>31</v>
      </c>
      <c r="BS310" t="s">
        <v>484</v>
      </c>
      <c r="BT310" t="s">
        <v>484</v>
      </c>
      <c r="CI310" t="s">
        <v>388</v>
      </c>
      <c r="CJ310" s="14">
        <v>45013</v>
      </c>
      <c r="CK310">
        <v>1</v>
      </c>
    </row>
    <row r="311" spans="1:89">
      <c r="A311" t="s">
        <v>1468</v>
      </c>
      <c r="B311" t="s">
        <v>374</v>
      </c>
      <c r="C311" t="s">
        <v>1469</v>
      </c>
      <c r="D311" t="s">
        <v>1470</v>
      </c>
      <c r="E311" t="s">
        <v>1471</v>
      </c>
      <c r="F311" s="13">
        <v>44645.876875000002</v>
      </c>
      <c r="G311" t="s">
        <v>1472</v>
      </c>
      <c r="H311" t="s">
        <v>1473</v>
      </c>
      <c r="I311" s="13">
        <v>45012.044351851851</v>
      </c>
      <c r="K311" t="s">
        <v>415</v>
      </c>
      <c r="M311" s="13">
        <v>44712</v>
      </c>
      <c r="R311">
        <v>0</v>
      </c>
      <c r="S311" t="s">
        <v>380</v>
      </c>
      <c r="T311" t="s">
        <v>57</v>
      </c>
      <c r="V311" t="s">
        <v>478</v>
      </c>
      <c r="W311" t="s">
        <v>1474</v>
      </c>
      <c r="X311" t="s">
        <v>1474</v>
      </c>
      <c r="AF311" t="s">
        <v>451</v>
      </c>
      <c r="AI311">
        <v>-300</v>
      </c>
      <c r="AL311" t="s">
        <v>1475</v>
      </c>
      <c r="AN311" t="s">
        <v>31</v>
      </c>
      <c r="AO311">
        <v>0</v>
      </c>
      <c r="AS311" t="s">
        <v>385</v>
      </c>
      <c r="AX311" t="s">
        <v>31</v>
      </c>
      <c r="AY311" t="s">
        <v>386</v>
      </c>
      <c r="AZ311" t="s">
        <v>1476</v>
      </c>
      <c r="BF311">
        <v>0</v>
      </c>
      <c r="BK311" t="s">
        <v>31</v>
      </c>
      <c r="BS311" t="s">
        <v>419</v>
      </c>
      <c r="BT311" t="s">
        <v>419</v>
      </c>
      <c r="CI311" t="s">
        <v>388</v>
      </c>
      <c r="CJ311" s="14">
        <v>45013</v>
      </c>
      <c r="CK311">
        <v>1</v>
      </c>
    </row>
    <row r="312" spans="1:89">
      <c r="A312" t="s">
        <v>1468</v>
      </c>
      <c r="B312" t="s">
        <v>374</v>
      </c>
      <c r="C312" t="s">
        <v>1469</v>
      </c>
      <c r="D312" t="s">
        <v>1477</v>
      </c>
      <c r="E312" t="s">
        <v>1478</v>
      </c>
      <c r="F312" s="13">
        <v>44645.869328703702</v>
      </c>
      <c r="G312" t="s">
        <v>1472</v>
      </c>
      <c r="H312" t="s">
        <v>1473</v>
      </c>
      <c r="I312" s="13">
        <v>44645.875</v>
      </c>
      <c r="K312" t="s">
        <v>409</v>
      </c>
      <c r="R312">
        <v>0</v>
      </c>
      <c r="S312" t="s">
        <v>380</v>
      </c>
      <c r="T312" t="s">
        <v>57</v>
      </c>
      <c r="V312" t="s">
        <v>381</v>
      </c>
      <c r="W312" t="s">
        <v>1474</v>
      </c>
      <c r="X312" t="s">
        <v>1474</v>
      </c>
      <c r="AI312">
        <v>67</v>
      </c>
      <c r="AL312" t="s">
        <v>1475</v>
      </c>
      <c r="AN312" t="s">
        <v>31</v>
      </c>
      <c r="AO312">
        <v>0</v>
      </c>
      <c r="AS312" t="s">
        <v>385</v>
      </c>
      <c r="AX312" t="s">
        <v>31</v>
      </c>
      <c r="AY312" t="s">
        <v>386</v>
      </c>
      <c r="AZ312" t="s">
        <v>1476</v>
      </c>
      <c r="BF312">
        <v>1</v>
      </c>
      <c r="BK312" t="s">
        <v>31</v>
      </c>
      <c r="BS312" t="s">
        <v>409</v>
      </c>
      <c r="BT312" t="s">
        <v>409</v>
      </c>
      <c r="CI312" t="s">
        <v>388</v>
      </c>
      <c r="CJ312" s="14">
        <v>45013</v>
      </c>
      <c r="CK312">
        <v>1</v>
      </c>
    </row>
    <row r="313" spans="1:89">
      <c r="A313" t="s">
        <v>1479</v>
      </c>
      <c r="B313" t="s">
        <v>374</v>
      </c>
      <c r="C313" t="s">
        <v>1480</v>
      </c>
      <c r="D313" t="s">
        <v>1481</v>
      </c>
      <c r="E313" t="s">
        <v>1482</v>
      </c>
      <c r="F313" s="13">
        <v>44645.568483796298</v>
      </c>
      <c r="G313" t="s">
        <v>1483</v>
      </c>
      <c r="H313" t="s">
        <v>1484</v>
      </c>
      <c r="I313" s="13">
        <v>45012.044351851851</v>
      </c>
      <c r="K313" t="s">
        <v>415</v>
      </c>
      <c r="M313" s="13">
        <v>44699</v>
      </c>
      <c r="R313">
        <v>0</v>
      </c>
      <c r="S313" t="s">
        <v>380</v>
      </c>
      <c r="T313" t="s">
        <v>57</v>
      </c>
      <c r="V313" t="s">
        <v>478</v>
      </c>
      <c r="W313" t="s">
        <v>1485</v>
      </c>
      <c r="X313" t="s">
        <v>1485</v>
      </c>
      <c r="AC313" s="13">
        <v>44699</v>
      </c>
      <c r="AD313" s="13">
        <v>44610</v>
      </c>
      <c r="AF313" t="s">
        <v>451</v>
      </c>
      <c r="AI313">
        <v>-313</v>
      </c>
      <c r="AL313" t="s">
        <v>1486</v>
      </c>
      <c r="AN313" t="s">
        <v>31</v>
      </c>
      <c r="AO313">
        <v>0</v>
      </c>
      <c r="AS313" t="s">
        <v>648</v>
      </c>
      <c r="AX313" t="s">
        <v>31</v>
      </c>
      <c r="AY313" t="s">
        <v>386</v>
      </c>
      <c r="AZ313" t="s">
        <v>1487</v>
      </c>
      <c r="BF313">
        <v>0</v>
      </c>
      <c r="BK313" t="s">
        <v>31</v>
      </c>
      <c r="BS313" t="s">
        <v>419</v>
      </c>
      <c r="BT313" t="s">
        <v>419</v>
      </c>
      <c r="CI313" t="s">
        <v>388</v>
      </c>
      <c r="CJ313" s="14">
        <v>45013</v>
      </c>
      <c r="CK313">
        <v>1</v>
      </c>
    </row>
    <row r="314" spans="1:89">
      <c r="A314" t="s">
        <v>1479</v>
      </c>
      <c r="B314" t="s">
        <v>374</v>
      </c>
      <c r="C314" t="s">
        <v>1480</v>
      </c>
      <c r="D314" t="s">
        <v>1488</v>
      </c>
      <c r="E314" t="s">
        <v>1489</v>
      </c>
      <c r="F314" s="13">
        <v>44645.440960648149</v>
      </c>
      <c r="G314" t="s">
        <v>1483</v>
      </c>
      <c r="H314" t="s">
        <v>1484</v>
      </c>
      <c r="I314" s="13">
        <v>45012.044340277775</v>
      </c>
      <c r="K314" t="s">
        <v>415</v>
      </c>
      <c r="M314" s="13">
        <v>44687</v>
      </c>
      <c r="R314">
        <v>0</v>
      </c>
      <c r="S314" t="s">
        <v>380</v>
      </c>
      <c r="T314" t="s">
        <v>57</v>
      </c>
      <c r="V314" t="s">
        <v>478</v>
      </c>
      <c r="W314" t="s">
        <v>1490</v>
      </c>
      <c r="X314" t="s">
        <v>1490</v>
      </c>
      <c r="AC314" s="13">
        <v>44687</v>
      </c>
      <c r="AD314" s="13">
        <v>44607</v>
      </c>
      <c r="AF314" t="s">
        <v>451</v>
      </c>
      <c r="AI314">
        <v>-325</v>
      </c>
      <c r="AL314" t="s">
        <v>1491</v>
      </c>
      <c r="AN314" t="s">
        <v>31</v>
      </c>
      <c r="AO314">
        <v>0</v>
      </c>
      <c r="AS314" t="s">
        <v>702</v>
      </c>
      <c r="AX314" t="s">
        <v>31</v>
      </c>
      <c r="AY314" t="s">
        <v>386</v>
      </c>
      <c r="AZ314" t="s">
        <v>1492</v>
      </c>
      <c r="BF314">
        <v>0</v>
      </c>
      <c r="BK314" t="s">
        <v>31</v>
      </c>
      <c r="BS314" t="s">
        <v>419</v>
      </c>
      <c r="BT314" t="s">
        <v>419</v>
      </c>
      <c r="CI314" t="s">
        <v>388</v>
      </c>
      <c r="CJ314" s="14">
        <v>45013</v>
      </c>
      <c r="CK314">
        <v>1</v>
      </c>
    </row>
    <row r="315" spans="1:89">
      <c r="A315" t="s">
        <v>1479</v>
      </c>
      <c r="B315" t="s">
        <v>374</v>
      </c>
      <c r="C315" t="s">
        <v>1480</v>
      </c>
      <c r="D315" t="s">
        <v>1493</v>
      </c>
      <c r="E315" t="s">
        <v>1494</v>
      </c>
      <c r="F315" s="13">
        <v>44645.331284722219</v>
      </c>
      <c r="G315" t="s">
        <v>1483</v>
      </c>
      <c r="H315" t="s">
        <v>1484</v>
      </c>
      <c r="I315" s="13">
        <v>45012.044340277775</v>
      </c>
      <c r="K315" t="s">
        <v>415</v>
      </c>
      <c r="M315" s="13">
        <v>44704</v>
      </c>
      <c r="R315">
        <v>0</v>
      </c>
      <c r="S315" t="s">
        <v>380</v>
      </c>
      <c r="T315" t="s">
        <v>57</v>
      </c>
      <c r="V315" t="s">
        <v>478</v>
      </c>
      <c r="W315" t="s">
        <v>1485</v>
      </c>
      <c r="X315" t="s">
        <v>1485</v>
      </c>
      <c r="AC315" s="13">
        <v>44704</v>
      </c>
      <c r="AD315" s="13">
        <v>44610</v>
      </c>
      <c r="AF315" t="s">
        <v>451</v>
      </c>
      <c r="AI315">
        <v>-308</v>
      </c>
      <c r="AL315" t="s">
        <v>1495</v>
      </c>
      <c r="AN315" t="s">
        <v>31</v>
      </c>
      <c r="AO315">
        <v>0</v>
      </c>
      <c r="AS315" t="s">
        <v>385</v>
      </c>
      <c r="AX315" t="s">
        <v>31</v>
      </c>
      <c r="AY315" t="s">
        <v>386</v>
      </c>
      <c r="AZ315" t="s">
        <v>1496</v>
      </c>
      <c r="BF315">
        <v>0</v>
      </c>
      <c r="BK315" t="s">
        <v>31</v>
      </c>
      <c r="BS315" t="s">
        <v>419</v>
      </c>
      <c r="BT315" t="s">
        <v>419</v>
      </c>
      <c r="CI315" t="s">
        <v>388</v>
      </c>
      <c r="CJ315" s="14">
        <v>45013</v>
      </c>
      <c r="CK315">
        <v>1</v>
      </c>
    </row>
    <row r="316" spans="1:89">
      <c r="A316" t="s">
        <v>1497</v>
      </c>
      <c r="B316" t="s">
        <v>374</v>
      </c>
      <c r="C316" t="s">
        <v>1498</v>
      </c>
      <c r="D316" t="s">
        <v>1499</v>
      </c>
      <c r="E316" t="s">
        <v>1500</v>
      </c>
      <c r="F316" s="13">
        <v>44644.64980324074</v>
      </c>
      <c r="G316" t="s">
        <v>1501</v>
      </c>
      <c r="H316" t="s">
        <v>1502</v>
      </c>
      <c r="I316" s="13">
        <v>45012.044340277775</v>
      </c>
      <c r="K316" t="s">
        <v>415</v>
      </c>
      <c r="M316" s="13">
        <v>44742</v>
      </c>
      <c r="R316">
        <v>0</v>
      </c>
      <c r="S316" t="s">
        <v>380</v>
      </c>
      <c r="T316" t="s">
        <v>57</v>
      </c>
      <c r="V316" t="s">
        <v>478</v>
      </c>
      <c r="W316" t="s">
        <v>1503</v>
      </c>
      <c r="X316" t="s">
        <v>1503</v>
      </c>
      <c r="AC316" s="13">
        <v>44742</v>
      </c>
      <c r="AD316" s="13">
        <v>44742</v>
      </c>
      <c r="AF316" t="s">
        <v>451</v>
      </c>
      <c r="AI316">
        <v>-270</v>
      </c>
      <c r="AL316" t="s">
        <v>1504</v>
      </c>
      <c r="AN316" t="s">
        <v>31</v>
      </c>
      <c r="AO316">
        <v>0</v>
      </c>
      <c r="AS316" t="s">
        <v>538</v>
      </c>
      <c r="AX316" t="s">
        <v>57</v>
      </c>
      <c r="AY316" t="s">
        <v>442</v>
      </c>
      <c r="AZ316" t="s">
        <v>1505</v>
      </c>
      <c r="BF316">
        <v>0</v>
      </c>
      <c r="BK316" t="s">
        <v>31</v>
      </c>
      <c r="BS316" t="s">
        <v>419</v>
      </c>
      <c r="BT316" t="s">
        <v>419</v>
      </c>
      <c r="CI316" t="s">
        <v>388</v>
      </c>
      <c r="CJ316" s="14">
        <v>45013</v>
      </c>
      <c r="CK316">
        <v>1</v>
      </c>
    </row>
    <row r="317" spans="1:89">
      <c r="A317" t="s">
        <v>1497</v>
      </c>
      <c r="B317" t="s">
        <v>374</v>
      </c>
      <c r="C317" t="s">
        <v>1498</v>
      </c>
      <c r="D317" t="s">
        <v>1506</v>
      </c>
      <c r="E317" t="s">
        <v>1507</v>
      </c>
      <c r="F317" s="13">
        <v>44644.645532407405</v>
      </c>
      <c r="G317" t="s">
        <v>1501</v>
      </c>
      <c r="H317" t="s">
        <v>1502</v>
      </c>
      <c r="I317" s="13">
        <v>45012.044340277775</v>
      </c>
      <c r="K317" t="s">
        <v>415</v>
      </c>
      <c r="M317" s="13">
        <v>44742</v>
      </c>
      <c r="R317">
        <v>0</v>
      </c>
      <c r="S317" t="s">
        <v>380</v>
      </c>
      <c r="T317" t="s">
        <v>57</v>
      </c>
      <c r="V317" t="s">
        <v>478</v>
      </c>
      <c r="W317" t="s">
        <v>1503</v>
      </c>
      <c r="X317" t="s">
        <v>1503</v>
      </c>
      <c r="AC317" s="13">
        <v>44742</v>
      </c>
      <c r="AD317" s="13">
        <v>44742</v>
      </c>
      <c r="AF317" t="s">
        <v>451</v>
      </c>
      <c r="AI317">
        <v>-270</v>
      </c>
      <c r="AL317" t="s">
        <v>1504</v>
      </c>
      <c r="AN317" t="s">
        <v>31</v>
      </c>
      <c r="AO317">
        <v>0</v>
      </c>
      <c r="AS317" t="s">
        <v>538</v>
      </c>
      <c r="AX317" t="s">
        <v>57</v>
      </c>
      <c r="AY317" t="s">
        <v>442</v>
      </c>
      <c r="AZ317" t="s">
        <v>1508</v>
      </c>
      <c r="BF317">
        <v>0</v>
      </c>
      <c r="BK317" t="s">
        <v>31</v>
      </c>
      <c r="BS317" t="s">
        <v>419</v>
      </c>
      <c r="BT317" t="s">
        <v>419</v>
      </c>
      <c r="CI317" t="s">
        <v>388</v>
      </c>
      <c r="CJ317" s="14">
        <v>45013</v>
      </c>
      <c r="CK317">
        <v>1</v>
      </c>
    </row>
    <row r="318" spans="1:89">
      <c r="A318" t="s">
        <v>1497</v>
      </c>
      <c r="B318" t="s">
        <v>374</v>
      </c>
      <c r="C318" t="s">
        <v>1498</v>
      </c>
      <c r="D318" t="s">
        <v>1509</v>
      </c>
      <c r="E318" t="s">
        <v>1510</v>
      </c>
      <c r="F318" s="13">
        <v>44644.641585648147</v>
      </c>
      <c r="G318" t="s">
        <v>1501</v>
      </c>
      <c r="H318" t="s">
        <v>1502</v>
      </c>
      <c r="I318" s="13">
        <v>45012.044328703705</v>
      </c>
      <c r="K318" t="s">
        <v>415</v>
      </c>
      <c r="M318" s="13">
        <v>44742</v>
      </c>
      <c r="R318">
        <v>0</v>
      </c>
      <c r="S318" t="s">
        <v>380</v>
      </c>
      <c r="T318" t="s">
        <v>57</v>
      </c>
      <c r="V318" t="s">
        <v>478</v>
      </c>
      <c r="W318" t="s">
        <v>1503</v>
      </c>
      <c r="X318" t="s">
        <v>1503</v>
      </c>
      <c r="AC318" s="13">
        <v>44742</v>
      </c>
      <c r="AD318" s="13">
        <v>44742</v>
      </c>
      <c r="AF318" t="s">
        <v>451</v>
      </c>
      <c r="AI318">
        <v>-270</v>
      </c>
      <c r="AL318" t="s">
        <v>1504</v>
      </c>
      <c r="AN318" t="s">
        <v>31</v>
      </c>
      <c r="AO318">
        <v>0</v>
      </c>
      <c r="AS318" t="s">
        <v>538</v>
      </c>
      <c r="AX318" t="s">
        <v>57</v>
      </c>
      <c r="AY318" t="s">
        <v>442</v>
      </c>
      <c r="AZ318" t="s">
        <v>1511</v>
      </c>
      <c r="BF318">
        <v>0</v>
      </c>
      <c r="BK318" t="s">
        <v>31</v>
      </c>
      <c r="BS318" t="s">
        <v>419</v>
      </c>
      <c r="BT318" t="s">
        <v>419</v>
      </c>
      <c r="CI318" t="s">
        <v>388</v>
      </c>
      <c r="CJ318" s="14">
        <v>45013</v>
      </c>
      <c r="CK318">
        <v>1</v>
      </c>
    </row>
    <row r="319" spans="1:89">
      <c r="A319" t="s">
        <v>1497</v>
      </c>
      <c r="B319" t="s">
        <v>374</v>
      </c>
      <c r="C319" t="s">
        <v>1498</v>
      </c>
      <c r="D319" t="s">
        <v>1512</v>
      </c>
      <c r="E319" t="s">
        <v>1513</v>
      </c>
      <c r="F319" s="13">
        <v>44644.626018518517</v>
      </c>
      <c r="G319" t="s">
        <v>1501</v>
      </c>
      <c r="H319" t="s">
        <v>1502</v>
      </c>
      <c r="I319" s="13">
        <v>45012.044328703705</v>
      </c>
      <c r="K319" t="s">
        <v>415</v>
      </c>
      <c r="M319" s="13">
        <v>44742</v>
      </c>
      <c r="R319">
        <v>0</v>
      </c>
      <c r="S319" t="s">
        <v>380</v>
      </c>
      <c r="T319" t="s">
        <v>57</v>
      </c>
      <c r="V319" t="s">
        <v>478</v>
      </c>
      <c r="W319" t="s">
        <v>1503</v>
      </c>
      <c r="X319" t="s">
        <v>1503</v>
      </c>
      <c r="AC319" s="13">
        <v>44742</v>
      </c>
      <c r="AD319" s="13">
        <v>44742</v>
      </c>
      <c r="AF319" t="s">
        <v>451</v>
      </c>
      <c r="AI319">
        <v>-270</v>
      </c>
      <c r="AL319" t="s">
        <v>1504</v>
      </c>
      <c r="AN319" t="s">
        <v>31</v>
      </c>
      <c r="AO319">
        <v>0</v>
      </c>
      <c r="AS319" t="s">
        <v>538</v>
      </c>
      <c r="AX319" t="s">
        <v>57</v>
      </c>
      <c r="AY319" t="s">
        <v>442</v>
      </c>
      <c r="AZ319" t="s">
        <v>1514</v>
      </c>
      <c r="BF319">
        <v>0</v>
      </c>
      <c r="BK319" t="s">
        <v>31</v>
      </c>
      <c r="BS319" t="s">
        <v>419</v>
      </c>
      <c r="BT319" t="s">
        <v>419</v>
      </c>
      <c r="CI319" t="s">
        <v>388</v>
      </c>
      <c r="CJ319" s="14">
        <v>45013</v>
      </c>
      <c r="CK319">
        <v>1</v>
      </c>
    </row>
    <row r="320" spans="1:89">
      <c r="A320" t="s">
        <v>1497</v>
      </c>
      <c r="B320" t="s">
        <v>374</v>
      </c>
      <c r="C320" t="s">
        <v>1498</v>
      </c>
      <c r="D320" t="s">
        <v>1515</v>
      </c>
      <c r="E320" t="s">
        <v>1516</v>
      </c>
      <c r="F320" s="13">
        <v>44644.612858796296</v>
      </c>
      <c r="G320" t="s">
        <v>1501</v>
      </c>
      <c r="H320" t="s">
        <v>1502</v>
      </c>
      <c r="I320" s="13">
        <v>45012.044328703705</v>
      </c>
      <c r="K320" t="s">
        <v>415</v>
      </c>
      <c r="M320" s="13">
        <v>44742</v>
      </c>
      <c r="R320">
        <v>0</v>
      </c>
      <c r="S320" t="s">
        <v>380</v>
      </c>
      <c r="T320" t="s">
        <v>57</v>
      </c>
      <c r="V320" t="s">
        <v>478</v>
      </c>
      <c r="W320" t="s">
        <v>1503</v>
      </c>
      <c r="X320" t="s">
        <v>1503</v>
      </c>
      <c r="AC320" s="13">
        <v>44742</v>
      </c>
      <c r="AD320" s="13">
        <v>44742</v>
      </c>
      <c r="AF320" t="s">
        <v>451</v>
      </c>
      <c r="AI320">
        <v>-270</v>
      </c>
      <c r="AL320" t="s">
        <v>1504</v>
      </c>
      <c r="AN320" t="s">
        <v>31</v>
      </c>
      <c r="AO320">
        <v>0</v>
      </c>
      <c r="AS320" t="s">
        <v>538</v>
      </c>
      <c r="AX320" t="s">
        <v>57</v>
      </c>
      <c r="AY320" t="s">
        <v>442</v>
      </c>
      <c r="AZ320" t="s">
        <v>1517</v>
      </c>
      <c r="BF320">
        <v>0</v>
      </c>
      <c r="BK320" t="s">
        <v>31</v>
      </c>
      <c r="BS320" t="s">
        <v>419</v>
      </c>
      <c r="BT320" t="s">
        <v>419</v>
      </c>
      <c r="CI320" t="s">
        <v>388</v>
      </c>
      <c r="CJ320" s="14">
        <v>45013</v>
      </c>
      <c r="CK320">
        <v>1</v>
      </c>
    </row>
    <row r="321" spans="1:89">
      <c r="A321" t="s">
        <v>1497</v>
      </c>
      <c r="B321" t="s">
        <v>374</v>
      </c>
      <c r="C321" t="s">
        <v>1498</v>
      </c>
      <c r="D321" t="s">
        <v>1518</v>
      </c>
      <c r="E321" t="s">
        <v>1519</v>
      </c>
      <c r="F321" s="13">
        <v>44644.596377314818</v>
      </c>
      <c r="G321" t="s">
        <v>1501</v>
      </c>
      <c r="H321" t="s">
        <v>1502</v>
      </c>
      <c r="I321" s="13">
        <v>45012.044317129628</v>
      </c>
      <c r="K321" t="s">
        <v>415</v>
      </c>
      <c r="M321" s="13">
        <v>44681</v>
      </c>
      <c r="R321">
        <v>0</v>
      </c>
      <c r="S321" t="s">
        <v>380</v>
      </c>
      <c r="T321" t="s">
        <v>57</v>
      </c>
      <c r="V321" t="s">
        <v>478</v>
      </c>
      <c r="W321" t="s">
        <v>1503</v>
      </c>
      <c r="X321" t="s">
        <v>1503</v>
      </c>
      <c r="AC321" s="13">
        <v>44620</v>
      </c>
      <c r="AD321" s="13">
        <v>44620</v>
      </c>
      <c r="AF321" t="s">
        <v>451</v>
      </c>
      <c r="AI321">
        <v>-331</v>
      </c>
      <c r="AL321" t="s">
        <v>1520</v>
      </c>
      <c r="AN321" t="s">
        <v>31</v>
      </c>
      <c r="AO321">
        <v>0</v>
      </c>
      <c r="AS321" t="s">
        <v>385</v>
      </c>
      <c r="AX321" t="s">
        <v>31</v>
      </c>
      <c r="AY321" t="s">
        <v>442</v>
      </c>
      <c r="AZ321" t="s">
        <v>1521</v>
      </c>
      <c r="BF321">
        <v>0</v>
      </c>
      <c r="BK321" t="s">
        <v>31</v>
      </c>
      <c r="BS321" t="s">
        <v>419</v>
      </c>
      <c r="BT321" t="s">
        <v>419</v>
      </c>
      <c r="CI321" t="s">
        <v>388</v>
      </c>
      <c r="CJ321" s="14">
        <v>45013</v>
      </c>
      <c r="CK321">
        <v>1</v>
      </c>
    </row>
    <row r="322" spans="1:89">
      <c r="A322" t="s">
        <v>1522</v>
      </c>
      <c r="B322" t="s">
        <v>374</v>
      </c>
      <c r="C322" t="s">
        <v>1523</v>
      </c>
      <c r="D322" t="s">
        <v>1524</v>
      </c>
      <c r="E322" t="s">
        <v>1525</v>
      </c>
      <c r="F322" s="13">
        <v>44644.566805555558</v>
      </c>
      <c r="G322" t="s">
        <v>1526</v>
      </c>
      <c r="H322" t="s">
        <v>1527</v>
      </c>
      <c r="I322" s="13">
        <v>44644.56790509259</v>
      </c>
      <c r="K322" t="s">
        <v>412</v>
      </c>
      <c r="R322">
        <v>0</v>
      </c>
      <c r="S322" t="s">
        <v>380</v>
      </c>
      <c r="T322" t="s">
        <v>57</v>
      </c>
      <c r="V322" t="s">
        <v>381</v>
      </c>
      <c r="W322" t="s">
        <v>1528</v>
      </c>
      <c r="X322" t="s">
        <v>1528</v>
      </c>
      <c r="AC322" s="13">
        <v>44834</v>
      </c>
      <c r="AD322" s="13">
        <v>44834</v>
      </c>
      <c r="AI322">
        <v>190</v>
      </c>
      <c r="AL322" t="s">
        <v>1529</v>
      </c>
      <c r="AN322" t="s">
        <v>31</v>
      </c>
      <c r="AO322">
        <v>0</v>
      </c>
      <c r="AS322" t="s">
        <v>392</v>
      </c>
      <c r="AX322" t="s">
        <v>31</v>
      </c>
      <c r="AY322" t="s">
        <v>442</v>
      </c>
      <c r="AZ322" t="s">
        <v>1530</v>
      </c>
      <c r="BF322">
        <v>0</v>
      </c>
      <c r="BK322" t="s">
        <v>31</v>
      </c>
      <c r="BS322" t="s">
        <v>412</v>
      </c>
      <c r="BT322" t="s">
        <v>412</v>
      </c>
      <c r="CI322" t="s">
        <v>388</v>
      </c>
      <c r="CJ322" s="14">
        <v>45013</v>
      </c>
      <c r="CK322">
        <v>1</v>
      </c>
    </row>
    <row r="323" spans="1:89">
      <c r="A323" t="s">
        <v>1479</v>
      </c>
      <c r="B323" t="s">
        <v>374</v>
      </c>
      <c r="C323" t="s">
        <v>1480</v>
      </c>
      <c r="D323" t="s">
        <v>1531</v>
      </c>
      <c r="E323" t="s">
        <v>1532</v>
      </c>
      <c r="F323" s="13">
        <v>44644.36383101852</v>
      </c>
      <c r="G323" t="s">
        <v>1483</v>
      </c>
      <c r="H323" t="s">
        <v>1484</v>
      </c>
      <c r="I323" s="13">
        <v>45012.044317129628</v>
      </c>
      <c r="K323" t="s">
        <v>415</v>
      </c>
      <c r="M323" s="13">
        <v>44648</v>
      </c>
      <c r="R323">
        <v>0</v>
      </c>
      <c r="S323" t="s">
        <v>380</v>
      </c>
      <c r="T323" t="s">
        <v>57</v>
      </c>
      <c r="V323" t="s">
        <v>478</v>
      </c>
      <c r="W323" t="s">
        <v>1490</v>
      </c>
      <c r="X323" t="s">
        <v>1490</v>
      </c>
      <c r="AC323" s="13">
        <v>44648</v>
      </c>
      <c r="AD323" s="13">
        <v>44564</v>
      </c>
      <c r="AF323" t="s">
        <v>451</v>
      </c>
      <c r="AI323">
        <v>-364</v>
      </c>
      <c r="AL323" t="s">
        <v>1533</v>
      </c>
      <c r="AN323" t="s">
        <v>31</v>
      </c>
      <c r="AO323">
        <v>0</v>
      </c>
      <c r="AS323" t="s">
        <v>648</v>
      </c>
      <c r="AX323" t="s">
        <v>31</v>
      </c>
      <c r="AY323" t="s">
        <v>386</v>
      </c>
      <c r="AZ323" t="s">
        <v>1534</v>
      </c>
      <c r="BF323">
        <v>0</v>
      </c>
      <c r="BK323" t="s">
        <v>31</v>
      </c>
      <c r="BS323" t="s">
        <v>419</v>
      </c>
      <c r="BT323" t="s">
        <v>419</v>
      </c>
      <c r="CI323" t="s">
        <v>388</v>
      </c>
      <c r="CJ323" s="14">
        <v>45013</v>
      </c>
      <c r="CK323">
        <v>1</v>
      </c>
    </row>
    <row r="324" spans="1:89">
      <c r="A324" t="s">
        <v>1535</v>
      </c>
      <c r="B324" t="s">
        <v>374</v>
      </c>
      <c r="C324" t="s">
        <v>1536</v>
      </c>
      <c r="D324" t="s">
        <v>1537</v>
      </c>
      <c r="E324" t="s">
        <v>1538</v>
      </c>
      <c r="F324" s="13">
        <v>44644.34920138889</v>
      </c>
      <c r="G324" t="s">
        <v>1539</v>
      </c>
      <c r="H324" t="s">
        <v>1540</v>
      </c>
      <c r="I324" s="13">
        <v>44644.349918981483</v>
      </c>
      <c r="K324" t="s">
        <v>412</v>
      </c>
      <c r="R324">
        <v>0</v>
      </c>
      <c r="S324" t="s">
        <v>380</v>
      </c>
      <c r="T324" t="s">
        <v>57</v>
      </c>
      <c r="V324" t="s">
        <v>381</v>
      </c>
      <c r="W324" t="s">
        <v>1541</v>
      </c>
      <c r="X324" t="s">
        <v>1541</v>
      </c>
      <c r="AC324" s="13">
        <v>44652</v>
      </c>
      <c r="AD324" s="13">
        <v>44652</v>
      </c>
      <c r="AI324">
        <v>7</v>
      </c>
      <c r="AL324" t="s">
        <v>1542</v>
      </c>
      <c r="AN324" t="s">
        <v>31</v>
      </c>
      <c r="AO324">
        <v>0</v>
      </c>
      <c r="AS324" t="s">
        <v>385</v>
      </c>
      <c r="AX324" t="s">
        <v>57</v>
      </c>
      <c r="AY324" t="s">
        <v>386</v>
      </c>
      <c r="AZ324" t="s">
        <v>1543</v>
      </c>
      <c r="BF324">
        <v>0</v>
      </c>
      <c r="BK324" t="s">
        <v>31</v>
      </c>
      <c r="BS324" t="s">
        <v>412</v>
      </c>
      <c r="BT324" t="s">
        <v>412</v>
      </c>
      <c r="CI324" t="s">
        <v>388</v>
      </c>
      <c r="CJ324" s="14">
        <v>45013</v>
      </c>
      <c r="CK324">
        <v>1</v>
      </c>
    </row>
    <row r="325" spans="1:89">
      <c r="A325" t="s">
        <v>1479</v>
      </c>
      <c r="B325" t="s">
        <v>374</v>
      </c>
      <c r="C325" t="s">
        <v>1480</v>
      </c>
      <c r="D325" t="s">
        <v>1544</v>
      </c>
      <c r="E325" t="s">
        <v>1545</v>
      </c>
      <c r="F325" s="13">
        <v>44644.343252314815</v>
      </c>
      <c r="G325" t="s">
        <v>1483</v>
      </c>
      <c r="H325" t="s">
        <v>1484</v>
      </c>
      <c r="I325" s="13">
        <v>45012.044317129628</v>
      </c>
      <c r="K325" t="s">
        <v>415</v>
      </c>
      <c r="M325" s="13">
        <v>44673</v>
      </c>
      <c r="R325">
        <v>0</v>
      </c>
      <c r="S325" t="s">
        <v>380</v>
      </c>
      <c r="T325" t="s">
        <v>57</v>
      </c>
      <c r="V325" t="s">
        <v>478</v>
      </c>
      <c r="W325" t="s">
        <v>1490</v>
      </c>
      <c r="X325" t="s">
        <v>1490</v>
      </c>
      <c r="AC325" s="13">
        <v>44673</v>
      </c>
      <c r="AD325" s="13">
        <v>44582</v>
      </c>
      <c r="AF325" t="s">
        <v>451</v>
      </c>
      <c r="AI325">
        <v>-339</v>
      </c>
      <c r="AL325" t="s">
        <v>1546</v>
      </c>
      <c r="AN325" t="s">
        <v>31</v>
      </c>
      <c r="AO325">
        <v>0</v>
      </c>
      <c r="AS325" t="s">
        <v>385</v>
      </c>
      <c r="AX325" t="s">
        <v>31</v>
      </c>
      <c r="AY325" t="s">
        <v>386</v>
      </c>
      <c r="AZ325" t="s">
        <v>1547</v>
      </c>
      <c r="BF325">
        <v>0</v>
      </c>
      <c r="BK325" t="s">
        <v>31</v>
      </c>
      <c r="BS325" t="s">
        <v>419</v>
      </c>
      <c r="BT325" t="s">
        <v>419</v>
      </c>
      <c r="CI325" t="s">
        <v>388</v>
      </c>
      <c r="CJ325" s="14">
        <v>45013</v>
      </c>
      <c r="CK325">
        <v>1</v>
      </c>
    </row>
    <row r="326" spans="1:89">
      <c r="A326" t="s">
        <v>1535</v>
      </c>
      <c r="B326" t="s">
        <v>374</v>
      </c>
      <c r="C326" t="s">
        <v>1536</v>
      </c>
      <c r="D326" t="s">
        <v>1548</v>
      </c>
      <c r="E326" t="s">
        <v>1549</v>
      </c>
      <c r="F326" s="13">
        <v>44644.330960648149</v>
      </c>
      <c r="G326" t="s">
        <v>1539</v>
      </c>
      <c r="H326" t="s">
        <v>1540</v>
      </c>
      <c r="I326" s="13">
        <v>44644.335659722223</v>
      </c>
      <c r="K326" t="s">
        <v>412</v>
      </c>
      <c r="R326">
        <v>0</v>
      </c>
      <c r="S326" t="s">
        <v>380</v>
      </c>
      <c r="T326" t="s">
        <v>57</v>
      </c>
      <c r="V326" t="s">
        <v>381</v>
      </c>
      <c r="W326" t="s">
        <v>1540</v>
      </c>
      <c r="X326" t="s">
        <v>1540</v>
      </c>
      <c r="AC326" s="13">
        <v>44652</v>
      </c>
      <c r="AD326" s="13">
        <v>44652</v>
      </c>
      <c r="AI326">
        <v>7</v>
      </c>
      <c r="AL326" t="s">
        <v>1542</v>
      </c>
      <c r="AN326" t="s">
        <v>31</v>
      </c>
      <c r="AO326">
        <v>0</v>
      </c>
      <c r="AS326" t="s">
        <v>385</v>
      </c>
      <c r="AX326" t="s">
        <v>57</v>
      </c>
      <c r="AY326" t="s">
        <v>386</v>
      </c>
      <c r="AZ326" t="s">
        <v>1543</v>
      </c>
      <c r="BF326">
        <v>0</v>
      </c>
      <c r="BK326" t="s">
        <v>31</v>
      </c>
      <c r="BS326" t="s">
        <v>412</v>
      </c>
      <c r="BT326" t="s">
        <v>412</v>
      </c>
      <c r="CI326" t="s">
        <v>388</v>
      </c>
      <c r="CJ326" s="14">
        <v>45013</v>
      </c>
      <c r="CK326">
        <v>1</v>
      </c>
    </row>
    <row r="327" spans="1:89">
      <c r="A327" t="s">
        <v>1550</v>
      </c>
      <c r="B327" t="s">
        <v>374</v>
      </c>
      <c r="C327" t="s">
        <v>1551</v>
      </c>
      <c r="D327" t="s">
        <v>1552</v>
      </c>
      <c r="E327" t="s">
        <v>1553</v>
      </c>
      <c r="F327" s="13">
        <v>44643.746099537035</v>
      </c>
      <c r="G327" t="s">
        <v>1554</v>
      </c>
      <c r="H327" t="s">
        <v>1555</v>
      </c>
      <c r="I327" s="13">
        <v>44694.683680555558</v>
      </c>
      <c r="K327" t="s">
        <v>412</v>
      </c>
      <c r="R327">
        <v>0</v>
      </c>
      <c r="S327" t="s">
        <v>380</v>
      </c>
      <c r="T327" t="s">
        <v>57</v>
      </c>
      <c r="V327" t="s">
        <v>381</v>
      </c>
      <c r="W327" t="s">
        <v>1556</v>
      </c>
      <c r="X327" t="s">
        <v>1556</v>
      </c>
      <c r="AI327">
        <v>53</v>
      </c>
      <c r="AL327" t="s">
        <v>1557</v>
      </c>
      <c r="AN327" t="s">
        <v>31</v>
      </c>
      <c r="AO327">
        <v>0</v>
      </c>
      <c r="AS327" t="s">
        <v>385</v>
      </c>
      <c r="AX327" t="s">
        <v>57</v>
      </c>
      <c r="AY327" t="s">
        <v>386</v>
      </c>
      <c r="AZ327" t="s">
        <v>1558</v>
      </c>
      <c r="BF327">
        <v>0</v>
      </c>
      <c r="BK327" t="s">
        <v>31</v>
      </c>
      <c r="BS327" t="s">
        <v>412</v>
      </c>
      <c r="BT327" t="s">
        <v>412</v>
      </c>
      <c r="CI327" t="s">
        <v>388</v>
      </c>
      <c r="CJ327" s="14">
        <v>45013</v>
      </c>
      <c r="CK327">
        <v>1</v>
      </c>
    </row>
    <row r="328" spans="1:89">
      <c r="A328" t="s">
        <v>1559</v>
      </c>
      <c r="B328" t="s">
        <v>374</v>
      </c>
      <c r="C328" t="s">
        <v>1560</v>
      </c>
      <c r="D328" t="s">
        <v>1561</v>
      </c>
      <c r="E328" t="s">
        <v>1562</v>
      </c>
      <c r="F328" s="13">
        <v>44643.732662037037</v>
      </c>
      <c r="G328" t="s">
        <v>1563</v>
      </c>
      <c r="H328" t="s">
        <v>1564</v>
      </c>
      <c r="I328" s="13">
        <v>45012.044305555559</v>
      </c>
      <c r="K328" t="s">
        <v>415</v>
      </c>
      <c r="M328" s="13">
        <v>44651</v>
      </c>
      <c r="R328">
        <v>0</v>
      </c>
      <c r="S328" t="s">
        <v>416</v>
      </c>
      <c r="T328" t="s">
        <v>57</v>
      </c>
      <c r="V328" t="s">
        <v>478</v>
      </c>
      <c r="W328" t="s">
        <v>1565</v>
      </c>
      <c r="X328" t="s">
        <v>1565</v>
      </c>
      <c r="AF328" t="s">
        <v>451</v>
      </c>
      <c r="AI328">
        <v>-361</v>
      </c>
      <c r="AL328" t="s">
        <v>1566</v>
      </c>
      <c r="AN328" t="s">
        <v>31</v>
      </c>
      <c r="AO328">
        <v>0</v>
      </c>
      <c r="AS328" t="s">
        <v>385</v>
      </c>
      <c r="AX328" t="s">
        <v>31</v>
      </c>
      <c r="AY328" t="s">
        <v>442</v>
      </c>
      <c r="AZ328" t="s">
        <v>1567</v>
      </c>
      <c r="BF328">
        <v>0</v>
      </c>
      <c r="BK328" t="s">
        <v>31</v>
      </c>
      <c r="BS328" t="s">
        <v>419</v>
      </c>
      <c r="BT328" t="s">
        <v>419</v>
      </c>
      <c r="CI328" t="s">
        <v>388</v>
      </c>
      <c r="CJ328" s="14">
        <v>45013</v>
      </c>
      <c r="CK328">
        <v>1</v>
      </c>
    </row>
    <row r="329" spans="1:89">
      <c r="A329" t="s">
        <v>1559</v>
      </c>
      <c r="B329" t="s">
        <v>374</v>
      </c>
      <c r="C329" t="s">
        <v>1560</v>
      </c>
      <c r="D329" t="s">
        <v>1568</v>
      </c>
      <c r="E329" t="s">
        <v>1569</v>
      </c>
      <c r="F329" s="13">
        <v>44643.731226851851</v>
      </c>
      <c r="G329" t="s">
        <v>1563</v>
      </c>
      <c r="H329" t="s">
        <v>1564</v>
      </c>
      <c r="I329" s="13">
        <v>45012.044305555559</v>
      </c>
      <c r="K329" t="s">
        <v>415</v>
      </c>
      <c r="M329" s="13">
        <v>44651</v>
      </c>
      <c r="R329">
        <v>0</v>
      </c>
      <c r="S329" t="s">
        <v>416</v>
      </c>
      <c r="T329" t="s">
        <v>57</v>
      </c>
      <c r="V329" t="s">
        <v>478</v>
      </c>
      <c r="W329" t="s">
        <v>1565</v>
      </c>
      <c r="X329" t="s">
        <v>1565</v>
      </c>
      <c r="AF329" t="s">
        <v>451</v>
      </c>
      <c r="AI329">
        <v>-361</v>
      </c>
      <c r="AL329" t="s">
        <v>1566</v>
      </c>
      <c r="AN329" t="s">
        <v>31</v>
      </c>
      <c r="AO329">
        <v>0</v>
      </c>
      <c r="AS329" t="s">
        <v>385</v>
      </c>
      <c r="AX329" t="s">
        <v>31</v>
      </c>
      <c r="AY329" t="s">
        <v>386</v>
      </c>
      <c r="AZ329" t="s">
        <v>1570</v>
      </c>
      <c r="BF329">
        <v>0</v>
      </c>
      <c r="BK329" t="s">
        <v>31</v>
      </c>
      <c r="BS329" t="s">
        <v>419</v>
      </c>
      <c r="BT329" t="s">
        <v>419</v>
      </c>
      <c r="CI329" t="s">
        <v>388</v>
      </c>
      <c r="CJ329" s="14">
        <v>45013</v>
      </c>
      <c r="CK329">
        <v>1</v>
      </c>
    </row>
    <row r="330" spans="1:89">
      <c r="A330" t="s">
        <v>1559</v>
      </c>
      <c r="B330" t="s">
        <v>374</v>
      </c>
      <c r="C330" t="s">
        <v>1560</v>
      </c>
      <c r="D330" t="s">
        <v>1571</v>
      </c>
      <c r="E330" t="s">
        <v>1572</v>
      </c>
      <c r="F330" s="13">
        <v>44643.724976851852</v>
      </c>
      <c r="G330" t="s">
        <v>1563</v>
      </c>
      <c r="H330" t="s">
        <v>1564</v>
      </c>
      <c r="I330" s="13">
        <v>45012.044305555559</v>
      </c>
      <c r="K330" t="s">
        <v>415</v>
      </c>
      <c r="M330" s="13">
        <v>44651</v>
      </c>
      <c r="R330">
        <v>90</v>
      </c>
      <c r="S330" t="s">
        <v>416</v>
      </c>
      <c r="T330" t="s">
        <v>57</v>
      </c>
      <c r="V330" t="s">
        <v>478</v>
      </c>
      <c r="W330" t="s">
        <v>1573</v>
      </c>
      <c r="X330" t="s">
        <v>1573</v>
      </c>
      <c r="AF330" t="s">
        <v>451</v>
      </c>
      <c r="AG330" t="s">
        <v>1574</v>
      </c>
      <c r="AI330">
        <v>-361</v>
      </c>
      <c r="AL330" t="s">
        <v>1566</v>
      </c>
      <c r="AN330" t="s">
        <v>31</v>
      </c>
      <c r="AO330">
        <v>0</v>
      </c>
      <c r="AS330" t="s">
        <v>526</v>
      </c>
      <c r="AX330" t="s">
        <v>31</v>
      </c>
      <c r="AY330" t="s">
        <v>442</v>
      </c>
      <c r="AZ330" t="s">
        <v>1570</v>
      </c>
      <c r="BF330">
        <v>0</v>
      </c>
      <c r="BK330" t="s">
        <v>31</v>
      </c>
      <c r="BS330" t="s">
        <v>419</v>
      </c>
      <c r="BT330" t="s">
        <v>419</v>
      </c>
      <c r="CI330" t="s">
        <v>388</v>
      </c>
      <c r="CJ330" s="14">
        <v>45013</v>
      </c>
      <c r="CK330">
        <v>1</v>
      </c>
    </row>
    <row r="331" spans="1:89">
      <c r="A331" t="s">
        <v>1559</v>
      </c>
      <c r="B331" t="s">
        <v>374</v>
      </c>
      <c r="C331" t="s">
        <v>1560</v>
      </c>
      <c r="D331" t="s">
        <v>1575</v>
      </c>
      <c r="E331" t="s">
        <v>1572</v>
      </c>
      <c r="F331" s="13">
        <v>44643.723645833335</v>
      </c>
      <c r="G331" t="s">
        <v>1563</v>
      </c>
      <c r="H331" t="s">
        <v>1564</v>
      </c>
      <c r="I331" s="13">
        <v>44833.685474537036</v>
      </c>
      <c r="K331" t="s">
        <v>409</v>
      </c>
      <c r="R331">
        <v>0</v>
      </c>
      <c r="S331" t="s">
        <v>380</v>
      </c>
      <c r="T331" t="s">
        <v>57</v>
      </c>
      <c r="V331" t="s">
        <v>381</v>
      </c>
      <c r="W331" t="s">
        <v>1573</v>
      </c>
      <c r="X331" t="s">
        <v>1573</v>
      </c>
      <c r="AI331">
        <v>8</v>
      </c>
      <c r="AL331" t="s">
        <v>1566</v>
      </c>
      <c r="AN331" t="s">
        <v>31</v>
      </c>
      <c r="AO331">
        <v>0</v>
      </c>
      <c r="AS331" t="s">
        <v>526</v>
      </c>
      <c r="AX331" t="s">
        <v>31</v>
      </c>
      <c r="AY331" t="s">
        <v>442</v>
      </c>
      <c r="AZ331" t="s">
        <v>1570</v>
      </c>
      <c r="BF331">
        <v>0</v>
      </c>
      <c r="BK331" t="s">
        <v>31</v>
      </c>
      <c r="BS331" t="s">
        <v>409</v>
      </c>
      <c r="BT331" t="s">
        <v>409</v>
      </c>
      <c r="CI331" t="s">
        <v>388</v>
      </c>
      <c r="CJ331" s="14">
        <v>45013</v>
      </c>
      <c r="CK331">
        <v>1</v>
      </c>
    </row>
    <row r="332" spans="1:89">
      <c r="A332" t="s">
        <v>1559</v>
      </c>
      <c r="B332" t="s">
        <v>374</v>
      </c>
      <c r="C332" t="s">
        <v>1560</v>
      </c>
      <c r="D332" t="s">
        <v>1576</v>
      </c>
      <c r="E332" t="s">
        <v>1577</v>
      </c>
      <c r="F332" s="13">
        <v>44643.722002314818</v>
      </c>
      <c r="G332" t="s">
        <v>1563</v>
      </c>
      <c r="H332" t="s">
        <v>1564</v>
      </c>
      <c r="I332" s="13">
        <v>45012.044305555559</v>
      </c>
      <c r="K332" t="s">
        <v>415</v>
      </c>
      <c r="M332" s="13">
        <v>44651</v>
      </c>
      <c r="R332">
        <v>90</v>
      </c>
      <c r="S332" t="s">
        <v>416</v>
      </c>
      <c r="T332" t="s">
        <v>57</v>
      </c>
      <c r="V332" t="s">
        <v>478</v>
      </c>
      <c r="W332" t="s">
        <v>1573</v>
      </c>
      <c r="X332" t="s">
        <v>1573</v>
      </c>
      <c r="AF332" t="s">
        <v>451</v>
      </c>
      <c r="AG332" t="s">
        <v>1578</v>
      </c>
      <c r="AI332">
        <v>-361</v>
      </c>
      <c r="AL332" t="s">
        <v>1566</v>
      </c>
      <c r="AN332" t="s">
        <v>31</v>
      </c>
      <c r="AO332">
        <v>0</v>
      </c>
      <c r="AS332" t="s">
        <v>385</v>
      </c>
      <c r="AX332" t="s">
        <v>31</v>
      </c>
      <c r="AY332" t="s">
        <v>442</v>
      </c>
      <c r="AZ332" t="s">
        <v>1570</v>
      </c>
      <c r="BF332">
        <v>0</v>
      </c>
      <c r="BK332" t="s">
        <v>31</v>
      </c>
      <c r="BS332" t="s">
        <v>419</v>
      </c>
      <c r="BT332" t="s">
        <v>419</v>
      </c>
      <c r="CI332" t="s">
        <v>388</v>
      </c>
      <c r="CJ332" s="14">
        <v>45013</v>
      </c>
      <c r="CK332">
        <v>1</v>
      </c>
    </row>
    <row r="333" spans="1:89">
      <c r="A333" t="s">
        <v>1579</v>
      </c>
      <c r="B333" t="s">
        <v>374</v>
      </c>
      <c r="C333" t="s">
        <v>1580</v>
      </c>
      <c r="D333" t="s">
        <v>1581</v>
      </c>
      <c r="E333" t="s">
        <v>1582</v>
      </c>
      <c r="F333" s="13">
        <v>44643.616574074076</v>
      </c>
      <c r="G333" t="s">
        <v>1583</v>
      </c>
      <c r="H333" t="s">
        <v>1584</v>
      </c>
      <c r="I333" s="13">
        <v>44714.517256944448</v>
      </c>
      <c r="K333" t="s">
        <v>379</v>
      </c>
      <c r="M333" s="13">
        <v>44651</v>
      </c>
      <c r="R333">
        <v>100</v>
      </c>
      <c r="S333" t="s">
        <v>380</v>
      </c>
      <c r="T333" t="s">
        <v>57</v>
      </c>
      <c r="V333" t="s">
        <v>478</v>
      </c>
      <c r="W333" t="s">
        <v>1585</v>
      </c>
      <c r="X333" t="s">
        <v>1585</v>
      </c>
      <c r="AF333" t="s">
        <v>382</v>
      </c>
      <c r="AG333" t="s">
        <v>1586</v>
      </c>
      <c r="AI333">
        <v>-7</v>
      </c>
      <c r="AJ333" s="13">
        <v>44714</v>
      </c>
      <c r="AL333" t="s">
        <v>1587</v>
      </c>
      <c r="AN333" t="s">
        <v>31</v>
      </c>
      <c r="AO333">
        <v>0</v>
      </c>
      <c r="AR333" t="s">
        <v>1586</v>
      </c>
      <c r="AS333" t="s">
        <v>707</v>
      </c>
      <c r="AX333" t="s">
        <v>31</v>
      </c>
      <c r="AY333" t="s">
        <v>386</v>
      </c>
      <c r="AZ333" t="s">
        <v>1588</v>
      </c>
      <c r="BF333">
        <v>0</v>
      </c>
      <c r="BK333" t="s">
        <v>31</v>
      </c>
      <c r="BS333" t="s">
        <v>379</v>
      </c>
      <c r="BT333" t="s">
        <v>379</v>
      </c>
      <c r="CI333" t="s">
        <v>388</v>
      </c>
      <c r="CJ333" s="14">
        <v>45013</v>
      </c>
      <c r="CK333">
        <v>1</v>
      </c>
    </row>
    <row r="334" spans="1:89">
      <c r="A334" t="s">
        <v>454</v>
      </c>
      <c r="B334" t="s">
        <v>374</v>
      </c>
      <c r="C334" t="s">
        <v>455</v>
      </c>
      <c r="D334" t="s">
        <v>1589</v>
      </c>
      <c r="E334" t="s">
        <v>1590</v>
      </c>
      <c r="F334" s="13">
        <v>44643.605694444443</v>
      </c>
      <c r="G334" t="s">
        <v>1591</v>
      </c>
      <c r="H334" t="s">
        <v>1592</v>
      </c>
      <c r="I334" s="13">
        <v>44643.606504629628</v>
      </c>
      <c r="K334" t="s">
        <v>412</v>
      </c>
      <c r="R334">
        <v>0</v>
      </c>
      <c r="S334" t="s">
        <v>380</v>
      </c>
      <c r="T334" t="s">
        <v>57</v>
      </c>
      <c r="V334" t="s">
        <v>381</v>
      </c>
      <c r="W334" t="s">
        <v>1593</v>
      </c>
      <c r="X334" t="s">
        <v>1593</v>
      </c>
      <c r="AC334" s="13">
        <v>44696</v>
      </c>
      <c r="AD334" s="13">
        <v>44607</v>
      </c>
      <c r="AI334">
        <v>53</v>
      </c>
      <c r="AL334" t="s">
        <v>1594</v>
      </c>
      <c r="AN334" t="s">
        <v>31</v>
      </c>
      <c r="AO334">
        <v>0</v>
      </c>
      <c r="AS334" t="s">
        <v>385</v>
      </c>
      <c r="AX334" t="s">
        <v>57</v>
      </c>
      <c r="AY334" t="s">
        <v>386</v>
      </c>
      <c r="AZ334" t="s">
        <v>1595</v>
      </c>
      <c r="BF334">
        <v>0</v>
      </c>
      <c r="BK334" t="s">
        <v>31</v>
      </c>
      <c r="BS334" t="s">
        <v>412</v>
      </c>
      <c r="BT334" t="s">
        <v>412</v>
      </c>
      <c r="CI334" t="s">
        <v>388</v>
      </c>
      <c r="CJ334" s="14">
        <v>45013</v>
      </c>
      <c r="CK334">
        <v>1</v>
      </c>
    </row>
    <row r="335" spans="1:89">
      <c r="A335" t="s">
        <v>454</v>
      </c>
      <c r="B335" t="s">
        <v>374</v>
      </c>
      <c r="C335" t="s">
        <v>455</v>
      </c>
      <c r="D335" t="s">
        <v>1596</v>
      </c>
      <c r="E335" t="s">
        <v>1597</v>
      </c>
      <c r="F335" s="13">
        <v>44643.596597222226</v>
      </c>
      <c r="G335" t="s">
        <v>1591</v>
      </c>
      <c r="H335" t="s">
        <v>1592</v>
      </c>
      <c r="I335" s="13">
        <v>44643.59752314815</v>
      </c>
      <c r="K335" t="s">
        <v>412</v>
      </c>
      <c r="R335">
        <v>0</v>
      </c>
      <c r="S335" t="s">
        <v>380</v>
      </c>
      <c r="T335" t="s">
        <v>57</v>
      </c>
      <c r="V335" t="s">
        <v>381</v>
      </c>
      <c r="W335" t="s">
        <v>1593</v>
      </c>
      <c r="X335" t="s">
        <v>1593</v>
      </c>
      <c r="AC335" s="13">
        <v>44696</v>
      </c>
      <c r="AD335" s="13">
        <v>44607</v>
      </c>
      <c r="AI335">
        <v>53</v>
      </c>
      <c r="AL335" t="s">
        <v>1598</v>
      </c>
      <c r="AN335" t="s">
        <v>31</v>
      </c>
      <c r="AO335">
        <v>0</v>
      </c>
      <c r="AS335" t="s">
        <v>385</v>
      </c>
      <c r="AX335" t="s">
        <v>57</v>
      </c>
      <c r="AY335" t="s">
        <v>442</v>
      </c>
      <c r="AZ335" t="s">
        <v>1285</v>
      </c>
      <c r="BF335">
        <v>0</v>
      </c>
      <c r="BK335" t="s">
        <v>31</v>
      </c>
      <c r="BS335" t="s">
        <v>412</v>
      </c>
      <c r="BT335" t="s">
        <v>412</v>
      </c>
      <c r="CI335" t="s">
        <v>388</v>
      </c>
      <c r="CJ335" s="14">
        <v>45013</v>
      </c>
      <c r="CK335">
        <v>1</v>
      </c>
    </row>
    <row r="336" spans="1:89">
      <c r="A336" t="s">
        <v>454</v>
      </c>
      <c r="B336" t="s">
        <v>374</v>
      </c>
      <c r="C336" t="s">
        <v>455</v>
      </c>
      <c r="D336" t="s">
        <v>1599</v>
      </c>
      <c r="E336" t="s">
        <v>1600</v>
      </c>
      <c r="F336" s="13">
        <v>44643.586516203701</v>
      </c>
      <c r="G336" t="s">
        <v>1591</v>
      </c>
      <c r="H336" t="s">
        <v>1592</v>
      </c>
      <c r="I336" s="13">
        <v>44643.587442129632</v>
      </c>
      <c r="K336" t="s">
        <v>412</v>
      </c>
      <c r="R336">
        <v>0</v>
      </c>
      <c r="S336" t="s">
        <v>380</v>
      </c>
      <c r="T336" t="s">
        <v>57</v>
      </c>
      <c r="V336" t="s">
        <v>381</v>
      </c>
      <c r="W336" t="s">
        <v>1593</v>
      </c>
      <c r="X336" t="s">
        <v>1593</v>
      </c>
      <c r="AC336" s="13">
        <v>44696</v>
      </c>
      <c r="AD336" s="13">
        <v>44607</v>
      </c>
      <c r="AI336">
        <v>53</v>
      </c>
      <c r="AL336" t="s">
        <v>1601</v>
      </c>
      <c r="AN336" t="s">
        <v>31</v>
      </c>
      <c r="AO336">
        <v>0</v>
      </c>
      <c r="AS336" t="s">
        <v>385</v>
      </c>
      <c r="AX336" t="s">
        <v>57</v>
      </c>
      <c r="AY336" t="s">
        <v>386</v>
      </c>
      <c r="AZ336" t="s">
        <v>1602</v>
      </c>
      <c r="BF336">
        <v>0</v>
      </c>
      <c r="BK336" t="s">
        <v>31</v>
      </c>
      <c r="BS336" t="s">
        <v>412</v>
      </c>
      <c r="BT336" t="s">
        <v>412</v>
      </c>
      <c r="CI336" t="s">
        <v>388</v>
      </c>
      <c r="CJ336" s="14">
        <v>45013</v>
      </c>
      <c r="CK336">
        <v>1</v>
      </c>
    </row>
    <row r="337" spans="1:89">
      <c r="A337" t="s">
        <v>1603</v>
      </c>
      <c r="B337" t="s">
        <v>374</v>
      </c>
      <c r="C337" t="s">
        <v>1604</v>
      </c>
      <c r="D337" t="s">
        <v>1605</v>
      </c>
      <c r="E337" t="s">
        <v>1606</v>
      </c>
      <c r="F337" s="13">
        <v>44643.578668981485</v>
      </c>
      <c r="G337" t="s">
        <v>1583</v>
      </c>
      <c r="H337" t="s">
        <v>1584</v>
      </c>
      <c r="I337" s="13">
        <v>45012.044293981482</v>
      </c>
      <c r="K337" t="s">
        <v>415</v>
      </c>
      <c r="M337" s="13">
        <v>44712</v>
      </c>
      <c r="R337">
        <v>0</v>
      </c>
      <c r="S337" t="s">
        <v>380</v>
      </c>
      <c r="T337" t="s">
        <v>57</v>
      </c>
      <c r="V337" t="s">
        <v>478</v>
      </c>
      <c r="W337" t="s">
        <v>1607</v>
      </c>
      <c r="X337" t="s">
        <v>1607</v>
      </c>
      <c r="AF337" t="s">
        <v>451</v>
      </c>
      <c r="AI337">
        <v>-300</v>
      </c>
      <c r="AL337" t="s">
        <v>1608</v>
      </c>
      <c r="AN337" t="s">
        <v>31</v>
      </c>
      <c r="AO337">
        <v>0</v>
      </c>
      <c r="AS337" t="s">
        <v>707</v>
      </c>
      <c r="AX337" t="s">
        <v>31</v>
      </c>
      <c r="AY337" t="s">
        <v>386</v>
      </c>
      <c r="AZ337" t="s">
        <v>1609</v>
      </c>
      <c r="BF337">
        <v>0</v>
      </c>
      <c r="BK337" t="s">
        <v>31</v>
      </c>
      <c r="BS337" t="s">
        <v>419</v>
      </c>
      <c r="BT337" t="s">
        <v>419</v>
      </c>
      <c r="CI337" t="s">
        <v>388</v>
      </c>
      <c r="CJ337" s="14">
        <v>45013</v>
      </c>
      <c r="CK337">
        <v>1</v>
      </c>
    </row>
    <row r="338" spans="1:89">
      <c r="A338" t="s">
        <v>454</v>
      </c>
      <c r="B338" t="s">
        <v>374</v>
      </c>
      <c r="C338" t="s">
        <v>455</v>
      </c>
      <c r="D338" t="s">
        <v>1610</v>
      </c>
      <c r="E338" t="s">
        <v>1611</v>
      </c>
      <c r="F338" s="13">
        <v>44643.564351851855</v>
      </c>
      <c r="G338" t="s">
        <v>1591</v>
      </c>
      <c r="H338" t="s">
        <v>1592</v>
      </c>
      <c r="I338" s="13">
        <v>44643.565520833334</v>
      </c>
      <c r="K338" t="s">
        <v>412</v>
      </c>
      <c r="R338">
        <v>0</v>
      </c>
      <c r="S338" t="s">
        <v>380</v>
      </c>
      <c r="T338" t="s">
        <v>57</v>
      </c>
      <c r="V338" t="s">
        <v>381</v>
      </c>
      <c r="W338" t="s">
        <v>1593</v>
      </c>
      <c r="X338" t="s">
        <v>1593</v>
      </c>
      <c r="AC338" s="13">
        <v>44696</v>
      </c>
      <c r="AD338" s="13">
        <v>44607</v>
      </c>
      <c r="AI338">
        <v>53</v>
      </c>
      <c r="AL338" t="s">
        <v>1612</v>
      </c>
      <c r="AN338" t="s">
        <v>31</v>
      </c>
      <c r="AO338">
        <v>0</v>
      </c>
      <c r="AS338" t="s">
        <v>385</v>
      </c>
      <c r="AX338" t="s">
        <v>57</v>
      </c>
      <c r="AY338" t="s">
        <v>386</v>
      </c>
      <c r="AZ338" t="s">
        <v>1613</v>
      </c>
      <c r="BF338">
        <v>0</v>
      </c>
      <c r="BK338" t="s">
        <v>31</v>
      </c>
      <c r="BS338" t="s">
        <v>412</v>
      </c>
      <c r="BT338" t="s">
        <v>412</v>
      </c>
      <c r="CI338" t="s">
        <v>388</v>
      </c>
      <c r="CJ338" s="14">
        <v>45013</v>
      </c>
      <c r="CK338">
        <v>1</v>
      </c>
    </row>
    <row r="339" spans="1:89">
      <c r="A339" t="s">
        <v>454</v>
      </c>
      <c r="B339" t="s">
        <v>374</v>
      </c>
      <c r="C339" t="s">
        <v>455</v>
      </c>
      <c r="D339" t="s">
        <v>1614</v>
      </c>
      <c r="E339" t="s">
        <v>1615</v>
      </c>
      <c r="F339" s="13">
        <v>44643.553043981483</v>
      </c>
      <c r="G339" t="s">
        <v>1591</v>
      </c>
      <c r="H339" t="s">
        <v>1592</v>
      </c>
      <c r="I339" s="13">
        <v>44643.554247685184</v>
      </c>
      <c r="K339" t="s">
        <v>412</v>
      </c>
      <c r="R339">
        <v>0</v>
      </c>
      <c r="S339" t="s">
        <v>380</v>
      </c>
      <c r="T339" t="s">
        <v>57</v>
      </c>
      <c r="V339" t="s">
        <v>381</v>
      </c>
      <c r="W339" t="s">
        <v>1593</v>
      </c>
      <c r="X339" t="s">
        <v>1593</v>
      </c>
      <c r="AC339" s="13">
        <v>44696</v>
      </c>
      <c r="AD339" s="13">
        <v>44607</v>
      </c>
      <c r="AI339">
        <v>53</v>
      </c>
      <c r="AL339" t="s">
        <v>1616</v>
      </c>
      <c r="AN339" t="s">
        <v>31</v>
      </c>
      <c r="AO339">
        <v>0</v>
      </c>
      <c r="AS339" t="s">
        <v>385</v>
      </c>
      <c r="AX339" t="s">
        <v>57</v>
      </c>
      <c r="AY339" t="s">
        <v>442</v>
      </c>
      <c r="AZ339" t="s">
        <v>1617</v>
      </c>
      <c r="BF339">
        <v>0</v>
      </c>
      <c r="BK339" t="s">
        <v>31</v>
      </c>
      <c r="BS339" t="s">
        <v>412</v>
      </c>
      <c r="BT339" t="s">
        <v>412</v>
      </c>
      <c r="CI339" t="s">
        <v>388</v>
      </c>
      <c r="CJ339" s="14">
        <v>45013</v>
      </c>
      <c r="CK339">
        <v>1</v>
      </c>
    </row>
    <row r="340" spans="1:89">
      <c r="A340" t="s">
        <v>454</v>
      </c>
      <c r="B340" t="s">
        <v>374</v>
      </c>
      <c r="C340" t="s">
        <v>455</v>
      </c>
      <c r="D340" t="s">
        <v>1618</v>
      </c>
      <c r="E340" t="s">
        <v>1619</v>
      </c>
      <c r="F340" s="13">
        <v>44643.542800925927</v>
      </c>
      <c r="G340" t="s">
        <v>1591</v>
      </c>
      <c r="H340" t="s">
        <v>1592</v>
      </c>
      <c r="I340" s="13">
        <v>44643.544502314813</v>
      </c>
      <c r="K340" t="s">
        <v>412</v>
      </c>
      <c r="R340">
        <v>0</v>
      </c>
      <c r="S340" t="s">
        <v>380</v>
      </c>
      <c r="T340" t="s">
        <v>57</v>
      </c>
      <c r="V340" t="s">
        <v>381</v>
      </c>
      <c r="W340" t="s">
        <v>1593</v>
      </c>
      <c r="X340" t="s">
        <v>1593</v>
      </c>
      <c r="AC340" s="13">
        <v>44696</v>
      </c>
      <c r="AD340" s="13">
        <v>44607</v>
      </c>
      <c r="AI340">
        <v>53</v>
      </c>
      <c r="AL340" t="s">
        <v>1620</v>
      </c>
      <c r="AN340" t="s">
        <v>31</v>
      </c>
      <c r="AO340">
        <v>0</v>
      </c>
      <c r="AS340" t="s">
        <v>385</v>
      </c>
      <c r="AX340" t="s">
        <v>57</v>
      </c>
      <c r="AY340" t="s">
        <v>386</v>
      </c>
      <c r="AZ340" t="s">
        <v>1621</v>
      </c>
      <c r="BF340">
        <v>0</v>
      </c>
      <c r="BK340" t="s">
        <v>31</v>
      </c>
      <c r="BS340" t="s">
        <v>412</v>
      </c>
      <c r="BT340" t="s">
        <v>412</v>
      </c>
      <c r="CI340" t="s">
        <v>388</v>
      </c>
      <c r="CJ340" s="14">
        <v>45013</v>
      </c>
      <c r="CK340">
        <v>1</v>
      </c>
    </row>
    <row r="341" spans="1:89">
      <c r="A341" t="s">
        <v>454</v>
      </c>
      <c r="B341" t="s">
        <v>374</v>
      </c>
      <c r="C341" t="s">
        <v>455</v>
      </c>
      <c r="D341" t="s">
        <v>1622</v>
      </c>
      <c r="E341" t="s">
        <v>1623</v>
      </c>
      <c r="F341" s="13">
        <v>44643.53769675926</v>
      </c>
      <c r="G341" t="s">
        <v>1591</v>
      </c>
      <c r="H341" t="s">
        <v>1592</v>
      </c>
      <c r="I341" s="13">
        <v>44643.540439814817</v>
      </c>
      <c r="K341" t="s">
        <v>412</v>
      </c>
      <c r="R341">
        <v>0</v>
      </c>
      <c r="S341" t="s">
        <v>380</v>
      </c>
      <c r="T341" t="s">
        <v>57</v>
      </c>
      <c r="V341" t="s">
        <v>381</v>
      </c>
      <c r="W341" t="s">
        <v>1593</v>
      </c>
      <c r="X341" t="s">
        <v>1593</v>
      </c>
      <c r="AC341" s="13">
        <v>44696</v>
      </c>
      <c r="AD341" s="13">
        <v>44607</v>
      </c>
      <c r="AI341">
        <v>53</v>
      </c>
      <c r="AL341" t="s">
        <v>1624</v>
      </c>
      <c r="AN341" t="s">
        <v>31</v>
      </c>
      <c r="AO341">
        <v>0</v>
      </c>
      <c r="AS341" t="s">
        <v>385</v>
      </c>
      <c r="AX341" t="s">
        <v>57</v>
      </c>
      <c r="AY341" t="s">
        <v>442</v>
      </c>
      <c r="AZ341" t="s">
        <v>1625</v>
      </c>
      <c r="BE341" t="s">
        <v>1626</v>
      </c>
      <c r="BF341">
        <v>0</v>
      </c>
      <c r="BK341" t="s">
        <v>31</v>
      </c>
      <c r="BS341" t="s">
        <v>412</v>
      </c>
      <c r="BT341" t="s">
        <v>412</v>
      </c>
      <c r="CI341" t="s">
        <v>388</v>
      </c>
      <c r="CJ341" s="14">
        <v>45013</v>
      </c>
      <c r="CK341">
        <v>1</v>
      </c>
    </row>
    <row r="342" spans="1:89">
      <c r="A342" t="s">
        <v>1603</v>
      </c>
      <c r="B342" t="s">
        <v>374</v>
      </c>
      <c r="C342" t="s">
        <v>1604</v>
      </c>
      <c r="D342" t="s">
        <v>1627</v>
      </c>
      <c r="E342" t="s">
        <v>1628</v>
      </c>
      <c r="F342" s="13">
        <v>44643.498460648145</v>
      </c>
      <c r="G342" t="s">
        <v>1583</v>
      </c>
      <c r="H342" t="s">
        <v>1584</v>
      </c>
      <c r="I342" s="13">
        <v>44643.525682870371</v>
      </c>
      <c r="K342" t="s">
        <v>379</v>
      </c>
      <c r="M342" s="13">
        <v>44651</v>
      </c>
      <c r="R342">
        <v>100</v>
      </c>
      <c r="S342" t="s">
        <v>380</v>
      </c>
      <c r="T342" t="s">
        <v>57</v>
      </c>
      <c r="V342" t="s">
        <v>381</v>
      </c>
      <c r="W342" t="s">
        <v>1629</v>
      </c>
      <c r="X342" t="s">
        <v>1629</v>
      </c>
      <c r="AF342" t="s">
        <v>382</v>
      </c>
      <c r="AG342" t="s">
        <v>1630</v>
      </c>
      <c r="AI342">
        <v>8</v>
      </c>
      <c r="AL342" t="s">
        <v>1631</v>
      </c>
      <c r="AN342" t="s">
        <v>31</v>
      </c>
      <c r="AO342">
        <v>0</v>
      </c>
      <c r="AS342" t="s">
        <v>392</v>
      </c>
      <c r="AX342" t="s">
        <v>31</v>
      </c>
      <c r="AY342" t="s">
        <v>386</v>
      </c>
      <c r="AZ342" t="s">
        <v>1632</v>
      </c>
      <c r="BF342">
        <v>0</v>
      </c>
      <c r="BK342" t="s">
        <v>31</v>
      </c>
      <c r="BS342" t="s">
        <v>379</v>
      </c>
      <c r="BT342" t="s">
        <v>379</v>
      </c>
      <c r="CI342" t="s">
        <v>388</v>
      </c>
      <c r="CJ342" s="14">
        <v>45013</v>
      </c>
      <c r="CK342">
        <v>1</v>
      </c>
    </row>
    <row r="343" spans="1:89">
      <c r="A343" t="s">
        <v>1633</v>
      </c>
      <c r="B343" t="s">
        <v>374</v>
      </c>
      <c r="C343" t="s">
        <v>1634</v>
      </c>
      <c r="D343" t="s">
        <v>1635</v>
      </c>
      <c r="E343" t="s">
        <v>1636</v>
      </c>
      <c r="F343" s="13">
        <v>44643.444814814815</v>
      </c>
      <c r="G343" t="s">
        <v>1637</v>
      </c>
      <c r="H343" t="s">
        <v>1638</v>
      </c>
      <c r="I343" s="13">
        <v>44643.457685185182</v>
      </c>
      <c r="K343" t="s">
        <v>379</v>
      </c>
      <c r="M343" s="13">
        <v>44649</v>
      </c>
      <c r="R343">
        <v>100</v>
      </c>
      <c r="S343" t="s">
        <v>380</v>
      </c>
      <c r="T343" t="s">
        <v>57</v>
      </c>
      <c r="V343" t="s">
        <v>381</v>
      </c>
      <c r="W343" t="s">
        <v>1639</v>
      </c>
      <c r="X343" t="s">
        <v>1639</v>
      </c>
      <c r="AF343" t="s">
        <v>382</v>
      </c>
      <c r="AG343" t="s">
        <v>1640</v>
      </c>
      <c r="AI343">
        <v>6</v>
      </c>
      <c r="AL343" t="s">
        <v>1641</v>
      </c>
      <c r="AN343" t="s">
        <v>31</v>
      </c>
      <c r="AO343">
        <v>0</v>
      </c>
      <c r="AS343" t="s">
        <v>385</v>
      </c>
      <c r="AX343" t="s">
        <v>57</v>
      </c>
      <c r="AY343" t="s">
        <v>386</v>
      </c>
      <c r="AZ343" t="s">
        <v>1642</v>
      </c>
      <c r="BF343">
        <v>0</v>
      </c>
      <c r="BK343" t="s">
        <v>31</v>
      </c>
      <c r="BS343" t="s">
        <v>379</v>
      </c>
      <c r="BT343" t="s">
        <v>379</v>
      </c>
      <c r="CI343" t="s">
        <v>388</v>
      </c>
      <c r="CJ343" s="14">
        <v>45013</v>
      </c>
      <c r="CK343">
        <v>1</v>
      </c>
    </row>
    <row r="344" spans="1:89">
      <c r="A344" t="s">
        <v>1643</v>
      </c>
      <c r="B344" t="s">
        <v>374</v>
      </c>
      <c r="C344" t="s">
        <v>1644</v>
      </c>
      <c r="D344" t="s">
        <v>1645</v>
      </c>
      <c r="E344" t="s">
        <v>1646</v>
      </c>
      <c r="F344" s="13">
        <v>44643.4375</v>
      </c>
      <c r="G344" t="s">
        <v>1647</v>
      </c>
      <c r="H344" t="s">
        <v>1648</v>
      </c>
      <c r="I344" s="13">
        <v>45012.044293981482</v>
      </c>
      <c r="K344" t="s">
        <v>415</v>
      </c>
      <c r="M344" s="13">
        <v>44682</v>
      </c>
      <c r="R344">
        <v>0</v>
      </c>
      <c r="S344" t="s">
        <v>416</v>
      </c>
      <c r="T344" t="s">
        <v>57</v>
      </c>
      <c r="V344" t="s">
        <v>478</v>
      </c>
      <c r="W344" t="s">
        <v>1649</v>
      </c>
      <c r="X344" t="s">
        <v>1649</v>
      </c>
      <c r="AF344" t="s">
        <v>451</v>
      </c>
      <c r="AI344">
        <v>-330</v>
      </c>
      <c r="AL344" t="s">
        <v>1650</v>
      </c>
      <c r="AN344" t="s">
        <v>31</v>
      </c>
      <c r="AO344">
        <v>0</v>
      </c>
      <c r="AS344" t="s">
        <v>702</v>
      </c>
      <c r="AX344" t="s">
        <v>31</v>
      </c>
      <c r="AY344" t="s">
        <v>386</v>
      </c>
      <c r="AZ344" t="s">
        <v>1651</v>
      </c>
      <c r="BF344">
        <v>0</v>
      </c>
      <c r="BK344" t="s">
        <v>31</v>
      </c>
      <c r="BS344" t="s">
        <v>419</v>
      </c>
      <c r="BT344" t="s">
        <v>419</v>
      </c>
      <c r="CI344" t="s">
        <v>388</v>
      </c>
      <c r="CJ344" s="14">
        <v>45013</v>
      </c>
      <c r="CK344">
        <v>1</v>
      </c>
    </row>
    <row r="345" spans="1:89">
      <c r="A345" t="s">
        <v>1479</v>
      </c>
      <c r="B345" t="s">
        <v>374</v>
      </c>
      <c r="C345" t="s">
        <v>1480</v>
      </c>
      <c r="D345" t="s">
        <v>1652</v>
      </c>
      <c r="E345" t="s">
        <v>1494</v>
      </c>
      <c r="F345" s="13">
        <v>44643.382060185184</v>
      </c>
      <c r="G345" t="s">
        <v>1483</v>
      </c>
      <c r="H345" t="s">
        <v>1484</v>
      </c>
      <c r="I345" s="13">
        <v>45012.044293981482</v>
      </c>
      <c r="K345" t="s">
        <v>415</v>
      </c>
      <c r="M345" s="13">
        <v>44690</v>
      </c>
      <c r="R345">
        <v>0</v>
      </c>
      <c r="S345" t="s">
        <v>380</v>
      </c>
      <c r="T345" t="s">
        <v>57</v>
      </c>
      <c r="V345" t="s">
        <v>478</v>
      </c>
      <c r="W345" t="s">
        <v>1653</v>
      </c>
      <c r="X345" t="s">
        <v>1653</v>
      </c>
      <c r="AC345" s="13">
        <v>44690</v>
      </c>
      <c r="AD345" s="13">
        <v>44610</v>
      </c>
      <c r="AF345" t="s">
        <v>451</v>
      </c>
      <c r="AI345">
        <v>-322</v>
      </c>
      <c r="AL345" t="s">
        <v>1654</v>
      </c>
      <c r="AN345" t="s">
        <v>31</v>
      </c>
      <c r="AO345">
        <v>0</v>
      </c>
      <c r="AS345" t="s">
        <v>385</v>
      </c>
      <c r="AX345" t="s">
        <v>31</v>
      </c>
      <c r="AY345" t="s">
        <v>386</v>
      </c>
      <c r="AZ345" t="s">
        <v>1547</v>
      </c>
      <c r="BF345">
        <v>0</v>
      </c>
      <c r="BK345" t="s">
        <v>31</v>
      </c>
      <c r="BS345" t="s">
        <v>419</v>
      </c>
      <c r="BT345" t="s">
        <v>419</v>
      </c>
      <c r="CI345" t="s">
        <v>388</v>
      </c>
      <c r="CJ345" s="14">
        <v>45013</v>
      </c>
      <c r="CK345">
        <v>1</v>
      </c>
    </row>
    <row r="346" spans="1:89">
      <c r="A346" t="s">
        <v>1655</v>
      </c>
      <c r="B346" t="s">
        <v>374</v>
      </c>
      <c r="C346" t="s">
        <v>1656</v>
      </c>
      <c r="D346" t="s">
        <v>1657</v>
      </c>
      <c r="E346" t="s">
        <v>1658</v>
      </c>
      <c r="F346" s="13">
        <v>44642.739652777775</v>
      </c>
      <c r="G346" t="s">
        <v>1659</v>
      </c>
      <c r="H346" t="s">
        <v>1660</v>
      </c>
      <c r="I346" s="13">
        <v>45012.044282407405</v>
      </c>
      <c r="K346" t="s">
        <v>415</v>
      </c>
      <c r="M346" s="13">
        <v>44742</v>
      </c>
      <c r="R346">
        <v>0</v>
      </c>
      <c r="S346" t="s">
        <v>380</v>
      </c>
      <c r="T346" t="s">
        <v>57</v>
      </c>
      <c r="V346" t="s">
        <v>478</v>
      </c>
      <c r="W346" t="s">
        <v>1661</v>
      </c>
      <c r="X346" t="s">
        <v>1661</v>
      </c>
      <c r="AF346" t="s">
        <v>451</v>
      </c>
      <c r="AI346">
        <v>-270</v>
      </c>
      <c r="AL346" t="s">
        <v>1662</v>
      </c>
      <c r="AN346" t="s">
        <v>31</v>
      </c>
      <c r="AO346">
        <v>0</v>
      </c>
      <c r="AS346" t="s">
        <v>385</v>
      </c>
      <c r="AX346" t="s">
        <v>31</v>
      </c>
      <c r="AY346" t="s">
        <v>442</v>
      </c>
      <c r="AZ346" t="s">
        <v>1663</v>
      </c>
      <c r="BF346">
        <v>0</v>
      </c>
      <c r="BK346" t="s">
        <v>31</v>
      </c>
      <c r="BS346" t="s">
        <v>419</v>
      </c>
      <c r="BT346" t="s">
        <v>419</v>
      </c>
      <c r="CI346" t="s">
        <v>388</v>
      </c>
      <c r="CJ346" s="14">
        <v>45013</v>
      </c>
      <c r="CK346">
        <v>1</v>
      </c>
    </row>
    <row r="347" spans="1:89">
      <c r="A347" t="s">
        <v>1655</v>
      </c>
      <c r="B347" t="s">
        <v>374</v>
      </c>
      <c r="C347" t="s">
        <v>1656</v>
      </c>
      <c r="D347" t="s">
        <v>1664</v>
      </c>
      <c r="E347" t="s">
        <v>1665</v>
      </c>
      <c r="F347" s="13">
        <v>44642.738078703704</v>
      </c>
      <c r="G347" t="s">
        <v>1659</v>
      </c>
      <c r="H347" t="s">
        <v>1660</v>
      </c>
      <c r="I347" s="13">
        <v>45012.044282407405</v>
      </c>
      <c r="K347" t="s">
        <v>415</v>
      </c>
      <c r="M347" s="13">
        <v>44834</v>
      </c>
      <c r="R347">
        <v>0</v>
      </c>
      <c r="S347" t="s">
        <v>380</v>
      </c>
      <c r="T347" t="s">
        <v>57</v>
      </c>
      <c r="V347" t="s">
        <v>478</v>
      </c>
      <c r="W347" t="s">
        <v>1661</v>
      </c>
      <c r="X347" t="s">
        <v>1661</v>
      </c>
      <c r="AF347" t="s">
        <v>451</v>
      </c>
      <c r="AI347">
        <v>-178</v>
      </c>
      <c r="AL347" t="s">
        <v>1662</v>
      </c>
      <c r="AN347" t="s">
        <v>31</v>
      </c>
      <c r="AO347">
        <v>0</v>
      </c>
      <c r="AS347" t="s">
        <v>707</v>
      </c>
      <c r="AX347" t="s">
        <v>31</v>
      </c>
      <c r="AY347" t="s">
        <v>442</v>
      </c>
      <c r="AZ347" t="s">
        <v>1666</v>
      </c>
      <c r="BF347">
        <v>0</v>
      </c>
      <c r="BK347" t="s">
        <v>31</v>
      </c>
      <c r="BS347" t="s">
        <v>419</v>
      </c>
      <c r="BT347" t="s">
        <v>419</v>
      </c>
      <c r="CI347" t="s">
        <v>388</v>
      </c>
      <c r="CJ347" s="14">
        <v>45013</v>
      </c>
      <c r="CK347">
        <v>1</v>
      </c>
    </row>
    <row r="348" spans="1:89">
      <c r="A348" t="s">
        <v>1655</v>
      </c>
      <c r="B348" t="s">
        <v>374</v>
      </c>
      <c r="C348" t="s">
        <v>1656</v>
      </c>
      <c r="D348" t="s">
        <v>1667</v>
      </c>
      <c r="E348" t="s">
        <v>1668</v>
      </c>
      <c r="F348" s="13">
        <v>44642.689097222225</v>
      </c>
      <c r="G348" t="s">
        <v>1659</v>
      </c>
      <c r="H348" t="s">
        <v>1660</v>
      </c>
      <c r="I348" s="13">
        <v>45012.044282407405</v>
      </c>
      <c r="K348" t="s">
        <v>415</v>
      </c>
      <c r="M348" s="13">
        <v>44650</v>
      </c>
      <c r="R348">
        <v>100</v>
      </c>
      <c r="S348" t="s">
        <v>380</v>
      </c>
      <c r="T348" t="s">
        <v>57</v>
      </c>
      <c r="V348" t="s">
        <v>478</v>
      </c>
      <c r="W348" t="s">
        <v>1661</v>
      </c>
      <c r="X348" t="s">
        <v>1661</v>
      </c>
      <c r="AB348" t="s">
        <v>57</v>
      </c>
      <c r="AF348" t="s">
        <v>382</v>
      </c>
      <c r="AG348" t="s">
        <v>1669</v>
      </c>
      <c r="AI348">
        <v>-362</v>
      </c>
      <c r="AJ348" s="13">
        <v>44651</v>
      </c>
      <c r="AL348" t="s">
        <v>1670</v>
      </c>
      <c r="AN348" t="s">
        <v>31</v>
      </c>
      <c r="AO348">
        <v>0</v>
      </c>
      <c r="AR348" t="s">
        <v>1669</v>
      </c>
      <c r="AS348" t="s">
        <v>385</v>
      </c>
      <c r="AX348" t="s">
        <v>31</v>
      </c>
      <c r="AY348" t="s">
        <v>442</v>
      </c>
      <c r="AZ348" t="s">
        <v>1671</v>
      </c>
      <c r="BF348">
        <v>0</v>
      </c>
      <c r="BK348" t="s">
        <v>31</v>
      </c>
      <c r="BS348" t="s">
        <v>1201</v>
      </c>
      <c r="BT348" t="s">
        <v>1202</v>
      </c>
      <c r="CI348" t="s">
        <v>388</v>
      </c>
      <c r="CJ348" s="14">
        <v>45013</v>
      </c>
      <c r="CK348">
        <v>1</v>
      </c>
    </row>
    <row r="349" spans="1:89">
      <c r="A349" t="s">
        <v>1655</v>
      </c>
      <c r="B349" t="s">
        <v>374</v>
      </c>
      <c r="C349" t="s">
        <v>1656</v>
      </c>
      <c r="D349" t="s">
        <v>1672</v>
      </c>
      <c r="E349" t="s">
        <v>1673</v>
      </c>
      <c r="F349" s="13">
        <v>44642.686909722222</v>
      </c>
      <c r="G349" t="s">
        <v>1659</v>
      </c>
      <c r="H349" t="s">
        <v>1660</v>
      </c>
      <c r="I349" s="13">
        <v>45012.044270833336</v>
      </c>
      <c r="K349" t="s">
        <v>415</v>
      </c>
      <c r="M349" s="13">
        <v>44650</v>
      </c>
      <c r="R349">
        <v>100</v>
      </c>
      <c r="S349" t="s">
        <v>380</v>
      </c>
      <c r="T349" t="s">
        <v>57</v>
      </c>
      <c r="V349" t="s">
        <v>478</v>
      </c>
      <c r="W349" t="s">
        <v>1661</v>
      </c>
      <c r="X349" t="s">
        <v>1661</v>
      </c>
      <c r="AB349" t="s">
        <v>57</v>
      </c>
      <c r="AF349" t="s">
        <v>382</v>
      </c>
      <c r="AG349" t="s">
        <v>1669</v>
      </c>
      <c r="AI349">
        <v>-362</v>
      </c>
      <c r="AJ349" s="13">
        <v>44651</v>
      </c>
      <c r="AL349" t="s">
        <v>1670</v>
      </c>
      <c r="AN349" t="s">
        <v>31</v>
      </c>
      <c r="AO349">
        <v>0</v>
      </c>
      <c r="AR349" t="s">
        <v>1669</v>
      </c>
      <c r="AS349" t="s">
        <v>392</v>
      </c>
      <c r="AX349" t="s">
        <v>31</v>
      </c>
      <c r="AY349" t="s">
        <v>442</v>
      </c>
      <c r="AZ349" t="s">
        <v>1674</v>
      </c>
      <c r="BF349">
        <v>0</v>
      </c>
      <c r="BK349" t="s">
        <v>31</v>
      </c>
      <c r="BS349" t="s">
        <v>1201</v>
      </c>
      <c r="BT349" t="s">
        <v>1202</v>
      </c>
      <c r="CI349" t="s">
        <v>388</v>
      </c>
      <c r="CJ349" s="14">
        <v>45013</v>
      </c>
      <c r="CK349">
        <v>1</v>
      </c>
    </row>
    <row r="350" spans="1:89">
      <c r="A350" t="s">
        <v>1675</v>
      </c>
      <c r="B350" t="s">
        <v>374</v>
      </c>
      <c r="C350" t="s">
        <v>1676</v>
      </c>
      <c r="D350" t="s">
        <v>1677</v>
      </c>
      <c r="E350" t="s">
        <v>1678</v>
      </c>
      <c r="F350" s="13">
        <v>44642.555474537039</v>
      </c>
      <c r="G350" t="s">
        <v>1501</v>
      </c>
      <c r="H350" t="s">
        <v>1502</v>
      </c>
      <c r="I350" s="13">
        <v>45012.044270833336</v>
      </c>
      <c r="K350" t="s">
        <v>415</v>
      </c>
      <c r="M350" s="13">
        <v>44895</v>
      </c>
      <c r="R350">
        <v>0</v>
      </c>
      <c r="S350" t="s">
        <v>380</v>
      </c>
      <c r="T350" t="s">
        <v>57</v>
      </c>
      <c r="V350" t="s">
        <v>478</v>
      </c>
      <c r="W350" t="s">
        <v>1679</v>
      </c>
      <c r="X350" t="s">
        <v>1679</v>
      </c>
      <c r="AF350" t="s">
        <v>451</v>
      </c>
      <c r="AI350">
        <v>-117</v>
      </c>
      <c r="AL350" t="s">
        <v>1680</v>
      </c>
      <c r="AN350" t="s">
        <v>57</v>
      </c>
      <c r="AO350">
        <v>0</v>
      </c>
      <c r="AS350" t="s">
        <v>392</v>
      </c>
      <c r="AX350" t="s">
        <v>57</v>
      </c>
      <c r="AY350" t="s">
        <v>442</v>
      </c>
      <c r="AZ350" t="s">
        <v>1681</v>
      </c>
      <c r="BF350">
        <v>0</v>
      </c>
      <c r="BK350" t="s">
        <v>31</v>
      </c>
      <c r="BS350" t="s">
        <v>419</v>
      </c>
      <c r="BT350" t="s">
        <v>419</v>
      </c>
      <c r="CI350" t="s">
        <v>388</v>
      </c>
      <c r="CJ350" s="14">
        <v>45013</v>
      </c>
      <c r="CK350">
        <v>1</v>
      </c>
    </row>
    <row r="351" spans="1:89">
      <c r="A351" t="s">
        <v>1497</v>
      </c>
      <c r="B351" t="s">
        <v>374</v>
      </c>
      <c r="C351" t="s">
        <v>1498</v>
      </c>
      <c r="D351" t="s">
        <v>1682</v>
      </c>
      <c r="E351" t="s">
        <v>1683</v>
      </c>
      <c r="F351" s="13">
        <v>44642.548449074071</v>
      </c>
      <c r="G351" t="s">
        <v>1501</v>
      </c>
      <c r="H351" t="s">
        <v>1502</v>
      </c>
      <c r="I351" s="13">
        <v>45012.044270833336</v>
      </c>
      <c r="K351" t="s">
        <v>415</v>
      </c>
      <c r="M351" s="13">
        <v>44895</v>
      </c>
      <c r="R351">
        <v>0</v>
      </c>
      <c r="S351" t="s">
        <v>380</v>
      </c>
      <c r="T351" t="s">
        <v>57</v>
      </c>
      <c r="V351" t="s">
        <v>478</v>
      </c>
      <c r="W351" t="s">
        <v>1684</v>
      </c>
      <c r="X351" t="s">
        <v>1684</v>
      </c>
      <c r="AF351" t="s">
        <v>451</v>
      </c>
      <c r="AI351">
        <v>-117</v>
      </c>
      <c r="AL351" t="s">
        <v>1685</v>
      </c>
      <c r="AN351" t="s">
        <v>57</v>
      </c>
      <c r="AO351">
        <v>0</v>
      </c>
      <c r="AS351" t="s">
        <v>392</v>
      </c>
      <c r="AX351" t="s">
        <v>57</v>
      </c>
      <c r="AY351" t="s">
        <v>442</v>
      </c>
      <c r="AZ351" t="s">
        <v>1686</v>
      </c>
      <c r="BF351">
        <v>0</v>
      </c>
      <c r="BK351" t="s">
        <v>31</v>
      </c>
      <c r="BS351" t="s">
        <v>419</v>
      </c>
      <c r="BT351" t="s">
        <v>419</v>
      </c>
      <c r="CI351" t="s">
        <v>388</v>
      </c>
      <c r="CJ351" s="14">
        <v>45013</v>
      </c>
      <c r="CK351">
        <v>1</v>
      </c>
    </row>
    <row r="352" spans="1:89">
      <c r="A352" t="s">
        <v>1459</v>
      </c>
      <c r="B352" t="s">
        <v>374</v>
      </c>
      <c r="C352" t="s">
        <v>1460</v>
      </c>
      <c r="D352" t="s">
        <v>1687</v>
      </c>
      <c r="E352" t="s">
        <v>1688</v>
      </c>
      <c r="F352" s="13">
        <v>44638.764374999999</v>
      </c>
      <c r="G352" t="s">
        <v>641</v>
      </c>
      <c r="H352" t="s">
        <v>642</v>
      </c>
      <c r="I352" s="13">
        <v>44650.372847222221</v>
      </c>
      <c r="K352" t="s">
        <v>379</v>
      </c>
      <c r="M352" s="13">
        <v>44635</v>
      </c>
      <c r="R352">
        <v>100</v>
      </c>
      <c r="S352" t="s">
        <v>380</v>
      </c>
      <c r="T352" t="s">
        <v>57</v>
      </c>
      <c r="V352" t="s">
        <v>381</v>
      </c>
      <c r="W352" t="s">
        <v>1465</v>
      </c>
      <c r="X352" t="s">
        <v>1465</v>
      </c>
      <c r="AC352" s="13">
        <v>44595</v>
      </c>
      <c r="AD352" s="13">
        <v>44582</v>
      </c>
      <c r="AF352" t="s">
        <v>382</v>
      </c>
      <c r="AG352" t="s">
        <v>1689</v>
      </c>
      <c r="AI352">
        <v>-15</v>
      </c>
      <c r="AN352" t="s">
        <v>31</v>
      </c>
      <c r="AO352">
        <v>0</v>
      </c>
      <c r="AS352" t="s">
        <v>385</v>
      </c>
      <c r="AX352" t="s">
        <v>31</v>
      </c>
      <c r="AY352" t="s">
        <v>386</v>
      </c>
      <c r="AZ352" t="s">
        <v>1690</v>
      </c>
      <c r="BF352">
        <v>0</v>
      </c>
      <c r="BK352" t="s">
        <v>31</v>
      </c>
      <c r="BS352" t="s">
        <v>379</v>
      </c>
      <c r="BT352" t="s">
        <v>379</v>
      </c>
      <c r="CI352" t="s">
        <v>388</v>
      </c>
      <c r="CJ352" s="14">
        <v>45013</v>
      </c>
      <c r="CK352">
        <v>1</v>
      </c>
    </row>
    <row r="353" spans="1:89">
      <c r="A353" t="s">
        <v>1459</v>
      </c>
      <c r="B353" t="s">
        <v>374</v>
      </c>
      <c r="C353" t="s">
        <v>1460</v>
      </c>
      <c r="D353" t="s">
        <v>1691</v>
      </c>
      <c r="E353" t="s">
        <v>1692</v>
      </c>
      <c r="F353" s="13">
        <v>44638.764374999999</v>
      </c>
      <c r="G353" t="s">
        <v>641</v>
      </c>
      <c r="H353" t="s">
        <v>642</v>
      </c>
      <c r="I353" s="13">
        <v>45012.044259259259</v>
      </c>
      <c r="K353" t="s">
        <v>415</v>
      </c>
      <c r="M353" s="13">
        <v>44650</v>
      </c>
      <c r="R353">
        <v>0</v>
      </c>
      <c r="S353" t="s">
        <v>380</v>
      </c>
      <c r="T353" t="s">
        <v>57</v>
      </c>
      <c r="V353" t="s">
        <v>478</v>
      </c>
      <c r="W353" t="s">
        <v>1465</v>
      </c>
      <c r="X353" t="s">
        <v>1465</v>
      </c>
      <c r="AC353" s="13">
        <v>44594</v>
      </c>
      <c r="AD353" s="13">
        <v>44581</v>
      </c>
      <c r="AF353" t="s">
        <v>451</v>
      </c>
      <c r="AI353">
        <v>-362</v>
      </c>
      <c r="AN353" t="s">
        <v>31</v>
      </c>
      <c r="AO353">
        <v>0</v>
      </c>
      <c r="AS353" t="s">
        <v>538</v>
      </c>
      <c r="AX353" t="s">
        <v>31</v>
      </c>
      <c r="AY353" t="s">
        <v>386</v>
      </c>
      <c r="AZ353" t="s">
        <v>1693</v>
      </c>
      <c r="BF353">
        <v>0</v>
      </c>
      <c r="BK353" t="s">
        <v>31</v>
      </c>
      <c r="BS353" t="s">
        <v>419</v>
      </c>
      <c r="BT353" t="s">
        <v>419</v>
      </c>
      <c r="CI353" t="s">
        <v>388</v>
      </c>
      <c r="CJ353" s="14">
        <v>45013</v>
      </c>
      <c r="CK353">
        <v>1</v>
      </c>
    </row>
    <row r="354" spans="1:89">
      <c r="A354" t="s">
        <v>1459</v>
      </c>
      <c r="B354" t="s">
        <v>374</v>
      </c>
      <c r="C354" t="s">
        <v>1460</v>
      </c>
      <c r="D354" t="s">
        <v>1694</v>
      </c>
      <c r="E354" t="s">
        <v>1695</v>
      </c>
      <c r="F354" s="13">
        <v>44638.764363425929</v>
      </c>
      <c r="G354" t="s">
        <v>641</v>
      </c>
      <c r="H354" t="s">
        <v>642</v>
      </c>
      <c r="I354" s="13">
        <v>45012.044259259259</v>
      </c>
      <c r="K354" t="s">
        <v>415</v>
      </c>
      <c r="M354" s="13">
        <v>44650</v>
      </c>
      <c r="R354">
        <v>0</v>
      </c>
      <c r="S354" t="s">
        <v>380</v>
      </c>
      <c r="T354" t="s">
        <v>57</v>
      </c>
      <c r="V354" t="s">
        <v>478</v>
      </c>
      <c r="W354" t="s">
        <v>1465</v>
      </c>
      <c r="X354" t="s">
        <v>1465</v>
      </c>
      <c r="Y354" t="s">
        <v>480</v>
      </c>
      <c r="AC354" s="13">
        <v>44592</v>
      </c>
      <c r="AD354" s="13">
        <v>44579</v>
      </c>
      <c r="AF354" t="s">
        <v>451</v>
      </c>
      <c r="AG354" t="s">
        <v>1696</v>
      </c>
      <c r="AI354">
        <v>-362</v>
      </c>
      <c r="AN354" t="s">
        <v>31</v>
      </c>
      <c r="AO354">
        <v>0</v>
      </c>
      <c r="AS354" t="s">
        <v>392</v>
      </c>
      <c r="AT354" t="s">
        <v>31</v>
      </c>
      <c r="AX354" t="s">
        <v>31</v>
      </c>
      <c r="AY354" t="s">
        <v>386</v>
      </c>
      <c r="AZ354" t="s">
        <v>1697</v>
      </c>
      <c r="BF354">
        <v>0</v>
      </c>
      <c r="BK354" t="s">
        <v>31</v>
      </c>
      <c r="BS354" t="s">
        <v>484</v>
      </c>
      <c r="BT354" t="s">
        <v>484</v>
      </c>
      <c r="CI354" t="s">
        <v>388</v>
      </c>
      <c r="CJ354" s="14">
        <v>45013</v>
      </c>
      <c r="CK354">
        <v>1</v>
      </c>
    </row>
    <row r="355" spans="1:89">
      <c r="A355" t="s">
        <v>1459</v>
      </c>
      <c r="B355" t="s">
        <v>374</v>
      </c>
      <c r="C355" t="s">
        <v>1460</v>
      </c>
      <c r="D355" t="s">
        <v>1698</v>
      </c>
      <c r="E355" t="s">
        <v>1699</v>
      </c>
      <c r="F355" s="13">
        <v>44638.764363425929</v>
      </c>
      <c r="G355" t="s">
        <v>641</v>
      </c>
      <c r="H355" t="s">
        <v>642</v>
      </c>
      <c r="I355" s="13">
        <v>45012.044259259259</v>
      </c>
      <c r="K355" t="s">
        <v>415</v>
      </c>
      <c r="M355" s="13">
        <v>44650</v>
      </c>
      <c r="R355">
        <v>0</v>
      </c>
      <c r="S355" t="s">
        <v>380</v>
      </c>
      <c r="T355" t="s">
        <v>57</v>
      </c>
      <c r="V355" t="s">
        <v>478</v>
      </c>
      <c r="W355" t="s">
        <v>1465</v>
      </c>
      <c r="X355" t="s">
        <v>1465</v>
      </c>
      <c r="AC355" s="13">
        <v>44593</v>
      </c>
      <c r="AD355" s="13">
        <v>44580</v>
      </c>
      <c r="AF355" t="s">
        <v>451</v>
      </c>
      <c r="AI355">
        <v>-361</v>
      </c>
      <c r="AN355" t="s">
        <v>31</v>
      </c>
      <c r="AO355">
        <v>0</v>
      </c>
      <c r="AS355" t="s">
        <v>744</v>
      </c>
      <c r="AX355" t="s">
        <v>31</v>
      </c>
      <c r="AY355" t="s">
        <v>386</v>
      </c>
      <c r="AZ355" t="s">
        <v>1700</v>
      </c>
      <c r="BF355">
        <v>0</v>
      </c>
      <c r="BK355" t="s">
        <v>31</v>
      </c>
      <c r="BS355" t="s">
        <v>419</v>
      </c>
      <c r="BT355" t="s">
        <v>419</v>
      </c>
      <c r="CI355" t="s">
        <v>388</v>
      </c>
      <c r="CJ355" s="14">
        <v>45013</v>
      </c>
      <c r="CK355">
        <v>1</v>
      </c>
    </row>
    <row r="356" spans="1:89">
      <c r="A356" t="s">
        <v>1701</v>
      </c>
      <c r="B356" t="s">
        <v>374</v>
      </c>
      <c r="C356" t="s">
        <v>1702</v>
      </c>
      <c r="D356" t="s">
        <v>1703</v>
      </c>
      <c r="E356" t="s">
        <v>1704</v>
      </c>
      <c r="F356" s="13">
        <v>44638.759328703702</v>
      </c>
      <c r="G356" t="s">
        <v>641</v>
      </c>
      <c r="H356" t="s">
        <v>642</v>
      </c>
      <c r="I356" s="13">
        <v>44638.759328703702</v>
      </c>
      <c r="K356" t="s">
        <v>412</v>
      </c>
      <c r="M356" s="13">
        <v>44579</v>
      </c>
      <c r="R356">
        <v>0</v>
      </c>
      <c r="S356" t="s">
        <v>380</v>
      </c>
      <c r="T356" t="s">
        <v>57</v>
      </c>
      <c r="V356" t="s">
        <v>381</v>
      </c>
      <c r="W356" t="s">
        <v>1639</v>
      </c>
      <c r="X356" t="s">
        <v>1639</v>
      </c>
      <c r="AC356" s="13">
        <v>44579</v>
      </c>
      <c r="AD356" s="13">
        <v>44579</v>
      </c>
      <c r="AI356">
        <v>-59</v>
      </c>
      <c r="AN356" t="s">
        <v>31</v>
      </c>
      <c r="AO356">
        <v>0</v>
      </c>
      <c r="AS356" t="s">
        <v>385</v>
      </c>
      <c r="AX356" t="s">
        <v>57</v>
      </c>
      <c r="AY356" t="s">
        <v>442</v>
      </c>
      <c r="BF356">
        <v>0</v>
      </c>
      <c r="BK356" t="s">
        <v>31</v>
      </c>
      <c r="BS356" t="s">
        <v>412</v>
      </c>
      <c r="CI356" t="s">
        <v>388</v>
      </c>
      <c r="CJ356" s="14">
        <v>45013</v>
      </c>
      <c r="CK356">
        <v>1</v>
      </c>
    </row>
    <row r="357" spans="1:89">
      <c r="A357" t="s">
        <v>1705</v>
      </c>
      <c r="B357" t="s">
        <v>374</v>
      </c>
      <c r="C357" t="s">
        <v>1706</v>
      </c>
      <c r="D357" t="s">
        <v>1707</v>
      </c>
      <c r="E357" t="s">
        <v>1708</v>
      </c>
      <c r="F357" s="13">
        <v>44638.759328703702</v>
      </c>
      <c r="G357" t="s">
        <v>641</v>
      </c>
      <c r="H357" t="s">
        <v>642</v>
      </c>
      <c r="I357" s="13">
        <v>44638.759328703702</v>
      </c>
      <c r="K357" t="s">
        <v>412</v>
      </c>
      <c r="M357" s="13">
        <v>44609</v>
      </c>
      <c r="R357">
        <v>0</v>
      </c>
      <c r="S357" t="s">
        <v>380</v>
      </c>
      <c r="T357" t="s">
        <v>57</v>
      </c>
      <c r="V357" t="s">
        <v>381</v>
      </c>
      <c r="W357" t="s">
        <v>1709</v>
      </c>
      <c r="X357" t="s">
        <v>1709</v>
      </c>
      <c r="AC357" s="13">
        <v>44609</v>
      </c>
      <c r="AD357" s="13">
        <v>44609</v>
      </c>
      <c r="AI357">
        <v>-29</v>
      </c>
      <c r="AN357" t="s">
        <v>31</v>
      </c>
      <c r="AO357">
        <v>0</v>
      </c>
      <c r="AS357" t="s">
        <v>648</v>
      </c>
      <c r="AX357" t="s">
        <v>57</v>
      </c>
      <c r="AY357" t="s">
        <v>442</v>
      </c>
      <c r="BF357">
        <v>0</v>
      </c>
      <c r="BK357" t="s">
        <v>31</v>
      </c>
      <c r="BS357" t="s">
        <v>412</v>
      </c>
      <c r="CI357" t="s">
        <v>388</v>
      </c>
      <c r="CJ357" s="14">
        <v>45013</v>
      </c>
      <c r="CK357">
        <v>1</v>
      </c>
    </row>
    <row r="358" spans="1:89">
      <c r="A358" t="s">
        <v>1710</v>
      </c>
      <c r="B358" t="s">
        <v>374</v>
      </c>
      <c r="C358" t="s">
        <v>392</v>
      </c>
      <c r="D358" t="s">
        <v>1711</v>
      </c>
      <c r="E358" t="s">
        <v>1712</v>
      </c>
      <c r="F358" s="13">
        <v>44638.759317129632</v>
      </c>
      <c r="G358" t="s">
        <v>641</v>
      </c>
      <c r="H358" t="s">
        <v>642</v>
      </c>
      <c r="I358" s="13">
        <v>44638.759317129632</v>
      </c>
      <c r="K358" t="s">
        <v>412</v>
      </c>
      <c r="M358" s="13">
        <v>44742</v>
      </c>
      <c r="R358">
        <v>0</v>
      </c>
      <c r="S358" t="s">
        <v>380</v>
      </c>
      <c r="T358" t="s">
        <v>57</v>
      </c>
      <c r="V358" t="s">
        <v>381</v>
      </c>
      <c r="W358" t="s">
        <v>1713</v>
      </c>
      <c r="X358" t="s">
        <v>1713</v>
      </c>
      <c r="AC358" s="13">
        <v>44742</v>
      </c>
      <c r="AD358" s="13">
        <v>44742</v>
      </c>
      <c r="AI358">
        <v>104</v>
      </c>
      <c r="AN358" t="s">
        <v>31</v>
      </c>
      <c r="AO358">
        <v>0</v>
      </c>
      <c r="AS358" t="s">
        <v>392</v>
      </c>
      <c r="AX358" t="s">
        <v>57</v>
      </c>
      <c r="AY358" t="s">
        <v>442</v>
      </c>
      <c r="BF358">
        <v>0</v>
      </c>
      <c r="BK358" t="s">
        <v>31</v>
      </c>
      <c r="BS358" t="s">
        <v>412</v>
      </c>
      <c r="CI358" t="s">
        <v>388</v>
      </c>
      <c r="CJ358" s="14">
        <v>45013</v>
      </c>
      <c r="CK358">
        <v>1</v>
      </c>
    </row>
    <row r="359" spans="1:89">
      <c r="A359" t="s">
        <v>1710</v>
      </c>
      <c r="B359" t="s">
        <v>374</v>
      </c>
      <c r="C359" t="s">
        <v>392</v>
      </c>
      <c r="D359" t="s">
        <v>1714</v>
      </c>
      <c r="E359" t="s">
        <v>1715</v>
      </c>
      <c r="F359" s="13">
        <v>44638.759317129632</v>
      </c>
      <c r="G359" t="s">
        <v>641</v>
      </c>
      <c r="H359" t="s">
        <v>642</v>
      </c>
      <c r="I359" s="13">
        <v>44638.759317129632</v>
      </c>
      <c r="K359" t="s">
        <v>412</v>
      </c>
      <c r="M359" s="13">
        <v>44742</v>
      </c>
      <c r="R359">
        <v>0</v>
      </c>
      <c r="S359" t="s">
        <v>380</v>
      </c>
      <c r="T359" t="s">
        <v>57</v>
      </c>
      <c r="V359" t="s">
        <v>381</v>
      </c>
      <c r="W359" t="s">
        <v>1713</v>
      </c>
      <c r="X359" t="s">
        <v>1713</v>
      </c>
      <c r="AC359" s="13">
        <v>44742</v>
      </c>
      <c r="AD359" s="13">
        <v>44742</v>
      </c>
      <c r="AI359">
        <v>104</v>
      </c>
      <c r="AN359" t="s">
        <v>31</v>
      </c>
      <c r="AO359">
        <v>0</v>
      </c>
      <c r="AS359" t="s">
        <v>392</v>
      </c>
      <c r="AX359" t="s">
        <v>57</v>
      </c>
      <c r="AY359" t="s">
        <v>442</v>
      </c>
      <c r="BF359">
        <v>0</v>
      </c>
      <c r="BK359" t="s">
        <v>31</v>
      </c>
      <c r="BS359" t="s">
        <v>412</v>
      </c>
      <c r="CI359" t="s">
        <v>388</v>
      </c>
      <c r="CJ359" s="14">
        <v>45013</v>
      </c>
      <c r="CK359">
        <v>1</v>
      </c>
    </row>
    <row r="360" spans="1:89">
      <c r="A360" t="s">
        <v>1716</v>
      </c>
      <c r="B360" t="s">
        <v>374</v>
      </c>
      <c r="C360" t="s">
        <v>966</v>
      </c>
      <c r="D360" t="s">
        <v>1717</v>
      </c>
      <c r="E360" t="s">
        <v>1718</v>
      </c>
      <c r="F360" s="13">
        <v>44638.759305555555</v>
      </c>
      <c r="G360" t="s">
        <v>641</v>
      </c>
      <c r="H360" t="s">
        <v>642</v>
      </c>
      <c r="I360" s="13">
        <v>44638.759305555555</v>
      </c>
      <c r="K360" t="s">
        <v>412</v>
      </c>
      <c r="M360" s="13">
        <v>44601</v>
      </c>
      <c r="R360">
        <v>0</v>
      </c>
      <c r="S360" t="s">
        <v>380</v>
      </c>
      <c r="T360" t="s">
        <v>57</v>
      </c>
      <c r="V360" t="s">
        <v>381</v>
      </c>
      <c r="W360" t="s">
        <v>1719</v>
      </c>
      <c r="X360" t="s">
        <v>1719</v>
      </c>
      <c r="AC360" s="13">
        <v>44601</v>
      </c>
      <c r="AD360" s="13">
        <v>44601</v>
      </c>
      <c r="AI360">
        <v>-37</v>
      </c>
      <c r="AN360" t="s">
        <v>31</v>
      </c>
      <c r="AO360">
        <v>0</v>
      </c>
      <c r="AS360" t="s">
        <v>1720</v>
      </c>
      <c r="AX360" t="s">
        <v>57</v>
      </c>
      <c r="AY360" t="s">
        <v>386</v>
      </c>
      <c r="BF360">
        <v>0</v>
      </c>
      <c r="BK360" t="s">
        <v>31</v>
      </c>
      <c r="BS360" t="s">
        <v>412</v>
      </c>
      <c r="CI360" t="s">
        <v>388</v>
      </c>
      <c r="CJ360" s="14">
        <v>45013</v>
      </c>
      <c r="CK360">
        <v>1</v>
      </c>
    </row>
    <row r="361" spans="1:89">
      <c r="A361" t="s">
        <v>1721</v>
      </c>
      <c r="B361" t="s">
        <v>374</v>
      </c>
      <c r="C361" t="s">
        <v>1722</v>
      </c>
      <c r="D361" t="s">
        <v>1723</v>
      </c>
      <c r="E361" t="s">
        <v>1724</v>
      </c>
      <c r="F361" s="13">
        <v>44638.759305555555</v>
      </c>
      <c r="G361" t="s">
        <v>641</v>
      </c>
      <c r="H361" t="s">
        <v>642</v>
      </c>
      <c r="I361" s="13">
        <v>44638.759305555555</v>
      </c>
      <c r="K361" t="s">
        <v>412</v>
      </c>
      <c r="M361" s="13">
        <v>44643</v>
      </c>
      <c r="R361">
        <v>0</v>
      </c>
      <c r="S361" t="s">
        <v>380</v>
      </c>
      <c r="T361" t="s">
        <v>57</v>
      </c>
      <c r="V361" t="s">
        <v>381</v>
      </c>
      <c r="W361" t="s">
        <v>1725</v>
      </c>
      <c r="X361" t="s">
        <v>1725</v>
      </c>
      <c r="AC361" s="13">
        <v>44643</v>
      </c>
      <c r="AD361" s="13">
        <v>44643</v>
      </c>
      <c r="AI361">
        <v>5</v>
      </c>
      <c r="AN361" t="s">
        <v>31</v>
      </c>
      <c r="AO361">
        <v>0</v>
      </c>
      <c r="AS361" t="s">
        <v>648</v>
      </c>
      <c r="AX361" t="s">
        <v>57</v>
      </c>
      <c r="AY361" t="s">
        <v>386</v>
      </c>
      <c r="BF361">
        <v>0</v>
      </c>
      <c r="BK361" t="s">
        <v>31</v>
      </c>
      <c r="BS361" t="s">
        <v>412</v>
      </c>
      <c r="CI361" t="s">
        <v>388</v>
      </c>
      <c r="CJ361" s="14">
        <v>45013</v>
      </c>
      <c r="CK361">
        <v>1</v>
      </c>
    </row>
    <row r="362" spans="1:89">
      <c r="A362" t="s">
        <v>1721</v>
      </c>
      <c r="B362" t="s">
        <v>374</v>
      </c>
      <c r="C362" t="s">
        <v>1722</v>
      </c>
      <c r="D362" t="s">
        <v>1726</v>
      </c>
      <c r="E362" t="s">
        <v>1727</v>
      </c>
      <c r="F362" s="13">
        <v>44638.759293981479</v>
      </c>
      <c r="G362" t="s">
        <v>641</v>
      </c>
      <c r="H362" t="s">
        <v>642</v>
      </c>
      <c r="I362" s="13">
        <v>44638.759293981479</v>
      </c>
      <c r="K362" t="s">
        <v>412</v>
      </c>
      <c r="M362" s="13">
        <v>44574</v>
      </c>
      <c r="R362">
        <v>0</v>
      </c>
      <c r="S362" t="s">
        <v>380</v>
      </c>
      <c r="T362" t="s">
        <v>57</v>
      </c>
      <c r="V362" t="s">
        <v>381</v>
      </c>
      <c r="W362" t="s">
        <v>1725</v>
      </c>
      <c r="X362" t="s">
        <v>1725</v>
      </c>
      <c r="AC362" s="13">
        <v>44574</v>
      </c>
      <c r="AD362" s="13">
        <v>44574</v>
      </c>
      <c r="AI362">
        <v>-64</v>
      </c>
      <c r="AN362" t="s">
        <v>31</v>
      </c>
      <c r="AO362">
        <v>0</v>
      </c>
      <c r="AS362" t="s">
        <v>385</v>
      </c>
      <c r="AX362" t="s">
        <v>57</v>
      </c>
      <c r="AY362" t="s">
        <v>386</v>
      </c>
      <c r="BF362">
        <v>0</v>
      </c>
      <c r="BK362" t="s">
        <v>31</v>
      </c>
      <c r="BS362" t="s">
        <v>412</v>
      </c>
      <c r="CI362" t="s">
        <v>388</v>
      </c>
      <c r="CJ362" s="14">
        <v>45013</v>
      </c>
      <c r="CK362">
        <v>1</v>
      </c>
    </row>
    <row r="363" spans="1:89">
      <c r="A363" t="s">
        <v>1705</v>
      </c>
      <c r="B363" t="s">
        <v>374</v>
      </c>
      <c r="C363" t="s">
        <v>1706</v>
      </c>
      <c r="D363" t="s">
        <v>1728</v>
      </c>
      <c r="E363" t="s">
        <v>1729</v>
      </c>
      <c r="F363" s="13">
        <v>44638.759293981479</v>
      </c>
      <c r="G363" t="s">
        <v>641</v>
      </c>
      <c r="H363" t="s">
        <v>642</v>
      </c>
      <c r="I363" s="13">
        <v>44638.759293981479</v>
      </c>
      <c r="K363" t="s">
        <v>412</v>
      </c>
      <c r="M363" s="13">
        <v>44651</v>
      </c>
      <c r="R363">
        <v>0</v>
      </c>
      <c r="S363" t="s">
        <v>380</v>
      </c>
      <c r="T363" t="s">
        <v>57</v>
      </c>
      <c r="V363" t="s">
        <v>381</v>
      </c>
      <c r="W363" t="s">
        <v>1730</v>
      </c>
      <c r="X363" t="s">
        <v>1730</v>
      </c>
      <c r="AC363" s="13">
        <v>44651</v>
      </c>
      <c r="AD363" s="13">
        <v>44651</v>
      </c>
      <c r="AI363">
        <v>13</v>
      </c>
      <c r="AN363" t="s">
        <v>31</v>
      </c>
      <c r="AO363">
        <v>0</v>
      </c>
      <c r="AS363" t="s">
        <v>385</v>
      </c>
      <c r="AX363" t="s">
        <v>57</v>
      </c>
      <c r="AY363" t="s">
        <v>386</v>
      </c>
      <c r="BF363">
        <v>0</v>
      </c>
      <c r="BK363" t="s">
        <v>31</v>
      </c>
      <c r="BS363" t="s">
        <v>412</v>
      </c>
      <c r="CI363" t="s">
        <v>388</v>
      </c>
      <c r="CJ363" s="14">
        <v>45013</v>
      </c>
      <c r="CK363">
        <v>1</v>
      </c>
    </row>
    <row r="364" spans="1:89">
      <c r="A364" t="s">
        <v>1705</v>
      </c>
      <c r="B364" t="s">
        <v>374</v>
      </c>
      <c r="C364" t="s">
        <v>1706</v>
      </c>
      <c r="D364" t="s">
        <v>1731</v>
      </c>
      <c r="E364" t="s">
        <v>1732</v>
      </c>
      <c r="F364" s="13">
        <v>44638.759293981479</v>
      </c>
      <c r="G364" t="s">
        <v>641</v>
      </c>
      <c r="H364" t="s">
        <v>642</v>
      </c>
      <c r="I364" s="13">
        <v>44638.759293981479</v>
      </c>
      <c r="K364" t="s">
        <v>412</v>
      </c>
      <c r="M364" s="13">
        <v>44651</v>
      </c>
      <c r="R364">
        <v>0</v>
      </c>
      <c r="S364" t="s">
        <v>380</v>
      </c>
      <c r="T364" t="s">
        <v>57</v>
      </c>
      <c r="V364" t="s">
        <v>381</v>
      </c>
      <c r="W364" t="s">
        <v>1733</v>
      </c>
      <c r="X364" t="s">
        <v>1733</v>
      </c>
      <c r="AC364" s="13">
        <v>44651</v>
      </c>
      <c r="AD364" s="13">
        <v>44651</v>
      </c>
      <c r="AI364">
        <v>13</v>
      </c>
      <c r="AN364" t="s">
        <v>31</v>
      </c>
      <c r="AO364">
        <v>0</v>
      </c>
      <c r="AS364" t="s">
        <v>385</v>
      </c>
      <c r="AX364" t="s">
        <v>57</v>
      </c>
      <c r="AY364" t="s">
        <v>386</v>
      </c>
      <c r="BF364">
        <v>0</v>
      </c>
      <c r="BK364" t="s">
        <v>31</v>
      </c>
      <c r="BS364" t="s">
        <v>412</v>
      </c>
      <c r="CI364" t="s">
        <v>388</v>
      </c>
      <c r="CJ364" s="14">
        <v>45013</v>
      </c>
      <c r="CK364">
        <v>1</v>
      </c>
    </row>
    <row r="365" spans="1:89">
      <c r="A365" t="s">
        <v>1705</v>
      </c>
      <c r="B365" t="s">
        <v>374</v>
      </c>
      <c r="C365" t="s">
        <v>1706</v>
      </c>
      <c r="D365" t="s">
        <v>1734</v>
      </c>
      <c r="E365" t="s">
        <v>1735</v>
      </c>
      <c r="F365" s="13">
        <v>44638.759282407409</v>
      </c>
      <c r="G365" t="s">
        <v>641</v>
      </c>
      <c r="H365" t="s">
        <v>642</v>
      </c>
      <c r="I365" s="13">
        <v>44638.759282407409</v>
      </c>
      <c r="K365" t="s">
        <v>412</v>
      </c>
      <c r="M365" s="13">
        <v>44651</v>
      </c>
      <c r="R365">
        <v>0</v>
      </c>
      <c r="S365" t="s">
        <v>380</v>
      </c>
      <c r="T365" t="s">
        <v>57</v>
      </c>
      <c r="V365" t="s">
        <v>381</v>
      </c>
      <c r="W365" t="s">
        <v>1719</v>
      </c>
      <c r="X365" t="s">
        <v>1719</v>
      </c>
      <c r="AC365" s="13">
        <v>44651</v>
      </c>
      <c r="AD365" s="13">
        <v>44651</v>
      </c>
      <c r="AI365">
        <v>13</v>
      </c>
      <c r="AN365" t="s">
        <v>31</v>
      </c>
      <c r="AO365">
        <v>0</v>
      </c>
      <c r="AS365" t="s">
        <v>385</v>
      </c>
      <c r="AX365" t="s">
        <v>57</v>
      </c>
      <c r="AY365" t="s">
        <v>386</v>
      </c>
      <c r="BF365">
        <v>0</v>
      </c>
      <c r="BK365" t="s">
        <v>31</v>
      </c>
      <c r="BS365" t="s">
        <v>412</v>
      </c>
      <c r="CI365" t="s">
        <v>388</v>
      </c>
      <c r="CJ365" s="14">
        <v>45013</v>
      </c>
      <c r="CK365">
        <v>1</v>
      </c>
    </row>
    <row r="366" spans="1:89">
      <c r="A366" t="s">
        <v>1705</v>
      </c>
      <c r="B366" t="s">
        <v>374</v>
      </c>
      <c r="C366" t="s">
        <v>1706</v>
      </c>
      <c r="D366" t="s">
        <v>1736</v>
      </c>
      <c r="E366" t="s">
        <v>1737</v>
      </c>
      <c r="F366" s="13">
        <v>44638.759282407409</v>
      </c>
      <c r="G366" t="s">
        <v>641</v>
      </c>
      <c r="H366" t="s">
        <v>642</v>
      </c>
      <c r="I366" s="13">
        <v>44638.759282407409</v>
      </c>
      <c r="K366" t="s">
        <v>412</v>
      </c>
      <c r="M366" s="13">
        <v>44651</v>
      </c>
      <c r="R366">
        <v>0</v>
      </c>
      <c r="S366" t="s">
        <v>380</v>
      </c>
      <c r="T366" t="s">
        <v>57</v>
      </c>
      <c r="V366" t="s">
        <v>381</v>
      </c>
      <c r="W366" t="s">
        <v>1733</v>
      </c>
      <c r="X366" t="s">
        <v>1733</v>
      </c>
      <c r="AC366" s="13">
        <v>44651</v>
      </c>
      <c r="AD366" s="13">
        <v>44651</v>
      </c>
      <c r="AI366">
        <v>13</v>
      </c>
      <c r="AN366" t="s">
        <v>31</v>
      </c>
      <c r="AO366">
        <v>0</v>
      </c>
      <c r="AS366" t="s">
        <v>385</v>
      </c>
      <c r="AX366" t="s">
        <v>57</v>
      </c>
      <c r="AY366" t="s">
        <v>386</v>
      </c>
      <c r="BF366">
        <v>0</v>
      </c>
      <c r="BK366" t="s">
        <v>31</v>
      </c>
      <c r="BS366" t="s">
        <v>412</v>
      </c>
      <c r="CI366" t="s">
        <v>388</v>
      </c>
      <c r="CJ366" s="14">
        <v>45013</v>
      </c>
      <c r="CK366">
        <v>1</v>
      </c>
    </row>
    <row r="367" spans="1:89">
      <c r="A367" t="s">
        <v>1705</v>
      </c>
      <c r="B367" t="s">
        <v>374</v>
      </c>
      <c r="C367" t="s">
        <v>1706</v>
      </c>
      <c r="D367" t="s">
        <v>1738</v>
      </c>
      <c r="E367" t="s">
        <v>1739</v>
      </c>
      <c r="F367" s="13">
        <v>44638.759270833332</v>
      </c>
      <c r="G367" t="s">
        <v>641</v>
      </c>
      <c r="H367" t="s">
        <v>642</v>
      </c>
      <c r="I367" s="13">
        <v>44638.759270833332</v>
      </c>
      <c r="K367" t="s">
        <v>412</v>
      </c>
      <c r="M367" s="13">
        <v>44651</v>
      </c>
      <c r="R367">
        <v>0</v>
      </c>
      <c r="S367" t="s">
        <v>380</v>
      </c>
      <c r="T367" t="s">
        <v>57</v>
      </c>
      <c r="V367" t="s">
        <v>381</v>
      </c>
      <c r="W367" t="s">
        <v>1709</v>
      </c>
      <c r="X367" t="s">
        <v>1709</v>
      </c>
      <c r="AC367" s="13">
        <v>44651</v>
      </c>
      <c r="AD367" s="13">
        <v>44651</v>
      </c>
      <c r="AI367">
        <v>13</v>
      </c>
      <c r="AN367" t="s">
        <v>31</v>
      </c>
      <c r="AO367">
        <v>0</v>
      </c>
      <c r="AS367" t="s">
        <v>385</v>
      </c>
      <c r="AX367" t="s">
        <v>57</v>
      </c>
      <c r="AY367" t="s">
        <v>386</v>
      </c>
      <c r="BF367">
        <v>0</v>
      </c>
      <c r="BK367" t="s">
        <v>31</v>
      </c>
      <c r="BS367" t="s">
        <v>412</v>
      </c>
      <c r="CI367" t="s">
        <v>388</v>
      </c>
      <c r="CJ367" s="14">
        <v>45013</v>
      </c>
      <c r="CK367">
        <v>1</v>
      </c>
    </row>
    <row r="368" spans="1:89">
      <c r="A368" t="s">
        <v>1705</v>
      </c>
      <c r="B368" t="s">
        <v>374</v>
      </c>
      <c r="C368" t="s">
        <v>1706</v>
      </c>
      <c r="D368" t="s">
        <v>1740</v>
      </c>
      <c r="E368" t="s">
        <v>1741</v>
      </c>
      <c r="F368" s="13">
        <v>44638.759270833332</v>
      </c>
      <c r="G368" t="s">
        <v>641</v>
      </c>
      <c r="H368" t="s">
        <v>642</v>
      </c>
      <c r="I368" s="13">
        <v>44638.759270833332</v>
      </c>
      <c r="K368" t="s">
        <v>412</v>
      </c>
      <c r="M368" s="13">
        <v>44651</v>
      </c>
      <c r="R368">
        <v>0</v>
      </c>
      <c r="S368" t="s">
        <v>380</v>
      </c>
      <c r="T368" t="s">
        <v>57</v>
      </c>
      <c r="V368" t="s">
        <v>381</v>
      </c>
      <c r="W368" t="s">
        <v>1709</v>
      </c>
      <c r="X368" t="s">
        <v>1709</v>
      </c>
      <c r="AC368" s="13">
        <v>44651</v>
      </c>
      <c r="AD368" s="13">
        <v>44651</v>
      </c>
      <c r="AI368">
        <v>13</v>
      </c>
      <c r="AN368" t="s">
        <v>31</v>
      </c>
      <c r="AO368">
        <v>0</v>
      </c>
      <c r="AS368" t="s">
        <v>392</v>
      </c>
      <c r="AX368" t="s">
        <v>57</v>
      </c>
      <c r="AY368" t="s">
        <v>386</v>
      </c>
      <c r="BF368">
        <v>0</v>
      </c>
      <c r="BK368" t="s">
        <v>31</v>
      </c>
      <c r="BS368" t="s">
        <v>412</v>
      </c>
      <c r="CI368" t="s">
        <v>388</v>
      </c>
      <c r="CJ368" s="14">
        <v>45013</v>
      </c>
      <c r="CK368">
        <v>1</v>
      </c>
    </row>
    <row r="369" spans="1:89">
      <c r="A369" t="s">
        <v>1705</v>
      </c>
      <c r="B369" t="s">
        <v>374</v>
      </c>
      <c r="C369" t="s">
        <v>1706</v>
      </c>
      <c r="D369" t="s">
        <v>1742</v>
      </c>
      <c r="E369" t="s">
        <v>1743</v>
      </c>
      <c r="F369" s="13">
        <v>44638.759270833332</v>
      </c>
      <c r="G369" t="s">
        <v>641</v>
      </c>
      <c r="H369" t="s">
        <v>642</v>
      </c>
      <c r="I369" s="13">
        <v>44638.759270833332</v>
      </c>
      <c r="K369" t="s">
        <v>412</v>
      </c>
      <c r="M369" s="13">
        <v>44651</v>
      </c>
      <c r="R369">
        <v>0</v>
      </c>
      <c r="S369" t="s">
        <v>380</v>
      </c>
      <c r="T369" t="s">
        <v>57</v>
      </c>
      <c r="V369" t="s">
        <v>381</v>
      </c>
      <c r="W369" t="s">
        <v>1709</v>
      </c>
      <c r="X369" t="s">
        <v>1709</v>
      </c>
      <c r="AC369" s="13">
        <v>44651</v>
      </c>
      <c r="AD369" s="13">
        <v>44651</v>
      </c>
      <c r="AI369">
        <v>13</v>
      </c>
      <c r="AN369" t="s">
        <v>31</v>
      </c>
      <c r="AO369">
        <v>0</v>
      </c>
      <c r="AS369" t="s">
        <v>648</v>
      </c>
      <c r="AX369" t="s">
        <v>57</v>
      </c>
      <c r="AY369" t="s">
        <v>386</v>
      </c>
      <c r="BF369">
        <v>0</v>
      </c>
      <c r="BK369" t="s">
        <v>31</v>
      </c>
      <c r="BS369" t="s">
        <v>412</v>
      </c>
      <c r="CI369" t="s">
        <v>388</v>
      </c>
      <c r="CJ369" s="14">
        <v>45013</v>
      </c>
      <c r="CK369">
        <v>1</v>
      </c>
    </row>
    <row r="370" spans="1:89">
      <c r="A370" t="s">
        <v>1705</v>
      </c>
      <c r="B370" t="s">
        <v>374</v>
      </c>
      <c r="C370" t="s">
        <v>1706</v>
      </c>
      <c r="D370" t="s">
        <v>1744</v>
      </c>
      <c r="E370" t="s">
        <v>1745</v>
      </c>
      <c r="F370" s="13">
        <v>44638.759259259263</v>
      </c>
      <c r="G370" t="s">
        <v>641</v>
      </c>
      <c r="H370" t="s">
        <v>642</v>
      </c>
      <c r="I370" s="13">
        <v>44638.759259259263</v>
      </c>
      <c r="K370" t="s">
        <v>412</v>
      </c>
      <c r="M370" s="13">
        <v>44651</v>
      </c>
      <c r="R370">
        <v>0</v>
      </c>
      <c r="S370" t="s">
        <v>380</v>
      </c>
      <c r="T370" t="s">
        <v>57</v>
      </c>
      <c r="V370" t="s">
        <v>381</v>
      </c>
      <c r="W370" t="s">
        <v>1733</v>
      </c>
      <c r="X370" t="s">
        <v>1733</v>
      </c>
      <c r="AC370" s="13">
        <v>44651</v>
      </c>
      <c r="AD370" s="13">
        <v>44651</v>
      </c>
      <c r="AI370">
        <v>13</v>
      </c>
      <c r="AN370" t="s">
        <v>31</v>
      </c>
      <c r="AO370">
        <v>0</v>
      </c>
      <c r="AS370" t="s">
        <v>385</v>
      </c>
      <c r="AX370" t="s">
        <v>57</v>
      </c>
      <c r="AY370" t="s">
        <v>386</v>
      </c>
      <c r="BF370">
        <v>0</v>
      </c>
      <c r="BK370" t="s">
        <v>31</v>
      </c>
      <c r="BS370" t="s">
        <v>412</v>
      </c>
      <c r="CI370" t="s">
        <v>388</v>
      </c>
      <c r="CJ370" s="14">
        <v>45013</v>
      </c>
      <c r="CK370">
        <v>1</v>
      </c>
    </row>
    <row r="371" spans="1:89">
      <c r="A371" t="s">
        <v>1705</v>
      </c>
      <c r="B371" t="s">
        <v>374</v>
      </c>
      <c r="C371" t="s">
        <v>1706</v>
      </c>
      <c r="D371" t="s">
        <v>1746</v>
      </c>
      <c r="E371" t="s">
        <v>1747</v>
      </c>
      <c r="F371" s="13">
        <v>44638.759259259263</v>
      </c>
      <c r="G371" t="s">
        <v>641</v>
      </c>
      <c r="H371" t="s">
        <v>642</v>
      </c>
      <c r="I371" s="13">
        <v>44638.759259259263</v>
      </c>
      <c r="K371" t="s">
        <v>412</v>
      </c>
      <c r="M371" s="13">
        <v>44651</v>
      </c>
      <c r="R371">
        <v>0</v>
      </c>
      <c r="S371" t="s">
        <v>380</v>
      </c>
      <c r="T371" t="s">
        <v>57</v>
      </c>
      <c r="V371" t="s">
        <v>381</v>
      </c>
      <c r="W371" t="s">
        <v>1733</v>
      </c>
      <c r="X371" t="s">
        <v>1733</v>
      </c>
      <c r="AC371" s="13">
        <v>44651</v>
      </c>
      <c r="AD371" s="13">
        <v>44651</v>
      </c>
      <c r="AI371">
        <v>13</v>
      </c>
      <c r="AN371" t="s">
        <v>31</v>
      </c>
      <c r="AO371">
        <v>0</v>
      </c>
      <c r="AS371" t="s">
        <v>385</v>
      </c>
      <c r="AX371" t="s">
        <v>57</v>
      </c>
      <c r="AY371" t="s">
        <v>386</v>
      </c>
      <c r="BF371">
        <v>0</v>
      </c>
      <c r="BK371" t="s">
        <v>31</v>
      </c>
      <c r="BS371" t="s">
        <v>412</v>
      </c>
      <c r="CI371" t="s">
        <v>388</v>
      </c>
      <c r="CJ371" s="14">
        <v>45013</v>
      </c>
      <c r="CK371">
        <v>1</v>
      </c>
    </row>
    <row r="372" spans="1:89">
      <c r="A372" t="s">
        <v>1705</v>
      </c>
      <c r="B372" t="s">
        <v>374</v>
      </c>
      <c r="C372" t="s">
        <v>1706</v>
      </c>
      <c r="D372" t="s">
        <v>1748</v>
      </c>
      <c r="E372" t="s">
        <v>1749</v>
      </c>
      <c r="F372" s="13">
        <v>44638.759247685186</v>
      </c>
      <c r="G372" t="s">
        <v>641</v>
      </c>
      <c r="H372" t="s">
        <v>642</v>
      </c>
      <c r="I372" s="13">
        <v>44638.759247685186</v>
      </c>
      <c r="K372" t="s">
        <v>412</v>
      </c>
      <c r="M372" s="13">
        <v>44580</v>
      </c>
      <c r="R372">
        <v>0</v>
      </c>
      <c r="S372" t="s">
        <v>380</v>
      </c>
      <c r="T372" t="s">
        <v>57</v>
      </c>
      <c r="V372" t="s">
        <v>381</v>
      </c>
      <c r="W372" t="s">
        <v>1750</v>
      </c>
      <c r="X372" t="s">
        <v>1750</v>
      </c>
      <c r="AC372" s="13">
        <v>44580</v>
      </c>
      <c r="AD372" s="13">
        <v>44580</v>
      </c>
      <c r="AI372">
        <v>-58</v>
      </c>
      <c r="AN372" t="s">
        <v>31</v>
      </c>
      <c r="AO372">
        <v>0</v>
      </c>
      <c r="AS372" t="s">
        <v>385</v>
      </c>
      <c r="AX372" t="s">
        <v>57</v>
      </c>
      <c r="AY372" t="s">
        <v>386</v>
      </c>
      <c r="BF372">
        <v>0</v>
      </c>
      <c r="BK372" t="s">
        <v>31</v>
      </c>
      <c r="BS372" t="s">
        <v>412</v>
      </c>
      <c r="CI372" t="s">
        <v>388</v>
      </c>
      <c r="CJ372" s="14">
        <v>45013</v>
      </c>
      <c r="CK372">
        <v>1</v>
      </c>
    </row>
    <row r="373" spans="1:89">
      <c r="A373" t="s">
        <v>1705</v>
      </c>
      <c r="B373" t="s">
        <v>374</v>
      </c>
      <c r="C373" t="s">
        <v>1706</v>
      </c>
      <c r="D373" t="s">
        <v>1751</v>
      </c>
      <c r="E373" t="s">
        <v>1752</v>
      </c>
      <c r="F373" s="13">
        <v>44638.759247685186</v>
      </c>
      <c r="G373" t="s">
        <v>641</v>
      </c>
      <c r="H373" t="s">
        <v>642</v>
      </c>
      <c r="I373" s="13">
        <v>44638.759247685186</v>
      </c>
      <c r="K373" t="s">
        <v>412</v>
      </c>
      <c r="M373" s="13">
        <v>44651</v>
      </c>
      <c r="R373">
        <v>0</v>
      </c>
      <c r="S373" t="s">
        <v>380</v>
      </c>
      <c r="T373" t="s">
        <v>57</v>
      </c>
      <c r="V373" t="s">
        <v>381</v>
      </c>
      <c r="W373" t="s">
        <v>1733</v>
      </c>
      <c r="X373" t="s">
        <v>1733</v>
      </c>
      <c r="AC373" s="13">
        <v>44651</v>
      </c>
      <c r="AD373" s="13">
        <v>44651</v>
      </c>
      <c r="AI373">
        <v>13</v>
      </c>
      <c r="AN373" t="s">
        <v>31</v>
      </c>
      <c r="AO373">
        <v>0</v>
      </c>
      <c r="AS373" t="s">
        <v>385</v>
      </c>
      <c r="AX373" t="s">
        <v>57</v>
      </c>
      <c r="AY373" t="s">
        <v>386</v>
      </c>
      <c r="BF373">
        <v>0</v>
      </c>
      <c r="BK373" t="s">
        <v>31</v>
      </c>
      <c r="BS373" t="s">
        <v>412</v>
      </c>
      <c r="CI373" t="s">
        <v>388</v>
      </c>
      <c r="CJ373" s="14">
        <v>45013</v>
      </c>
      <c r="CK373">
        <v>1</v>
      </c>
    </row>
    <row r="374" spans="1:89">
      <c r="A374" t="s">
        <v>1705</v>
      </c>
      <c r="B374" t="s">
        <v>374</v>
      </c>
      <c r="C374" t="s">
        <v>1706</v>
      </c>
      <c r="D374" t="s">
        <v>1753</v>
      </c>
      <c r="E374" t="s">
        <v>1754</v>
      </c>
      <c r="F374" s="13">
        <v>44638.759236111109</v>
      </c>
      <c r="G374" t="s">
        <v>641</v>
      </c>
      <c r="H374" t="s">
        <v>642</v>
      </c>
      <c r="I374" s="13">
        <v>44638.759236111109</v>
      </c>
      <c r="K374" t="s">
        <v>412</v>
      </c>
      <c r="M374" s="13">
        <v>44649</v>
      </c>
      <c r="R374">
        <v>0</v>
      </c>
      <c r="S374" t="s">
        <v>380</v>
      </c>
      <c r="T374" t="s">
        <v>57</v>
      </c>
      <c r="V374" t="s">
        <v>381</v>
      </c>
      <c r="W374" t="s">
        <v>1750</v>
      </c>
      <c r="X374" t="s">
        <v>1750</v>
      </c>
      <c r="AC374" s="13">
        <v>44649</v>
      </c>
      <c r="AD374" s="13">
        <v>44649</v>
      </c>
      <c r="AI374">
        <v>11</v>
      </c>
      <c r="AN374" t="s">
        <v>31</v>
      </c>
      <c r="AO374">
        <v>0</v>
      </c>
      <c r="AS374" t="s">
        <v>385</v>
      </c>
      <c r="AX374" t="s">
        <v>57</v>
      </c>
      <c r="AY374" t="s">
        <v>386</v>
      </c>
      <c r="BF374">
        <v>0</v>
      </c>
      <c r="BK374" t="s">
        <v>31</v>
      </c>
      <c r="BS374" t="s">
        <v>412</v>
      </c>
      <c r="CI374" t="s">
        <v>388</v>
      </c>
      <c r="CJ374" s="14">
        <v>45013</v>
      </c>
      <c r="CK374">
        <v>1</v>
      </c>
    </row>
    <row r="375" spans="1:89">
      <c r="A375" t="s">
        <v>1705</v>
      </c>
      <c r="B375" t="s">
        <v>374</v>
      </c>
      <c r="C375" t="s">
        <v>1706</v>
      </c>
      <c r="D375" t="s">
        <v>1755</v>
      </c>
      <c r="E375" t="s">
        <v>1756</v>
      </c>
      <c r="F375" s="13">
        <v>44638.759236111109</v>
      </c>
      <c r="G375" t="s">
        <v>641</v>
      </c>
      <c r="H375" t="s">
        <v>642</v>
      </c>
      <c r="I375" s="13">
        <v>44638.759236111109</v>
      </c>
      <c r="K375" t="s">
        <v>412</v>
      </c>
      <c r="M375" s="13">
        <v>44649</v>
      </c>
      <c r="R375">
        <v>0</v>
      </c>
      <c r="S375" t="s">
        <v>380</v>
      </c>
      <c r="T375" t="s">
        <v>57</v>
      </c>
      <c r="V375" t="s">
        <v>381</v>
      </c>
      <c r="W375" t="s">
        <v>1750</v>
      </c>
      <c r="X375" t="s">
        <v>1750</v>
      </c>
      <c r="AC375" s="13">
        <v>44649</v>
      </c>
      <c r="AD375" s="13">
        <v>44649</v>
      </c>
      <c r="AI375">
        <v>11</v>
      </c>
      <c r="AN375" t="s">
        <v>31</v>
      </c>
      <c r="AO375">
        <v>0</v>
      </c>
      <c r="AS375" t="s">
        <v>385</v>
      </c>
      <c r="AX375" t="s">
        <v>57</v>
      </c>
      <c r="AY375" t="s">
        <v>386</v>
      </c>
      <c r="BF375">
        <v>0</v>
      </c>
      <c r="BK375" t="s">
        <v>31</v>
      </c>
      <c r="BS375" t="s">
        <v>412</v>
      </c>
      <c r="CI375" t="s">
        <v>388</v>
      </c>
      <c r="CJ375" s="14">
        <v>45013</v>
      </c>
      <c r="CK375">
        <v>1</v>
      </c>
    </row>
    <row r="376" spans="1:89">
      <c r="A376" t="s">
        <v>1705</v>
      </c>
      <c r="B376" t="s">
        <v>374</v>
      </c>
      <c r="C376" t="s">
        <v>1706</v>
      </c>
      <c r="D376" t="s">
        <v>1757</v>
      </c>
      <c r="E376" t="s">
        <v>1758</v>
      </c>
      <c r="F376" s="13">
        <v>44638.75922453704</v>
      </c>
      <c r="G376" t="s">
        <v>641</v>
      </c>
      <c r="H376" t="s">
        <v>642</v>
      </c>
      <c r="I376" s="13">
        <v>44638.75922453704</v>
      </c>
      <c r="K376" t="s">
        <v>412</v>
      </c>
      <c r="M376" s="13">
        <v>44580</v>
      </c>
      <c r="R376">
        <v>0</v>
      </c>
      <c r="S376" t="s">
        <v>380</v>
      </c>
      <c r="T376" t="s">
        <v>57</v>
      </c>
      <c r="V376" t="s">
        <v>381</v>
      </c>
      <c r="W376" t="s">
        <v>1759</v>
      </c>
      <c r="X376" t="s">
        <v>1759</v>
      </c>
      <c r="AC376" s="13">
        <v>44580</v>
      </c>
      <c r="AD376" s="13">
        <v>44580</v>
      </c>
      <c r="AI376">
        <v>-58</v>
      </c>
      <c r="AN376" t="s">
        <v>31</v>
      </c>
      <c r="AO376">
        <v>0</v>
      </c>
      <c r="AS376" t="s">
        <v>881</v>
      </c>
      <c r="AX376" t="s">
        <v>57</v>
      </c>
      <c r="AY376" t="s">
        <v>386</v>
      </c>
      <c r="BF376">
        <v>0</v>
      </c>
      <c r="BK376" t="s">
        <v>31</v>
      </c>
      <c r="BS376" t="s">
        <v>412</v>
      </c>
      <c r="CI376" t="s">
        <v>388</v>
      </c>
      <c r="CJ376" s="14">
        <v>45013</v>
      </c>
      <c r="CK376">
        <v>1</v>
      </c>
    </row>
    <row r="377" spans="1:89">
      <c r="A377" t="s">
        <v>1705</v>
      </c>
      <c r="B377" t="s">
        <v>374</v>
      </c>
      <c r="C377" t="s">
        <v>1706</v>
      </c>
      <c r="D377" t="s">
        <v>1760</v>
      </c>
      <c r="E377" t="s">
        <v>1761</v>
      </c>
      <c r="F377" s="13">
        <v>44638.75922453704</v>
      </c>
      <c r="G377" t="s">
        <v>641</v>
      </c>
      <c r="H377" t="s">
        <v>642</v>
      </c>
      <c r="I377" s="13">
        <v>44638.75922453704</v>
      </c>
      <c r="K377" t="s">
        <v>412</v>
      </c>
      <c r="M377" s="13">
        <v>44617</v>
      </c>
      <c r="R377">
        <v>0</v>
      </c>
      <c r="S377" t="s">
        <v>380</v>
      </c>
      <c r="T377" t="s">
        <v>57</v>
      </c>
      <c r="V377" t="s">
        <v>381</v>
      </c>
      <c r="W377" t="s">
        <v>1762</v>
      </c>
      <c r="X377" t="s">
        <v>1762</v>
      </c>
      <c r="AC377" s="13">
        <v>44617</v>
      </c>
      <c r="AD377" s="13">
        <v>44617</v>
      </c>
      <c r="AI377">
        <v>-21</v>
      </c>
      <c r="AN377" t="s">
        <v>31</v>
      </c>
      <c r="AO377">
        <v>0</v>
      </c>
      <c r="AS377" t="s">
        <v>881</v>
      </c>
      <c r="AX377" t="s">
        <v>57</v>
      </c>
      <c r="AY377" t="s">
        <v>386</v>
      </c>
      <c r="BF377">
        <v>0</v>
      </c>
      <c r="BK377" t="s">
        <v>31</v>
      </c>
      <c r="BS377" t="s">
        <v>412</v>
      </c>
      <c r="CI377" t="s">
        <v>388</v>
      </c>
      <c r="CJ377" s="14">
        <v>45013</v>
      </c>
      <c r="CK377">
        <v>1</v>
      </c>
    </row>
    <row r="378" spans="1:89">
      <c r="A378" t="s">
        <v>1721</v>
      </c>
      <c r="B378" t="s">
        <v>374</v>
      </c>
      <c r="C378" t="s">
        <v>1722</v>
      </c>
      <c r="D378" t="s">
        <v>1763</v>
      </c>
      <c r="E378" t="s">
        <v>1764</v>
      </c>
      <c r="F378" s="13">
        <v>44638.759212962963</v>
      </c>
      <c r="G378" t="s">
        <v>641</v>
      </c>
      <c r="H378" t="s">
        <v>642</v>
      </c>
      <c r="I378" s="13">
        <v>44638.759212962963</v>
      </c>
      <c r="K378" t="s">
        <v>412</v>
      </c>
      <c r="M378" s="13">
        <v>44620</v>
      </c>
      <c r="R378">
        <v>0</v>
      </c>
      <c r="S378" t="s">
        <v>380</v>
      </c>
      <c r="T378" t="s">
        <v>57</v>
      </c>
      <c r="V378" t="s">
        <v>381</v>
      </c>
      <c r="W378" t="s">
        <v>1765</v>
      </c>
      <c r="X378" t="s">
        <v>1765</v>
      </c>
      <c r="AC378" s="13">
        <v>44620</v>
      </c>
      <c r="AD378" s="13">
        <v>44620</v>
      </c>
      <c r="AI378">
        <v>-18</v>
      </c>
      <c r="AN378" t="s">
        <v>31</v>
      </c>
      <c r="AO378">
        <v>0</v>
      </c>
      <c r="AS378" t="s">
        <v>707</v>
      </c>
      <c r="AX378" t="s">
        <v>57</v>
      </c>
      <c r="AY378" t="s">
        <v>386</v>
      </c>
      <c r="BF378">
        <v>0</v>
      </c>
      <c r="BK378" t="s">
        <v>31</v>
      </c>
      <c r="BS378" t="s">
        <v>412</v>
      </c>
      <c r="CI378" t="s">
        <v>388</v>
      </c>
      <c r="CJ378" s="14">
        <v>45013</v>
      </c>
      <c r="CK378">
        <v>1</v>
      </c>
    </row>
    <row r="379" spans="1:89">
      <c r="A379" t="s">
        <v>1766</v>
      </c>
      <c r="B379" t="s">
        <v>374</v>
      </c>
      <c r="C379" t="s">
        <v>35</v>
      </c>
      <c r="D379" t="s">
        <v>1767</v>
      </c>
      <c r="E379" t="s">
        <v>1768</v>
      </c>
      <c r="F379" s="13">
        <v>44638.759212962963</v>
      </c>
      <c r="G379" t="s">
        <v>641</v>
      </c>
      <c r="H379" t="s">
        <v>642</v>
      </c>
      <c r="I379" s="13">
        <v>44638.759212962963</v>
      </c>
      <c r="K379" t="s">
        <v>412</v>
      </c>
      <c r="M379" s="13">
        <v>44596</v>
      </c>
      <c r="R379">
        <v>0</v>
      </c>
      <c r="S379" t="s">
        <v>380</v>
      </c>
      <c r="T379" t="s">
        <v>57</v>
      </c>
      <c r="V379" t="s">
        <v>381</v>
      </c>
      <c r="W379" t="s">
        <v>1762</v>
      </c>
      <c r="X379" t="s">
        <v>1762</v>
      </c>
      <c r="AC379" s="13">
        <v>44596</v>
      </c>
      <c r="AD379" s="13">
        <v>44596</v>
      </c>
      <c r="AI379">
        <v>-42</v>
      </c>
      <c r="AN379" t="s">
        <v>31</v>
      </c>
      <c r="AO379">
        <v>0</v>
      </c>
      <c r="AS379" t="s">
        <v>1720</v>
      </c>
      <c r="AX379" t="s">
        <v>57</v>
      </c>
      <c r="AY379" t="s">
        <v>386</v>
      </c>
      <c r="BF379">
        <v>0</v>
      </c>
      <c r="BK379" t="s">
        <v>31</v>
      </c>
      <c r="BS379" t="s">
        <v>412</v>
      </c>
      <c r="CI379" t="s">
        <v>388</v>
      </c>
      <c r="CJ379" s="14">
        <v>45013</v>
      </c>
      <c r="CK379">
        <v>1</v>
      </c>
    </row>
    <row r="380" spans="1:89">
      <c r="A380" t="s">
        <v>1769</v>
      </c>
      <c r="B380" t="s">
        <v>374</v>
      </c>
      <c r="C380" t="s">
        <v>1770</v>
      </c>
      <c r="D380" t="s">
        <v>1771</v>
      </c>
      <c r="E380" t="s">
        <v>1772</v>
      </c>
      <c r="F380" s="13">
        <v>44638.759201388886</v>
      </c>
      <c r="G380" t="s">
        <v>641</v>
      </c>
      <c r="H380" t="s">
        <v>642</v>
      </c>
      <c r="I380" s="13">
        <v>44638.759201388886</v>
      </c>
      <c r="K380" t="s">
        <v>412</v>
      </c>
      <c r="M380" s="13">
        <v>44650</v>
      </c>
      <c r="R380">
        <v>0</v>
      </c>
      <c r="S380" t="s">
        <v>380</v>
      </c>
      <c r="T380" t="s">
        <v>57</v>
      </c>
      <c r="V380" t="s">
        <v>381</v>
      </c>
      <c r="W380" t="s">
        <v>1765</v>
      </c>
      <c r="X380" t="s">
        <v>1765</v>
      </c>
      <c r="AC380" s="13">
        <v>44650</v>
      </c>
      <c r="AD380" s="13">
        <v>44650</v>
      </c>
      <c r="AI380">
        <v>12</v>
      </c>
      <c r="AN380" t="s">
        <v>31</v>
      </c>
      <c r="AO380">
        <v>0</v>
      </c>
      <c r="AS380" t="s">
        <v>385</v>
      </c>
      <c r="AX380" t="s">
        <v>57</v>
      </c>
      <c r="AY380" t="s">
        <v>386</v>
      </c>
      <c r="BF380">
        <v>0</v>
      </c>
      <c r="BK380" t="s">
        <v>31</v>
      </c>
      <c r="BS380" t="s">
        <v>412</v>
      </c>
      <c r="CI380" t="s">
        <v>388</v>
      </c>
      <c r="CJ380" s="14">
        <v>45013</v>
      </c>
      <c r="CK380">
        <v>1</v>
      </c>
    </row>
    <row r="381" spans="1:89">
      <c r="A381" t="s">
        <v>1769</v>
      </c>
      <c r="B381" t="s">
        <v>374</v>
      </c>
      <c r="C381" t="s">
        <v>1770</v>
      </c>
      <c r="D381" t="s">
        <v>1773</v>
      </c>
      <c r="E381" t="s">
        <v>1774</v>
      </c>
      <c r="F381" s="13">
        <v>44638.759201388886</v>
      </c>
      <c r="G381" t="s">
        <v>641</v>
      </c>
      <c r="H381" t="s">
        <v>642</v>
      </c>
      <c r="I381" s="13">
        <v>44638.759201388886</v>
      </c>
      <c r="K381" t="s">
        <v>412</v>
      </c>
      <c r="M381" s="13">
        <v>44742</v>
      </c>
      <c r="R381">
        <v>0</v>
      </c>
      <c r="S381" t="s">
        <v>380</v>
      </c>
      <c r="T381" t="s">
        <v>57</v>
      </c>
      <c r="V381" t="s">
        <v>381</v>
      </c>
      <c r="W381" t="s">
        <v>1775</v>
      </c>
      <c r="X381" t="s">
        <v>1775</v>
      </c>
      <c r="AC381" s="13">
        <v>44742</v>
      </c>
      <c r="AD381" s="13">
        <v>44742</v>
      </c>
      <c r="AI381">
        <v>104</v>
      </c>
      <c r="AN381" t="s">
        <v>31</v>
      </c>
      <c r="AO381">
        <v>0</v>
      </c>
      <c r="AS381" t="s">
        <v>385</v>
      </c>
      <c r="AX381" t="s">
        <v>57</v>
      </c>
      <c r="AY381" t="s">
        <v>386</v>
      </c>
      <c r="BF381">
        <v>0</v>
      </c>
      <c r="BK381" t="s">
        <v>31</v>
      </c>
      <c r="BS381" t="s">
        <v>412</v>
      </c>
      <c r="CI381" t="s">
        <v>388</v>
      </c>
      <c r="CJ381" s="14">
        <v>45013</v>
      </c>
      <c r="CK381">
        <v>1</v>
      </c>
    </row>
    <row r="382" spans="1:89">
      <c r="A382" t="s">
        <v>1769</v>
      </c>
      <c r="B382" t="s">
        <v>374</v>
      </c>
      <c r="C382" t="s">
        <v>1770</v>
      </c>
      <c r="D382" t="s">
        <v>1776</v>
      </c>
      <c r="E382" t="s">
        <v>1777</v>
      </c>
      <c r="F382" s="13">
        <v>44638.759201388886</v>
      </c>
      <c r="G382" t="s">
        <v>641</v>
      </c>
      <c r="H382" t="s">
        <v>642</v>
      </c>
      <c r="I382" s="13">
        <v>44638.759201388886</v>
      </c>
      <c r="K382" t="s">
        <v>412</v>
      </c>
      <c r="M382" s="13">
        <v>44803</v>
      </c>
      <c r="R382">
        <v>0</v>
      </c>
      <c r="S382" t="s">
        <v>380</v>
      </c>
      <c r="T382" t="s">
        <v>57</v>
      </c>
      <c r="V382" t="s">
        <v>381</v>
      </c>
      <c r="W382" t="s">
        <v>1778</v>
      </c>
      <c r="X382" t="s">
        <v>1778</v>
      </c>
      <c r="AC382" s="13">
        <v>44803</v>
      </c>
      <c r="AD382" s="13">
        <v>44803</v>
      </c>
      <c r="AI382">
        <v>165</v>
      </c>
      <c r="AN382" t="s">
        <v>31</v>
      </c>
      <c r="AO382">
        <v>0</v>
      </c>
      <c r="AX382" t="s">
        <v>57</v>
      </c>
      <c r="AY382" t="s">
        <v>386</v>
      </c>
      <c r="BF382">
        <v>0</v>
      </c>
      <c r="BK382" t="s">
        <v>31</v>
      </c>
      <c r="BS382" t="s">
        <v>412</v>
      </c>
      <c r="CI382" t="s">
        <v>388</v>
      </c>
      <c r="CJ382" s="14">
        <v>45013</v>
      </c>
      <c r="CK382">
        <v>1</v>
      </c>
    </row>
    <row r="383" spans="1:89">
      <c r="A383" t="s">
        <v>1769</v>
      </c>
      <c r="B383" t="s">
        <v>374</v>
      </c>
      <c r="C383" t="s">
        <v>1770</v>
      </c>
      <c r="D383" t="s">
        <v>1779</v>
      </c>
      <c r="E383" t="s">
        <v>1780</v>
      </c>
      <c r="F383" s="13">
        <v>44638.759189814817</v>
      </c>
      <c r="G383" t="s">
        <v>641</v>
      </c>
      <c r="H383" t="s">
        <v>642</v>
      </c>
      <c r="I383" s="13">
        <v>44638.759189814817</v>
      </c>
      <c r="K383" t="s">
        <v>412</v>
      </c>
      <c r="M383" s="13">
        <v>44650</v>
      </c>
      <c r="R383">
        <v>0</v>
      </c>
      <c r="S383" t="s">
        <v>380</v>
      </c>
      <c r="T383" t="s">
        <v>57</v>
      </c>
      <c r="V383" t="s">
        <v>381</v>
      </c>
      <c r="W383" t="s">
        <v>1765</v>
      </c>
      <c r="X383" t="s">
        <v>1765</v>
      </c>
      <c r="AC383" s="13">
        <v>44650</v>
      </c>
      <c r="AD383" s="13">
        <v>44650</v>
      </c>
      <c r="AI383">
        <v>12</v>
      </c>
      <c r="AN383" t="s">
        <v>31</v>
      </c>
      <c r="AO383">
        <v>0</v>
      </c>
      <c r="AS383" t="s">
        <v>385</v>
      </c>
      <c r="AX383" t="s">
        <v>57</v>
      </c>
      <c r="AY383" t="s">
        <v>386</v>
      </c>
      <c r="BF383">
        <v>0</v>
      </c>
      <c r="BK383" t="s">
        <v>31</v>
      </c>
      <c r="BS383" t="s">
        <v>412</v>
      </c>
      <c r="CI383" t="s">
        <v>388</v>
      </c>
      <c r="CJ383" s="14">
        <v>45013</v>
      </c>
      <c r="CK383">
        <v>1</v>
      </c>
    </row>
    <row r="384" spans="1:89">
      <c r="A384" t="s">
        <v>1769</v>
      </c>
      <c r="B384" t="s">
        <v>374</v>
      </c>
      <c r="C384" t="s">
        <v>1770</v>
      </c>
      <c r="D384" t="s">
        <v>1781</v>
      </c>
      <c r="E384" t="s">
        <v>1782</v>
      </c>
      <c r="F384" s="13">
        <v>44638.759189814817</v>
      </c>
      <c r="G384" t="s">
        <v>641</v>
      </c>
      <c r="H384" t="s">
        <v>642</v>
      </c>
      <c r="I384" s="13">
        <v>44638.759189814817</v>
      </c>
      <c r="K384" t="s">
        <v>412</v>
      </c>
      <c r="M384" s="13">
        <v>44650</v>
      </c>
      <c r="R384">
        <v>0</v>
      </c>
      <c r="S384" t="s">
        <v>380</v>
      </c>
      <c r="T384" t="s">
        <v>57</v>
      </c>
      <c r="V384" t="s">
        <v>381</v>
      </c>
      <c r="W384" t="s">
        <v>1765</v>
      </c>
      <c r="X384" t="s">
        <v>1765</v>
      </c>
      <c r="AC384" s="13">
        <v>44650</v>
      </c>
      <c r="AD384" s="13">
        <v>44650</v>
      </c>
      <c r="AI384">
        <v>12</v>
      </c>
      <c r="AN384" t="s">
        <v>31</v>
      </c>
      <c r="AO384">
        <v>0</v>
      </c>
      <c r="AS384" t="s">
        <v>385</v>
      </c>
      <c r="AX384" t="s">
        <v>57</v>
      </c>
      <c r="AY384" t="s">
        <v>386</v>
      </c>
      <c r="BF384">
        <v>0</v>
      </c>
      <c r="BK384" t="s">
        <v>31</v>
      </c>
      <c r="BS384" t="s">
        <v>412</v>
      </c>
      <c r="CI384" t="s">
        <v>388</v>
      </c>
      <c r="CJ384" s="14">
        <v>45013</v>
      </c>
      <c r="CK384">
        <v>1</v>
      </c>
    </row>
    <row r="385" spans="1:89">
      <c r="A385" t="s">
        <v>1769</v>
      </c>
      <c r="B385" t="s">
        <v>374</v>
      </c>
      <c r="C385" t="s">
        <v>1770</v>
      </c>
      <c r="D385" t="s">
        <v>1783</v>
      </c>
      <c r="E385" t="s">
        <v>1784</v>
      </c>
      <c r="F385" s="13">
        <v>44638.75917824074</v>
      </c>
      <c r="G385" t="s">
        <v>641</v>
      </c>
      <c r="H385" t="s">
        <v>642</v>
      </c>
      <c r="I385" s="13">
        <v>44638.75917824074</v>
      </c>
      <c r="K385" t="s">
        <v>412</v>
      </c>
      <c r="M385" s="13">
        <v>44650</v>
      </c>
      <c r="R385">
        <v>0</v>
      </c>
      <c r="S385" t="s">
        <v>380</v>
      </c>
      <c r="T385" t="s">
        <v>57</v>
      </c>
      <c r="V385" t="s">
        <v>381</v>
      </c>
      <c r="W385" t="s">
        <v>1765</v>
      </c>
      <c r="X385" t="s">
        <v>1765</v>
      </c>
      <c r="AC385" s="13">
        <v>44650</v>
      </c>
      <c r="AD385" s="13">
        <v>44650</v>
      </c>
      <c r="AI385">
        <v>12</v>
      </c>
      <c r="AN385" t="s">
        <v>31</v>
      </c>
      <c r="AO385">
        <v>0</v>
      </c>
      <c r="AS385" t="s">
        <v>385</v>
      </c>
      <c r="AX385" t="s">
        <v>57</v>
      </c>
      <c r="AY385" t="s">
        <v>386</v>
      </c>
      <c r="BF385">
        <v>0</v>
      </c>
      <c r="BK385" t="s">
        <v>31</v>
      </c>
      <c r="BS385" t="s">
        <v>412</v>
      </c>
      <c r="CI385" t="s">
        <v>388</v>
      </c>
      <c r="CJ385" s="14">
        <v>45013</v>
      </c>
      <c r="CK385">
        <v>1</v>
      </c>
    </row>
    <row r="386" spans="1:89">
      <c r="A386" t="s">
        <v>1769</v>
      </c>
      <c r="B386" t="s">
        <v>374</v>
      </c>
      <c r="C386" t="s">
        <v>1770</v>
      </c>
      <c r="D386" t="s">
        <v>1785</v>
      </c>
      <c r="E386" t="s">
        <v>1786</v>
      </c>
      <c r="F386" s="13">
        <v>44638.75917824074</v>
      </c>
      <c r="G386" t="s">
        <v>641</v>
      </c>
      <c r="H386" t="s">
        <v>642</v>
      </c>
      <c r="I386" s="13">
        <v>44638.75917824074</v>
      </c>
      <c r="K386" t="s">
        <v>412</v>
      </c>
      <c r="M386" s="13">
        <v>44650</v>
      </c>
      <c r="R386">
        <v>0</v>
      </c>
      <c r="S386" t="s">
        <v>380</v>
      </c>
      <c r="T386" t="s">
        <v>57</v>
      </c>
      <c r="V386" t="s">
        <v>381</v>
      </c>
      <c r="W386" t="s">
        <v>1765</v>
      </c>
      <c r="X386" t="s">
        <v>1765</v>
      </c>
      <c r="AC386" s="13">
        <v>44650</v>
      </c>
      <c r="AD386" s="13">
        <v>44650</v>
      </c>
      <c r="AI386">
        <v>12</v>
      </c>
      <c r="AN386" t="s">
        <v>31</v>
      </c>
      <c r="AO386">
        <v>0</v>
      </c>
      <c r="AS386" t="s">
        <v>385</v>
      </c>
      <c r="AX386" t="s">
        <v>57</v>
      </c>
      <c r="AY386" t="s">
        <v>386</v>
      </c>
      <c r="BF386">
        <v>0</v>
      </c>
      <c r="BK386" t="s">
        <v>31</v>
      </c>
      <c r="BS386" t="s">
        <v>412</v>
      </c>
      <c r="CI386" t="s">
        <v>388</v>
      </c>
      <c r="CJ386" s="14">
        <v>45013</v>
      </c>
      <c r="CK386">
        <v>1</v>
      </c>
    </row>
    <row r="387" spans="1:89">
      <c r="A387" t="s">
        <v>1769</v>
      </c>
      <c r="B387" t="s">
        <v>374</v>
      </c>
      <c r="C387" t="s">
        <v>1770</v>
      </c>
      <c r="D387" t="s">
        <v>1787</v>
      </c>
      <c r="E387" t="s">
        <v>1788</v>
      </c>
      <c r="F387" s="13">
        <v>44638.759166666663</v>
      </c>
      <c r="G387" t="s">
        <v>641</v>
      </c>
      <c r="H387" t="s">
        <v>642</v>
      </c>
      <c r="I387" s="13">
        <v>44638.759166666663</v>
      </c>
      <c r="K387" t="s">
        <v>412</v>
      </c>
      <c r="M387" s="13">
        <v>44650</v>
      </c>
      <c r="R387">
        <v>0</v>
      </c>
      <c r="S387" t="s">
        <v>380</v>
      </c>
      <c r="T387" t="s">
        <v>57</v>
      </c>
      <c r="V387" t="s">
        <v>381</v>
      </c>
      <c r="W387" t="s">
        <v>1765</v>
      </c>
      <c r="X387" t="s">
        <v>1765</v>
      </c>
      <c r="AC387" s="13">
        <v>44650</v>
      </c>
      <c r="AD387" s="13">
        <v>44650</v>
      </c>
      <c r="AI387">
        <v>12</v>
      </c>
      <c r="AN387" t="s">
        <v>31</v>
      </c>
      <c r="AO387">
        <v>0</v>
      </c>
      <c r="AS387" t="s">
        <v>385</v>
      </c>
      <c r="AX387" t="s">
        <v>57</v>
      </c>
      <c r="AY387" t="s">
        <v>386</v>
      </c>
      <c r="BF387">
        <v>0</v>
      </c>
      <c r="BK387" t="s">
        <v>31</v>
      </c>
      <c r="BS387" t="s">
        <v>412</v>
      </c>
      <c r="CI387" t="s">
        <v>388</v>
      </c>
      <c r="CJ387" s="14">
        <v>45013</v>
      </c>
      <c r="CK387">
        <v>1</v>
      </c>
    </row>
    <row r="388" spans="1:89">
      <c r="A388" t="s">
        <v>1769</v>
      </c>
      <c r="B388" t="s">
        <v>374</v>
      </c>
      <c r="C388" t="s">
        <v>1770</v>
      </c>
      <c r="D388" t="s">
        <v>1789</v>
      </c>
      <c r="E388" t="s">
        <v>1790</v>
      </c>
      <c r="F388" s="13">
        <v>44638.759166666663</v>
      </c>
      <c r="G388" t="s">
        <v>641</v>
      </c>
      <c r="H388" t="s">
        <v>642</v>
      </c>
      <c r="I388" s="13">
        <v>44638.759166666663</v>
      </c>
      <c r="K388" t="s">
        <v>412</v>
      </c>
      <c r="M388" s="13">
        <v>44650</v>
      </c>
      <c r="R388">
        <v>0</v>
      </c>
      <c r="S388" t="s">
        <v>380</v>
      </c>
      <c r="T388" t="s">
        <v>57</v>
      </c>
      <c r="V388" t="s">
        <v>381</v>
      </c>
      <c r="AC388" s="13">
        <v>44650</v>
      </c>
      <c r="AD388" s="13">
        <v>44650</v>
      </c>
      <c r="AI388">
        <v>12</v>
      </c>
      <c r="AN388" t="s">
        <v>31</v>
      </c>
      <c r="AO388">
        <v>0</v>
      </c>
      <c r="AS388" t="s">
        <v>385</v>
      </c>
      <c r="AX388" t="s">
        <v>57</v>
      </c>
      <c r="AY388" t="s">
        <v>386</v>
      </c>
      <c r="BF388">
        <v>0</v>
      </c>
      <c r="BK388" t="s">
        <v>31</v>
      </c>
      <c r="BS388" t="s">
        <v>412</v>
      </c>
      <c r="CI388" t="s">
        <v>388</v>
      </c>
      <c r="CJ388" s="14">
        <v>45013</v>
      </c>
      <c r="CK388">
        <v>1</v>
      </c>
    </row>
    <row r="389" spans="1:89">
      <c r="A389" t="s">
        <v>1769</v>
      </c>
      <c r="B389" t="s">
        <v>374</v>
      </c>
      <c r="C389" t="s">
        <v>1770</v>
      </c>
      <c r="D389" t="s">
        <v>1791</v>
      </c>
      <c r="E389" t="s">
        <v>1792</v>
      </c>
      <c r="F389" s="13">
        <v>44638.759155092594</v>
      </c>
      <c r="G389" t="s">
        <v>641</v>
      </c>
      <c r="H389" t="s">
        <v>642</v>
      </c>
      <c r="I389" s="13">
        <v>44638.759155092594</v>
      </c>
      <c r="K389" t="s">
        <v>412</v>
      </c>
      <c r="M389" s="13">
        <v>44650</v>
      </c>
      <c r="R389">
        <v>0</v>
      </c>
      <c r="S389" t="s">
        <v>380</v>
      </c>
      <c r="T389" t="s">
        <v>57</v>
      </c>
      <c r="V389" t="s">
        <v>381</v>
      </c>
      <c r="W389" t="s">
        <v>1765</v>
      </c>
      <c r="X389" t="s">
        <v>1765</v>
      </c>
      <c r="AC389" s="13">
        <v>44650</v>
      </c>
      <c r="AD389" s="13">
        <v>44650</v>
      </c>
      <c r="AI389">
        <v>12</v>
      </c>
      <c r="AN389" t="s">
        <v>31</v>
      </c>
      <c r="AO389">
        <v>0</v>
      </c>
      <c r="AS389" t="s">
        <v>385</v>
      </c>
      <c r="AX389" t="s">
        <v>57</v>
      </c>
      <c r="AY389" t="s">
        <v>386</v>
      </c>
      <c r="BF389">
        <v>0</v>
      </c>
      <c r="BK389" t="s">
        <v>31</v>
      </c>
      <c r="BS389" t="s">
        <v>412</v>
      </c>
      <c r="CI389" t="s">
        <v>388</v>
      </c>
      <c r="CJ389" s="14">
        <v>45013</v>
      </c>
      <c r="CK389">
        <v>1</v>
      </c>
    </row>
    <row r="390" spans="1:89">
      <c r="A390" t="s">
        <v>1769</v>
      </c>
      <c r="B390" t="s">
        <v>374</v>
      </c>
      <c r="C390" t="s">
        <v>1770</v>
      </c>
      <c r="D390" t="s">
        <v>1793</v>
      </c>
      <c r="E390" t="s">
        <v>1794</v>
      </c>
      <c r="F390" s="13">
        <v>44638.759155092594</v>
      </c>
      <c r="G390" t="s">
        <v>641</v>
      </c>
      <c r="H390" t="s">
        <v>642</v>
      </c>
      <c r="I390" s="13">
        <v>44638.759155092594</v>
      </c>
      <c r="K390" t="s">
        <v>412</v>
      </c>
      <c r="M390" s="13">
        <v>44650</v>
      </c>
      <c r="R390">
        <v>0</v>
      </c>
      <c r="S390" t="s">
        <v>380</v>
      </c>
      <c r="T390" t="s">
        <v>57</v>
      </c>
      <c r="V390" t="s">
        <v>381</v>
      </c>
      <c r="W390" t="s">
        <v>1765</v>
      </c>
      <c r="X390" t="s">
        <v>1765</v>
      </c>
      <c r="AC390" s="13">
        <v>44650</v>
      </c>
      <c r="AD390" s="13">
        <v>44650</v>
      </c>
      <c r="AI390">
        <v>12</v>
      </c>
      <c r="AN390" t="s">
        <v>31</v>
      </c>
      <c r="AO390">
        <v>0</v>
      </c>
      <c r="AS390" t="s">
        <v>385</v>
      </c>
      <c r="AX390" t="s">
        <v>57</v>
      </c>
      <c r="AY390" t="s">
        <v>386</v>
      </c>
      <c r="BF390">
        <v>0</v>
      </c>
      <c r="BK390" t="s">
        <v>31</v>
      </c>
      <c r="BS390" t="s">
        <v>412</v>
      </c>
      <c r="CI390" t="s">
        <v>388</v>
      </c>
      <c r="CJ390" s="14">
        <v>45013</v>
      </c>
      <c r="CK390">
        <v>1</v>
      </c>
    </row>
    <row r="391" spans="1:89">
      <c r="A391" t="s">
        <v>1716</v>
      </c>
      <c r="B391" t="s">
        <v>374</v>
      </c>
      <c r="C391" t="s">
        <v>966</v>
      </c>
      <c r="D391" t="s">
        <v>1795</v>
      </c>
      <c r="E391" t="s">
        <v>1796</v>
      </c>
      <c r="F391" s="13">
        <v>44638.759143518517</v>
      </c>
      <c r="G391" t="s">
        <v>641</v>
      </c>
      <c r="H391" t="s">
        <v>642</v>
      </c>
      <c r="I391" s="13">
        <v>44638.759143518517</v>
      </c>
      <c r="K391" t="s">
        <v>412</v>
      </c>
      <c r="M391" s="13">
        <v>44650</v>
      </c>
      <c r="R391">
        <v>0</v>
      </c>
      <c r="S391" t="s">
        <v>380</v>
      </c>
      <c r="T391" t="s">
        <v>57</v>
      </c>
      <c r="V391" t="s">
        <v>381</v>
      </c>
      <c r="W391" t="s">
        <v>1765</v>
      </c>
      <c r="X391" t="s">
        <v>1765</v>
      </c>
      <c r="AC391" s="13">
        <v>44650</v>
      </c>
      <c r="AD391" s="13">
        <v>44650</v>
      </c>
      <c r="AI391">
        <v>12</v>
      </c>
      <c r="AN391" t="s">
        <v>31</v>
      </c>
      <c r="AO391">
        <v>0</v>
      </c>
      <c r="AS391" t="s">
        <v>385</v>
      </c>
      <c r="AX391" t="s">
        <v>57</v>
      </c>
      <c r="AY391" t="s">
        <v>386</v>
      </c>
      <c r="BF391">
        <v>0</v>
      </c>
      <c r="BK391" t="s">
        <v>31</v>
      </c>
      <c r="BS391" t="s">
        <v>412</v>
      </c>
      <c r="CI391" t="s">
        <v>388</v>
      </c>
      <c r="CJ391" s="14">
        <v>45013</v>
      </c>
      <c r="CK391">
        <v>1</v>
      </c>
    </row>
    <row r="392" spans="1:89">
      <c r="A392" t="s">
        <v>1769</v>
      </c>
      <c r="B392" t="s">
        <v>374</v>
      </c>
      <c r="C392" t="s">
        <v>1770</v>
      </c>
      <c r="D392" t="s">
        <v>1797</v>
      </c>
      <c r="E392" t="s">
        <v>1798</v>
      </c>
      <c r="F392" s="13">
        <v>44638.759143518517</v>
      </c>
      <c r="G392" t="s">
        <v>641</v>
      </c>
      <c r="H392" t="s">
        <v>642</v>
      </c>
      <c r="I392" s="13">
        <v>44638.759143518517</v>
      </c>
      <c r="K392" t="s">
        <v>412</v>
      </c>
      <c r="M392" s="13">
        <v>44650</v>
      </c>
      <c r="R392">
        <v>0</v>
      </c>
      <c r="S392" t="s">
        <v>380</v>
      </c>
      <c r="T392" t="s">
        <v>57</v>
      </c>
      <c r="V392" t="s">
        <v>381</v>
      </c>
      <c r="W392" t="s">
        <v>1765</v>
      </c>
      <c r="X392" t="s">
        <v>1765</v>
      </c>
      <c r="AC392" s="13">
        <v>44650</v>
      </c>
      <c r="AD392" s="13">
        <v>44650</v>
      </c>
      <c r="AI392">
        <v>12</v>
      </c>
      <c r="AN392" t="s">
        <v>31</v>
      </c>
      <c r="AO392">
        <v>0</v>
      </c>
      <c r="AS392" t="s">
        <v>385</v>
      </c>
      <c r="AX392" t="s">
        <v>57</v>
      </c>
      <c r="AY392" t="s">
        <v>386</v>
      </c>
      <c r="BF392">
        <v>0</v>
      </c>
      <c r="BK392" t="s">
        <v>31</v>
      </c>
      <c r="BS392" t="s">
        <v>412</v>
      </c>
      <c r="CI392" t="s">
        <v>388</v>
      </c>
      <c r="CJ392" s="14">
        <v>45013</v>
      </c>
      <c r="CK392">
        <v>1</v>
      </c>
    </row>
    <row r="393" spans="1:89">
      <c r="A393" t="s">
        <v>1799</v>
      </c>
      <c r="B393" t="s">
        <v>374</v>
      </c>
      <c r="C393" t="s">
        <v>1800</v>
      </c>
      <c r="D393" t="s">
        <v>1801</v>
      </c>
      <c r="E393" t="s">
        <v>1802</v>
      </c>
      <c r="F393" s="13">
        <v>44638.759131944447</v>
      </c>
      <c r="G393" t="s">
        <v>641</v>
      </c>
      <c r="H393" t="s">
        <v>642</v>
      </c>
      <c r="I393" s="13">
        <v>44638.759131944447</v>
      </c>
      <c r="K393" t="s">
        <v>412</v>
      </c>
      <c r="M393" s="13">
        <v>44650</v>
      </c>
      <c r="R393">
        <v>0</v>
      </c>
      <c r="S393" t="s">
        <v>416</v>
      </c>
      <c r="T393" t="s">
        <v>57</v>
      </c>
      <c r="V393" t="s">
        <v>381</v>
      </c>
      <c r="W393" t="s">
        <v>1803</v>
      </c>
      <c r="X393" t="s">
        <v>1803</v>
      </c>
      <c r="AC393" s="13">
        <v>44650</v>
      </c>
      <c r="AD393" s="13">
        <v>44650</v>
      </c>
      <c r="AI393">
        <v>12</v>
      </c>
      <c r="AN393" t="s">
        <v>31</v>
      </c>
      <c r="AO393">
        <v>0</v>
      </c>
      <c r="AS393" t="s">
        <v>522</v>
      </c>
      <c r="AX393" t="s">
        <v>57</v>
      </c>
      <c r="AY393" t="s">
        <v>386</v>
      </c>
      <c r="BF393">
        <v>0</v>
      </c>
      <c r="BK393" t="s">
        <v>31</v>
      </c>
      <c r="BS393" t="s">
        <v>412</v>
      </c>
      <c r="CI393" t="s">
        <v>388</v>
      </c>
      <c r="CJ393" s="14">
        <v>45013</v>
      </c>
      <c r="CK393">
        <v>1</v>
      </c>
    </row>
    <row r="394" spans="1:89">
      <c r="A394" t="s">
        <v>1799</v>
      </c>
      <c r="B394" t="s">
        <v>374</v>
      </c>
      <c r="C394" t="s">
        <v>1800</v>
      </c>
      <c r="D394" t="s">
        <v>1804</v>
      </c>
      <c r="E394" t="s">
        <v>1805</v>
      </c>
      <c r="F394" s="13">
        <v>44638.759131944447</v>
      </c>
      <c r="G394" t="s">
        <v>641</v>
      </c>
      <c r="H394" t="s">
        <v>642</v>
      </c>
      <c r="I394" s="13">
        <v>44638.759131944447</v>
      </c>
      <c r="K394" t="s">
        <v>412</v>
      </c>
      <c r="M394" s="13">
        <v>44650</v>
      </c>
      <c r="R394">
        <v>0</v>
      </c>
      <c r="S394" t="s">
        <v>380</v>
      </c>
      <c r="T394" t="s">
        <v>57</v>
      </c>
      <c r="V394" t="s">
        <v>381</v>
      </c>
      <c r="W394" t="s">
        <v>1806</v>
      </c>
      <c r="X394" t="s">
        <v>1806</v>
      </c>
      <c r="AC394" s="13">
        <v>44650</v>
      </c>
      <c r="AD394" s="13">
        <v>44650</v>
      </c>
      <c r="AI394">
        <v>12</v>
      </c>
      <c r="AN394" t="s">
        <v>31</v>
      </c>
      <c r="AO394">
        <v>0</v>
      </c>
      <c r="AS394" t="s">
        <v>385</v>
      </c>
      <c r="AX394" t="s">
        <v>57</v>
      </c>
      <c r="AY394" t="s">
        <v>386</v>
      </c>
      <c r="BF394">
        <v>0</v>
      </c>
      <c r="BK394" t="s">
        <v>31</v>
      </c>
      <c r="BS394" t="s">
        <v>412</v>
      </c>
      <c r="CI394" t="s">
        <v>388</v>
      </c>
      <c r="CJ394" s="14">
        <v>45013</v>
      </c>
      <c r="CK394">
        <v>1</v>
      </c>
    </row>
    <row r="395" spans="1:89">
      <c r="A395" t="s">
        <v>1799</v>
      </c>
      <c r="B395" t="s">
        <v>374</v>
      </c>
      <c r="C395" t="s">
        <v>1800</v>
      </c>
      <c r="D395" t="s">
        <v>1807</v>
      </c>
      <c r="E395" t="s">
        <v>1808</v>
      </c>
      <c r="F395" s="13">
        <v>44638.759120370371</v>
      </c>
      <c r="G395" t="s">
        <v>641</v>
      </c>
      <c r="H395" t="s">
        <v>642</v>
      </c>
      <c r="I395" s="13">
        <v>44638.759120370371</v>
      </c>
      <c r="K395" t="s">
        <v>412</v>
      </c>
      <c r="M395" s="13">
        <v>44651</v>
      </c>
      <c r="R395">
        <v>0</v>
      </c>
      <c r="S395" t="s">
        <v>380</v>
      </c>
      <c r="T395" t="s">
        <v>57</v>
      </c>
      <c r="V395" t="s">
        <v>381</v>
      </c>
      <c r="W395" t="s">
        <v>1809</v>
      </c>
      <c r="X395" t="s">
        <v>1809</v>
      </c>
      <c r="AC395" s="13">
        <v>44651</v>
      </c>
      <c r="AD395" s="13">
        <v>44651</v>
      </c>
      <c r="AI395">
        <v>13</v>
      </c>
      <c r="AN395" t="s">
        <v>31</v>
      </c>
      <c r="AO395">
        <v>0</v>
      </c>
      <c r="AS395" t="s">
        <v>392</v>
      </c>
      <c r="AX395" t="s">
        <v>57</v>
      </c>
      <c r="AY395" t="s">
        <v>386</v>
      </c>
      <c r="BF395">
        <v>0</v>
      </c>
      <c r="BK395" t="s">
        <v>31</v>
      </c>
      <c r="BS395" t="s">
        <v>412</v>
      </c>
      <c r="CI395" t="s">
        <v>388</v>
      </c>
      <c r="CJ395" s="14">
        <v>45013</v>
      </c>
      <c r="CK395">
        <v>1</v>
      </c>
    </row>
    <row r="396" spans="1:89">
      <c r="A396" t="s">
        <v>1810</v>
      </c>
      <c r="B396" t="s">
        <v>374</v>
      </c>
      <c r="C396" t="s">
        <v>1811</v>
      </c>
      <c r="D396" t="s">
        <v>1812</v>
      </c>
      <c r="E396" t="s">
        <v>1813</v>
      </c>
      <c r="F396" s="13">
        <v>44638.759120370371</v>
      </c>
      <c r="G396" t="s">
        <v>641</v>
      </c>
      <c r="H396" t="s">
        <v>642</v>
      </c>
      <c r="I396" s="13">
        <v>44638.759120370371</v>
      </c>
      <c r="K396" t="s">
        <v>412</v>
      </c>
      <c r="M396" s="13">
        <v>44651</v>
      </c>
      <c r="R396">
        <v>0</v>
      </c>
      <c r="S396" t="s">
        <v>380</v>
      </c>
      <c r="T396" t="s">
        <v>57</v>
      </c>
      <c r="V396" t="s">
        <v>381</v>
      </c>
      <c r="W396" t="s">
        <v>1814</v>
      </c>
      <c r="X396" t="s">
        <v>1814</v>
      </c>
      <c r="AC396" s="13">
        <v>44651</v>
      </c>
      <c r="AD396" s="13">
        <v>44651</v>
      </c>
      <c r="AI396">
        <v>13</v>
      </c>
      <c r="AN396" t="s">
        <v>31</v>
      </c>
      <c r="AO396">
        <v>0</v>
      </c>
      <c r="AS396" t="s">
        <v>392</v>
      </c>
      <c r="AX396" t="s">
        <v>57</v>
      </c>
      <c r="AY396" t="s">
        <v>386</v>
      </c>
      <c r="BF396">
        <v>0</v>
      </c>
      <c r="BK396" t="s">
        <v>31</v>
      </c>
      <c r="BS396" t="s">
        <v>412</v>
      </c>
      <c r="CI396" t="s">
        <v>388</v>
      </c>
      <c r="CJ396" s="14">
        <v>45013</v>
      </c>
      <c r="CK396">
        <v>1</v>
      </c>
    </row>
    <row r="397" spans="1:89">
      <c r="A397" t="s">
        <v>1810</v>
      </c>
      <c r="B397" t="s">
        <v>374</v>
      </c>
      <c r="C397" t="s">
        <v>1811</v>
      </c>
      <c r="D397" t="s">
        <v>1815</v>
      </c>
      <c r="E397" t="s">
        <v>1816</v>
      </c>
      <c r="F397" s="13">
        <v>44638.759120370371</v>
      </c>
      <c r="G397" t="s">
        <v>641</v>
      </c>
      <c r="H397" t="s">
        <v>642</v>
      </c>
      <c r="I397" s="13">
        <v>44638.759120370371</v>
      </c>
      <c r="K397" t="s">
        <v>412</v>
      </c>
      <c r="M397" s="13">
        <v>44742</v>
      </c>
      <c r="R397">
        <v>0</v>
      </c>
      <c r="S397" t="s">
        <v>380</v>
      </c>
      <c r="T397" t="s">
        <v>57</v>
      </c>
      <c r="V397" t="s">
        <v>381</v>
      </c>
      <c r="W397" t="s">
        <v>1806</v>
      </c>
      <c r="X397" t="s">
        <v>1806</v>
      </c>
      <c r="AC397" s="13">
        <v>44742</v>
      </c>
      <c r="AD397" s="13">
        <v>44742</v>
      </c>
      <c r="AI397">
        <v>104</v>
      </c>
      <c r="AN397" t="s">
        <v>31</v>
      </c>
      <c r="AO397">
        <v>0</v>
      </c>
      <c r="AS397" t="s">
        <v>392</v>
      </c>
      <c r="AX397" t="s">
        <v>57</v>
      </c>
      <c r="AY397" t="s">
        <v>386</v>
      </c>
      <c r="BF397">
        <v>0</v>
      </c>
      <c r="BK397" t="s">
        <v>31</v>
      </c>
      <c r="BS397" t="s">
        <v>412</v>
      </c>
      <c r="CI397" t="s">
        <v>388</v>
      </c>
      <c r="CJ397" s="14">
        <v>45013</v>
      </c>
      <c r="CK397">
        <v>1</v>
      </c>
    </row>
    <row r="398" spans="1:89">
      <c r="A398" t="s">
        <v>1716</v>
      </c>
      <c r="B398" t="s">
        <v>374</v>
      </c>
      <c r="C398" t="s">
        <v>966</v>
      </c>
      <c r="D398" t="s">
        <v>1817</v>
      </c>
      <c r="E398" t="s">
        <v>1818</v>
      </c>
      <c r="F398" s="13">
        <v>44638.759108796294</v>
      </c>
      <c r="G398" t="s">
        <v>641</v>
      </c>
      <c r="H398" t="s">
        <v>642</v>
      </c>
      <c r="I398" s="13">
        <v>44638.759108796294</v>
      </c>
      <c r="K398" t="s">
        <v>412</v>
      </c>
      <c r="M398" s="13">
        <v>44651</v>
      </c>
      <c r="R398">
        <v>0</v>
      </c>
      <c r="S398" t="s">
        <v>380</v>
      </c>
      <c r="T398" t="s">
        <v>57</v>
      </c>
      <c r="V398" t="s">
        <v>381</v>
      </c>
      <c r="W398" t="s">
        <v>1819</v>
      </c>
      <c r="X398" t="s">
        <v>1819</v>
      </c>
      <c r="AC398" s="13">
        <v>44651</v>
      </c>
      <c r="AD398" s="13">
        <v>44651</v>
      </c>
      <c r="AI398">
        <v>13</v>
      </c>
      <c r="AN398" t="s">
        <v>31</v>
      </c>
      <c r="AO398">
        <v>0</v>
      </c>
      <c r="AS398" t="s">
        <v>392</v>
      </c>
      <c r="AX398" t="s">
        <v>57</v>
      </c>
      <c r="AY398" t="s">
        <v>442</v>
      </c>
      <c r="BF398">
        <v>0</v>
      </c>
      <c r="BK398" t="s">
        <v>31</v>
      </c>
      <c r="BS398" t="s">
        <v>412</v>
      </c>
      <c r="CI398" t="s">
        <v>388</v>
      </c>
      <c r="CJ398" s="14">
        <v>45013</v>
      </c>
      <c r="CK398">
        <v>1</v>
      </c>
    </row>
    <row r="399" spans="1:89">
      <c r="A399" t="s">
        <v>1710</v>
      </c>
      <c r="B399" t="s">
        <v>374</v>
      </c>
      <c r="C399" t="s">
        <v>392</v>
      </c>
      <c r="D399" t="s">
        <v>1820</v>
      </c>
      <c r="E399" t="s">
        <v>1821</v>
      </c>
      <c r="F399" s="13">
        <v>44638.759108796294</v>
      </c>
      <c r="G399" t="s">
        <v>641</v>
      </c>
      <c r="H399" t="s">
        <v>642</v>
      </c>
      <c r="I399" s="13">
        <v>44638.759108796294</v>
      </c>
      <c r="K399" t="s">
        <v>412</v>
      </c>
      <c r="M399" s="13">
        <v>44742</v>
      </c>
      <c r="R399">
        <v>0</v>
      </c>
      <c r="S399" t="s">
        <v>416</v>
      </c>
      <c r="T399" t="s">
        <v>57</v>
      </c>
      <c r="V399" t="s">
        <v>381</v>
      </c>
      <c r="W399" t="s">
        <v>1803</v>
      </c>
      <c r="X399" t="s">
        <v>1803</v>
      </c>
      <c r="AC399" s="13">
        <v>44742</v>
      </c>
      <c r="AD399" s="13">
        <v>44742</v>
      </c>
      <c r="AI399">
        <v>104</v>
      </c>
      <c r="AN399" t="s">
        <v>31</v>
      </c>
      <c r="AO399">
        <v>0</v>
      </c>
      <c r="AS399" t="s">
        <v>385</v>
      </c>
      <c r="AX399" t="s">
        <v>57</v>
      </c>
      <c r="AY399" t="s">
        <v>386</v>
      </c>
      <c r="BF399">
        <v>0</v>
      </c>
      <c r="BK399" t="s">
        <v>31</v>
      </c>
      <c r="BS399" t="s">
        <v>412</v>
      </c>
      <c r="CI399" t="s">
        <v>388</v>
      </c>
      <c r="CJ399" s="14">
        <v>45013</v>
      </c>
      <c r="CK399">
        <v>1</v>
      </c>
    </row>
    <row r="400" spans="1:89">
      <c r="A400" t="s">
        <v>1710</v>
      </c>
      <c r="B400" t="s">
        <v>374</v>
      </c>
      <c r="C400" t="s">
        <v>392</v>
      </c>
      <c r="D400" t="s">
        <v>1822</v>
      </c>
      <c r="E400" t="s">
        <v>1823</v>
      </c>
      <c r="F400" s="13">
        <v>44638.759097222224</v>
      </c>
      <c r="G400" t="s">
        <v>641</v>
      </c>
      <c r="H400" t="s">
        <v>642</v>
      </c>
      <c r="I400" s="13">
        <v>44638.759097222224</v>
      </c>
      <c r="K400" t="s">
        <v>412</v>
      </c>
      <c r="M400" s="13">
        <v>44650</v>
      </c>
      <c r="R400">
        <v>0</v>
      </c>
      <c r="S400" t="s">
        <v>380</v>
      </c>
      <c r="T400" t="s">
        <v>57</v>
      </c>
      <c r="V400" t="s">
        <v>381</v>
      </c>
      <c r="W400" t="s">
        <v>1713</v>
      </c>
      <c r="X400" t="s">
        <v>1713</v>
      </c>
      <c r="AC400" s="13">
        <v>44650</v>
      </c>
      <c r="AD400" s="13">
        <v>44650</v>
      </c>
      <c r="AI400">
        <v>12</v>
      </c>
      <c r="AN400" t="s">
        <v>31</v>
      </c>
      <c r="AO400">
        <v>0</v>
      </c>
      <c r="AS400" t="s">
        <v>392</v>
      </c>
      <c r="AX400" t="s">
        <v>57</v>
      </c>
      <c r="AY400" t="s">
        <v>386</v>
      </c>
      <c r="BF400">
        <v>0</v>
      </c>
      <c r="BK400" t="s">
        <v>31</v>
      </c>
      <c r="BS400" t="s">
        <v>412</v>
      </c>
      <c r="CI400" t="s">
        <v>388</v>
      </c>
      <c r="CJ400" s="14">
        <v>45013</v>
      </c>
      <c r="CK400">
        <v>1</v>
      </c>
    </row>
    <row r="401" spans="1:89">
      <c r="A401" t="s">
        <v>1710</v>
      </c>
      <c r="B401" t="s">
        <v>374</v>
      </c>
      <c r="C401" t="s">
        <v>392</v>
      </c>
      <c r="D401" t="s">
        <v>1824</v>
      </c>
      <c r="E401" t="s">
        <v>1825</v>
      </c>
      <c r="F401" s="13">
        <v>44638.759097222224</v>
      </c>
      <c r="G401" t="s">
        <v>641</v>
      </c>
      <c r="H401" t="s">
        <v>642</v>
      </c>
      <c r="I401" s="13">
        <v>44638.759097222224</v>
      </c>
      <c r="K401" t="s">
        <v>412</v>
      </c>
      <c r="M401" s="13">
        <v>44650</v>
      </c>
      <c r="R401">
        <v>0</v>
      </c>
      <c r="S401" t="s">
        <v>380</v>
      </c>
      <c r="T401" t="s">
        <v>57</v>
      </c>
      <c r="V401" t="s">
        <v>381</v>
      </c>
      <c r="W401" t="s">
        <v>1826</v>
      </c>
      <c r="X401" t="s">
        <v>1826</v>
      </c>
      <c r="AC401" s="13">
        <v>44650</v>
      </c>
      <c r="AD401" s="13">
        <v>44650</v>
      </c>
      <c r="AI401">
        <v>12</v>
      </c>
      <c r="AN401" t="s">
        <v>31</v>
      </c>
      <c r="AO401">
        <v>0</v>
      </c>
      <c r="AS401" t="s">
        <v>392</v>
      </c>
      <c r="AX401" t="s">
        <v>57</v>
      </c>
      <c r="AY401" t="s">
        <v>386</v>
      </c>
      <c r="BF401">
        <v>0</v>
      </c>
      <c r="BK401" t="s">
        <v>31</v>
      </c>
      <c r="BS401" t="s">
        <v>412</v>
      </c>
      <c r="CI401" t="s">
        <v>388</v>
      </c>
      <c r="CJ401" s="14">
        <v>45013</v>
      </c>
      <c r="CK401">
        <v>1</v>
      </c>
    </row>
    <row r="402" spans="1:89">
      <c r="A402" t="s">
        <v>1827</v>
      </c>
      <c r="B402" t="s">
        <v>374</v>
      </c>
      <c r="C402" t="s">
        <v>1536</v>
      </c>
      <c r="D402" t="s">
        <v>1828</v>
      </c>
      <c r="E402" t="s">
        <v>1829</v>
      </c>
      <c r="F402" s="13">
        <v>44638.759085648147</v>
      </c>
      <c r="G402" t="s">
        <v>641</v>
      </c>
      <c r="H402" t="s">
        <v>642</v>
      </c>
      <c r="I402" s="13">
        <v>44638.759085648147</v>
      </c>
      <c r="K402" t="s">
        <v>412</v>
      </c>
      <c r="M402" s="13">
        <v>44482</v>
      </c>
      <c r="R402">
        <v>0</v>
      </c>
      <c r="S402" t="s">
        <v>380</v>
      </c>
      <c r="T402" t="s">
        <v>57</v>
      </c>
      <c r="V402" t="s">
        <v>381</v>
      </c>
      <c r="W402" t="s">
        <v>1830</v>
      </c>
      <c r="X402" t="s">
        <v>1830</v>
      </c>
      <c r="AC402" s="13">
        <v>44482</v>
      </c>
      <c r="AD402" s="13">
        <v>44482</v>
      </c>
      <c r="AI402">
        <v>-156</v>
      </c>
      <c r="AN402" t="s">
        <v>31</v>
      </c>
      <c r="AO402">
        <v>0</v>
      </c>
      <c r="AS402" t="s">
        <v>881</v>
      </c>
      <c r="AX402" t="s">
        <v>57</v>
      </c>
      <c r="AY402" t="s">
        <v>386</v>
      </c>
      <c r="BF402">
        <v>0</v>
      </c>
      <c r="BK402" t="s">
        <v>31</v>
      </c>
      <c r="BS402" t="s">
        <v>412</v>
      </c>
      <c r="CI402" t="s">
        <v>388</v>
      </c>
      <c r="CJ402" s="14">
        <v>45013</v>
      </c>
      <c r="CK402">
        <v>1</v>
      </c>
    </row>
    <row r="403" spans="1:89">
      <c r="A403" t="s">
        <v>1831</v>
      </c>
      <c r="B403" t="s">
        <v>374</v>
      </c>
      <c r="C403" t="s">
        <v>1832</v>
      </c>
      <c r="D403" t="s">
        <v>1833</v>
      </c>
      <c r="E403" t="s">
        <v>1834</v>
      </c>
      <c r="F403" s="13">
        <v>44638.759085648147</v>
      </c>
      <c r="G403" t="s">
        <v>641</v>
      </c>
      <c r="H403" t="s">
        <v>642</v>
      </c>
      <c r="I403" s="13">
        <v>44638.759085648147</v>
      </c>
      <c r="K403" t="s">
        <v>412</v>
      </c>
      <c r="M403" s="13">
        <v>44591</v>
      </c>
      <c r="R403">
        <v>0</v>
      </c>
      <c r="S403" t="s">
        <v>380</v>
      </c>
      <c r="T403" t="s">
        <v>57</v>
      </c>
      <c r="V403" t="s">
        <v>381</v>
      </c>
      <c r="W403" t="s">
        <v>1826</v>
      </c>
      <c r="X403" t="s">
        <v>1826</v>
      </c>
      <c r="AC403" s="13">
        <v>44591</v>
      </c>
      <c r="AD403" s="13">
        <v>44591</v>
      </c>
      <c r="AI403">
        <v>-47</v>
      </c>
      <c r="AN403" t="s">
        <v>31</v>
      </c>
      <c r="AO403">
        <v>0</v>
      </c>
      <c r="AS403" t="s">
        <v>392</v>
      </c>
      <c r="AX403" t="s">
        <v>57</v>
      </c>
      <c r="AY403" t="s">
        <v>386</v>
      </c>
      <c r="BF403">
        <v>0</v>
      </c>
      <c r="BK403" t="s">
        <v>31</v>
      </c>
      <c r="BS403" t="s">
        <v>412</v>
      </c>
      <c r="CI403" t="s">
        <v>388</v>
      </c>
      <c r="CJ403" s="14">
        <v>45013</v>
      </c>
      <c r="CK403">
        <v>1</v>
      </c>
    </row>
    <row r="404" spans="1:89">
      <c r="A404" t="s">
        <v>1827</v>
      </c>
      <c r="B404" t="s">
        <v>374</v>
      </c>
      <c r="C404" t="s">
        <v>1536</v>
      </c>
      <c r="D404" t="s">
        <v>1835</v>
      </c>
      <c r="E404" t="s">
        <v>1836</v>
      </c>
      <c r="F404" s="13">
        <v>44638.759074074071</v>
      </c>
      <c r="G404" t="s">
        <v>641</v>
      </c>
      <c r="H404" t="s">
        <v>642</v>
      </c>
      <c r="I404" s="13">
        <v>44638.759074074071</v>
      </c>
      <c r="K404" t="s">
        <v>412</v>
      </c>
      <c r="M404" s="13">
        <v>44650</v>
      </c>
      <c r="R404">
        <v>0</v>
      </c>
      <c r="S404" t="s">
        <v>416</v>
      </c>
      <c r="T404" t="s">
        <v>57</v>
      </c>
      <c r="V404" t="s">
        <v>381</v>
      </c>
      <c r="W404" t="s">
        <v>1837</v>
      </c>
      <c r="X404" t="s">
        <v>1837</v>
      </c>
      <c r="AC404" s="13">
        <v>44650</v>
      </c>
      <c r="AD404" s="13">
        <v>44650</v>
      </c>
      <c r="AI404">
        <v>12</v>
      </c>
      <c r="AN404" t="s">
        <v>31</v>
      </c>
      <c r="AO404">
        <v>0</v>
      </c>
      <c r="AS404" t="s">
        <v>385</v>
      </c>
      <c r="AX404" t="s">
        <v>57</v>
      </c>
      <c r="AY404" t="s">
        <v>386</v>
      </c>
      <c r="BF404">
        <v>0</v>
      </c>
      <c r="BK404" t="s">
        <v>31</v>
      </c>
      <c r="BS404" t="s">
        <v>412</v>
      </c>
      <c r="CI404" t="s">
        <v>388</v>
      </c>
      <c r="CJ404" s="14">
        <v>45013</v>
      </c>
      <c r="CK404">
        <v>1</v>
      </c>
    </row>
    <row r="405" spans="1:89">
      <c r="A405" t="s">
        <v>1827</v>
      </c>
      <c r="B405" t="s">
        <v>374</v>
      </c>
      <c r="C405" t="s">
        <v>1536</v>
      </c>
      <c r="D405" t="s">
        <v>1838</v>
      </c>
      <c r="E405" t="s">
        <v>1839</v>
      </c>
      <c r="F405" s="13">
        <v>44638.759074074071</v>
      </c>
      <c r="G405" t="s">
        <v>641</v>
      </c>
      <c r="H405" t="s">
        <v>642</v>
      </c>
      <c r="I405" s="13">
        <v>44638.759074074071</v>
      </c>
      <c r="K405" t="s">
        <v>412</v>
      </c>
      <c r="M405" s="13">
        <v>44803</v>
      </c>
      <c r="R405">
        <v>0</v>
      </c>
      <c r="S405" t="s">
        <v>380</v>
      </c>
      <c r="T405" t="s">
        <v>57</v>
      </c>
      <c r="V405" t="s">
        <v>381</v>
      </c>
      <c r="W405" t="s">
        <v>1837</v>
      </c>
      <c r="X405" t="s">
        <v>1837</v>
      </c>
      <c r="AC405" s="13">
        <v>44803</v>
      </c>
      <c r="AD405" s="13">
        <v>44803</v>
      </c>
      <c r="AI405">
        <v>165</v>
      </c>
      <c r="AN405" t="s">
        <v>31</v>
      </c>
      <c r="AO405">
        <v>0</v>
      </c>
      <c r="AS405" t="s">
        <v>385</v>
      </c>
      <c r="AX405" t="s">
        <v>57</v>
      </c>
      <c r="AY405" t="s">
        <v>386</v>
      </c>
      <c r="BF405">
        <v>0</v>
      </c>
      <c r="BK405" t="s">
        <v>31</v>
      </c>
      <c r="BS405" t="s">
        <v>412</v>
      </c>
      <c r="CI405" t="s">
        <v>388</v>
      </c>
      <c r="CJ405" s="14">
        <v>45013</v>
      </c>
      <c r="CK405">
        <v>1</v>
      </c>
    </row>
    <row r="406" spans="1:89">
      <c r="A406" t="s">
        <v>1799</v>
      </c>
      <c r="B406" t="s">
        <v>374</v>
      </c>
      <c r="C406" t="s">
        <v>1800</v>
      </c>
      <c r="D406" t="s">
        <v>1840</v>
      </c>
      <c r="E406" t="s">
        <v>1841</v>
      </c>
      <c r="F406" s="13">
        <v>44638.759062500001</v>
      </c>
      <c r="G406" t="s">
        <v>641</v>
      </c>
      <c r="H406" t="s">
        <v>642</v>
      </c>
      <c r="I406" s="13">
        <v>44638.759062500001</v>
      </c>
      <c r="K406" t="s">
        <v>412</v>
      </c>
      <c r="M406" s="13">
        <v>44623</v>
      </c>
      <c r="R406">
        <v>0</v>
      </c>
      <c r="S406" t="s">
        <v>380</v>
      </c>
      <c r="T406" t="s">
        <v>57</v>
      </c>
      <c r="V406" t="s">
        <v>381</v>
      </c>
      <c r="W406" t="s">
        <v>1826</v>
      </c>
      <c r="X406" t="s">
        <v>1826</v>
      </c>
      <c r="AC406" s="13">
        <v>44623</v>
      </c>
      <c r="AD406" s="13">
        <v>44623</v>
      </c>
      <c r="AI406">
        <v>-15</v>
      </c>
      <c r="AN406" t="s">
        <v>31</v>
      </c>
      <c r="AO406">
        <v>0</v>
      </c>
      <c r="AS406" t="s">
        <v>385</v>
      </c>
      <c r="AX406" t="s">
        <v>57</v>
      </c>
      <c r="AY406" t="s">
        <v>386</v>
      </c>
      <c r="BF406">
        <v>0</v>
      </c>
      <c r="BK406" t="s">
        <v>31</v>
      </c>
      <c r="BS406" t="s">
        <v>412</v>
      </c>
      <c r="CI406" t="s">
        <v>388</v>
      </c>
      <c r="CJ406" s="14">
        <v>45013</v>
      </c>
      <c r="CK406">
        <v>1</v>
      </c>
    </row>
    <row r="407" spans="1:89">
      <c r="A407" t="s">
        <v>1799</v>
      </c>
      <c r="B407" t="s">
        <v>374</v>
      </c>
      <c r="C407" t="s">
        <v>1800</v>
      </c>
      <c r="D407" t="s">
        <v>1842</v>
      </c>
      <c r="E407" t="s">
        <v>1843</v>
      </c>
      <c r="F407" s="13">
        <v>44638.759062500001</v>
      </c>
      <c r="G407" t="s">
        <v>641</v>
      </c>
      <c r="H407" t="s">
        <v>642</v>
      </c>
      <c r="I407" s="13">
        <v>44638.759062500001</v>
      </c>
      <c r="K407" t="s">
        <v>412</v>
      </c>
      <c r="M407" s="13">
        <v>44650</v>
      </c>
      <c r="R407">
        <v>0</v>
      </c>
      <c r="S407" t="s">
        <v>380</v>
      </c>
      <c r="T407" t="s">
        <v>57</v>
      </c>
      <c r="V407" t="s">
        <v>381</v>
      </c>
      <c r="W407" t="s">
        <v>1837</v>
      </c>
      <c r="X407" t="s">
        <v>1837</v>
      </c>
      <c r="AC407" s="13">
        <v>44650</v>
      </c>
      <c r="AD407" s="13">
        <v>44650</v>
      </c>
      <c r="AI407">
        <v>12</v>
      </c>
      <c r="AN407" t="s">
        <v>31</v>
      </c>
      <c r="AO407">
        <v>0</v>
      </c>
      <c r="AS407" t="s">
        <v>385</v>
      </c>
      <c r="AX407" t="s">
        <v>57</v>
      </c>
      <c r="AY407" t="s">
        <v>386</v>
      </c>
      <c r="BF407">
        <v>0</v>
      </c>
      <c r="BK407" t="s">
        <v>31</v>
      </c>
      <c r="BS407" t="s">
        <v>412</v>
      </c>
      <c r="CI407" t="s">
        <v>388</v>
      </c>
      <c r="CJ407" s="14">
        <v>45013</v>
      </c>
      <c r="CK407">
        <v>1</v>
      </c>
    </row>
    <row r="408" spans="1:89">
      <c r="A408" t="s">
        <v>1844</v>
      </c>
      <c r="B408" t="s">
        <v>374</v>
      </c>
      <c r="C408" t="s">
        <v>1845</v>
      </c>
      <c r="D408" t="s">
        <v>1846</v>
      </c>
      <c r="E408" t="s">
        <v>1847</v>
      </c>
      <c r="F408" s="13">
        <v>44638.759050925924</v>
      </c>
      <c r="G408" t="s">
        <v>641</v>
      </c>
      <c r="H408" t="s">
        <v>642</v>
      </c>
      <c r="I408" s="13">
        <v>44638.759050925924</v>
      </c>
      <c r="K408" t="s">
        <v>412</v>
      </c>
      <c r="M408" s="13">
        <v>44526</v>
      </c>
      <c r="R408">
        <v>0</v>
      </c>
      <c r="S408" t="s">
        <v>380</v>
      </c>
      <c r="T408" t="s">
        <v>57</v>
      </c>
      <c r="V408" t="s">
        <v>381</v>
      </c>
      <c r="W408" t="s">
        <v>1848</v>
      </c>
      <c r="X408" t="s">
        <v>1848</v>
      </c>
      <c r="AC408" s="13">
        <v>44526</v>
      </c>
      <c r="AD408" s="13">
        <v>44526</v>
      </c>
      <c r="AI408">
        <v>-112</v>
      </c>
      <c r="AN408" t="s">
        <v>31</v>
      </c>
      <c r="AO408">
        <v>0</v>
      </c>
      <c r="AS408" t="s">
        <v>526</v>
      </c>
      <c r="AX408" t="s">
        <v>57</v>
      </c>
      <c r="AY408" t="s">
        <v>386</v>
      </c>
      <c r="BF408">
        <v>0</v>
      </c>
      <c r="BK408" t="s">
        <v>31</v>
      </c>
      <c r="BS408" t="s">
        <v>412</v>
      </c>
      <c r="CI408" t="s">
        <v>388</v>
      </c>
      <c r="CJ408" s="14">
        <v>45013</v>
      </c>
      <c r="CK408">
        <v>1</v>
      </c>
    </row>
    <row r="409" spans="1:89">
      <c r="A409" t="s">
        <v>1799</v>
      </c>
      <c r="B409" t="s">
        <v>374</v>
      </c>
      <c r="C409" t="s">
        <v>1800</v>
      </c>
      <c r="D409" t="s">
        <v>1849</v>
      </c>
      <c r="E409" t="s">
        <v>1850</v>
      </c>
      <c r="F409" s="13">
        <v>44638.759050925924</v>
      </c>
      <c r="G409" t="s">
        <v>641</v>
      </c>
      <c r="H409" t="s">
        <v>642</v>
      </c>
      <c r="I409" s="13">
        <v>44638.759050925924</v>
      </c>
      <c r="K409" t="s">
        <v>412</v>
      </c>
      <c r="M409" s="13">
        <v>44610</v>
      </c>
      <c r="R409">
        <v>0</v>
      </c>
      <c r="S409" t="s">
        <v>380</v>
      </c>
      <c r="T409" t="s">
        <v>57</v>
      </c>
      <c r="V409" t="s">
        <v>381</v>
      </c>
      <c r="W409" t="s">
        <v>1851</v>
      </c>
      <c r="X409" t="s">
        <v>1851</v>
      </c>
      <c r="AC409" s="13">
        <v>44610</v>
      </c>
      <c r="AD409" s="13">
        <v>44610</v>
      </c>
      <c r="AI409">
        <v>-28</v>
      </c>
      <c r="AN409" t="s">
        <v>31</v>
      </c>
      <c r="AO409">
        <v>0</v>
      </c>
      <c r="AS409" t="s">
        <v>385</v>
      </c>
      <c r="AX409" t="s">
        <v>57</v>
      </c>
      <c r="AY409" t="s">
        <v>386</v>
      </c>
      <c r="BF409">
        <v>0</v>
      </c>
      <c r="BK409" t="s">
        <v>31</v>
      </c>
      <c r="BS409" t="s">
        <v>412</v>
      </c>
      <c r="CI409" t="s">
        <v>388</v>
      </c>
      <c r="CJ409" s="14">
        <v>45013</v>
      </c>
      <c r="CK409">
        <v>1</v>
      </c>
    </row>
    <row r="410" spans="1:89">
      <c r="A410" t="s">
        <v>1705</v>
      </c>
      <c r="B410" t="s">
        <v>374</v>
      </c>
      <c r="C410" t="s">
        <v>1706</v>
      </c>
      <c r="D410" t="s">
        <v>1852</v>
      </c>
      <c r="E410" t="s">
        <v>1853</v>
      </c>
      <c r="F410" s="13">
        <v>44638.759039351855</v>
      </c>
      <c r="G410" t="s">
        <v>641</v>
      </c>
      <c r="H410" t="s">
        <v>642</v>
      </c>
      <c r="I410" s="13">
        <v>44638.759039351855</v>
      </c>
      <c r="K410" t="s">
        <v>412</v>
      </c>
      <c r="M410" s="13">
        <v>44530</v>
      </c>
      <c r="R410">
        <v>0</v>
      </c>
      <c r="S410" t="s">
        <v>380</v>
      </c>
      <c r="T410" t="s">
        <v>57</v>
      </c>
      <c r="V410" t="s">
        <v>381</v>
      </c>
      <c r="W410" t="s">
        <v>1806</v>
      </c>
      <c r="X410" t="s">
        <v>1806</v>
      </c>
      <c r="AC410" s="13">
        <v>44530</v>
      </c>
      <c r="AD410" s="13">
        <v>44530</v>
      </c>
      <c r="AI410">
        <v>-108</v>
      </c>
      <c r="AN410" t="s">
        <v>31</v>
      </c>
      <c r="AO410">
        <v>0</v>
      </c>
      <c r="AS410" t="s">
        <v>881</v>
      </c>
      <c r="AX410" t="s">
        <v>57</v>
      </c>
      <c r="AY410" t="s">
        <v>386</v>
      </c>
      <c r="BF410">
        <v>0</v>
      </c>
      <c r="BK410" t="s">
        <v>31</v>
      </c>
      <c r="BS410" t="s">
        <v>412</v>
      </c>
      <c r="CI410" t="s">
        <v>388</v>
      </c>
      <c r="CJ410" s="14">
        <v>45013</v>
      </c>
      <c r="CK410">
        <v>1</v>
      </c>
    </row>
    <row r="411" spans="1:89">
      <c r="A411" t="s">
        <v>1799</v>
      </c>
      <c r="B411" t="s">
        <v>374</v>
      </c>
      <c r="C411" t="s">
        <v>1800</v>
      </c>
      <c r="D411" t="s">
        <v>1854</v>
      </c>
      <c r="E411" t="s">
        <v>1855</v>
      </c>
      <c r="F411" s="13">
        <v>44638.759039351855</v>
      </c>
      <c r="G411" t="s">
        <v>641</v>
      </c>
      <c r="H411" t="s">
        <v>642</v>
      </c>
      <c r="I411" s="13">
        <v>44638.759039351855</v>
      </c>
      <c r="K411" t="s">
        <v>412</v>
      </c>
      <c r="M411" s="13">
        <v>44607</v>
      </c>
      <c r="R411">
        <v>0</v>
      </c>
      <c r="S411" t="s">
        <v>380</v>
      </c>
      <c r="T411" t="s">
        <v>57</v>
      </c>
      <c r="V411" t="s">
        <v>381</v>
      </c>
      <c r="W411" t="s">
        <v>1709</v>
      </c>
      <c r="X411" t="s">
        <v>1709</v>
      </c>
      <c r="AC411" s="13">
        <v>44607</v>
      </c>
      <c r="AD411" s="13">
        <v>44607</v>
      </c>
      <c r="AI411">
        <v>-31</v>
      </c>
      <c r="AN411" t="s">
        <v>31</v>
      </c>
      <c r="AO411">
        <v>0</v>
      </c>
      <c r="AS411" t="s">
        <v>385</v>
      </c>
      <c r="AX411" t="s">
        <v>57</v>
      </c>
      <c r="AY411" t="s">
        <v>386</v>
      </c>
      <c r="BF411">
        <v>0</v>
      </c>
      <c r="BK411" t="s">
        <v>31</v>
      </c>
      <c r="BS411" t="s">
        <v>412</v>
      </c>
      <c r="CI411" t="s">
        <v>388</v>
      </c>
      <c r="CJ411" s="14">
        <v>45013</v>
      </c>
      <c r="CK411">
        <v>1</v>
      </c>
    </row>
    <row r="412" spans="1:89">
      <c r="A412" t="s">
        <v>1710</v>
      </c>
      <c r="B412" t="s">
        <v>374</v>
      </c>
      <c r="C412" t="s">
        <v>392</v>
      </c>
      <c r="D412" t="s">
        <v>1856</v>
      </c>
      <c r="E412" t="s">
        <v>1857</v>
      </c>
      <c r="F412" s="13">
        <v>44638.759027777778</v>
      </c>
      <c r="G412" t="s">
        <v>641</v>
      </c>
      <c r="H412" t="s">
        <v>642</v>
      </c>
      <c r="I412" s="13">
        <v>44638.759027777778</v>
      </c>
      <c r="K412" t="s">
        <v>412</v>
      </c>
      <c r="M412" s="13">
        <v>44592</v>
      </c>
      <c r="R412">
        <v>0</v>
      </c>
      <c r="S412" t="s">
        <v>380</v>
      </c>
      <c r="T412" t="s">
        <v>57</v>
      </c>
      <c r="V412" t="s">
        <v>381</v>
      </c>
      <c r="W412" t="s">
        <v>1806</v>
      </c>
      <c r="X412" t="s">
        <v>1806</v>
      </c>
      <c r="AC412" s="13">
        <v>44592</v>
      </c>
      <c r="AD412" s="13">
        <v>44592</v>
      </c>
      <c r="AI412">
        <v>-46</v>
      </c>
      <c r="AN412" t="s">
        <v>31</v>
      </c>
      <c r="AO412">
        <v>0</v>
      </c>
      <c r="AS412" t="s">
        <v>538</v>
      </c>
      <c r="AX412" t="s">
        <v>57</v>
      </c>
      <c r="AY412" t="s">
        <v>442</v>
      </c>
      <c r="BF412">
        <v>0</v>
      </c>
      <c r="BK412" t="s">
        <v>31</v>
      </c>
      <c r="BS412" t="s">
        <v>412</v>
      </c>
      <c r="CI412" t="s">
        <v>388</v>
      </c>
      <c r="CJ412" s="14">
        <v>45013</v>
      </c>
      <c r="CK412">
        <v>1</v>
      </c>
    </row>
    <row r="413" spans="1:89">
      <c r="A413" t="s">
        <v>1858</v>
      </c>
      <c r="B413" t="s">
        <v>374</v>
      </c>
      <c r="C413" t="s">
        <v>1859</v>
      </c>
      <c r="D413" t="s">
        <v>1860</v>
      </c>
      <c r="E413" t="s">
        <v>1861</v>
      </c>
      <c r="F413" s="13">
        <v>44638.759027777778</v>
      </c>
      <c r="G413" t="s">
        <v>641</v>
      </c>
      <c r="H413" t="s">
        <v>642</v>
      </c>
      <c r="I413" s="13">
        <v>44638.759027777778</v>
      </c>
      <c r="K413" t="s">
        <v>412</v>
      </c>
      <c r="M413" s="13">
        <v>44592</v>
      </c>
      <c r="R413">
        <v>0</v>
      </c>
      <c r="S413" t="s">
        <v>416</v>
      </c>
      <c r="T413" t="s">
        <v>57</v>
      </c>
      <c r="V413" t="s">
        <v>381</v>
      </c>
      <c r="W413" t="s">
        <v>1713</v>
      </c>
      <c r="X413" t="s">
        <v>1713</v>
      </c>
      <c r="AC413" s="13">
        <v>44592</v>
      </c>
      <c r="AD413" s="13">
        <v>44592</v>
      </c>
      <c r="AI413">
        <v>-46</v>
      </c>
      <c r="AN413" t="s">
        <v>31</v>
      </c>
      <c r="AO413">
        <v>0</v>
      </c>
      <c r="AS413" t="s">
        <v>392</v>
      </c>
      <c r="AX413" t="s">
        <v>57</v>
      </c>
      <c r="AY413" t="s">
        <v>442</v>
      </c>
      <c r="BF413">
        <v>0</v>
      </c>
      <c r="BK413" t="s">
        <v>31</v>
      </c>
      <c r="BS413" t="s">
        <v>412</v>
      </c>
      <c r="CI413" t="s">
        <v>388</v>
      </c>
      <c r="CJ413" s="14">
        <v>45013</v>
      </c>
      <c r="CK413">
        <v>1</v>
      </c>
    </row>
    <row r="414" spans="1:89">
      <c r="A414" t="s">
        <v>1710</v>
      </c>
      <c r="B414" t="s">
        <v>374</v>
      </c>
      <c r="C414" t="s">
        <v>392</v>
      </c>
      <c r="D414" t="s">
        <v>1862</v>
      </c>
      <c r="E414" t="s">
        <v>1863</v>
      </c>
      <c r="F414" s="13">
        <v>44638.759027777778</v>
      </c>
      <c r="G414" t="s">
        <v>641</v>
      </c>
      <c r="H414" t="s">
        <v>642</v>
      </c>
      <c r="I414" s="13">
        <v>44638.759027777778</v>
      </c>
      <c r="K414" t="s">
        <v>412</v>
      </c>
      <c r="M414" s="13">
        <v>44530</v>
      </c>
      <c r="R414">
        <v>0</v>
      </c>
      <c r="S414" t="s">
        <v>380</v>
      </c>
      <c r="T414" t="s">
        <v>57</v>
      </c>
      <c r="V414" t="s">
        <v>381</v>
      </c>
      <c r="W414" t="s">
        <v>1864</v>
      </c>
      <c r="X414" t="s">
        <v>1864</v>
      </c>
      <c r="AC414" s="13">
        <v>44530</v>
      </c>
      <c r="AD414" s="13">
        <v>44530</v>
      </c>
      <c r="AI414">
        <v>-108</v>
      </c>
      <c r="AN414" t="s">
        <v>31</v>
      </c>
      <c r="AO414">
        <v>0</v>
      </c>
      <c r="AS414" t="s">
        <v>392</v>
      </c>
      <c r="AX414" t="s">
        <v>57</v>
      </c>
      <c r="AY414" t="s">
        <v>386</v>
      </c>
      <c r="BF414">
        <v>0</v>
      </c>
      <c r="BK414" t="s">
        <v>31</v>
      </c>
      <c r="BS414" t="s">
        <v>412</v>
      </c>
      <c r="CI414" t="s">
        <v>388</v>
      </c>
      <c r="CJ414" s="14">
        <v>45013</v>
      </c>
      <c r="CK414">
        <v>1</v>
      </c>
    </row>
    <row r="415" spans="1:89">
      <c r="A415" t="s">
        <v>1865</v>
      </c>
      <c r="B415" t="s">
        <v>374</v>
      </c>
      <c r="C415" t="s">
        <v>1866</v>
      </c>
      <c r="D415" t="s">
        <v>1867</v>
      </c>
      <c r="E415" t="s">
        <v>1868</v>
      </c>
      <c r="F415" s="13">
        <v>44638.759016203701</v>
      </c>
      <c r="G415" t="s">
        <v>641</v>
      </c>
      <c r="H415" t="s">
        <v>642</v>
      </c>
      <c r="I415" s="13">
        <v>44638.759016203701</v>
      </c>
      <c r="K415" t="s">
        <v>412</v>
      </c>
      <c r="M415" s="13">
        <v>44620</v>
      </c>
      <c r="R415">
        <v>0</v>
      </c>
      <c r="S415" t="s">
        <v>380</v>
      </c>
      <c r="T415" t="s">
        <v>57</v>
      </c>
      <c r="V415" t="s">
        <v>381</v>
      </c>
      <c r="W415" t="s">
        <v>1762</v>
      </c>
      <c r="X415" t="s">
        <v>1762</v>
      </c>
      <c r="AC415" s="13">
        <v>44620</v>
      </c>
      <c r="AD415" s="13">
        <v>44620</v>
      </c>
      <c r="AI415">
        <v>-18</v>
      </c>
      <c r="AN415" t="s">
        <v>31</v>
      </c>
      <c r="AO415">
        <v>0</v>
      </c>
      <c r="AS415" t="s">
        <v>702</v>
      </c>
      <c r="AX415" t="s">
        <v>57</v>
      </c>
      <c r="AY415" t="s">
        <v>386</v>
      </c>
      <c r="BF415">
        <v>0</v>
      </c>
      <c r="BK415" t="s">
        <v>31</v>
      </c>
      <c r="BS415" t="s">
        <v>412</v>
      </c>
      <c r="CI415" t="s">
        <v>388</v>
      </c>
      <c r="CJ415" s="14">
        <v>45013</v>
      </c>
      <c r="CK415">
        <v>1</v>
      </c>
    </row>
    <row r="416" spans="1:89">
      <c r="A416" t="s">
        <v>1865</v>
      </c>
      <c r="B416" t="s">
        <v>374</v>
      </c>
      <c r="C416" t="s">
        <v>1866</v>
      </c>
      <c r="D416" t="s">
        <v>1869</v>
      </c>
      <c r="E416" t="s">
        <v>1870</v>
      </c>
      <c r="F416" s="13">
        <v>44638.759016203701</v>
      </c>
      <c r="G416" t="s">
        <v>641</v>
      </c>
      <c r="H416" t="s">
        <v>642</v>
      </c>
      <c r="I416" s="13">
        <v>44638.759016203701</v>
      </c>
      <c r="K416" t="s">
        <v>412</v>
      </c>
      <c r="M416" s="13">
        <v>44742</v>
      </c>
      <c r="R416">
        <v>0</v>
      </c>
      <c r="S416" t="s">
        <v>380</v>
      </c>
      <c r="T416" t="s">
        <v>57</v>
      </c>
      <c r="V416" t="s">
        <v>381</v>
      </c>
      <c r="W416" t="s">
        <v>1871</v>
      </c>
      <c r="X416" t="s">
        <v>1871</v>
      </c>
      <c r="AC416" s="13">
        <v>44742</v>
      </c>
      <c r="AD416" s="13">
        <v>44742</v>
      </c>
      <c r="AI416">
        <v>104</v>
      </c>
      <c r="AN416" t="s">
        <v>31</v>
      </c>
      <c r="AO416">
        <v>0</v>
      </c>
      <c r="AS416" t="s">
        <v>702</v>
      </c>
      <c r="AX416" t="s">
        <v>57</v>
      </c>
      <c r="AY416" t="s">
        <v>386</v>
      </c>
      <c r="BF416">
        <v>0</v>
      </c>
      <c r="BK416" t="s">
        <v>31</v>
      </c>
      <c r="BS416" t="s">
        <v>412</v>
      </c>
      <c r="CI416" t="s">
        <v>388</v>
      </c>
      <c r="CJ416" s="14">
        <v>45013</v>
      </c>
      <c r="CK416">
        <v>1</v>
      </c>
    </row>
    <row r="417" spans="1:89">
      <c r="A417" t="s">
        <v>1872</v>
      </c>
      <c r="B417" t="s">
        <v>374</v>
      </c>
      <c r="C417" t="s">
        <v>1873</v>
      </c>
      <c r="D417" t="s">
        <v>1874</v>
      </c>
      <c r="E417" t="s">
        <v>1875</v>
      </c>
      <c r="F417" s="13">
        <v>44638.759004629632</v>
      </c>
      <c r="G417" t="s">
        <v>641</v>
      </c>
      <c r="H417" t="s">
        <v>642</v>
      </c>
      <c r="I417" s="13">
        <v>44638.759004629632</v>
      </c>
      <c r="K417" t="s">
        <v>412</v>
      </c>
      <c r="M417" s="13">
        <v>44635</v>
      </c>
      <c r="R417">
        <v>0</v>
      </c>
      <c r="S417" t="s">
        <v>380</v>
      </c>
      <c r="T417" t="s">
        <v>57</v>
      </c>
      <c r="V417" t="s">
        <v>381</v>
      </c>
      <c r="W417" t="s">
        <v>1709</v>
      </c>
      <c r="X417" t="s">
        <v>1709</v>
      </c>
      <c r="AC417" s="13">
        <v>44635</v>
      </c>
      <c r="AD417" s="13">
        <v>44635</v>
      </c>
      <c r="AI417">
        <v>-3</v>
      </c>
      <c r="AN417" t="s">
        <v>31</v>
      </c>
      <c r="AO417">
        <v>0</v>
      </c>
      <c r="AS417" t="s">
        <v>526</v>
      </c>
      <c r="AX417" t="s">
        <v>57</v>
      </c>
      <c r="AY417" t="s">
        <v>386</v>
      </c>
      <c r="BF417">
        <v>0</v>
      </c>
      <c r="BK417" t="s">
        <v>31</v>
      </c>
      <c r="BS417" t="s">
        <v>412</v>
      </c>
      <c r="CI417" t="s">
        <v>388</v>
      </c>
      <c r="CJ417" s="14">
        <v>45013</v>
      </c>
      <c r="CK417">
        <v>1</v>
      </c>
    </row>
    <row r="418" spans="1:89">
      <c r="A418" t="s">
        <v>1872</v>
      </c>
      <c r="B418" t="s">
        <v>374</v>
      </c>
      <c r="C418" t="s">
        <v>1873</v>
      </c>
      <c r="D418" t="s">
        <v>1876</v>
      </c>
      <c r="E418" t="s">
        <v>1877</v>
      </c>
      <c r="F418" s="13">
        <v>44638.759004629632</v>
      </c>
      <c r="G418" t="s">
        <v>641</v>
      </c>
      <c r="H418" t="s">
        <v>642</v>
      </c>
      <c r="I418" s="13">
        <v>44638.759004629632</v>
      </c>
      <c r="K418" t="s">
        <v>412</v>
      </c>
      <c r="M418" s="13">
        <v>44500</v>
      </c>
      <c r="R418">
        <v>0</v>
      </c>
      <c r="S418" t="s">
        <v>380</v>
      </c>
      <c r="T418" t="s">
        <v>57</v>
      </c>
      <c r="V418" t="s">
        <v>381</v>
      </c>
      <c r="W418" t="s">
        <v>1762</v>
      </c>
      <c r="X418" t="s">
        <v>1762</v>
      </c>
      <c r="AC418" s="13">
        <v>44500</v>
      </c>
      <c r="AD418" s="13">
        <v>44500</v>
      </c>
      <c r="AI418">
        <v>-138</v>
      </c>
      <c r="AN418" t="s">
        <v>31</v>
      </c>
      <c r="AO418">
        <v>0</v>
      </c>
      <c r="AS418" t="s">
        <v>392</v>
      </c>
      <c r="AX418" t="s">
        <v>57</v>
      </c>
      <c r="AY418" t="s">
        <v>386</v>
      </c>
      <c r="BF418">
        <v>0</v>
      </c>
      <c r="BK418" t="s">
        <v>31</v>
      </c>
      <c r="BS418" t="s">
        <v>412</v>
      </c>
      <c r="CI418" t="s">
        <v>388</v>
      </c>
      <c r="CJ418" s="14">
        <v>45013</v>
      </c>
      <c r="CK418">
        <v>1</v>
      </c>
    </row>
    <row r="419" spans="1:89">
      <c r="A419" t="s">
        <v>1872</v>
      </c>
      <c r="B419" t="s">
        <v>374</v>
      </c>
      <c r="C419" t="s">
        <v>1873</v>
      </c>
      <c r="D419" t="s">
        <v>1878</v>
      </c>
      <c r="E419" t="s">
        <v>1879</v>
      </c>
      <c r="F419" s="13">
        <v>44638.758993055555</v>
      </c>
      <c r="G419" t="s">
        <v>641</v>
      </c>
      <c r="H419" t="s">
        <v>642</v>
      </c>
      <c r="I419" s="13">
        <v>44638.758993055555</v>
      </c>
      <c r="K419" t="s">
        <v>412</v>
      </c>
      <c r="M419" s="13">
        <v>44635</v>
      </c>
      <c r="R419">
        <v>0</v>
      </c>
      <c r="S419" t="s">
        <v>380</v>
      </c>
      <c r="T419" t="s">
        <v>57</v>
      </c>
      <c r="V419" t="s">
        <v>381</v>
      </c>
      <c r="W419" t="s">
        <v>1762</v>
      </c>
      <c r="X419" t="s">
        <v>1762</v>
      </c>
      <c r="AC419" s="13">
        <v>44635</v>
      </c>
      <c r="AD419" s="13">
        <v>44635</v>
      </c>
      <c r="AI419">
        <v>-3</v>
      </c>
      <c r="AN419" t="s">
        <v>31</v>
      </c>
      <c r="AO419">
        <v>0</v>
      </c>
      <c r="AS419" t="s">
        <v>881</v>
      </c>
      <c r="AX419" t="s">
        <v>57</v>
      </c>
      <c r="AY419" t="s">
        <v>386</v>
      </c>
      <c r="BF419">
        <v>0</v>
      </c>
      <c r="BK419" t="s">
        <v>31</v>
      </c>
      <c r="BS419" t="s">
        <v>412</v>
      </c>
      <c r="CI419" t="s">
        <v>388</v>
      </c>
      <c r="CJ419" s="14">
        <v>45013</v>
      </c>
      <c r="CK419">
        <v>1</v>
      </c>
    </row>
    <row r="420" spans="1:89">
      <c r="A420" t="s">
        <v>1872</v>
      </c>
      <c r="B420" t="s">
        <v>374</v>
      </c>
      <c r="C420" t="s">
        <v>1873</v>
      </c>
      <c r="D420" t="s">
        <v>1880</v>
      </c>
      <c r="E420" t="s">
        <v>1881</v>
      </c>
      <c r="F420" s="13">
        <v>44638.758993055555</v>
      </c>
      <c r="G420" t="s">
        <v>641</v>
      </c>
      <c r="H420" t="s">
        <v>642</v>
      </c>
      <c r="I420" s="13">
        <v>44638.758993055555</v>
      </c>
      <c r="K420" t="s">
        <v>412</v>
      </c>
      <c r="M420" s="13">
        <v>44635</v>
      </c>
      <c r="R420">
        <v>0</v>
      </c>
      <c r="S420" t="s">
        <v>380</v>
      </c>
      <c r="T420" t="s">
        <v>57</v>
      </c>
      <c r="V420" t="s">
        <v>381</v>
      </c>
      <c r="W420" t="s">
        <v>1709</v>
      </c>
      <c r="X420" t="s">
        <v>1709</v>
      </c>
      <c r="AC420" s="13">
        <v>44635</v>
      </c>
      <c r="AD420" s="13">
        <v>44635</v>
      </c>
      <c r="AI420">
        <v>-3</v>
      </c>
      <c r="AN420" t="s">
        <v>31</v>
      </c>
      <c r="AO420">
        <v>0</v>
      </c>
      <c r="AS420" t="s">
        <v>744</v>
      </c>
      <c r="AX420" t="s">
        <v>57</v>
      </c>
      <c r="AY420" t="s">
        <v>386</v>
      </c>
      <c r="BF420">
        <v>0</v>
      </c>
      <c r="BK420" t="s">
        <v>31</v>
      </c>
      <c r="BS420" t="s">
        <v>412</v>
      </c>
      <c r="CI420" t="s">
        <v>388</v>
      </c>
      <c r="CJ420" s="14">
        <v>45013</v>
      </c>
      <c r="CK420">
        <v>1</v>
      </c>
    </row>
    <row r="421" spans="1:89">
      <c r="A421" t="s">
        <v>1858</v>
      </c>
      <c r="B421" t="s">
        <v>374</v>
      </c>
      <c r="C421" t="s">
        <v>1859</v>
      </c>
      <c r="D421" t="s">
        <v>1882</v>
      </c>
      <c r="E421" t="s">
        <v>1883</v>
      </c>
      <c r="F421" s="13">
        <v>44638.758981481478</v>
      </c>
      <c r="G421" t="s">
        <v>641</v>
      </c>
      <c r="H421" t="s">
        <v>642</v>
      </c>
      <c r="I421" s="13">
        <v>44638.758981481478</v>
      </c>
      <c r="K421" t="s">
        <v>412</v>
      </c>
      <c r="M421" s="13">
        <v>44635</v>
      </c>
      <c r="R421">
        <v>0</v>
      </c>
      <c r="S421" t="s">
        <v>380</v>
      </c>
      <c r="T421" t="s">
        <v>57</v>
      </c>
      <c r="V421" t="s">
        <v>381</v>
      </c>
      <c r="W421" t="s">
        <v>1762</v>
      </c>
      <c r="X421" t="s">
        <v>1762</v>
      </c>
      <c r="AC421" s="13">
        <v>44635</v>
      </c>
      <c r="AD421" s="13">
        <v>44635</v>
      </c>
      <c r="AI421">
        <v>-3</v>
      </c>
      <c r="AN421" t="s">
        <v>31</v>
      </c>
      <c r="AO421">
        <v>0</v>
      </c>
      <c r="AS421" t="s">
        <v>526</v>
      </c>
      <c r="AX421" t="s">
        <v>57</v>
      </c>
      <c r="AY421" t="s">
        <v>386</v>
      </c>
      <c r="BF421">
        <v>0</v>
      </c>
      <c r="BK421" t="s">
        <v>31</v>
      </c>
      <c r="BS421" t="s">
        <v>412</v>
      </c>
      <c r="CI421" t="s">
        <v>388</v>
      </c>
      <c r="CJ421" s="14">
        <v>45013</v>
      </c>
      <c r="CK421">
        <v>1</v>
      </c>
    </row>
    <row r="422" spans="1:89">
      <c r="A422" t="s">
        <v>1716</v>
      </c>
      <c r="B422" t="s">
        <v>374</v>
      </c>
      <c r="C422" t="s">
        <v>966</v>
      </c>
      <c r="D422" t="s">
        <v>1884</v>
      </c>
      <c r="E422" t="s">
        <v>1885</v>
      </c>
      <c r="F422" s="13">
        <v>44638.758981481478</v>
      </c>
      <c r="G422" t="s">
        <v>641</v>
      </c>
      <c r="H422" t="s">
        <v>642</v>
      </c>
      <c r="I422" s="13">
        <v>44638.758981481478</v>
      </c>
      <c r="K422" t="s">
        <v>412</v>
      </c>
      <c r="M422" s="13">
        <v>44602</v>
      </c>
      <c r="R422">
        <v>0</v>
      </c>
      <c r="S422" t="s">
        <v>380</v>
      </c>
      <c r="T422" t="s">
        <v>57</v>
      </c>
      <c r="V422" t="s">
        <v>381</v>
      </c>
      <c r="W422" t="s">
        <v>1886</v>
      </c>
      <c r="X422" t="s">
        <v>1886</v>
      </c>
      <c r="AC422" s="13">
        <v>44602</v>
      </c>
      <c r="AD422" s="13">
        <v>44602</v>
      </c>
      <c r="AI422">
        <v>-36</v>
      </c>
      <c r="AN422" t="s">
        <v>31</v>
      </c>
      <c r="AO422">
        <v>0</v>
      </c>
      <c r="AS422" t="s">
        <v>538</v>
      </c>
      <c r="AX422" t="s">
        <v>57</v>
      </c>
      <c r="AY422" t="s">
        <v>386</v>
      </c>
      <c r="BF422">
        <v>0</v>
      </c>
      <c r="BK422" t="s">
        <v>31</v>
      </c>
      <c r="BS422" t="s">
        <v>412</v>
      </c>
      <c r="CI422" t="s">
        <v>388</v>
      </c>
      <c r="CJ422" s="14">
        <v>45013</v>
      </c>
      <c r="CK422">
        <v>1</v>
      </c>
    </row>
    <row r="423" spans="1:89">
      <c r="A423" t="s">
        <v>1710</v>
      </c>
      <c r="B423" t="s">
        <v>374</v>
      </c>
      <c r="C423" t="s">
        <v>392</v>
      </c>
      <c r="D423" t="s">
        <v>1887</v>
      </c>
      <c r="E423" t="s">
        <v>1888</v>
      </c>
      <c r="F423" s="13">
        <v>44638.758969907409</v>
      </c>
      <c r="G423" t="s">
        <v>641</v>
      </c>
      <c r="H423" t="s">
        <v>642</v>
      </c>
      <c r="I423" s="13">
        <v>44638.758969907409</v>
      </c>
      <c r="K423" t="s">
        <v>412</v>
      </c>
      <c r="M423" s="13">
        <v>44574</v>
      </c>
      <c r="R423">
        <v>0</v>
      </c>
      <c r="S423" t="s">
        <v>380</v>
      </c>
      <c r="T423" t="s">
        <v>57</v>
      </c>
      <c r="V423" t="s">
        <v>381</v>
      </c>
      <c r="W423" t="s">
        <v>1713</v>
      </c>
      <c r="X423" t="s">
        <v>1713</v>
      </c>
      <c r="AC423" s="13">
        <v>44574</v>
      </c>
      <c r="AD423" s="13">
        <v>44574</v>
      </c>
      <c r="AI423">
        <v>-64</v>
      </c>
      <c r="AN423" t="s">
        <v>31</v>
      </c>
      <c r="AO423">
        <v>0</v>
      </c>
      <c r="AS423" t="s">
        <v>461</v>
      </c>
      <c r="AX423" t="s">
        <v>57</v>
      </c>
      <c r="AY423" t="s">
        <v>386</v>
      </c>
      <c r="BF423">
        <v>0</v>
      </c>
      <c r="BK423" t="s">
        <v>31</v>
      </c>
      <c r="BS423" t="s">
        <v>412</v>
      </c>
      <c r="CI423" t="s">
        <v>388</v>
      </c>
      <c r="CJ423" s="14">
        <v>45013</v>
      </c>
      <c r="CK423">
        <v>1</v>
      </c>
    </row>
    <row r="424" spans="1:89">
      <c r="A424" t="s">
        <v>1710</v>
      </c>
      <c r="B424" t="s">
        <v>374</v>
      </c>
      <c r="C424" t="s">
        <v>392</v>
      </c>
      <c r="D424" t="s">
        <v>1889</v>
      </c>
      <c r="E424" t="s">
        <v>1890</v>
      </c>
      <c r="F424" s="13">
        <v>44638.758969907409</v>
      </c>
      <c r="G424" t="s">
        <v>641</v>
      </c>
      <c r="H424" t="s">
        <v>642</v>
      </c>
      <c r="I424" s="13">
        <v>44638.758969907409</v>
      </c>
      <c r="K424" t="s">
        <v>412</v>
      </c>
      <c r="M424" s="13">
        <v>44574</v>
      </c>
      <c r="R424">
        <v>0</v>
      </c>
      <c r="S424" t="s">
        <v>380</v>
      </c>
      <c r="T424" t="s">
        <v>57</v>
      </c>
      <c r="V424" t="s">
        <v>381</v>
      </c>
      <c r="W424" t="s">
        <v>1719</v>
      </c>
      <c r="X424" t="s">
        <v>1719</v>
      </c>
      <c r="AC424" s="13">
        <v>44574</v>
      </c>
      <c r="AD424" s="13">
        <v>44574</v>
      </c>
      <c r="AI424">
        <v>-64</v>
      </c>
      <c r="AN424" t="s">
        <v>31</v>
      </c>
      <c r="AO424">
        <v>0</v>
      </c>
      <c r="AS424" t="s">
        <v>392</v>
      </c>
      <c r="AX424" t="s">
        <v>57</v>
      </c>
      <c r="AY424" t="s">
        <v>386</v>
      </c>
      <c r="BF424">
        <v>0</v>
      </c>
      <c r="BK424" t="s">
        <v>31</v>
      </c>
      <c r="BS424" t="s">
        <v>412</v>
      </c>
      <c r="CI424" t="s">
        <v>388</v>
      </c>
      <c r="CJ424" s="14">
        <v>45013</v>
      </c>
      <c r="CK424">
        <v>1</v>
      </c>
    </row>
    <row r="425" spans="1:89">
      <c r="A425" t="s">
        <v>1891</v>
      </c>
      <c r="B425" t="s">
        <v>374</v>
      </c>
      <c r="C425" t="s">
        <v>1892</v>
      </c>
      <c r="D425" t="s">
        <v>1893</v>
      </c>
      <c r="E425" t="s">
        <v>1894</v>
      </c>
      <c r="F425" s="13">
        <v>44638.758958333332</v>
      </c>
      <c r="G425" t="s">
        <v>641</v>
      </c>
      <c r="H425" t="s">
        <v>642</v>
      </c>
      <c r="I425" s="13">
        <v>44638.758958333332</v>
      </c>
      <c r="K425" t="s">
        <v>412</v>
      </c>
      <c r="M425" s="13">
        <v>44552</v>
      </c>
      <c r="R425">
        <v>0</v>
      </c>
      <c r="S425" t="s">
        <v>380</v>
      </c>
      <c r="T425" t="s">
        <v>57</v>
      </c>
      <c r="V425" t="s">
        <v>381</v>
      </c>
      <c r="W425" t="s">
        <v>1895</v>
      </c>
      <c r="X425" t="s">
        <v>1895</v>
      </c>
      <c r="AC425" s="13">
        <v>44552</v>
      </c>
      <c r="AD425" s="13">
        <v>44552</v>
      </c>
      <c r="AI425">
        <v>-86</v>
      </c>
      <c r="AN425" t="s">
        <v>31</v>
      </c>
      <c r="AO425">
        <v>0</v>
      </c>
      <c r="AS425" t="s">
        <v>392</v>
      </c>
      <c r="AX425" t="s">
        <v>57</v>
      </c>
      <c r="AY425" t="s">
        <v>386</v>
      </c>
      <c r="BF425">
        <v>0</v>
      </c>
      <c r="BK425" t="s">
        <v>31</v>
      </c>
      <c r="BS425" t="s">
        <v>412</v>
      </c>
      <c r="CI425" t="s">
        <v>388</v>
      </c>
      <c r="CJ425" s="14">
        <v>45013</v>
      </c>
      <c r="CK425">
        <v>1</v>
      </c>
    </row>
    <row r="426" spans="1:89">
      <c r="A426" t="s">
        <v>1891</v>
      </c>
      <c r="B426" t="s">
        <v>374</v>
      </c>
      <c r="C426" t="s">
        <v>1892</v>
      </c>
      <c r="D426" t="s">
        <v>1896</v>
      </c>
      <c r="E426" t="s">
        <v>1897</v>
      </c>
      <c r="F426" s="13">
        <v>44638.758958333332</v>
      </c>
      <c r="G426" t="s">
        <v>641</v>
      </c>
      <c r="H426" t="s">
        <v>642</v>
      </c>
      <c r="I426" s="13">
        <v>44638.758958333332</v>
      </c>
      <c r="K426" t="s">
        <v>412</v>
      </c>
      <c r="M426" s="13">
        <v>44568</v>
      </c>
      <c r="R426">
        <v>0</v>
      </c>
      <c r="S426" t="s">
        <v>380</v>
      </c>
      <c r="T426" t="s">
        <v>57</v>
      </c>
      <c r="V426" t="s">
        <v>381</v>
      </c>
      <c r="W426" t="s">
        <v>1713</v>
      </c>
      <c r="X426" t="s">
        <v>1713</v>
      </c>
      <c r="AC426" s="13">
        <v>44568</v>
      </c>
      <c r="AD426" s="13">
        <v>44568</v>
      </c>
      <c r="AI426">
        <v>-70</v>
      </c>
      <c r="AN426" t="s">
        <v>31</v>
      </c>
      <c r="AO426">
        <v>0</v>
      </c>
      <c r="AS426" t="s">
        <v>392</v>
      </c>
      <c r="AX426" t="s">
        <v>57</v>
      </c>
      <c r="AY426" t="s">
        <v>386</v>
      </c>
      <c r="BF426">
        <v>0</v>
      </c>
      <c r="BK426" t="s">
        <v>31</v>
      </c>
      <c r="BS426" t="s">
        <v>412</v>
      </c>
      <c r="CI426" t="s">
        <v>388</v>
      </c>
      <c r="CJ426" s="14">
        <v>45013</v>
      </c>
      <c r="CK426">
        <v>1</v>
      </c>
    </row>
    <row r="427" spans="1:89">
      <c r="A427" t="s">
        <v>1898</v>
      </c>
      <c r="B427" t="s">
        <v>374</v>
      </c>
      <c r="C427" t="s">
        <v>1236</v>
      </c>
      <c r="D427" t="s">
        <v>1899</v>
      </c>
      <c r="E427" t="s">
        <v>1900</v>
      </c>
      <c r="F427" s="13">
        <v>44638.758958333332</v>
      </c>
      <c r="G427" t="s">
        <v>641</v>
      </c>
      <c r="H427" t="s">
        <v>642</v>
      </c>
      <c r="I427" s="13">
        <v>44638.758958333332</v>
      </c>
      <c r="K427" t="s">
        <v>412</v>
      </c>
      <c r="M427" s="13">
        <v>44574</v>
      </c>
      <c r="R427">
        <v>0</v>
      </c>
      <c r="S427" t="s">
        <v>380</v>
      </c>
      <c r="T427" t="s">
        <v>57</v>
      </c>
      <c r="V427" t="s">
        <v>381</v>
      </c>
      <c r="W427" t="s">
        <v>1713</v>
      </c>
      <c r="X427" t="s">
        <v>1713</v>
      </c>
      <c r="AC427" s="13">
        <v>44574</v>
      </c>
      <c r="AD427" s="13">
        <v>44574</v>
      </c>
      <c r="AI427">
        <v>-64</v>
      </c>
      <c r="AN427" t="s">
        <v>31</v>
      </c>
      <c r="AO427">
        <v>0</v>
      </c>
      <c r="AS427" t="s">
        <v>392</v>
      </c>
      <c r="AX427" t="s">
        <v>57</v>
      </c>
      <c r="AY427" t="s">
        <v>386</v>
      </c>
      <c r="BF427">
        <v>0</v>
      </c>
      <c r="BK427" t="s">
        <v>31</v>
      </c>
      <c r="BS427" t="s">
        <v>412</v>
      </c>
      <c r="CI427" t="s">
        <v>388</v>
      </c>
      <c r="CJ427" s="14">
        <v>45013</v>
      </c>
      <c r="CK427">
        <v>1</v>
      </c>
    </row>
    <row r="428" spans="1:89">
      <c r="A428" t="s">
        <v>1710</v>
      </c>
      <c r="B428" t="s">
        <v>374</v>
      </c>
      <c r="C428" t="s">
        <v>392</v>
      </c>
      <c r="D428" t="s">
        <v>1901</v>
      </c>
      <c r="E428" t="s">
        <v>1902</v>
      </c>
      <c r="F428" s="13">
        <v>44638.758946759262</v>
      </c>
      <c r="G428" t="s">
        <v>641</v>
      </c>
      <c r="H428" t="s">
        <v>642</v>
      </c>
      <c r="I428" s="13">
        <v>44638.758946759262</v>
      </c>
      <c r="K428" t="s">
        <v>412</v>
      </c>
      <c r="M428" s="13">
        <v>44552</v>
      </c>
      <c r="R428">
        <v>0</v>
      </c>
      <c r="S428" t="s">
        <v>380</v>
      </c>
      <c r="T428" t="s">
        <v>57</v>
      </c>
      <c r="V428" t="s">
        <v>381</v>
      </c>
      <c r="W428" t="s">
        <v>1762</v>
      </c>
      <c r="X428" t="s">
        <v>1762</v>
      </c>
      <c r="AC428" s="13">
        <v>44552</v>
      </c>
      <c r="AD428" s="13">
        <v>44552</v>
      </c>
      <c r="AI428">
        <v>-86</v>
      </c>
      <c r="AN428" t="s">
        <v>31</v>
      </c>
      <c r="AO428">
        <v>0</v>
      </c>
      <c r="AS428" t="s">
        <v>702</v>
      </c>
      <c r="AX428" t="s">
        <v>57</v>
      </c>
      <c r="AY428" t="s">
        <v>386</v>
      </c>
      <c r="BF428">
        <v>0</v>
      </c>
      <c r="BK428" t="s">
        <v>31</v>
      </c>
      <c r="BS428" t="s">
        <v>412</v>
      </c>
      <c r="CI428" t="s">
        <v>388</v>
      </c>
      <c r="CJ428" s="14">
        <v>45013</v>
      </c>
      <c r="CK428">
        <v>1</v>
      </c>
    </row>
    <row r="429" spans="1:89">
      <c r="A429" t="s">
        <v>1710</v>
      </c>
      <c r="B429" t="s">
        <v>374</v>
      </c>
      <c r="C429" t="s">
        <v>392</v>
      </c>
      <c r="D429" t="s">
        <v>1903</v>
      </c>
      <c r="E429" t="s">
        <v>1904</v>
      </c>
      <c r="F429" s="13">
        <v>44638.758946759262</v>
      </c>
      <c r="G429" t="s">
        <v>641</v>
      </c>
      <c r="H429" t="s">
        <v>642</v>
      </c>
      <c r="I429" s="13">
        <v>44638.758946759262</v>
      </c>
      <c r="K429" t="s">
        <v>412</v>
      </c>
      <c r="M429" s="13">
        <v>44552</v>
      </c>
      <c r="R429">
        <v>0</v>
      </c>
      <c r="S429" t="s">
        <v>380</v>
      </c>
      <c r="T429" t="s">
        <v>57</v>
      </c>
      <c r="V429" t="s">
        <v>381</v>
      </c>
      <c r="W429" t="s">
        <v>1762</v>
      </c>
      <c r="X429" t="s">
        <v>1762</v>
      </c>
      <c r="AC429" s="13">
        <v>44552</v>
      </c>
      <c r="AD429" s="13">
        <v>44552</v>
      </c>
      <c r="AI429">
        <v>-86</v>
      </c>
      <c r="AN429" t="s">
        <v>31</v>
      </c>
      <c r="AO429">
        <v>0</v>
      </c>
      <c r="AS429" t="s">
        <v>648</v>
      </c>
      <c r="AX429" t="s">
        <v>57</v>
      </c>
      <c r="AY429" t="s">
        <v>386</v>
      </c>
      <c r="BF429">
        <v>0</v>
      </c>
      <c r="BK429" t="s">
        <v>31</v>
      </c>
      <c r="BS429" t="s">
        <v>412</v>
      </c>
      <c r="CI429" t="s">
        <v>388</v>
      </c>
      <c r="CJ429" s="14">
        <v>45013</v>
      </c>
      <c r="CK429">
        <v>1</v>
      </c>
    </row>
    <row r="430" spans="1:89">
      <c r="A430" t="s">
        <v>1831</v>
      </c>
      <c r="B430" t="s">
        <v>374</v>
      </c>
      <c r="C430" t="s">
        <v>1832</v>
      </c>
      <c r="D430" t="s">
        <v>1905</v>
      </c>
      <c r="E430" t="s">
        <v>1906</v>
      </c>
      <c r="F430" s="13">
        <v>44638.758935185186</v>
      </c>
      <c r="G430" t="s">
        <v>641</v>
      </c>
      <c r="H430" t="s">
        <v>642</v>
      </c>
      <c r="I430" s="13">
        <v>44638.758935185186</v>
      </c>
      <c r="K430" t="s">
        <v>412</v>
      </c>
      <c r="M430" s="13">
        <v>44545</v>
      </c>
      <c r="R430">
        <v>0</v>
      </c>
      <c r="S430" t="s">
        <v>380</v>
      </c>
      <c r="T430" t="s">
        <v>57</v>
      </c>
      <c r="V430" t="s">
        <v>381</v>
      </c>
      <c r="W430" t="s">
        <v>1713</v>
      </c>
      <c r="X430" t="s">
        <v>1713</v>
      </c>
      <c r="AC430" s="13">
        <v>44545</v>
      </c>
      <c r="AD430" s="13">
        <v>44545</v>
      </c>
      <c r="AI430">
        <v>-93</v>
      </c>
      <c r="AN430" t="s">
        <v>31</v>
      </c>
      <c r="AO430">
        <v>0</v>
      </c>
      <c r="AS430" t="s">
        <v>881</v>
      </c>
      <c r="AX430" t="s">
        <v>57</v>
      </c>
      <c r="AY430" t="s">
        <v>386</v>
      </c>
      <c r="BF430">
        <v>0</v>
      </c>
      <c r="BK430" t="s">
        <v>31</v>
      </c>
      <c r="BS430" t="s">
        <v>412</v>
      </c>
      <c r="CI430" t="s">
        <v>388</v>
      </c>
      <c r="CJ430" s="14">
        <v>45013</v>
      </c>
      <c r="CK430">
        <v>1</v>
      </c>
    </row>
    <row r="431" spans="1:89">
      <c r="A431" t="s">
        <v>1907</v>
      </c>
      <c r="B431" t="s">
        <v>374</v>
      </c>
      <c r="C431" t="s">
        <v>607</v>
      </c>
      <c r="D431" t="s">
        <v>1908</v>
      </c>
      <c r="E431" t="s">
        <v>1909</v>
      </c>
      <c r="F431" s="13">
        <v>44638.758935185186</v>
      </c>
      <c r="G431" t="s">
        <v>641</v>
      </c>
      <c r="H431" t="s">
        <v>642</v>
      </c>
      <c r="I431" s="13">
        <v>44638.758935185186</v>
      </c>
      <c r="K431" t="s">
        <v>412</v>
      </c>
      <c r="M431" s="13">
        <v>44591</v>
      </c>
      <c r="R431">
        <v>0</v>
      </c>
      <c r="S431" t="s">
        <v>380</v>
      </c>
      <c r="T431" t="s">
        <v>57</v>
      </c>
      <c r="V431" t="s">
        <v>381</v>
      </c>
      <c r="W431" t="s">
        <v>1713</v>
      </c>
      <c r="X431" t="s">
        <v>1713</v>
      </c>
      <c r="AC431" s="13">
        <v>44591</v>
      </c>
      <c r="AD431" s="13">
        <v>44591</v>
      </c>
      <c r="AI431">
        <v>-47</v>
      </c>
      <c r="AN431" t="s">
        <v>31</v>
      </c>
      <c r="AO431">
        <v>0</v>
      </c>
      <c r="AS431" t="s">
        <v>881</v>
      </c>
      <c r="AX431" t="s">
        <v>57</v>
      </c>
      <c r="AY431" t="s">
        <v>386</v>
      </c>
      <c r="BF431">
        <v>0</v>
      </c>
      <c r="BK431" t="s">
        <v>31</v>
      </c>
      <c r="BS431" t="s">
        <v>412</v>
      </c>
      <c r="CI431" t="s">
        <v>388</v>
      </c>
      <c r="CJ431" s="14">
        <v>45013</v>
      </c>
      <c r="CK431">
        <v>1</v>
      </c>
    </row>
    <row r="432" spans="1:89">
      <c r="A432" t="s">
        <v>1907</v>
      </c>
      <c r="B432" t="s">
        <v>374</v>
      </c>
      <c r="C432" t="s">
        <v>607</v>
      </c>
      <c r="D432" t="s">
        <v>1910</v>
      </c>
      <c r="E432" t="s">
        <v>1911</v>
      </c>
      <c r="F432" s="13">
        <v>44638.758923611109</v>
      </c>
      <c r="G432" t="s">
        <v>641</v>
      </c>
      <c r="H432" t="s">
        <v>642</v>
      </c>
      <c r="I432" s="13">
        <v>44638.758923611109</v>
      </c>
      <c r="K432" t="s">
        <v>412</v>
      </c>
      <c r="M432" s="13">
        <v>44538</v>
      </c>
      <c r="R432">
        <v>0</v>
      </c>
      <c r="S432" t="s">
        <v>380</v>
      </c>
      <c r="T432" t="s">
        <v>57</v>
      </c>
      <c r="V432" t="s">
        <v>381</v>
      </c>
      <c r="W432" t="s">
        <v>1912</v>
      </c>
      <c r="X432" t="s">
        <v>1912</v>
      </c>
      <c r="AC432" s="13">
        <v>44538</v>
      </c>
      <c r="AD432" s="13">
        <v>44538</v>
      </c>
      <c r="AI432">
        <v>-100</v>
      </c>
      <c r="AN432" t="s">
        <v>31</v>
      </c>
      <c r="AO432">
        <v>0</v>
      </c>
      <c r="AS432" t="s">
        <v>1720</v>
      </c>
      <c r="AX432" t="s">
        <v>57</v>
      </c>
      <c r="AY432" t="s">
        <v>386</v>
      </c>
      <c r="BF432">
        <v>0</v>
      </c>
      <c r="BK432" t="s">
        <v>31</v>
      </c>
      <c r="BS432" t="s">
        <v>412</v>
      </c>
      <c r="CI432" t="s">
        <v>388</v>
      </c>
      <c r="CJ432" s="14">
        <v>45013</v>
      </c>
      <c r="CK432">
        <v>1</v>
      </c>
    </row>
    <row r="433" spans="1:89">
      <c r="A433" t="s">
        <v>1907</v>
      </c>
      <c r="B433" t="s">
        <v>374</v>
      </c>
      <c r="C433" t="s">
        <v>607</v>
      </c>
      <c r="D433" t="s">
        <v>1913</v>
      </c>
      <c r="E433" t="s">
        <v>1914</v>
      </c>
      <c r="F433" s="13">
        <v>44638.758923611109</v>
      </c>
      <c r="G433" t="s">
        <v>641</v>
      </c>
      <c r="H433" t="s">
        <v>642</v>
      </c>
      <c r="I433" s="13">
        <v>44638.758923611109</v>
      </c>
      <c r="K433" t="s">
        <v>412</v>
      </c>
      <c r="M433" s="13">
        <v>44538</v>
      </c>
      <c r="R433">
        <v>0</v>
      </c>
      <c r="S433" t="s">
        <v>380</v>
      </c>
      <c r="T433" t="s">
        <v>57</v>
      </c>
      <c r="V433" t="s">
        <v>381</v>
      </c>
      <c r="W433" t="s">
        <v>1915</v>
      </c>
      <c r="X433" t="s">
        <v>1915</v>
      </c>
      <c r="AC433" s="13">
        <v>44538</v>
      </c>
      <c r="AD433" s="13">
        <v>44538</v>
      </c>
      <c r="AI433">
        <v>-100</v>
      </c>
      <c r="AN433" t="s">
        <v>31</v>
      </c>
      <c r="AO433">
        <v>0</v>
      </c>
      <c r="AS433" t="s">
        <v>385</v>
      </c>
      <c r="AX433" t="s">
        <v>57</v>
      </c>
      <c r="AY433" t="s">
        <v>386</v>
      </c>
      <c r="BF433">
        <v>0</v>
      </c>
      <c r="BK433" t="s">
        <v>31</v>
      </c>
      <c r="BS433" t="s">
        <v>412</v>
      </c>
      <c r="CI433" t="s">
        <v>388</v>
      </c>
      <c r="CJ433" s="14">
        <v>45013</v>
      </c>
      <c r="CK433">
        <v>1</v>
      </c>
    </row>
    <row r="434" spans="1:89">
      <c r="A434" t="s">
        <v>1769</v>
      </c>
      <c r="B434" t="s">
        <v>374</v>
      </c>
      <c r="C434" t="s">
        <v>1770</v>
      </c>
      <c r="D434" t="s">
        <v>1916</v>
      </c>
      <c r="E434" t="s">
        <v>1917</v>
      </c>
      <c r="F434" s="13">
        <v>44638.758912037039</v>
      </c>
      <c r="G434" t="s">
        <v>641</v>
      </c>
      <c r="H434" t="s">
        <v>642</v>
      </c>
      <c r="I434" s="13">
        <v>44638.758912037039</v>
      </c>
      <c r="K434" t="s">
        <v>412</v>
      </c>
      <c r="M434" s="13">
        <v>44538</v>
      </c>
      <c r="R434">
        <v>0</v>
      </c>
      <c r="S434" t="s">
        <v>380</v>
      </c>
      <c r="T434" t="s">
        <v>57</v>
      </c>
      <c r="V434" t="s">
        <v>381</v>
      </c>
      <c r="W434" t="s">
        <v>1912</v>
      </c>
      <c r="X434" t="s">
        <v>1912</v>
      </c>
      <c r="AC434" s="13">
        <v>44538</v>
      </c>
      <c r="AD434" s="13">
        <v>44538</v>
      </c>
      <c r="AI434">
        <v>-100</v>
      </c>
      <c r="AN434" t="s">
        <v>31</v>
      </c>
      <c r="AO434">
        <v>0</v>
      </c>
      <c r="AS434" t="s">
        <v>881</v>
      </c>
      <c r="AX434" t="s">
        <v>57</v>
      </c>
      <c r="AY434" t="s">
        <v>386</v>
      </c>
      <c r="BF434">
        <v>0</v>
      </c>
      <c r="BK434" t="s">
        <v>31</v>
      </c>
      <c r="BS434" t="s">
        <v>412</v>
      </c>
      <c r="CI434" t="s">
        <v>388</v>
      </c>
      <c r="CJ434" s="14">
        <v>45013</v>
      </c>
      <c r="CK434">
        <v>1</v>
      </c>
    </row>
    <row r="435" spans="1:89">
      <c r="A435" t="s">
        <v>1769</v>
      </c>
      <c r="B435" t="s">
        <v>374</v>
      </c>
      <c r="C435" t="s">
        <v>1770</v>
      </c>
      <c r="D435" t="s">
        <v>1918</v>
      </c>
      <c r="E435" t="s">
        <v>1919</v>
      </c>
      <c r="F435" s="13">
        <v>44638.758912037039</v>
      </c>
      <c r="G435" t="s">
        <v>641</v>
      </c>
      <c r="H435" t="s">
        <v>642</v>
      </c>
      <c r="I435" s="13">
        <v>44638.758912037039</v>
      </c>
      <c r="K435" t="s">
        <v>412</v>
      </c>
      <c r="M435" s="13">
        <v>44538</v>
      </c>
      <c r="R435">
        <v>0</v>
      </c>
      <c r="S435" t="s">
        <v>380</v>
      </c>
      <c r="T435" t="s">
        <v>57</v>
      </c>
      <c r="V435" t="s">
        <v>381</v>
      </c>
      <c r="W435" t="s">
        <v>1775</v>
      </c>
      <c r="X435" t="s">
        <v>1775</v>
      </c>
      <c r="AC435" s="13">
        <v>44538</v>
      </c>
      <c r="AD435" s="13">
        <v>44538</v>
      </c>
      <c r="AI435">
        <v>-100</v>
      </c>
      <c r="AN435" t="s">
        <v>31</v>
      </c>
      <c r="AO435">
        <v>0</v>
      </c>
      <c r="AS435" t="s">
        <v>707</v>
      </c>
      <c r="AX435" t="s">
        <v>57</v>
      </c>
      <c r="AY435" t="s">
        <v>386</v>
      </c>
      <c r="BF435">
        <v>0</v>
      </c>
      <c r="BK435" t="s">
        <v>31</v>
      </c>
      <c r="BS435" t="s">
        <v>412</v>
      </c>
      <c r="CI435" t="s">
        <v>388</v>
      </c>
      <c r="CJ435" s="14">
        <v>45013</v>
      </c>
      <c r="CK435">
        <v>1</v>
      </c>
    </row>
    <row r="436" spans="1:89">
      <c r="A436" t="s">
        <v>1810</v>
      </c>
      <c r="B436" t="s">
        <v>374</v>
      </c>
      <c r="C436" t="s">
        <v>1811</v>
      </c>
      <c r="D436" t="s">
        <v>1920</v>
      </c>
      <c r="E436" t="s">
        <v>1921</v>
      </c>
      <c r="F436" s="13">
        <v>44638.758900462963</v>
      </c>
      <c r="G436" t="s">
        <v>641</v>
      </c>
      <c r="H436" t="s">
        <v>642</v>
      </c>
      <c r="I436" s="13">
        <v>44638.758900462963</v>
      </c>
      <c r="K436" t="s">
        <v>412</v>
      </c>
      <c r="M436" s="13">
        <v>44538</v>
      </c>
      <c r="R436">
        <v>0</v>
      </c>
      <c r="S436" t="s">
        <v>380</v>
      </c>
      <c r="T436" t="s">
        <v>57</v>
      </c>
      <c r="V436" t="s">
        <v>381</v>
      </c>
      <c r="W436" t="s">
        <v>1922</v>
      </c>
      <c r="X436" t="s">
        <v>1922</v>
      </c>
      <c r="AC436" s="13">
        <v>44538</v>
      </c>
      <c r="AD436" s="13">
        <v>44538</v>
      </c>
      <c r="AI436">
        <v>-100</v>
      </c>
      <c r="AN436" t="s">
        <v>31</v>
      </c>
      <c r="AO436">
        <v>0</v>
      </c>
      <c r="AS436" t="s">
        <v>385</v>
      </c>
      <c r="AX436" t="s">
        <v>57</v>
      </c>
      <c r="AY436" t="s">
        <v>386</v>
      </c>
      <c r="BF436">
        <v>0</v>
      </c>
      <c r="BK436" t="s">
        <v>31</v>
      </c>
      <c r="BS436" t="s">
        <v>412</v>
      </c>
      <c r="CI436" t="s">
        <v>388</v>
      </c>
      <c r="CJ436" s="14">
        <v>45013</v>
      </c>
      <c r="CK436">
        <v>1</v>
      </c>
    </row>
    <row r="437" spans="1:89">
      <c r="A437" t="s">
        <v>1710</v>
      </c>
      <c r="B437" t="s">
        <v>374</v>
      </c>
      <c r="C437" t="s">
        <v>392</v>
      </c>
      <c r="D437" t="s">
        <v>1923</v>
      </c>
      <c r="E437" t="s">
        <v>1924</v>
      </c>
      <c r="F437" s="13">
        <v>44638.758900462963</v>
      </c>
      <c r="G437" t="s">
        <v>641</v>
      </c>
      <c r="H437" t="s">
        <v>642</v>
      </c>
      <c r="I437" s="13">
        <v>44638.758900462963</v>
      </c>
      <c r="K437" t="s">
        <v>412</v>
      </c>
      <c r="M437" s="13">
        <v>44538</v>
      </c>
      <c r="R437">
        <v>0</v>
      </c>
      <c r="S437" t="s">
        <v>380</v>
      </c>
      <c r="T437" t="s">
        <v>57</v>
      </c>
      <c r="V437" t="s">
        <v>381</v>
      </c>
      <c r="W437" t="s">
        <v>1775</v>
      </c>
      <c r="X437" t="s">
        <v>1775</v>
      </c>
      <c r="AC437" s="13">
        <v>44538</v>
      </c>
      <c r="AD437" s="13">
        <v>44538</v>
      </c>
      <c r="AI437">
        <v>-100</v>
      </c>
      <c r="AN437" t="s">
        <v>31</v>
      </c>
      <c r="AO437">
        <v>0</v>
      </c>
      <c r="AS437" t="s">
        <v>648</v>
      </c>
      <c r="AX437" t="s">
        <v>57</v>
      </c>
      <c r="AY437" t="s">
        <v>386</v>
      </c>
      <c r="BF437">
        <v>0</v>
      </c>
      <c r="BK437" t="s">
        <v>31</v>
      </c>
      <c r="BS437" t="s">
        <v>412</v>
      </c>
      <c r="CI437" t="s">
        <v>388</v>
      </c>
      <c r="CJ437" s="14">
        <v>45013</v>
      </c>
      <c r="CK437">
        <v>1</v>
      </c>
    </row>
    <row r="438" spans="1:89">
      <c r="A438" t="s">
        <v>1831</v>
      </c>
      <c r="B438" t="s">
        <v>374</v>
      </c>
      <c r="C438" t="s">
        <v>1832</v>
      </c>
      <c r="D438" t="s">
        <v>1925</v>
      </c>
      <c r="E438" t="s">
        <v>1926</v>
      </c>
      <c r="F438" s="13">
        <v>44638.758888888886</v>
      </c>
      <c r="G438" t="s">
        <v>641</v>
      </c>
      <c r="H438" t="s">
        <v>642</v>
      </c>
      <c r="I438" s="13">
        <v>44638.758888888886</v>
      </c>
      <c r="K438" t="s">
        <v>412</v>
      </c>
      <c r="M438" s="13">
        <v>44505</v>
      </c>
      <c r="R438">
        <v>0</v>
      </c>
      <c r="S438" t="s">
        <v>380</v>
      </c>
      <c r="T438" t="s">
        <v>57</v>
      </c>
      <c r="V438" t="s">
        <v>381</v>
      </c>
      <c r="W438" t="s">
        <v>1927</v>
      </c>
      <c r="X438" t="s">
        <v>1927</v>
      </c>
      <c r="AC438" s="13">
        <v>44505</v>
      </c>
      <c r="AD438" s="13">
        <v>44505</v>
      </c>
      <c r="AI438">
        <v>-133</v>
      </c>
      <c r="AN438" t="s">
        <v>31</v>
      </c>
      <c r="AO438">
        <v>0</v>
      </c>
      <c r="AS438" t="s">
        <v>538</v>
      </c>
      <c r="AX438" t="s">
        <v>57</v>
      </c>
      <c r="AY438" t="s">
        <v>386</v>
      </c>
      <c r="BF438">
        <v>0</v>
      </c>
      <c r="BK438" t="s">
        <v>31</v>
      </c>
      <c r="BS438" t="s">
        <v>412</v>
      </c>
      <c r="CI438" t="s">
        <v>388</v>
      </c>
      <c r="CJ438" s="14">
        <v>45013</v>
      </c>
      <c r="CK438">
        <v>1</v>
      </c>
    </row>
    <row r="439" spans="1:89">
      <c r="A439" t="s">
        <v>1928</v>
      </c>
      <c r="B439" t="s">
        <v>374</v>
      </c>
      <c r="C439" t="s">
        <v>1929</v>
      </c>
      <c r="D439" t="s">
        <v>1930</v>
      </c>
      <c r="E439" t="s">
        <v>1931</v>
      </c>
      <c r="F439" s="13">
        <v>44638.758888888886</v>
      </c>
      <c r="G439" t="s">
        <v>641</v>
      </c>
      <c r="H439" t="s">
        <v>642</v>
      </c>
      <c r="I439" s="13">
        <v>44638.758888888886</v>
      </c>
      <c r="K439" t="s">
        <v>412</v>
      </c>
      <c r="M439" s="13">
        <v>44525</v>
      </c>
      <c r="R439">
        <v>0</v>
      </c>
      <c r="S439" t="s">
        <v>380</v>
      </c>
      <c r="T439" t="s">
        <v>57</v>
      </c>
      <c r="V439" t="s">
        <v>381</v>
      </c>
      <c r="W439" t="s">
        <v>1932</v>
      </c>
      <c r="X439" t="s">
        <v>1932</v>
      </c>
      <c r="AC439" s="13">
        <v>44525</v>
      </c>
      <c r="AD439" s="13">
        <v>44525</v>
      </c>
      <c r="AI439">
        <v>-113</v>
      </c>
      <c r="AN439" t="s">
        <v>31</v>
      </c>
      <c r="AO439">
        <v>0</v>
      </c>
      <c r="AS439" t="s">
        <v>385</v>
      </c>
      <c r="AX439" t="s">
        <v>57</v>
      </c>
      <c r="AY439" t="s">
        <v>386</v>
      </c>
      <c r="BF439">
        <v>0</v>
      </c>
      <c r="BK439" t="s">
        <v>31</v>
      </c>
      <c r="BS439" t="s">
        <v>412</v>
      </c>
      <c r="CI439" t="s">
        <v>388</v>
      </c>
      <c r="CJ439" s="14">
        <v>45013</v>
      </c>
      <c r="CK439">
        <v>1</v>
      </c>
    </row>
    <row r="440" spans="1:89">
      <c r="A440" t="s">
        <v>1831</v>
      </c>
      <c r="B440" t="s">
        <v>374</v>
      </c>
      <c r="C440" t="s">
        <v>1832</v>
      </c>
      <c r="D440" t="s">
        <v>1933</v>
      </c>
      <c r="E440" t="s">
        <v>1934</v>
      </c>
      <c r="F440" s="13">
        <v>44638.758888888886</v>
      </c>
      <c r="G440" t="s">
        <v>641</v>
      </c>
      <c r="H440" t="s">
        <v>642</v>
      </c>
      <c r="I440" s="13">
        <v>44638.758888888886</v>
      </c>
      <c r="K440" t="s">
        <v>412</v>
      </c>
      <c r="M440" s="13">
        <v>44591</v>
      </c>
      <c r="R440">
        <v>0</v>
      </c>
      <c r="S440" t="s">
        <v>380</v>
      </c>
      <c r="T440" t="s">
        <v>57</v>
      </c>
      <c r="V440" t="s">
        <v>381</v>
      </c>
      <c r="W440" t="s">
        <v>1713</v>
      </c>
      <c r="X440" t="s">
        <v>1713</v>
      </c>
      <c r="AC440" s="13">
        <v>44591</v>
      </c>
      <c r="AD440" s="13">
        <v>44591</v>
      </c>
      <c r="AI440">
        <v>-47</v>
      </c>
      <c r="AN440" t="s">
        <v>31</v>
      </c>
      <c r="AO440">
        <v>0</v>
      </c>
      <c r="AS440" t="s">
        <v>385</v>
      </c>
      <c r="AX440" t="s">
        <v>57</v>
      </c>
      <c r="AY440" t="s">
        <v>386</v>
      </c>
      <c r="BF440">
        <v>0</v>
      </c>
      <c r="BK440" t="s">
        <v>31</v>
      </c>
      <c r="BS440" t="s">
        <v>412</v>
      </c>
      <c r="CI440" t="s">
        <v>388</v>
      </c>
      <c r="CJ440" s="14">
        <v>45013</v>
      </c>
      <c r="CK440">
        <v>1</v>
      </c>
    </row>
    <row r="441" spans="1:89">
      <c r="A441" t="s">
        <v>1907</v>
      </c>
      <c r="B441" t="s">
        <v>374</v>
      </c>
      <c r="C441" t="s">
        <v>607</v>
      </c>
      <c r="D441" t="s">
        <v>1935</v>
      </c>
      <c r="E441" t="s">
        <v>1936</v>
      </c>
      <c r="F441" s="13">
        <v>44638.758877314816</v>
      </c>
      <c r="G441" t="s">
        <v>641</v>
      </c>
      <c r="H441" t="s">
        <v>642</v>
      </c>
      <c r="I441" s="13">
        <v>44638.758877314816</v>
      </c>
      <c r="K441" t="s">
        <v>412</v>
      </c>
      <c r="M441" s="13">
        <v>44497</v>
      </c>
      <c r="R441">
        <v>0</v>
      </c>
      <c r="S441" t="s">
        <v>380</v>
      </c>
      <c r="T441" t="s">
        <v>57</v>
      </c>
      <c r="V441" t="s">
        <v>381</v>
      </c>
      <c r="W441" t="s">
        <v>1937</v>
      </c>
      <c r="X441" t="s">
        <v>1937</v>
      </c>
      <c r="AC441" s="13">
        <v>44497</v>
      </c>
      <c r="AD441" s="13">
        <v>44497</v>
      </c>
      <c r="AI441">
        <v>-141</v>
      </c>
      <c r="AN441" t="s">
        <v>31</v>
      </c>
      <c r="AO441">
        <v>0</v>
      </c>
      <c r="AS441" t="s">
        <v>522</v>
      </c>
      <c r="AX441" t="s">
        <v>57</v>
      </c>
      <c r="AY441" t="s">
        <v>386</v>
      </c>
      <c r="BF441">
        <v>0</v>
      </c>
      <c r="BK441" t="s">
        <v>31</v>
      </c>
      <c r="BS441" t="s">
        <v>412</v>
      </c>
      <c r="CI441" t="s">
        <v>388</v>
      </c>
      <c r="CJ441" s="14">
        <v>45013</v>
      </c>
      <c r="CK441">
        <v>1</v>
      </c>
    </row>
    <row r="442" spans="1:89">
      <c r="A442" t="s">
        <v>1858</v>
      </c>
      <c r="B442" t="s">
        <v>374</v>
      </c>
      <c r="C442" t="s">
        <v>1859</v>
      </c>
      <c r="D442" t="s">
        <v>1938</v>
      </c>
      <c r="E442" t="s">
        <v>1939</v>
      </c>
      <c r="F442" s="13">
        <v>44638.758877314816</v>
      </c>
      <c r="G442" t="s">
        <v>641</v>
      </c>
      <c r="H442" t="s">
        <v>642</v>
      </c>
      <c r="I442" s="13">
        <v>44638.758877314816</v>
      </c>
      <c r="K442" t="s">
        <v>412</v>
      </c>
      <c r="M442" s="13">
        <v>44482</v>
      </c>
      <c r="R442">
        <v>0</v>
      </c>
      <c r="S442" t="s">
        <v>380</v>
      </c>
      <c r="T442" t="s">
        <v>57</v>
      </c>
      <c r="V442" t="s">
        <v>381</v>
      </c>
      <c r="W442" t="s">
        <v>1940</v>
      </c>
      <c r="X442" t="s">
        <v>1940</v>
      </c>
      <c r="AC442" s="13">
        <v>44482</v>
      </c>
      <c r="AD442" s="13">
        <v>44482</v>
      </c>
      <c r="AI442">
        <v>-156</v>
      </c>
      <c r="AN442" t="s">
        <v>31</v>
      </c>
      <c r="AO442">
        <v>0</v>
      </c>
      <c r="AS442" t="s">
        <v>385</v>
      </c>
      <c r="AX442" t="s">
        <v>57</v>
      </c>
      <c r="AY442" t="s">
        <v>386</v>
      </c>
      <c r="BF442">
        <v>0</v>
      </c>
      <c r="BK442" t="s">
        <v>31</v>
      </c>
      <c r="BS442" t="s">
        <v>412</v>
      </c>
      <c r="CI442" t="s">
        <v>388</v>
      </c>
      <c r="CJ442" s="14">
        <v>45013</v>
      </c>
      <c r="CK442">
        <v>1</v>
      </c>
    </row>
    <row r="443" spans="1:89">
      <c r="A443" t="s">
        <v>1721</v>
      </c>
      <c r="B443" t="s">
        <v>374</v>
      </c>
      <c r="C443" t="s">
        <v>1722</v>
      </c>
      <c r="D443" t="s">
        <v>1941</v>
      </c>
      <c r="E443" t="s">
        <v>1942</v>
      </c>
      <c r="F443" s="13">
        <v>44638.75886574074</v>
      </c>
      <c r="G443" t="s">
        <v>641</v>
      </c>
      <c r="H443" t="s">
        <v>642</v>
      </c>
      <c r="I443" s="13">
        <v>44638.75886574074</v>
      </c>
      <c r="K443" t="s">
        <v>412</v>
      </c>
      <c r="M443" s="13">
        <v>44468</v>
      </c>
      <c r="R443">
        <v>0</v>
      </c>
      <c r="S443" t="s">
        <v>380</v>
      </c>
      <c r="T443" t="s">
        <v>57</v>
      </c>
      <c r="V443" t="s">
        <v>381</v>
      </c>
      <c r="W443" t="s">
        <v>1886</v>
      </c>
      <c r="X443" t="s">
        <v>1886</v>
      </c>
      <c r="AC443" s="13">
        <v>44468</v>
      </c>
      <c r="AD443" s="13">
        <v>44468</v>
      </c>
      <c r="AI443">
        <v>-170</v>
      </c>
      <c r="AN443" t="s">
        <v>31</v>
      </c>
      <c r="AO443">
        <v>0</v>
      </c>
      <c r="AS443" t="s">
        <v>707</v>
      </c>
      <c r="AX443" t="s">
        <v>57</v>
      </c>
      <c r="AY443" t="s">
        <v>386</v>
      </c>
      <c r="BF443">
        <v>0</v>
      </c>
      <c r="BK443" t="s">
        <v>31</v>
      </c>
      <c r="BS443" t="s">
        <v>412</v>
      </c>
      <c r="CI443" t="s">
        <v>388</v>
      </c>
      <c r="CJ443" s="14">
        <v>45013</v>
      </c>
      <c r="CK443">
        <v>1</v>
      </c>
    </row>
    <row r="444" spans="1:89">
      <c r="A444" t="s">
        <v>1721</v>
      </c>
      <c r="B444" t="s">
        <v>374</v>
      </c>
      <c r="C444" t="s">
        <v>1722</v>
      </c>
      <c r="D444" t="s">
        <v>1943</v>
      </c>
      <c r="E444" t="s">
        <v>1944</v>
      </c>
      <c r="F444" s="13">
        <v>44638.75886574074</v>
      </c>
      <c r="G444" t="s">
        <v>641</v>
      </c>
      <c r="H444" t="s">
        <v>642</v>
      </c>
      <c r="I444" s="13">
        <v>44638.75886574074</v>
      </c>
      <c r="K444" t="s">
        <v>412</v>
      </c>
      <c r="M444" s="13">
        <v>44476</v>
      </c>
      <c r="R444">
        <v>0</v>
      </c>
      <c r="S444" t="s">
        <v>380</v>
      </c>
      <c r="T444" t="s">
        <v>57</v>
      </c>
      <c r="V444" t="s">
        <v>381</v>
      </c>
      <c r="W444" t="s">
        <v>1945</v>
      </c>
      <c r="X444" t="s">
        <v>1945</v>
      </c>
      <c r="AC444" s="13">
        <v>44476</v>
      </c>
      <c r="AD444" s="13">
        <v>44476</v>
      </c>
      <c r="AI444">
        <v>-162</v>
      </c>
      <c r="AN444" t="s">
        <v>31</v>
      </c>
      <c r="AO444">
        <v>0</v>
      </c>
      <c r="AS444" t="s">
        <v>385</v>
      </c>
      <c r="AX444" t="s">
        <v>57</v>
      </c>
      <c r="AY444" t="s">
        <v>386</v>
      </c>
      <c r="BF444">
        <v>0</v>
      </c>
      <c r="BK444" t="s">
        <v>31</v>
      </c>
      <c r="BS444" t="s">
        <v>412</v>
      </c>
      <c r="CI444" t="s">
        <v>388</v>
      </c>
      <c r="CJ444" s="14">
        <v>45013</v>
      </c>
      <c r="CK444">
        <v>1</v>
      </c>
    </row>
    <row r="445" spans="1:89">
      <c r="A445" t="s">
        <v>1946</v>
      </c>
      <c r="B445" t="s">
        <v>374</v>
      </c>
      <c r="C445" t="s">
        <v>1947</v>
      </c>
      <c r="D445" t="s">
        <v>1948</v>
      </c>
      <c r="E445" t="s">
        <v>1949</v>
      </c>
      <c r="F445" s="13">
        <v>44638.75885416667</v>
      </c>
      <c r="G445" t="s">
        <v>641</v>
      </c>
      <c r="H445" t="s">
        <v>642</v>
      </c>
      <c r="I445" s="13">
        <v>44638.75885416667</v>
      </c>
      <c r="K445" t="s">
        <v>412</v>
      </c>
      <c r="M445" s="13">
        <v>44466</v>
      </c>
      <c r="R445">
        <v>0</v>
      </c>
      <c r="S445" t="s">
        <v>380</v>
      </c>
      <c r="T445" t="s">
        <v>57</v>
      </c>
      <c r="V445" t="s">
        <v>381</v>
      </c>
      <c r="W445" t="s">
        <v>1725</v>
      </c>
      <c r="X445" t="s">
        <v>1725</v>
      </c>
      <c r="AC445" s="13">
        <v>44466</v>
      </c>
      <c r="AD445" s="13">
        <v>44466</v>
      </c>
      <c r="AI445">
        <v>-172</v>
      </c>
      <c r="AN445" t="s">
        <v>31</v>
      </c>
      <c r="AO445">
        <v>0</v>
      </c>
      <c r="AS445" t="s">
        <v>526</v>
      </c>
      <c r="AX445" t="s">
        <v>57</v>
      </c>
      <c r="AY445" t="s">
        <v>386</v>
      </c>
      <c r="BF445">
        <v>0</v>
      </c>
      <c r="BK445" t="s">
        <v>31</v>
      </c>
      <c r="BS445" t="s">
        <v>412</v>
      </c>
      <c r="CI445" t="s">
        <v>388</v>
      </c>
      <c r="CJ445" s="14">
        <v>45013</v>
      </c>
      <c r="CK445">
        <v>1</v>
      </c>
    </row>
    <row r="446" spans="1:89">
      <c r="A446" t="s">
        <v>1721</v>
      </c>
      <c r="B446" t="s">
        <v>374</v>
      </c>
      <c r="C446" t="s">
        <v>1722</v>
      </c>
      <c r="D446" t="s">
        <v>1950</v>
      </c>
      <c r="E446" t="s">
        <v>1951</v>
      </c>
      <c r="F446" s="13">
        <v>44638.75885416667</v>
      </c>
      <c r="G446" t="s">
        <v>641</v>
      </c>
      <c r="H446" t="s">
        <v>642</v>
      </c>
      <c r="I446" s="13">
        <v>44638.75885416667</v>
      </c>
      <c r="K446" t="s">
        <v>412</v>
      </c>
      <c r="M446" s="13">
        <v>44466</v>
      </c>
      <c r="R446">
        <v>0</v>
      </c>
      <c r="S446" t="s">
        <v>380</v>
      </c>
      <c r="T446" t="s">
        <v>57</v>
      </c>
      <c r="V446" t="s">
        <v>381</v>
      </c>
      <c r="W446" t="s">
        <v>1762</v>
      </c>
      <c r="X446" t="s">
        <v>1762</v>
      </c>
      <c r="AC446" s="13">
        <v>44466</v>
      </c>
      <c r="AD446" s="13">
        <v>44466</v>
      </c>
      <c r="AI446">
        <v>-172</v>
      </c>
      <c r="AN446" t="s">
        <v>31</v>
      </c>
      <c r="AO446">
        <v>0</v>
      </c>
      <c r="AS446" t="s">
        <v>385</v>
      </c>
      <c r="AX446" t="s">
        <v>57</v>
      </c>
      <c r="AY446" t="s">
        <v>386</v>
      </c>
      <c r="BF446">
        <v>0</v>
      </c>
      <c r="BK446" t="s">
        <v>31</v>
      </c>
      <c r="BS446" t="s">
        <v>412</v>
      </c>
      <c r="CI446" t="s">
        <v>388</v>
      </c>
      <c r="CJ446" s="14">
        <v>45013</v>
      </c>
      <c r="CK446">
        <v>1</v>
      </c>
    </row>
    <row r="447" spans="1:89">
      <c r="A447" t="s">
        <v>1946</v>
      </c>
      <c r="B447" t="s">
        <v>374</v>
      </c>
      <c r="C447" t="s">
        <v>1947</v>
      </c>
      <c r="D447" t="s">
        <v>1952</v>
      </c>
      <c r="E447" t="s">
        <v>1953</v>
      </c>
      <c r="F447" s="13">
        <v>44638.75885416667</v>
      </c>
      <c r="G447" t="s">
        <v>641</v>
      </c>
      <c r="H447" t="s">
        <v>642</v>
      </c>
      <c r="I447" s="13">
        <v>44638.75885416667</v>
      </c>
      <c r="K447" t="s">
        <v>412</v>
      </c>
      <c r="M447" s="13">
        <v>44466</v>
      </c>
      <c r="R447">
        <v>0</v>
      </c>
      <c r="S447" t="s">
        <v>380</v>
      </c>
      <c r="T447" t="s">
        <v>57</v>
      </c>
      <c r="V447" t="s">
        <v>381</v>
      </c>
      <c r="W447" t="s">
        <v>1725</v>
      </c>
      <c r="X447" t="s">
        <v>1725</v>
      </c>
      <c r="AC447" s="13">
        <v>44466</v>
      </c>
      <c r="AD447" s="13">
        <v>44466</v>
      </c>
      <c r="AI447">
        <v>-172</v>
      </c>
      <c r="AN447" t="s">
        <v>31</v>
      </c>
      <c r="AO447">
        <v>0</v>
      </c>
      <c r="AS447" t="s">
        <v>385</v>
      </c>
      <c r="AX447" t="s">
        <v>57</v>
      </c>
      <c r="AY447" t="s">
        <v>386</v>
      </c>
      <c r="BF447">
        <v>0</v>
      </c>
      <c r="BK447" t="s">
        <v>31</v>
      </c>
      <c r="BS447" t="s">
        <v>412</v>
      </c>
      <c r="CI447" t="s">
        <v>388</v>
      </c>
      <c r="CJ447" s="14">
        <v>45013</v>
      </c>
      <c r="CK447">
        <v>1</v>
      </c>
    </row>
    <row r="448" spans="1:89">
      <c r="A448" t="s">
        <v>1954</v>
      </c>
      <c r="B448" t="s">
        <v>374</v>
      </c>
      <c r="C448" t="s">
        <v>1955</v>
      </c>
      <c r="D448" t="s">
        <v>1956</v>
      </c>
      <c r="E448" t="s">
        <v>1957</v>
      </c>
      <c r="F448" s="13">
        <v>44638.758842592593</v>
      </c>
      <c r="G448" t="s">
        <v>641</v>
      </c>
      <c r="H448" t="s">
        <v>642</v>
      </c>
      <c r="I448" s="13">
        <v>44638.758842592593</v>
      </c>
      <c r="K448" t="s">
        <v>412</v>
      </c>
      <c r="M448" s="13">
        <v>44461</v>
      </c>
      <c r="R448">
        <v>0</v>
      </c>
      <c r="S448" t="s">
        <v>380</v>
      </c>
      <c r="T448" t="s">
        <v>57</v>
      </c>
      <c r="V448" t="s">
        <v>381</v>
      </c>
      <c r="W448" t="s">
        <v>1762</v>
      </c>
      <c r="X448" t="s">
        <v>1762</v>
      </c>
      <c r="AC448" s="13">
        <v>44461</v>
      </c>
      <c r="AD448" s="13">
        <v>44461</v>
      </c>
      <c r="AI448">
        <v>-177</v>
      </c>
      <c r="AN448" t="s">
        <v>31</v>
      </c>
      <c r="AO448">
        <v>0</v>
      </c>
      <c r="AS448" t="s">
        <v>881</v>
      </c>
      <c r="AX448" t="s">
        <v>57</v>
      </c>
      <c r="AY448" t="s">
        <v>386</v>
      </c>
      <c r="BF448">
        <v>0</v>
      </c>
      <c r="BK448" t="s">
        <v>31</v>
      </c>
      <c r="BS448" t="s">
        <v>412</v>
      </c>
      <c r="CI448" t="s">
        <v>388</v>
      </c>
      <c r="CJ448" s="14">
        <v>45013</v>
      </c>
      <c r="CK448">
        <v>1</v>
      </c>
    </row>
    <row r="449" spans="1:89">
      <c r="A449" t="s">
        <v>1954</v>
      </c>
      <c r="B449" t="s">
        <v>374</v>
      </c>
      <c r="C449" t="s">
        <v>1955</v>
      </c>
      <c r="D449" t="s">
        <v>1958</v>
      </c>
      <c r="E449" t="s">
        <v>1959</v>
      </c>
      <c r="F449" s="13">
        <v>44638.758842592593</v>
      </c>
      <c r="G449" t="s">
        <v>641</v>
      </c>
      <c r="H449" t="s">
        <v>642</v>
      </c>
      <c r="I449" s="13">
        <v>44638.758842592593</v>
      </c>
      <c r="K449" t="s">
        <v>412</v>
      </c>
      <c r="M449" s="13">
        <v>44461</v>
      </c>
      <c r="R449">
        <v>0</v>
      </c>
      <c r="S449" t="s">
        <v>380</v>
      </c>
      <c r="T449" t="s">
        <v>57</v>
      </c>
      <c r="V449" t="s">
        <v>381</v>
      </c>
      <c r="W449" t="s">
        <v>1762</v>
      </c>
      <c r="X449" t="s">
        <v>1762</v>
      </c>
      <c r="AC449" s="13">
        <v>44461</v>
      </c>
      <c r="AD449" s="13">
        <v>44461</v>
      </c>
      <c r="AI449">
        <v>-177</v>
      </c>
      <c r="AN449" t="s">
        <v>31</v>
      </c>
      <c r="AO449">
        <v>0</v>
      </c>
      <c r="AS449" t="s">
        <v>648</v>
      </c>
      <c r="AX449" t="s">
        <v>57</v>
      </c>
      <c r="AY449" t="s">
        <v>386</v>
      </c>
      <c r="BF449">
        <v>0</v>
      </c>
      <c r="BK449" t="s">
        <v>31</v>
      </c>
      <c r="BS449" t="s">
        <v>412</v>
      </c>
      <c r="CI449" t="s">
        <v>388</v>
      </c>
      <c r="CJ449" s="14">
        <v>45013</v>
      </c>
      <c r="CK449">
        <v>1</v>
      </c>
    </row>
    <row r="450" spans="1:89">
      <c r="A450" t="s">
        <v>1827</v>
      </c>
      <c r="B450" t="s">
        <v>374</v>
      </c>
      <c r="C450" t="s">
        <v>1536</v>
      </c>
      <c r="D450" t="s">
        <v>1960</v>
      </c>
      <c r="E450" t="s">
        <v>1961</v>
      </c>
      <c r="F450" s="13">
        <v>44638.758831018517</v>
      </c>
      <c r="G450" t="s">
        <v>641</v>
      </c>
      <c r="H450" t="s">
        <v>642</v>
      </c>
      <c r="I450" s="13">
        <v>44638.758831018517</v>
      </c>
      <c r="K450" t="s">
        <v>412</v>
      </c>
      <c r="M450" s="13">
        <v>44461</v>
      </c>
      <c r="R450">
        <v>0</v>
      </c>
      <c r="S450" t="s">
        <v>380</v>
      </c>
      <c r="T450" t="s">
        <v>57</v>
      </c>
      <c r="V450" t="s">
        <v>381</v>
      </c>
      <c r="W450" t="s">
        <v>1713</v>
      </c>
      <c r="X450" t="s">
        <v>1713</v>
      </c>
      <c r="AC450" s="13">
        <v>44461</v>
      </c>
      <c r="AD450" s="13">
        <v>44461</v>
      </c>
      <c r="AI450">
        <v>-177</v>
      </c>
      <c r="AN450" t="s">
        <v>31</v>
      </c>
      <c r="AO450">
        <v>0</v>
      </c>
      <c r="AS450" t="s">
        <v>881</v>
      </c>
      <c r="AX450" t="s">
        <v>57</v>
      </c>
      <c r="AY450" t="s">
        <v>386</v>
      </c>
      <c r="BF450">
        <v>0</v>
      </c>
      <c r="BK450" t="s">
        <v>31</v>
      </c>
      <c r="BS450" t="s">
        <v>412</v>
      </c>
      <c r="CI450" t="s">
        <v>388</v>
      </c>
      <c r="CJ450" s="14">
        <v>45013</v>
      </c>
      <c r="CK450">
        <v>1</v>
      </c>
    </row>
    <row r="451" spans="1:89">
      <c r="A451" t="s">
        <v>1831</v>
      </c>
      <c r="B451" t="s">
        <v>374</v>
      </c>
      <c r="C451" t="s">
        <v>1832</v>
      </c>
      <c r="D451" t="s">
        <v>1962</v>
      </c>
      <c r="E451" t="s">
        <v>1963</v>
      </c>
      <c r="F451" s="13">
        <v>44638.758831018517</v>
      </c>
      <c r="G451" t="s">
        <v>641</v>
      </c>
      <c r="H451" t="s">
        <v>642</v>
      </c>
      <c r="I451" s="13">
        <v>44638.758831018517</v>
      </c>
      <c r="K451" t="s">
        <v>412</v>
      </c>
      <c r="M451" s="13">
        <v>44454</v>
      </c>
      <c r="R451">
        <v>0</v>
      </c>
      <c r="S451" t="s">
        <v>380</v>
      </c>
      <c r="T451" t="s">
        <v>57</v>
      </c>
      <c r="V451" t="s">
        <v>381</v>
      </c>
      <c r="W451" t="s">
        <v>1713</v>
      </c>
      <c r="X451" t="s">
        <v>1713</v>
      </c>
      <c r="AC451" s="13">
        <v>44454</v>
      </c>
      <c r="AD451" s="13">
        <v>44454</v>
      </c>
      <c r="AI451">
        <v>-184</v>
      </c>
      <c r="AN451" t="s">
        <v>31</v>
      </c>
      <c r="AO451">
        <v>0</v>
      </c>
      <c r="AS451" t="s">
        <v>385</v>
      </c>
      <c r="AX451" t="s">
        <v>57</v>
      </c>
      <c r="AY451" t="s">
        <v>386</v>
      </c>
      <c r="BF451">
        <v>0</v>
      </c>
      <c r="BK451" t="s">
        <v>31</v>
      </c>
      <c r="BS451" t="s">
        <v>412</v>
      </c>
      <c r="CI451" t="s">
        <v>388</v>
      </c>
      <c r="CJ451" s="14">
        <v>45013</v>
      </c>
      <c r="CK451">
        <v>1</v>
      </c>
    </row>
    <row r="452" spans="1:89">
      <c r="A452" t="s">
        <v>1831</v>
      </c>
      <c r="B452" t="s">
        <v>374</v>
      </c>
      <c r="C452" t="s">
        <v>1832</v>
      </c>
      <c r="D452" t="s">
        <v>1964</v>
      </c>
      <c r="E452" t="s">
        <v>1965</v>
      </c>
      <c r="F452" s="13">
        <v>44638.758819444447</v>
      </c>
      <c r="G452" t="s">
        <v>641</v>
      </c>
      <c r="H452" t="s">
        <v>642</v>
      </c>
      <c r="I452" s="13">
        <v>44638.758819444447</v>
      </c>
      <c r="K452" t="s">
        <v>412</v>
      </c>
      <c r="M452" s="13">
        <v>44447</v>
      </c>
      <c r="R452">
        <v>0</v>
      </c>
      <c r="S452" t="s">
        <v>380</v>
      </c>
      <c r="T452" t="s">
        <v>57</v>
      </c>
      <c r="V452" t="s">
        <v>381</v>
      </c>
      <c r="W452" t="s">
        <v>1762</v>
      </c>
      <c r="X452" t="s">
        <v>1762</v>
      </c>
      <c r="AC452" s="13">
        <v>44447</v>
      </c>
      <c r="AD452" s="13">
        <v>44447</v>
      </c>
      <c r="AI452">
        <v>-191</v>
      </c>
      <c r="AN452" t="s">
        <v>31</v>
      </c>
      <c r="AO452">
        <v>0</v>
      </c>
      <c r="AS452" t="s">
        <v>744</v>
      </c>
      <c r="AX452" t="s">
        <v>57</v>
      </c>
      <c r="AY452" t="s">
        <v>386</v>
      </c>
      <c r="BF452">
        <v>0</v>
      </c>
      <c r="BK452" t="s">
        <v>31</v>
      </c>
      <c r="BS452" t="s">
        <v>412</v>
      </c>
      <c r="CI452" t="s">
        <v>388</v>
      </c>
      <c r="CJ452" s="14">
        <v>45013</v>
      </c>
      <c r="CK452">
        <v>1</v>
      </c>
    </row>
    <row r="453" spans="1:89">
      <c r="A453" t="s">
        <v>1831</v>
      </c>
      <c r="B453" t="s">
        <v>374</v>
      </c>
      <c r="C453" t="s">
        <v>1832</v>
      </c>
      <c r="D453" t="s">
        <v>1966</v>
      </c>
      <c r="E453" t="s">
        <v>1967</v>
      </c>
      <c r="F453" s="13">
        <v>44638.758819444447</v>
      </c>
      <c r="G453" t="s">
        <v>641</v>
      </c>
      <c r="H453" t="s">
        <v>642</v>
      </c>
      <c r="I453" s="13">
        <v>44638.758819444447</v>
      </c>
      <c r="K453" t="s">
        <v>412</v>
      </c>
      <c r="M453" s="13">
        <v>44454</v>
      </c>
      <c r="R453">
        <v>0</v>
      </c>
      <c r="S453" t="s">
        <v>380</v>
      </c>
      <c r="T453" t="s">
        <v>57</v>
      </c>
      <c r="V453" t="s">
        <v>381</v>
      </c>
      <c r="W453" t="s">
        <v>1937</v>
      </c>
      <c r="X453" t="s">
        <v>1937</v>
      </c>
      <c r="AC453" s="13">
        <v>44454</v>
      </c>
      <c r="AD453" s="13">
        <v>44454</v>
      </c>
      <c r="AI453">
        <v>-184</v>
      </c>
      <c r="AN453" t="s">
        <v>31</v>
      </c>
      <c r="AO453">
        <v>0</v>
      </c>
      <c r="AS453" t="s">
        <v>522</v>
      </c>
      <c r="AX453" t="s">
        <v>57</v>
      </c>
      <c r="AY453" t="s">
        <v>386</v>
      </c>
      <c r="BF453">
        <v>0</v>
      </c>
      <c r="BK453" t="s">
        <v>31</v>
      </c>
      <c r="BS453" t="s">
        <v>412</v>
      </c>
      <c r="CI453" t="s">
        <v>388</v>
      </c>
      <c r="CJ453" s="14">
        <v>45013</v>
      </c>
      <c r="CK453">
        <v>1</v>
      </c>
    </row>
    <row r="454" spans="1:89">
      <c r="A454" t="s">
        <v>1907</v>
      </c>
      <c r="B454" t="s">
        <v>374</v>
      </c>
      <c r="C454" t="s">
        <v>607</v>
      </c>
      <c r="D454" t="s">
        <v>1968</v>
      </c>
      <c r="E454" t="s">
        <v>1969</v>
      </c>
      <c r="F454" s="13">
        <v>44638.75880787037</v>
      </c>
      <c r="G454" t="s">
        <v>641</v>
      </c>
      <c r="H454" t="s">
        <v>642</v>
      </c>
      <c r="I454" s="13">
        <v>44638.75880787037</v>
      </c>
      <c r="K454" t="s">
        <v>412</v>
      </c>
      <c r="M454" s="13">
        <v>44447</v>
      </c>
      <c r="R454">
        <v>0</v>
      </c>
      <c r="S454" t="s">
        <v>380</v>
      </c>
      <c r="T454" t="s">
        <v>57</v>
      </c>
      <c r="V454" t="s">
        <v>381</v>
      </c>
      <c r="W454" t="s">
        <v>1940</v>
      </c>
      <c r="X454" t="s">
        <v>1940</v>
      </c>
      <c r="AC454" s="13">
        <v>44447</v>
      </c>
      <c r="AD454" s="13">
        <v>44447</v>
      </c>
      <c r="AI454">
        <v>-191</v>
      </c>
      <c r="AN454" t="s">
        <v>31</v>
      </c>
      <c r="AO454">
        <v>0</v>
      </c>
      <c r="AS454" t="s">
        <v>744</v>
      </c>
      <c r="AX454" t="s">
        <v>57</v>
      </c>
      <c r="AY454" t="s">
        <v>386</v>
      </c>
      <c r="BF454">
        <v>0</v>
      </c>
      <c r="BK454" t="s">
        <v>31</v>
      </c>
      <c r="BS454" t="s">
        <v>412</v>
      </c>
      <c r="CI454" t="s">
        <v>388</v>
      </c>
      <c r="CJ454" s="14">
        <v>45013</v>
      </c>
      <c r="CK454">
        <v>1</v>
      </c>
    </row>
    <row r="455" spans="1:89">
      <c r="A455" t="s">
        <v>1907</v>
      </c>
      <c r="B455" t="s">
        <v>374</v>
      </c>
      <c r="C455" t="s">
        <v>607</v>
      </c>
      <c r="D455" t="s">
        <v>1970</v>
      </c>
      <c r="E455" t="s">
        <v>1971</v>
      </c>
      <c r="F455" s="13">
        <v>44638.75880787037</v>
      </c>
      <c r="G455" t="s">
        <v>641</v>
      </c>
      <c r="H455" t="s">
        <v>642</v>
      </c>
      <c r="I455" s="13">
        <v>44638.75880787037</v>
      </c>
      <c r="K455" t="s">
        <v>412</v>
      </c>
      <c r="M455" s="13">
        <v>44447</v>
      </c>
      <c r="R455">
        <v>0</v>
      </c>
      <c r="S455" t="s">
        <v>380</v>
      </c>
      <c r="T455" t="s">
        <v>57</v>
      </c>
      <c r="V455" t="s">
        <v>381</v>
      </c>
      <c r="W455" t="s">
        <v>1940</v>
      </c>
      <c r="X455" t="s">
        <v>1940</v>
      </c>
      <c r="AC455" s="13">
        <v>44447</v>
      </c>
      <c r="AD455" s="13">
        <v>44447</v>
      </c>
      <c r="AI455">
        <v>-191</v>
      </c>
      <c r="AN455" t="s">
        <v>31</v>
      </c>
      <c r="AO455">
        <v>0</v>
      </c>
      <c r="AS455" t="s">
        <v>385</v>
      </c>
      <c r="AX455" t="s">
        <v>57</v>
      </c>
      <c r="AY455" t="s">
        <v>386</v>
      </c>
      <c r="BF455">
        <v>0</v>
      </c>
      <c r="BK455" t="s">
        <v>31</v>
      </c>
      <c r="BS455" t="s">
        <v>412</v>
      </c>
      <c r="CI455" t="s">
        <v>388</v>
      </c>
      <c r="CJ455" s="14">
        <v>45013</v>
      </c>
      <c r="CK455">
        <v>1</v>
      </c>
    </row>
    <row r="456" spans="1:89">
      <c r="A456" t="s">
        <v>1907</v>
      </c>
      <c r="B456" t="s">
        <v>374</v>
      </c>
      <c r="C456" t="s">
        <v>607</v>
      </c>
      <c r="D456" t="s">
        <v>1972</v>
      </c>
      <c r="E456" t="s">
        <v>1973</v>
      </c>
      <c r="F456" s="13">
        <v>44638.75880787037</v>
      </c>
      <c r="G456" t="s">
        <v>641</v>
      </c>
      <c r="H456" t="s">
        <v>642</v>
      </c>
      <c r="I456" s="13">
        <v>44638.75880787037</v>
      </c>
      <c r="K456" t="s">
        <v>412</v>
      </c>
      <c r="M456" s="13">
        <v>44427</v>
      </c>
      <c r="R456">
        <v>0</v>
      </c>
      <c r="S456" t="s">
        <v>380</v>
      </c>
      <c r="T456" t="s">
        <v>57</v>
      </c>
      <c r="V456" t="s">
        <v>381</v>
      </c>
      <c r="W456" t="s">
        <v>1974</v>
      </c>
      <c r="X456" t="s">
        <v>1974</v>
      </c>
      <c r="AC456" s="13">
        <v>44427</v>
      </c>
      <c r="AD456" s="13">
        <v>44427</v>
      </c>
      <c r="AI456">
        <v>-211</v>
      </c>
      <c r="AN456" t="s">
        <v>31</v>
      </c>
      <c r="AO456">
        <v>0</v>
      </c>
      <c r="AX456" t="s">
        <v>57</v>
      </c>
      <c r="AY456" t="s">
        <v>386</v>
      </c>
      <c r="BF456">
        <v>0</v>
      </c>
      <c r="BK456" t="s">
        <v>31</v>
      </c>
      <c r="BS456" t="s">
        <v>412</v>
      </c>
      <c r="CI456" t="s">
        <v>388</v>
      </c>
      <c r="CJ456" s="14">
        <v>45013</v>
      </c>
      <c r="CK456">
        <v>1</v>
      </c>
    </row>
    <row r="457" spans="1:89">
      <c r="A457" t="s">
        <v>1907</v>
      </c>
      <c r="B457" t="s">
        <v>374</v>
      </c>
      <c r="C457" t="s">
        <v>607</v>
      </c>
      <c r="D457" t="s">
        <v>1975</v>
      </c>
      <c r="E457" t="s">
        <v>1976</v>
      </c>
      <c r="F457" s="13">
        <v>44638.758796296293</v>
      </c>
      <c r="G457" t="s">
        <v>641</v>
      </c>
      <c r="H457" t="s">
        <v>642</v>
      </c>
      <c r="I457" s="13">
        <v>44638.758796296293</v>
      </c>
      <c r="K457" t="s">
        <v>412</v>
      </c>
      <c r="M457" s="13">
        <v>44413</v>
      </c>
      <c r="R457">
        <v>0</v>
      </c>
      <c r="S457" t="s">
        <v>380</v>
      </c>
      <c r="T457" t="s">
        <v>57</v>
      </c>
      <c r="V457" t="s">
        <v>381</v>
      </c>
      <c r="W457" t="s">
        <v>1977</v>
      </c>
      <c r="X457" t="s">
        <v>1977</v>
      </c>
      <c r="AC457" s="13">
        <v>44413</v>
      </c>
      <c r="AD457" s="13">
        <v>44413</v>
      </c>
      <c r="AI457">
        <v>-225</v>
      </c>
      <c r="AN457" t="s">
        <v>31</v>
      </c>
      <c r="AO457">
        <v>0</v>
      </c>
      <c r="AS457" t="s">
        <v>385</v>
      </c>
      <c r="AX457" t="s">
        <v>57</v>
      </c>
      <c r="AY457" t="s">
        <v>386</v>
      </c>
      <c r="BF457">
        <v>0</v>
      </c>
      <c r="BK457" t="s">
        <v>31</v>
      </c>
      <c r="BS457" t="s">
        <v>412</v>
      </c>
      <c r="CI457" t="s">
        <v>388</v>
      </c>
      <c r="CJ457" s="14">
        <v>45013</v>
      </c>
      <c r="CK457">
        <v>1</v>
      </c>
    </row>
    <row r="458" spans="1:89">
      <c r="A458" t="s">
        <v>1907</v>
      </c>
      <c r="B458" t="s">
        <v>374</v>
      </c>
      <c r="C458" t="s">
        <v>607</v>
      </c>
      <c r="D458" t="s">
        <v>1978</v>
      </c>
      <c r="E458" t="s">
        <v>1979</v>
      </c>
      <c r="F458" s="13">
        <v>44638.758796296293</v>
      </c>
      <c r="G458" t="s">
        <v>641</v>
      </c>
      <c r="H458" t="s">
        <v>642</v>
      </c>
      <c r="I458" s="13">
        <v>44638.758796296293</v>
      </c>
      <c r="K458" t="s">
        <v>412</v>
      </c>
      <c r="M458" s="13">
        <v>44413</v>
      </c>
      <c r="R458">
        <v>0</v>
      </c>
      <c r="S458" t="s">
        <v>380</v>
      </c>
      <c r="T458" t="s">
        <v>57</v>
      </c>
      <c r="V458" t="s">
        <v>381</v>
      </c>
      <c r="W458" t="s">
        <v>1775</v>
      </c>
      <c r="X458" t="s">
        <v>1775</v>
      </c>
      <c r="AC458" s="13">
        <v>44413</v>
      </c>
      <c r="AD458" s="13">
        <v>44413</v>
      </c>
      <c r="AI458">
        <v>-225</v>
      </c>
      <c r="AN458" t="s">
        <v>31</v>
      </c>
      <c r="AO458">
        <v>0</v>
      </c>
      <c r="AS458" t="s">
        <v>385</v>
      </c>
      <c r="AX458" t="s">
        <v>57</v>
      </c>
      <c r="AY458" t="s">
        <v>386</v>
      </c>
      <c r="BF458">
        <v>0</v>
      </c>
      <c r="BK458" t="s">
        <v>31</v>
      </c>
      <c r="BS458" t="s">
        <v>412</v>
      </c>
      <c r="CI458" t="s">
        <v>388</v>
      </c>
      <c r="CJ458" s="14">
        <v>45013</v>
      </c>
      <c r="CK458">
        <v>1</v>
      </c>
    </row>
    <row r="459" spans="1:89">
      <c r="A459" t="s">
        <v>1907</v>
      </c>
      <c r="B459" t="s">
        <v>374</v>
      </c>
      <c r="C459" t="s">
        <v>607</v>
      </c>
      <c r="D459" t="s">
        <v>1980</v>
      </c>
      <c r="E459" t="s">
        <v>1981</v>
      </c>
      <c r="F459" s="13">
        <v>44638.758784722224</v>
      </c>
      <c r="G459" t="s">
        <v>641</v>
      </c>
      <c r="H459" t="s">
        <v>642</v>
      </c>
      <c r="I459" s="13">
        <v>44638.758784722224</v>
      </c>
      <c r="K459" t="s">
        <v>412</v>
      </c>
      <c r="M459" s="13">
        <v>44420</v>
      </c>
      <c r="R459">
        <v>0</v>
      </c>
      <c r="S459" t="s">
        <v>380</v>
      </c>
      <c r="T459" t="s">
        <v>57</v>
      </c>
      <c r="V459" t="s">
        <v>381</v>
      </c>
      <c r="W459" t="s">
        <v>1775</v>
      </c>
      <c r="X459" t="s">
        <v>1775</v>
      </c>
      <c r="AC459" s="13">
        <v>44420</v>
      </c>
      <c r="AD459" s="13">
        <v>44420</v>
      </c>
      <c r="AI459">
        <v>-218</v>
      </c>
      <c r="AN459" t="s">
        <v>31</v>
      </c>
      <c r="AO459">
        <v>0</v>
      </c>
      <c r="AS459" t="s">
        <v>385</v>
      </c>
      <c r="AX459" t="s">
        <v>57</v>
      </c>
      <c r="AY459" t="s">
        <v>386</v>
      </c>
      <c r="BF459">
        <v>0</v>
      </c>
      <c r="BK459" t="s">
        <v>31</v>
      </c>
      <c r="BS459" t="s">
        <v>412</v>
      </c>
      <c r="CI459" t="s">
        <v>388</v>
      </c>
      <c r="CJ459" s="14">
        <v>45013</v>
      </c>
      <c r="CK459">
        <v>1</v>
      </c>
    </row>
    <row r="460" spans="1:89">
      <c r="A460" t="s">
        <v>1907</v>
      </c>
      <c r="B460" t="s">
        <v>374</v>
      </c>
      <c r="C460" t="s">
        <v>607</v>
      </c>
      <c r="D460" t="s">
        <v>1982</v>
      </c>
      <c r="E460" t="s">
        <v>1983</v>
      </c>
      <c r="F460" s="13">
        <v>44638.758784722224</v>
      </c>
      <c r="G460" t="s">
        <v>641</v>
      </c>
      <c r="H460" t="s">
        <v>642</v>
      </c>
      <c r="I460" s="13">
        <v>44638.758784722224</v>
      </c>
      <c r="K460" t="s">
        <v>412</v>
      </c>
      <c r="M460" s="13">
        <v>44413</v>
      </c>
      <c r="R460">
        <v>0</v>
      </c>
      <c r="S460" t="s">
        <v>380</v>
      </c>
      <c r="T460" t="s">
        <v>57</v>
      </c>
      <c r="V460" t="s">
        <v>381</v>
      </c>
      <c r="W460" t="s">
        <v>1775</v>
      </c>
      <c r="X460" t="s">
        <v>1775</v>
      </c>
      <c r="AC460" s="13">
        <v>44413</v>
      </c>
      <c r="AD460" s="13">
        <v>44413</v>
      </c>
      <c r="AI460">
        <v>-225</v>
      </c>
      <c r="AN460" t="s">
        <v>31</v>
      </c>
      <c r="AO460">
        <v>0</v>
      </c>
      <c r="AX460" t="s">
        <v>57</v>
      </c>
      <c r="AY460" t="s">
        <v>386</v>
      </c>
      <c r="BF460">
        <v>0</v>
      </c>
      <c r="BK460" t="s">
        <v>31</v>
      </c>
      <c r="BS460" t="s">
        <v>412</v>
      </c>
      <c r="CI460" t="s">
        <v>388</v>
      </c>
      <c r="CJ460" s="14">
        <v>45013</v>
      </c>
      <c r="CK460">
        <v>1</v>
      </c>
    </row>
    <row r="461" spans="1:89">
      <c r="A461" t="s">
        <v>1928</v>
      </c>
      <c r="B461" t="s">
        <v>374</v>
      </c>
      <c r="C461" t="s">
        <v>1929</v>
      </c>
      <c r="D461" t="s">
        <v>1984</v>
      </c>
      <c r="E461" t="s">
        <v>1985</v>
      </c>
      <c r="F461" s="13">
        <v>44638.758773148147</v>
      </c>
      <c r="G461" t="s">
        <v>641</v>
      </c>
      <c r="H461" t="s">
        <v>642</v>
      </c>
      <c r="I461" s="13">
        <v>44638.758773148147</v>
      </c>
      <c r="K461" t="s">
        <v>412</v>
      </c>
      <c r="M461" s="13">
        <v>44399</v>
      </c>
      <c r="R461">
        <v>0</v>
      </c>
      <c r="S461" t="s">
        <v>380</v>
      </c>
      <c r="T461" t="s">
        <v>57</v>
      </c>
      <c r="V461" t="s">
        <v>381</v>
      </c>
      <c r="W461" t="s">
        <v>1986</v>
      </c>
      <c r="X461" t="s">
        <v>1986</v>
      </c>
      <c r="AC461" s="13">
        <v>44399</v>
      </c>
      <c r="AD461" s="13">
        <v>44399</v>
      </c>
      <c r="AI461">
        <v>-239</v>
      </c>
      <c r="AN461" t="s">
        <v>31</v>
      </c>
      <c r="AO461">
        <v>0</v>
      </c>
      <c r="AS461" t="s">
        <v>707</v>
      </c>
      <c r="AX461" t="s">
        <v>57</v>
      </c>
      <c r="AY461" t="s">
        <v>386</v>
      </c>
      <c r="BF461">
        <v>0</v>
      </c>
      <c r="BK461" t="s">
        <v>31</v>
      </c>
      <c r="BS461" t="s">
        <v>412</v>
      </c>
      <c r="CI461" t="s">
        <v>388</v>
      </c>
      <c r="CJ461" s="14">
        <v>45013</v>
      </c>
      <c r="CK461">
        <v>1</v>
      </c>
    </row>
    <row r="462" spans="1:89">
      <c r="A462" t="s">
        <v>1928</v>
      </c>
      <c r="B462" t="s">
        <v>374</v>
      </c>
      <c r="C462" t="s">
        <v>1929</v>
      </c>
      <c r="D462" t="s">
        <v>1987</v>
      </c>
      <c r="E462" t="s">
        <v>1988</v>
      </c>
      <c r="F462" s="13">
        <v>44638.758773148147</v>
      </c>
      <c r="G462" t="s">
        <v>641</v>
      </c>
      <c r="H462" t="s">
        <v>642</v>
      </c>
      <c r="I462" s="13">
        <v>44638.758773148147</v>
      </c>
      <c r="K462" t="s">
        <v>412</v>
      </c>
      <c r="M462" s="13">
        <v>44420</v>
      </c>
      <c r="R462">
        <v>0</v>
      </c>
      <c r="S462" t="s">
        <v>380</v>
      </c>
      <c r="T462" t="s">
        <v>57</v>
      </c>
      <c r="V462" t="s">
        <v>381</v>
      </c>
      <c r="W462" t="s">
        <v>1775</v>
      </c>
      <c r="X462" t="s">
        <v>1775</v>
      </c>
      <c r="AC462" s="13">
        <v>44420</v>
      </c>
      <c r="AD462" s="13">
        <v>44420</v>
      </c>
      <c r="AI462">
        <v>-218</v>
      </c>
      <c r="AN462" t="s">
        <v>31</v>
      </c>
      <c r="AO462">
        <v>0</v>
      </c>
      <c r="AS462" t="s">
        <v>538</v>
      </c>
      <c r="AX462" t="s">
        <v>57</v>
      </c>
      <c r="AY462" t="s">
        <v>386</v>
      </c>
      <c r="BF462">
        <v>0</v>
      </c>
      <c r="BK462" t="s">
        <v>31</v>
      </c>
      <c r="BS462" t="s">
        <v>412</v>
      </c>
      <c r="CI462" t="s">
        <v>388</v>
      </c>
      <c r="CJ462" s="14">
        <v>45013</v>
      </c>
      <c r="CK462">
        <v>1</v>
      </c>
    </row>
    <row r="463" spans="1:89">
      <c r="A463" t="s">
        <v>1989</v>
      </c>
      <c r="B463" t="s">
        <v>374</v>
      </c>
      <c r="C463" t="s">
        <v>1990</v>
      </c>
      <c r="D463" t="s">
        <v>1991</v>
      </c>
      <c r="E463" t="s">
        <v>1992</v>
      </c>
      <c r="F463" s="13">
        <v>44638.758773148147</v>
      </c>
      <c r="G463" t="s">
        <v>641</v>
      </c>
      <c r="H463" t="s">
        <v>642</v>
      </c>
      <c r="I463" s="13">
        <v>44638.758773148147</v>
      </c>
      <c r="K463" t="s">
        <v>412</v>
      </c>
      <c r="M463" s="13">
        <v>44420</v>
      </c>
      <c r="R463">
        <v>0</v>
      </c>
      <c r="S463" t="s">
        <v>380</v>
      </c>
      <c r="T463" t="s">
        <v>57</v>
      </c>
      <c r="V463" t="s">
        <v>381</v>
      </c>
      <c r="W463" t="s">
        <v>1775</v>
      </c>
      <c r="X463" t="s">
        <v>1775</v>
      </c>
      <c r="AC463" s="13">
        <v>44420</v>
      </c>
      <c r="AD463" s="13">
        <v>44420</v>
      </c>
      <c r="AI463">
        <v>-218</v>
      </c>
      <c r="AN463" t="s">
        <v>31</v>
      </c>
      <c r="AO463">
        <v>0</v>
      </c>
      <c r="AS463" t="s">
        <v>385</v>
      </c>
      <c r="AX463" t="s">
        <v>57</v>
      </c>
      <c r="AY463" t="s">
        <v>386</v>
      </c>
      <c r="BF463">
        <v>0</v>
      </c>
      <c r="BK463" t="s">
        <v>31</v>
      </c>
      <c r="BS463" t="s">
        <v>412</v>
      </c>
      <c r="CI463" t="s">
        <v>388</v>
      </c>
      <c r="CJ463" s="14">
        <v>45013</v>
      </c>
      <c r="CK463">
        <v>1</v>
      </c>
    </row>
    <row r="464" spans="1:89">
      <c r="A464" t="s">
        <v>1928</v>
      </c>
      <c r="B464" t="s">
        <v>374</v>
      </c>
      <c r="C464" t="s">
        <v>1929</v>
      </c>
      <c r="D464" t="s">
        <v>1993</v>
      </c>
      <c r="E464" t="s">
        <v>1994</v>
      </c>
      <c r="F464" s="13">
        <v>44638.758761574078</v>
      </c>
      <c r="G464" t="s">
        <v>641</v>
      </c>
      <c r="H464" t="s">
        <v>642</v>
      </c>
      <c r="I464" s="13">
        <v>44638.758761574078</v>
      </c>
      <c r="K464" t="s">
        <v>412</v>
      </c>
      <c r="M464" s="13">
        <v>44404</v>
      </c>
      <c r="R464">
        <v>0</v>
      </c>
      <c r="S464" t="s">
        <v>380</v>
      </c>
      <c r="T464" t="s">
        <v>57</v>
      </c>
      <c r="V464" t="s">
        <v>381</v>
      </c>
      <c r="W464" t="s">
        <v>1995</v>
      </c>
      <c r="X464" t="s">
        <v>1995</v>
      </c>
      <c r="AC464" s="13">
        <v>44404</v>
      </c>
      <c r="AD464" s="13">
        <v>44404</v>
      </c>
      <c r="AI464">
        <v>-234</v>
      </c>
      <c r="AN464" t="s">
        <v>31</v>
      </c>
      <c r="AO464">
        <v>0</v>
      </c>
      <c r="AS464" t="s">
        <v>385</v>
      </c>
      <c r="AX464" t="s">
        <v>57</v>
      </c>
      <c r="AY464" t="s">
        <v>386</v>
      </c>
      <c r="BF464">
        <v>0</v>
      </c>
      <c r="BK464" t="s">
        <v>31</v>
      </c>
      <c r="BS464" t="s">
        <v>412</v>
      </c>
      <c r="CI464" t="s">
        <v>388</v>
      </c>
      <c r="CJ464" s="14">
        <v>45013</v>
      </c>
      <c r="CK464">
        <v>1</v>
      </c>
    </row>
    <row r="465" spans="1:89">
      <c r="A465" t="s">
        <v>1907</v>
      </c>
      <c r="B465" t="s">
        <v>374</v>
      </c>
      <c r="C465" t="s">
        <v>607</v>
      </c>
      <c r="D465" t="s">
        <v>1996</v>
      </c>
      <c r="E465" t="s">
        <v>1997</v>
      </c>
      <c r="F465" s="13">
        <v>44638.758761574078</v>
      </c>
      <c r="G465" t="s">
        <v>641</v>
      </c>
      <c r="H465" t="s">
        <v>642</v>
      </c>
      <c r="I465" s="13">
        <v>44638.758761574078</v>
      </c>
      <c r="K465" t="s">
        <v>412</v>
      </c>
      <c r="M465" s="13">
        <v>44404</v>
      </c>
      <c r="R465">
        <v>0</v>
      </c>
      <c r="S465" t="s">
        <v>380</v>
      </c>
      <c r="T465" t="s">
        <v>57</v>
      </c>
      <c r="V465" t="s">
        <v>381</v>
      </c>
      <c r="W465" t="s">
        <v>1995</v>
      </c>
      <c r="X465" t="s">
        <v>1995</v>
      </c>
      <c r="AC465" s="13">
        <v>44404</v>
      </c>
      <c r="AD465" s="13">
        <v>44404</v>
      </c>
      <c r="AI465">
        <v>-234</v>
      </c>
      <c r="AN465" t="s">
        <v>31</v>
      </c>
      <c r="AO465">
        <v>0</v>
      </c>
      <c r="AS465" t="s">
        <v>385</v>
      </c>
      <c r="AX465" t="s">
        <v>57</v>
      </c>
      <c r="AY465" t="s">
        <v>386</v>
      </c>
      <c r="BF465">
        <v>0</v>
      </c>
      <c r="BK465" t="s">
        <v>31</v>
      </c>
      <c r="BS465" t="s">
        <v>412</v>
      </c>
      <c r="CI465" t="s">
        <v>388</v>
      </c>
      <c r="CJ465" s="14">
        <v>45013</v>
      </c>
      <c r="CK465">
        <v>1</v>
      </c>
    </row>
    <row r="466" spans="1:89">
      <c r="A466" t="s">
        <v>1907</v>
      </c>
      <c r="B466" t="s">
        <v>374</v>
      </c>
      <c r="C466" t="s">
        <v>607</v>
      </c>
      <c r="D466" t="s">
        <v>1998</v>
      </c>
      <c r="E466" t="s">
        <v>1999</v>
      </c>
      <c r="F466" s="13">
        <v>44638.758750000001</v>
      </c>
      <c r="G466" t="s">
        <v>641</v>
      </c>
      <c r="H466" t="s">
        <v>642</v>
      </c>
      <c r="I466" s="13">
        <v>44638.758750000001</v>
      </c>
      <c r="K466" t="s">
        <v>412</v>
      </c>
      <c r="M466" s="13">
        <v>44404</v>
      </c>
      <c r="R466">
        <v>0</v>
      </c>
      <c r="S466" t="s">
        <v>380</v>
      </c>
      <c r="T466" t="s">
        <v>57</v>
      </c>
      <c r="V466" t="s">
        <v>381</v>
      </c>
      <c r="W466" t="s">
        <v>1995</v>
      </c>
      <c r="X466" t="s">
        <v>1995</v>
      </c>
      <c r="AC466" s="13">
        <v>44404</v>
      </c>
      <c r="AD466" s="13">
        <v>44404</v>
      </c>
      <c r="AI466">
        <v>-234</v>
      </c>
      <c r="AN466" t="s">
        <v>31</v>
      </c>
      <c r="AO466">
        <v>0</v>
      </c>
      <c r="AS466" t="s">
        <v>385</v>
      </c>
      <c r="AX466" t="s">
        <v>57</v>
      </c>
      <c r="AY466" t="s">
        <v>386</v>
      </c>
      <c r="BF466">
        <v>0</v>
      </c>
      <c r="BK466" t="s">
        <v>31</v>
      </c>
      <c r="BS466" t="s">
        <v>412</v>
      </c>
      <c r="CI466" t="s">
        <v>388</v>
      </c>
      <c r="CJ466" s="14">
        <v>45013</v>
      </c>
      <c r="CK466">
        <v>1</v>
      </c>
    </row>
    <row r="467" spans="1:89">
      <c r="A467" t="s">
        <v>1907</v>
      </c>
      <c r="B467" t="s">
        <v>374</v>
      </c>
      <c r="C467" t="s">
        <v>607</v>
      </c>
      <c r="D467" t="s">
        <v>2000</v>
      </c>
      <c r="E467" t="s">
        <v>2001</v>
      </c>
      <c r="F467" s="13">
        <v>44638.758750000001</v>
      </c>
      <c r="G467" t="s">
        <v>641</v>
      </c>
      <c r="H467" t="s">
        <v>642</v>
      </c>
      <c r="I467" s="13">
        <v>44638.758750000001</v>
      </c>
      <c r="K467" t="s">
        <v>412</v>
      </c>
      <c r="M467" s="13">
        <v>44392</v>
      </c>
      <c r="R467">
        <v>0</v>
      </c>
      <c r="S467" t="s">
        <v>380</v>
      </c>
      <c r="T467" t="s">
        <v>57</v>
      </c>
      <c r="V467" t="s">
        <v>381</v>
      </c>
      <c r="W467" t="s">
        <v>2002</v>
      </c>
      <c r="X467" t="s">
        <v>2002</v>
      </c>
      <c r="AC467" s="13">
        <v>44392</v>
      </c>
      <c r="AD467" s="13">
        <v>44392</v>
      </c>
      <c r="AI467">
        <v>-246</v>
      </c>
      <c r="AN467" t="s">
        <v>31</v>
      </c>
      <c r="AO467">
        <v>0</v>
      </c>
      <c r="AX467" t="s">
        <v>57</v>
      </c>
      <c r="AY467" t="s">
        <v>386</v>
      </c>
      <c r="BF467">
        <v>0</v>
      </c>
      <c r="BK467" t="s">
        <v>31</v>
      </c>
      <c r="BS467" t="s">
        <v>412</v>
      </c>
      <c r="CI467" t="s">
        <v>388</v>
      </c>
      <c r="CJ467" s="14">
        <v>45013</v>
      </c>
      <c r="CK467">
        <v>1</v>
      </c>
    </row>
    <row r="468" spans="1:89">
      <c r="A468" t="s">
        <v>1907</v>
      </c>
      <c r="B468" t="s">
        <v>374</v>
      </c>
      <c r="C468" t="s">
        <v>607</v>
      </c>
      <c r="D468" t="s">
        <v>2003</v>
      </c>
      <c r="E468" t="s">
        <v>2004</v>
      </c>
      <c r="F468" s="13">
        <v>44638.758738425924</v>
      </c>
      <c r="G468" t="s">
        <v>641</v>
      </c>
      <c r="H468" t="s">
        <v>642</v>
      </c>
      <c r="I468" s="13">
        <v>44638.758738425924</v>
      </c>
      <c r="K468" t="s">
        <v>412</v>
      </c>
      <c r="M468" s="13">
        <v>44369</v>
      </c>
      <c r="R468">
        <v>0</v>
      </c>
      <c r="S468" t="s">
        <v>380</v>
      </c>
      <c r="T468" t="s">
        <v>57</v>
      </c>
      <c r="V468" t="s">
        <v>381</v>
      </c>
      <c r="W468" t="s">
        <v>2005</v>
      </c>
      <c r="X468" t="s">
        <v>2005</v>
      </c>
      <c r="AC468" s="13">
        <v>44369</v>
      </c>
      <c r="AD468" s="13">
        <v>44369</v>
      </c>
      <c r="AI468">
        <v>-269</v>
      </c>
      <c r="AN468" t="s">
        <v>31</v>
      </c>
      <c r="AO468">
        <v>0</v>
      </c>
      <c r="AS468" t="s">
        <v>526</v>
      </c>
      <c r="AX468" t="s">
        <v>57</v>
      </c>
      <c r="AY468" t="s">
        <v>386</v>
      </c>
      <c r="BF468">
        <v>0</v>
      </c>
      <c r="BK468" t="s">
        <v>31</v>
      </c>
      <c r="BS468" t="s">
        <v>412</v>
      </c>
      <c r="CI468" t="s">
        <v>388</v>
      </c>
      <c r="CJ468" s="14">
        <v>45013</v>
      </c>
      <c r="CK468">
        <v>1</v>
      </c>
    </row>
    <row r="469" spans="1:89">
      <c r="A469" t="s">
        <v>1858</v>
      </c>
      <c r="B469" t="s">
        <v>374</v>
      </c>
      <c r="C469" t="s">
        <v>1859</v>
      </c>
      <c r="D469" t="s">
        <v>2006</v>
      </c>
      <c r="E469" t="s">
        <v>2007</v>
      </c>
      <c r="F469" s="13">
        <v>44638.758738425924</v>
      </c>
      <c r="G469" t="s">
        <v>641</v>
      </c>
      <c r="H469" t="s">
        <v>642</v>
      </c>
      <c r="I469" s="13">
        <v>44638.758738425924</v>
      </c>
      <c r="K469" t="s">
        <v>412</v>
      </c>
      <c r="M469" s="13">
        <v>44386</v>
      </c>
      <c r="R469">
        <v>0</v>
      </c>
      <c r="S469" t="s">
        <v>380</v>
      </c>
      <c r="T469" t="s">
        <v>57</v>
      </c>
      <c r="V469" t="s">
        <v>381</v>
      </c>
      <c r="W469" t="s">
        <v>1775</v>
      </c>
      <c r="X469" t="s">
        <v>1775</v>
      </c>
      <c r="AC469" s="13">
        <v>44386</v>
      </c>
      <c r="AD469" s="13">
        <v>44386</v>
      </c>
      <c r="AI469">
        <v>-252</v>
      </c>
      <c r="AN469" t="s">
        <v>31</v>
      </c>
      <c r="AO469">
        <v>0</v>
      </c>
      <c r="AS469" t="s">
        <v>385</v>
      </c>
      <c r="AX469" t="s">
        <v>57</v>
      </c>
      <c r="AY469" t="s">
        <v>386</v>
      </c>
      <c r="BF469">
        <v>0</v>
      </c>
      <c r="BK469" t="s">
        <v>31</v>
      </c>
      <c r="BS469" t="s">
        <v>412</v>
      </c>
      <c r="CI469" t="s">
        <v>388</v>
      </c>
      <c r="CJ469" s="14">
        <v>45013</v>
      </c>
      <c r="CK469">
        <v>1</v>
      </c>
    </row>
    <row r="470" spans="1:89">
      <c r="A470" t="s">
        <v>1907</v>
      </c>
      <c r="B470" t="s">
        <v>374</v>
      </c>
      <c r="C470" t="s">
        <v>607</v>
      </c>
      <c r="D470" t="s">
        <v>2008</v>
      </c>
      <c r="E470" t="s">
        <v>2009</v>
      </c>
      <c r="F470" s="13">
        <v>44638.758726851855</v>
      </c>
      <c r="G470" t="s">
        <v>641</v>
      </c>
      <c r="H470" t="s">
        <v>642</v>
      </c>
      <c r="I470" s="13">
        <v>44638.758726851855</v>
      </c>
      <c r="K470" t="s">
        <v>412</v>
      </c>
      <c r="M470" s="13">
        <v>44371</v>
      </c>
      <c r="R470">
        <v>0</v>
      </c>
      <c r="S470" t="s">
        <v>380</v>
      </c>
      <c r="T470" t="s">
        <v>57</v>
      </c>
      <c r="V470" t="s">
        <v>381</v>
      </c>
      <c r="W470" t="s">
        <v>1762</v>
      </c>
      <c r="X470" t="s">
        <v>1762</v>
      </c>
      <c r="AC470" s="13">
        <v>44371</v>
      </c>
      <c r="AD470" s="13">
        <v>44371</v>
      </c>
      <c r="AI470">
        <v>-267</v>
      </c>
      <c r="AN470" t="s">
        <v>31</v>
      </c>
      <c r="AO470">
        <v>0</v>
      </c>
      <c r="AS470" t="s">
        <v>526</v>
      </c>
      <c r="AX470" t="s">
        <v>57</v>
      </c>
      <c r="AY470" t="s">
        <v>386</v>
      </c>
      <c r="BF470">
        <v>0</v>
      </c>
      <c r="BK470" t="s">
        <v>31</v>
      </c>
      <c r="BS470" t="s">
        <v>412</v>
      </c>
      <c r="CI470" t="s">
        <v>388</v>
      </c>
      <c r="CJ470" s="14">
        <v>45013</v>
      </c>
      <c r="CK470">
        <v>1</v>
      </c>
    </row>
    <row r="471" spans="1:89">
      <c r="A471" t="s">
        <v>1946</v>
      </c>
      <c r="B471" t="s">
        <v>374</v>
      </c>
      <c r="C471" t="s">
        <v>1947</v>
      </c>
      <c r="D471" t="s">
        <v>2010</v>
      </c>
      <c r="E471" t="s">
        <v>2011</v>
      </c>
      <c r="F471" s="13">
        <v>44638.758726851855</v>
      </c>
      <c r="G471" t="s">
        <v>641</v>
      </c>
      <c r="H471" t="s">
        <v>642</v>
      </c>
      <c r="I471" s="13">
        <v>44638.758726851855</v>
      </c>
      <c r="K471" t="s">
        <v>412</v>
      </c>
      <c r="M471" s="13">
        <v>44635</v>
      </c>
      <c r="R471">
        <v>0</v>
      </c>
      <c r="S471" t="s">
        <v>380</v>
      </c>
      <c r="T471" t="s">
        <v>57</v>
      </c>
      <c r="V471" t="s">
        <v>381</v>
      </c>
      <c r="W471" t="s">
        <v>1709</v>
      </c>
      <c r="X471" t="s">
        <v>1709</v>
      </c>
      <c r="AC471" s="13">
        <v>44635</v>
      </c>
      <c r="AD471" s="13">
        <v>44635</v>
      </c>
      <c r="AI471">
        <v>-3</v>
      </c>
      <c r="AN471" t="s">
        <v>31</v>
      </c>
      <c r="AO471">
        <v>0</v>
      </c>
      <c r="AS471" t="s">
        <v>385</v>
      </c>
      <c r="AX471" t="s">
        <v>57</v>
      </c>
      <c r="AY471" t="s">
        <v>386</v>
      </c>
      <c r="BF471">
        <v>0</v>
      </c>
      <c r="BK471" t="s">
        <v>31</v>
      </c>
      <c r="BS471" t="s">
        <v>412</v>
      </c>
      <c r="CI471" t="s">
        <v>388</v>
      </c>
      <c r="CJ471" s="14">
        <v>45013</v>
      </c>
      <c r="CK471">
        <v>1</v>
      </c>
    </row>
    <row r="472" spans="1:89">
      <c r="A472" t="s">
        <v>1946</v>
      </c>
      <c r="B472" t="s">
        <v>374</v>
      </c>
      <c r="C472" t="s">
        <v>1947</v>
      </c>
      <c r="D472" t="s">
        <v>2012</v>
      </c>
      <c r="E472" t="s">
        <v>2013</v>
      </c>
      <c r="F472" s="13">
        <v>44638.758726851855</v>
      </c>
      <c r="G472" t="s">
        <v>641</v>
      </c>
      <c r="H472" t="s">
        <v>642</v>
      </c>
      <c r="I472" s="13">
        <v>44638.758726851855</v>
      </c>
      <c r="K472" t="s">
        <v>412</v>
      </c>
      <c r="M472" s="13">
        <v>44380</v>
      </c>
      <c r="R472">
        <v>0</v>
      </c>
      <c r="S472" t="s">
        <v>380</v>
      </c>
      <c r="T472" t="s">
        <v>57</v>
      </c>
      <c r="V472" t="s">
        <v>381</v>
      </c>
      <c r="W472" t="s">
        <v>1775</v>
      </c>
      <c r="X472" t="s">
        <v>1775</v>
      </c>
      <c r="AC472" s="13">
        <v>44380</v>
      </c>
      <c r="AD472" s="13">
        <v>44380</v>
      </c>
      <c r="AI472">
        <v>-258</v>
      </c>
      <c r="AN472" t="s">
        <v>31</v>
      </c>
      <c r="AO472">
        <v>0</v>
      </c>
      <c r="AX472" t="s">
        <v>57</v>
      </c>
      <c r="AY472" t="s">
        <v>386</v>
      </c>
      <c r="BF472">
        <v>0</v>
      </c>
      <c r="BK472" t="s">
        <v>31</v>
      </c>
      <c r="BS472" t="s">
        <v>412</v>
      </c>
      <c r="CI472" t="s">
        <v>388</v>
      </c>
      <c r="CJ472" s="14">
        <v>45013</v>
      </c>
      <c r="CK472">
        <v>1</v>
      </c>
    </row>
    <row r="473" spans="1:89">
      <c r="A473" t="s">
        <v>1946</v>
      </c>
      <c r="B473" t="s">
        <v>374</v>
      </c>
      <c r="C473" t="s">
        <v>1947</v>
      </c>
      <c r="D473" t="s">
        <v>2014</v>
      </c>
      <c r="E473" t="s">
        <v>2015</v>
      </c>
      <c r="F473" s="13">
        <v>44638.758715277778</v>
      </c>
      <c r="G473" t="s">
        <v>641</v>
      </c>
      <c r="H473" t="s">
        <v>642</v>
      </c>
      <c r="I473" s="13">
        <v>44638.758715277778</v>
      </c>
      <c r="K473" t="s">
        <v>412</v>
      </c>
      <c r="M473" s="13">
        <v>44635</v>
      </c>
      <c r="R473">
        <v>0</v>
      </c>
      <c r="S473" t="s">
        <v>380</v>
      </c>
      <c r="T473" t="s">
        <v>57</v>
      </c>
      <c r="V473" t="s">
        <v>381</v>
      </c>
      <c r="W473" t="s">
        <v>1762</v>
      </c>
      <c r="X473" t="s">
        <v>1762</v>
      </c>
      <c r="AC473" s="13">
        <v>44635</v>
      </c>
      <c r="AD473" s="13">
        <v>44635</v>
      </c>
      <c r="AI473">
        <v>-3</v>
      </c>
      <c r="AN473" t="s">
        <v>31</v>
      </c>
      <c r="AO473">
        <v>0</v>
      </c>
      <c r="AS473" t="s">
        <v>385</v>
      </c>
      <c r="AX473" t="s">
        <v>57</v>
      </c>
      <c r="AY473" t="s">
        <v>386</v>
      </c>
      <c r="BF473">
        <v>0</v>
      </c>
      <c r="BK473" t="s">
        <v>31</v>
      </c>
      <c r="BS473" t="s">
        <v>412</v>
      </c>
      <c r="CI473" t="s">
        <v>388</v>
      </c>
      <c r="CJ473" s="14">
        <v>45013</v>
      </c>
      <c r="CK473">
        <v>1</v>
      </c>
    </row>
    <row r="474" spans="1:89">
      <c r="A474" t="s">
        <v>1946</v>
      </c>
      <c r="B474" t="s">
        <v>374</v>
      </c>
      <c r="C474" t="s">
        <v>1947</v>
      </c>
      <c r="D474" t="s">
        <v>2016</v>
      </c>
      <c r="E474" t="s">
        <v>2017</v>
      </c>
      <c r="F474" s="13">
        <v>44638.758715277778</v>
      </c>
      <c r="G474" t="s">
        <v>641</v>
      </c>
      <c r="H474" t="s">
        <v>642</v>
      </c>
      <c r="I474" s="13">
        <v>44638.758715277778</v>
      </c>
      <c r="K474" t="s">
        <v>412</v>
      </c>
      <c r="M474" s="13">
        <v>44635</v>
      </c>
      <c r="R474">
        <v>0</v>
      </c>
      <c r="S474" t="s">
        <v>380</v>
      </c>
      <c r="T474" t="s">
        <v>57</v>
      </c>
      <c r="V474" t="s">
        <v>381</v>
      </c>
      <c r="W474" t="s">
        <v>1762</v>
      </c>
      <c r="X474" t="s">
        <v>1762</v>
      </c>
      <c r="AC474" s="13">
        <v>44635</v>
      </c>
      <c r="AD474" s="13">
        <v>44635</v>
      </c>
      <c r="AI474">
        <v>-3</v>
      </c>
      <c r="AN474" t="s">
        <v>31</v>
      </c>
      <c r="AO474">
        <v>0</v>
      </c>
      <c r="AS474" t="s">
        <v>385</v>
      </c>
      <c r="AX474" t="s">
        <v>57</v>
      </c>
      <c r="AY474" t="s">
        <v>386</v>
      </c>
      <c r="BF474">
        <v>0</v>
      </c>
      <c r="BK474" t="s">
        <v>31</v>
      </c>
      <c r="BS474" t="s">
        <v>412</v>
      </c>
      <c r="CI474" t="s">
        <v>388</v>
      </c>
      <c r="CJ474" s="14">
        <v>45013</v>
      </c>
      <c r="CK474">
        <v>1</v>
      </c>
    </row>
    <row r="475" spans="1:89">
      <c r="A475" t="s">
        <v>2018</v>
      </c>
      <c r="B475" t="s">
        <v>374</v>
      </c>
      <c r="C475" t="s">
        <v>2019</v>
      </c>
      <c r="D475" t="s">
        <v>2020</v>
      </c>
      <c r="E475" t="s">
        <v>2021</v>
      </c>
      <c r="F475" s="13">
        <v>44638.758703703701</v>
      </c>
      <c r="G475" t="s">
        <v>641</v>
      </c>
      <c r="H475" t="s">
        <v>642</v>
      </c>
      <c r="I475" s="13">
        <v>44638.758703703701</v>
      </c>
      <c r="K475" t="s">
        <v>412</v>
      </c>
      <c r="M475" s="13">
        <v>44650</v>
      </c>
      <c r="R475">
        <v>0</v>
      </c>
      <c r="S475" t="s">
        <v>380</v>
      </c>
      <c r="T475" t="s">
        <v>57</v>
      </c>
      <c r="V475" t="s">
        <v>381</v>
      </c>
      <c r="W475" t="s">
        <v>1932</v>
      </c>
      <c r="X475" t="s">
        <v>1932</v>
      </c>
      <c r="AC475" s="13">
        <v>44650</v>
      </c>
      <c r="AD475" s="13">
        <v>44650</v>
      </c>
      <c r="AI475">
        <v>12</v>
      </c>
      <c r="AN475" t="s">
        <v>31</v>
      </c>
      <c r="AO475">
        <v>0</v>
      </c>
      <c r="AS475" t="s">
        <v>385</v>
      </c>
      <c r="AX475" t="s">
        <v>57</v>
      </c>
      <c r="AY475" t="s">
        <v>386</v>
      </c>
      <c r="BF475">
        <v>0</v>
      </c>
      <c r="BK475" t="s">
        <v>31</v>
      </c>
      <c r="BS475" t="s">
        <v>412</v>
      </c>
      <c r="CI475" t="s">
        <v>388</v>
      </c>
      <c r="CJ475" s="14">
        <v>45013</v>
      </c>
      <c r="CK475">
        <v>1</v>
      </c>
    </row>
    <row r="476" spans="1:89">
      <c r="A476" t="s">
        <v>2022</v>
      </c>
      <c r="B476" t="s">
        <v>374</v>
      </c>
      <c r="C476" t="s">
        <v>1182</v>
      </c>
      <c r="D476" t="s">
        <v>2023</v>
      </c>
      <c r="E476" t="s">
        <v>2024</v>
      </c>
      <c r="F476" s="13">
        <v>44638.758703703701</v>
      </c>
      <c r="G476" t="s">
        <v>641</v>
      </c>
      <c r="H476" t="s">
        <v>642</v>
      </c>
      <c r="I476" s="13">
        <v>44638.758703703701</v>
      </c>
      <c r="K476" t="s">
        <v>412</v>
      </c>
      <c r="M476" s="13">
        <v>44427</v>
      </c>
      <c r="R476">
        <v>0</v>
      </c>
      <c r="S476" t="s">
        <v>380</v>
      </c>
      <c r="T476" t="s">
        <v>57</v>
      </c>
      <c r="V476" t="s">
        <v>381</v>
      </c>
      <c r="W476" t="s">
        <v>1974</v>
      </c>
      <c r="X476" t="s">
        <v>1974</v>
      </c>
      <c r="AC476" s="13">
        <v>44427</v>
      </c>
      <c r="AD476" s="13">
        <v>44427</v>
      </c>
      <c r="AI476">
        <v>-211</v>
      </c>
      <c r="AN476" t="s">
        <v>31</v>
      </c>
      <c r="AO476">
        <v>0</v>
      </c>
      <c r="AS476" t="s">
        <v>648</v>
      </c>
      <c r="AX476" t="s">
        <v>57</v>
      </c>
      <c r="AY476" t="s">
        <v>386</v>
      </c>
      <c r="BF476">
        <v>0</v>
      </c>
      <c r="BK476" t="s">
        <v>31</v>
      </c>
      <c r="BS476" t="s">
        <v>412</v>
      </c>
      <c r="CI476" t="s">
        <v>388</v>
      </c>
      <c r="CJ476" s="14">
        <v>45013</v>
      </c>
      <c r="CK476">
        <v>1</v>
      </c>
    </row>
    <row r="477" spans="1:89">
      <c r="A477" t="s">
        <v>2022</v>
      </c>
      <c r="B477" t="s">
        <v>374</v>
      </c>
      <c r="C477" t="s">
        <v>1182</v>
      </c>
      <c r="D477" t="s">
        <v>2025</v>
      </c>
      <c r="E477" t="s">
        <v>2026</v>
      </c>
      <c r="F477" s="13">
        <v>44638.758692129632</v>
      </c>
      <c r="G477" t="s">
        <v>641</v>
      </c>
      <c r="H477" t="s">
        <v>642</v>
      </c>
      <c r="I477" s="13">
        <v>44638.758692129632</v>
      </c>
      <c r="K477" t="s">
        <v>412</v>
      </c>
      <c r="M477" s="13">
        <v>44399</v>
      </c>
      <c r="R477">
        <v>0</v>
      </c>
      <c r="S477" t="s">
        <v>380</v>
      </c>
      <c r="T477" t="s">
        <v>57</v>
      </c>
      <c r="V477" t="s">
        <v>381</v>
      </c>
      <c r="W477" t="s">
        <v>2027</v>
      </c>
      <c r="X477" t="s">
        <v>2027</v>
      </c>
      <c r="AC477" s="13">
        <v>44399</v>
      </c>
      <c r="AD477" s="13">
        <v>44399</v>
      </c>
      <c r="AI477">
        <v>-239</v>
      </c>
      <c r="AN477" t="s">
        <v>31</v>
      </c>
      <c r="AO477">
        <v>0</v>
      </c>
      <c r="AS477" t="s">
        <v>385</v>
      </c>
      <c r="AX477" t="s">
        <v>57</v>
      </c>
      <c r="AY477" t="s">
        <v>386</v>
      </c>
      <c r="BF477">
        <v>0</v>
      </c>
      <c r="BK477" t="s">
        <v>31</v>
      </c>
      <c r="BS477" t="s">
        <v>412</v>
      </c>
      <c r="CI477" t="s">
        <v>388</v>
      </c>
      <c r="CJ477" s="14">
        <v>45013</v>
      </c>
      <c r="CK477">
        <v>1</v>
      </c>
    </row>
    <row r="478" spans="1:89">
      <c r="A478" t="s">
        <v>2028</v>
      </c>
      <c r="B478" t="s">
        <v>374</v>
      </c>
      <c r="C478" t="s">
        <v>20</v>
      </c>
      <c r="D478" t="s">
        <v>2029</v>
      </c>
      <c r="E478" t="s">
        <v>2030</v>
      </c>
      <c r="F478" s="13">
        <v>44638.758692129632</v>
      </c>
      <c r="G478" t="s">
        <v>641</v>
      </c>
      <c r="H478" t="s">
        <v>642</v>
      </c>
      <c r="I478" s="13">
        <v>44638.758692129632</v>
      </c>
      <c r="K478" t="s">
        <v>412</v>
      </c>
      <c r="M478" s="13">
        <v>44552</v>
      </c>
      <c r="R478">
        <v>0</v>
      </c>
      <c r="S478" t="s">
        <v>380</v>
      </c>
      <c r="T478" t="s">
        <v>57</v>
      </c>
      <c r="V478" t="s">
        <v>381</v>
      </c>
      <c r="W478" t="s">
        <v>2031</v>
      </c>
      <c r="X478" t="s">
        <v>2031</v>
      </c>
      <c r="AC478" s="13">
        <v>44552</v>
      </c>
      <c r="AD478" s="13">
        <v>44552</v>
      </c>
      <c r="AI478">
        <v>-86</v>
      </c>
      <c r="AN478" t="s">
        <v>31</v>
      </c>
      <c r="AO478">
        <v>0</v>
      </c>
      <c r="AS478" t="s">
        <v>648</v>
      </c>
      <c r="AX478" t="s">
        <v>57</v>
      </c>
      <c r="AY478" t="s">
        <v>386</v>
      </c>
      <c r="BF478">
        <v>0</v>
      </c>
      <c r="BK478" t="s">
        <v>31</v>
      </c>
      <c r="BS478" t="s">
        <v>412</v>
      </c>
      <c r="CI478" t="s">
        <v>388</v>
      </c>
      <c r="CJ478" s="14">
        <v>45013</v>
      </c>
      <c r="CK478">
        <v>1</v>
      </c>
    </row>
    <row r="479" spans="1:89">
      <c r="A479" t="s">
        <v>1858</v>
      </c>
      <c r="B479" t="s">
        <v>374</v>
      </c>
      <c r="C479" t="s">
        <v>1859</v>
      </c>
      <c r="D479" t="s">
        <v>2032</v>
      </c>
      <c r="E479" t="s">
        <v>2033</v>
      </c>
      <c r="F479" s="13">
        <v>44638.758680555555</v>
      </c>
      <c r="G479" t="s">
        <v>641</v>
      </c>
      <c r="H479" t="s">
        <v>642</v>
      </c>
      <c r="I479" s="13">
        <v>44638.758680555555</v>
      </c>
      <c r="K479" t="s">
        <v>412</v>
      </c>
      <c r="M479" s="13">
        <v>41578</v>
      </c>
      <c r="R479">
        <v>0</v>
      </c>
      <c r="S479" t="s">
        <v>380</v>
      </c>
      <c r="T479" t="s">
        <v>57</v>
      </c>
      <c r="V479" t="s">
        <v>381</v>
      </c>
      <c r="W479" t="s">
        <v>1932</v>
      </c>
      <c r="X479" t="s">
        <v>1932</v>
      </c>
      <c r="AC479" s="13">
        <v>41578</v>
      </c>
      <c r="AD479" s="13">
        <v>41578</v>
      </c>
      <c r="AI479">
        <v>-3060</v>
      </c>
      <c r="AN479" t="s">
        <v>31</v>
      </c>
      <c r="AO479">
        <v>0</v>
      </c>
      <c r="AS479" t="s">
        <v>385</v>
      </c>
      <c r="AX479" t="s">
        <v>57</v>
      </c>
      <c r="AY479" t="s">
        <v>386</v>
      </c>
      <c r="BF479">
        <v>0</v>
      </c>
      <c r="BK479" t="s">
        <v>31</v>
      </c>
      <c r="BS479" t="s">
        <v>412</v>
      </c>
      <c r="CI479" t="s">
        <v>388</v>
      </c>
      <c r="CJ479" s="14">
        <v>45013</v>
      </c>
      <c r="CK479">
        <v>1</v>
      </c>
    </row>
    <row r="480" spans="1:89">
      <c r="A480" t="s">
        <v>2028</v>
      </c>
      <c r="B480" t="s">
        <v>374</v>
      </c>
      <c r="C480" t="s">
        <v>20</v>
      </c>
      <c r="D480" t="s">
        <v>2034</v>
      </c>
      <c r="E480" t="s">
        <v>2035</v>
      </c>
      <c r="F480" s="13">
        <v>44638.758680555555</v>
      </c>
      <c r="G480" t="s">
        <v>641</v>
      </c>
      <c r="H480" t="s">
        <v>642</v>
      </c>
      <c r="I480" s="13">
        <v>44638.758680555555</v>
      </c>
      <c r="K480" t="s">
        <v>412</v>
      </c>
      <c r="M480" s="13">
        <v>44552</v>
      </c>
      <c r="R480">
        <v>0</v>
      </c>
      <c r="S480" t="s">
        <v>380</v>
      </c>
      <c r="T480" t="s">
        <v>57</v>
      </c>
      <c r="V480" t="s">
        <v>381</v>
      </c>
      <c r="W480" t="s">
        <v>2031</v>
      </c>
      <c r="X480" t="s">
        <v>2031</v>
      </c>
      <c r="AC480" s="13">
        <v>44552</v>
      </c>
      <c r="AD480" s="13">
        <v>44552</v>
      </c>
      <c r="AI480">
        <v>-86</v>
      </c>
      <c r="AN480" t="s">
        <v>31</v>
      </c>
      <c r="AO480">
        <v>0</v>
      </c>
      <c r="AS480" t="s">
        <v>385</v>
      </c>
      <c r="AX480" t="s">
        <v>57</v>
      </c>
      <c r="AY480" t="s">
        <v>386</v>
      </c>
      <c r="BF480">
        <v>0</v>
      </c>
      <c r="BK480" t="s">
        <v>31</v>
      </c>
      <c r="BS480" t="s">
        <v>412</v>
      </c>
      <c r="CI480" t="s">
        <v>388</v>
      </c>
      <c r="CJ480" s="14">
        <v>45013</v>
      </c>
      <c r="CK480">
        <v>1</v>
      </c>
    </row>
    <row r="481" spans="1:89">
      <c r="A481" t="s">
        <v>1810</v>
      </c>
      <c r="B481" t="s">
        <v>374</v>
      </c>
      <c r="C481" t="s">
        <v>1811</v>
      </c>
      <c r="D481" t="s">
        <v>2036</v>
      </c>
      <c r="E481" t="s">
        <v>2037</v>
      </c>
      <c r="F481" s="13">
        <v>44638.758668981478</v>
      </c>
      <c r="G481" t="s">
        <v>641</v>
      </c>
      <c r="H481" t="s">
        <v>642</v>
      </c>
      <c r="I481" s="13">
        <v>44638.758668981478</v>
      </c>
      <c r="K481" t="s">
        <v>412</v>
      </c>
      <c r="M481" s="13">
        <v>44560</v>
      </c>
      <c r="R481">
        <v>0</v>
      </c>
      <c r="S481" t="s">
        <v>380</v>
      </c>
      <c r="T481" t="s">
        <v>57</v>
      </c>
      <c r="V481" t="s">
        <v>381</v>
      </c>
      <c r="W481" t="s">
        <v>2038</v>
      </c>
      <c r="X481" t="s">
        <v>2038</v>
      </c>
      <c r="AC481" s="13">
        <v>44560</v>
      </c>
      <c r="AD481" s="13">
        <v>44560</v>
      </c>
      <c r="AI481">
        <v>-78</v>
      </c>
      <c r="AN481" t="s">
        <v>31</v>
      </c>
      <c r="AO481">
        <v>0</v>
      </c>
      <c r="AS481" t="s">
        <v>526</v>
      </c>
      <c r="AX481" t="s">
        <v>57</v>
      </c>
      <c r="AY481" t="s">
        <v>386</v>
      </c>
      <c r="BF481">
        <v>0</v>
      </c>
      <c r="BK481" t="s">
        <v>31</v>
      </c>
      <c r="BS481" t="s">
        <v>412</v>
      </c>
      <c r="CI481" t="s">
        <v>388</v>
      </c>
      <c r="CJ481" s="14">
        <v>45013</v>
      </c>
      <c r="CK481">
        <v>1</v>
      </c>
    </row>
    <row r="482" spans="1:89">
      <c r="A482" t="s">
        <v>1872</v>
      </c>
      <c r="B482" t="s">
        <v>374</v>
      </c>
      <c r="C482" t="s">
        <v>1873</v>
      </c>
      <c r="D482" t="s">
        <v>2039</v>
      </c>
      <c r="E482" t="s">
        <v>2040</v>
      </c>
      <c r="F482" s="13">
        <v>44638.758668981478</v>
      </c>
      <c r="G482" t="s">
        <v>641</v>
      </c>
      <c r="H482" t="s">
        <v>642</v>
      </c>
      <c r="I482" s="13">
        <v>44638.758668981478</v>
      </c>
      <c r="K482" t="s">
        <v>412</v>
      </c>
      <c r="M482" s="13">
        <v>44612</v>
      </c>
      <c r="R482">
        <v>0</v>
      </c>
      <c r="S482" t="s">
        <v>380</v>
      </c>
      <c r="T482" t="s">
        <v>57</v>
      </c>
      <c r="V482" t="s">
        <v>381</v>
      </c>
      <c r="W482" t="s">
        <v>2041</v>
      </c>
      <c r="X482" t="s">
        <v>2041</v>
      </c>
      <c r="AC482" s="13">
        <v>44612</v>
      </c>
      <c r="AD482" s="13">
        <v>44612</v>
      </c>
      <c r="AI482">
        <v>-26</v>
      </c>
      <c r="AN482" t="s">
        <v>31</v>
      </c>
      <c r="AO482">
        <v>0</v>
      </c>
      <c r="AS482" t="s">
        <v>385</v>
      </c>
      <c r="AX482" t="s">
        <v>57</v>
      </c>
      <c r="AY482" t="s">
        <v>386</v>
      </c>
      <c r="BF482">
        <v>0</v>
      </c>
      <c r="BK482" t="s">
        <v>31</v>
      </c>
      <c r="BS482" t="s">
        <v>412</v>
      </c>
      <c r="CI482" t="s">
        <v>388</v>
      </c>
      <c r="CJ482" s="14">
        <v>45013</v>
      </c>
      <c r="CK482">
        <v>1</v>
      </c>
    </row>
    <row r="483" spans="1:89">
      <c r="A483" t="s">
        <v>1831</v>
      </c>
      <c r="B483" t="s">
        <v>374</v>
      </c>
      <c r="C483" t="s">
        <v>1832</v>
      </c>
      <c r="D483" t="s">
        <v>2042</v>
      </c>
      <c r="E483" t="s">
        <v>2043</v>
      </c>
      <c r="F483" s="13">
        <v>44638.758657407408</v>
      </c>
      <c r="G483" t="s">
        <v>641</v>
      </c>
      <c r="H483" t="s">
        <v>642</v>
      </c>
      <c r="I483" s="13">
        <v>44638.758657407408</v>
      </c>
      <c r="K483" t="s">
        <v>412</v>
      </c>
      <c r="M483" s="13">
        <v>44616</v>
      </c>
      <c r="R483">
        <v>0</v>
      </c>
      <c r="S483" t="s">
        <v>380</v>
      </c>
      <c r="T483" t="s">
        <v>57</v>
      </c>
      <c r="V483" t="s">
        <v>381</v>
      </c>
      <c r="W483" t="s">
        <v>2044</v>
      </c>
      <c r="X483" t="s">
        <v>2044</v>
      </c>
      <c r="AC483" s="13">
        <v>44616</v>
      </c>
      <c r="AD483" s="13">
        <v>44616</v>
      </c>
      <c r="AI483">
        <v>-22</v>
      </c>
      <c r="AN483" t="s">
        <v>31</v>
      </c>
      <c r="AO483">
        <v>0</v>
      </c>
      <c r="AS483" t="s">
        <v>385</v>
      </c>
      <c r="AX483" t="s">
        <v>57</v>
      </c>
      <c r="AY483" t="s">
        <v>386</v>
      </c>
      <c r="BF483">
        <v>0</v>
      </c>
      <c r="BK483" t="s">
        <v>31</v>
      </c>
      <c r="BS483" t="s">
        <v>412</v>
      </c>
      <c r="CI483" t="s">
        <v>388</v>
      </c>
      <c r="CJ483" s="14">
        <v>45013</v>
      </c>
      <c r="CK483">
        <v>1</v>
      </c>
    </row>
    <row r="484" spans="1:89">
      <c r="A484" t="s">
        <v>1769</v>
      </c>
      <c r="B484" t="s">
        <v>374</v>
      </c>
      <c r="C484" t="s">
        <v>1770</v>
      </c>
      <c r="D484" t="s">
        <v>2045</v>
      </c>
      <c r="E484" t="s">
        <v>2046</v>
      </c>
      <c r="F484" s="13">
        <v>44638.758657407408</v>
      </c>
      <c r="G484" t="s">
        <v>641</v>
      </c>
      <c r="H484" t="s">
        <v>642</v>
      </c>
      <c r="I484" s="13">
        <v>44638.758657407408</v>
      </c>
      <c r="K484" t="s">
        <v>412</v>
      </c>
      <c r="M484" s="13">
        <v>44651</v>
      </c>
      <c r="R484">
        <v>0</v>
      </c>
      <c r="S484" t="s">
        <v>380</v>
      </c>
      <c r="T484" t="s">
        <v>57</v>
      </c>
      <c r="V484" t="s">
        <v>381</v>
      </c>
      <c r="W484" t="s">
        <v>1713</v>
      </c>
      <c r="X484" t="s">
        <v>1713</v>
      </c>
      <c r="AC484" s="13">
        <v>44651</v>
      </c>
      <c r="AD484" s="13">
        <v>44651</v>
      </c>
      <c r="AI484">
        <v>13</v>
      </c>
      <c r="AN484" t="s">
        <v>31</v>
      </c>
      <c r="AO484">
        <v>0</v>
      </c>
      <c r="AS484" t="s">
        <v>385</v>
      </c>
      <c r="AX484" t="s">
        <v>57</v>
      </c>
      <c r="AY484" t="s">
        <v>386</v>
      </c>
      <c r="BF484">
        <v>0</v>
      </c>
      <c r="BK484" t="s">
        <v>31</v>
      </c>
      <c r="BS484" t="s">
        <v>412</v>
      </c>
      <c r="CI484" t="s">
        <v>388</v>
      </c>
      <c r="CJ484" s="14">
        <v>45013</v>
      </c>
      <c r="CK484">
        <v>1</v>
      </c>
    </row>
    <row r="485" spans="1:89">
      <c r="A485" t="s">
        <v>2047</v>
      </c>
      <c r="B485" t="s">
        <v>374</v>
      </c>
      <c r="C485" t="s">
        <v>2048</v>
      </c>
      <c r="D485" t="s">
        <v>2049</v>
      </c>
      <c r="E485" t="s">
        <v>2050</v>
      </c>
      <c r="F485" s="13">
        <v>44638.758645833332</v>
      </c>
      <c r="G485" t="s">
        <v>641</v>
      </c>
      <c r="H485" t="s">
        <v>642</v>
      </c>
      <c r="I485" s="13">
        <v>44638.758645833332</v>
      </c>
      <c r="K485" t="s">
        <v>412</v>
      </c>
      <c r="M485" s="13">
        <v>44591</v>
      </c>
      <c r="R485">
        <v>0</v>
      </c>
      <c r="S485" t="s">
        <v>380</v>
      </c>
      <c r="T485" t="s">
        <v>57</v>
      </c>
      <c r="V485" t="s">
        <v>381</v>
      </c>
      <c r="W485" t="s">
        <v>2051</v>
      </c>
      <c r="X485" t="s">
        <v>2051</v>
      </c>
      <c r="AC485" s="13">
        <v>44591</v>
      </c>
      <c r="AD485" s="13">
        <v>44591</v>
      </c>
      <c r="AI485">
        <v>-47</v>
      </c>
      <c r="AN485" t="s">
        <v>31</v>
      </c>
      <c r="AO485">
        <v>0</v>
      </c>
      <c r="AS485" t="s">
        <v>392</v>
      </c>
      <c r="AX485" t="s">
        <v>57</v>
      </c>
      <c r="AY485" t="s">
        <v>386</v>
      </c>
      <c r="BF485">
        <v>0</v>
      </c>
      <c r="BK485" t="s">
        <v>31</v>
      </c>
      <c r="BS485" t="s">
        <v>412</v>
      </c>
      <c r="CI485" t="s">
        <v>388</v>
      </c>
      <c r="CJ485" s="14">
        <v>45013</v>
      </c>
      <c r="CK485">
        <v>1</v>
      </c>
    </row>
    <row r="486" spans="1:89">
      <c r="A486" t="s">
        <v>2047</v>
      </c>
      <c r="B486" t="s">
        <v>374</v>
      </c>
      <c r="C486" t="s">
        <v>2048</v>
      </c>
      <c r="D486" t="s">
        <v>2052</v>
      </c>
      <c r="E486" t="s">
        <v>2053</v>
      </c>
      <c r="F486" s="13">
        <v>44638.758645833332</v>
      </c>
      <c r="G486" t="s">
        <v>641</v>
      </c>
      <c r="H486" t="s">
        <v>642</v>
      </c>
      <c r="I486" s="13">
        <v>44638.758645833332</v>
      </c>
      <c r="K486" t="s">
        <v>412</v>
      </c>
      <c r="M486" s="13">
        <v>44681</v>
      </c>
      <c r="R486">
        <v>0</v>
      </c>
      <c r="S486" t="s">
        <v>380</v>
      </c>
      <c r="T486" t="s">
        <v>57</v>
      </c>
      <c r="V486" t="s">
        <v>381</v>
      </c>
      <c r="W486" t="s">
        <v>2051</v>
      </c>
      <c r="X486" t="s">
        <v>2051</v>
      </c>
      <c r="AC486" s="13">
        <v>44681</v>
      </c>
      <c r="AD486" s="13">
        <v>44681</v>
      </c>
      <c r="AI486">
        <v>43</v>
      </c>
      <c r="AN486" t="s">
        <v>31</v>
      </c>
      <c r="AO486">
        <v>0</v>
      </c>
      <c r="AS486" t="s">
        <v>392</v>
      </c>
      <c r="AX486" t="s">
        <v>57</v>
      </c>
      <c r="AY486" t="s">
        <v>386</v>
      </c>
      <c r="BF486">
        <v>0</v>
      </c>
      <c r="BK486" t="s">
        <v>31</v>
      </c>
      <c r="BS486" t="s">
        <v>412</v>
      </c>
      <c r="CI486" t="s">
        <v>388</v>
      </c>
      <c r="CJ486" s="14">
        <v>45013</v>
      </c>
      <c r="CK486">
        <v>1</v>
      </c>
    </row>
    <row r="487" spans="1:89">
      <c r="A487" t="s">
        <v>2047</v>
      </c>
      <c r="B487" t="s">
        <v>374</v>
      </c>
      <c r="C487" t="s">
        <v>2048</v>
      </c>
      <c r="D487" t="s">
        <v>2054</v>
      </c>
      <c r="E487" t="s">
        <v>2055</v>
      </c>
      <c r="F487" s="13">
        <v>44638.758634259262</v>
      </c>
      <c r="G487" t="s">
        <v>641</v>
      </c>
      <c r="H487" t="s">
        <v>642</v>
      </c>
      <c r="I487" s="13">
        <v>44638.758634259262</v>
      </c>
      <c r="K487" t="s">
        <v>412</v>
      </c>
      <c r="M487" s="13">
        <v>44650</v>
      </c>
      <c r="R487">
        <v>0</v>
      </c>
      <c r="S487" t="s">
        <v>380</v>
      </c>
      <c r="T487" t="s">
        <v>57</v>
      </c>
      <c r="V487" t="s">
        <v>381</v>
      </c>
      <c r="W487" t="s">
        <v>2051</v>
      </c>
      <c r="X487" t="s">
        <v>2051</v>
      </c>
      <c r="AC487" s="13">
        <v>44650</v>
      </c>
      <c r="AD487" s="13">
        <v>44650</v>
      </c>
      <c r="AI487">
        <v>12</v>
      </c>
      <c r="AN487" t="s">
        <v>31</v>
      </c>
      <c r="AO487">
        <v>0</v>
      </c>
      <c r="AS487" t="s">
        <v>392</v>
      </c>
      <c r="AX487" t="s">
        <v>57</v>
      </c>
      <c r="AY487" t="s">
        <v>386</v>
      </c>
      <c r="BF487">
        <v>0</v>
      </c>
      <c r="BK487" t="s">
        <v>31</v>
      </c>
      <c r="BS487" t="s">
        <v>412</v>
      </c>
      <c r="CI487" t="s">
        <v>388</v>
      </c>
      <c r="CJ487" s="14">
        <v>45013</v>
      </c>
      <c r="CK487">
        <v>1</v>
      </c>
    </row>
    <row r="488" spans="1:89">
      <c r="A488" t="s">
        <v>637</v>
      </c>
      <c r="B488" t="s">
        <v>374</v>
      </c>
      <c r="C488" t="s">
        <v>638</v>
      </c>
      <c r="D488" t="s">
        <v>2056</v>
      </c>
      <c r="E488" t="s">
        <v>640</v>
      </c>
      <c r="F488" s="13">
        <v>44638.751273148147</v>
      </c>
      <c r="G488" t="s">
        <v>641</v>
      </c>
      <c r="H488" t="s">
        <v>642</v>
      </c>
      <c r="I488" s="13">
        <v>44833.703101851854</v>
      </c>
      <c r="K488" t="s">
        <v>412</v>
      </c>
      <c r="M488" s="13">
        <v>44742</v>
      </c>
      <c r="R488">
        <v>0</v>
      </c>
      <c r="S488" t="s">
        <v>380</v>
      </c>
      <c r="T488" t="s">
        <v>57</v>
      </c>
      <c r="V488" t="s">
        <v>381</v>
      </c>
      <c r="W488" t="s">
        <v>643</v>
      </c>
      <c r="X488" t="s">
        <v>643</v>
      </c>
      <c r="AC488" s="13">
        <v>44834</v>
      </c>
      <c r="AD488" s="13">
        <v>44834</v>
      </c>
      <c r="AI488">
        <v>104</v>
      </c>
      <c r="AN488" t="s">
        <v>31</v>
      </c>
      <c r="AO488">
        <v>0</v>
      </c>
      <c r="AS488" t="s">
        <v>538</v>
      </c>
      <c r="AX488" t="s">
        <v>57</v>
      </c>
      <c r="AY488" t="s">
        <v>442</v>
      </c>
      <c r="AZ488" t="s">
        <v>644</v>
      </c>
      <c r="BF488">
        <v>0</v>
      </c>
      <c r="BK488" t="s">
        <v>31</v>
      </c>
      <c r="BS488" t="s">
        <v>412</v>
      </c>
      <c r="CI488" t="s">
        <v>388</v>
      </c>
      <c r="CJ488" s="14">
        <v>45013</v>
      </c>
      <c r="CK488">
        <v>1</v>
      </c>
    </row>
    <row r="489" spans="1:89">
      <c r="A489" t="s">
        <v>637</v>
      </c>
      <c r="B489" t="s">
        <v>374</v>
      </c>
      <c r="C489" t="s">
        <v>638</v>
      </c>
      <c r="D489" t="s">
        <v>2057</v>
      </c>
      <c r="E489" t="s">
        <v>646</v>
      </c>
      <c r="F489" s="13">
        <v>44638.751261574071</v>
      </c>
      <c r="G489" t="s">
        <v>641</v>
      </c>
      <c r="H489" t="s">
        <v>642</v>
      </c>
      <c r="I489" s="13">
        <v>44833.703101851854</v>
      </c>
      <c r="K489" t="s">
        <v>412</v>
      </c>
      <c r="M489" s="13">
        <v>44620</v>
      </c>
      <c r="R489">
        <v>0</v>
      </c>
      <c r="S489" t="s">
        <v>416</v>
      </c>
      <c r="T489" t="s">
        <v>57</v>
      </c>
      <c r="V489" t="s">
        <v>381</v>
      </c>
      <c r="W489" t="s">
        <v>647</v>
      </c>
      <c r="X489" t="s">
        <v>647</v>
      </c>
      <c r="AC489" s="13">
        <v>44711</v>
      </c>
      <c r="AD489" s="13">
        <v>44711</v>
      </c>
      <c r="AI489">
        <v>-18</v>
      </c>
      <c r="AN489" t="s">
        <v>31</v>
      </c>
      <c r="AO489">
        <v>0</v>
      </c>
      <c r="AS489" t="s">
        <v>648</v>
      </c>
      <c r="AX489" t="s">
        <v>31</v>
      </c>
      <c r="AY489" t="s">
        <v>386</v>
      </c>
      <c r="AZ489" t="s">
        <v>649</v>
      </c>
      <c r="BF489">
        <v>0</v>
      </c>
      <c r="BK489" t="s">
        <v>31</v>
      </c>
      <c r="BS489" t="s">
        <v>412</v>
      </c>
      <c r="CI489" t="s">
        <v>388</v>
      </c>
      <c r="CJ489" s="14">
        <v>45013</v>
      </c>
      <c r="CK489">
        <v>1</v>
      </c>
    </row>
    <row r="490" spans="1:89">
      <c r="A490" t="s">
        <v>637</v>
      </c>
      <c r="B490" t="s">
        <v>374</v>
      </c>
      <c r="C490" t="s">
        <v>638</v>
      </c>
      <c r="D490" t="s">
        <v>2058</v>
      </c>
      <c r="E490" t="s">
        <v>651</v>
      </c>
      <c r="F490" s="13">
        <v>44638.751261574071</v>
      </c>
      <c r="G490" t="s">
        <v>641</v>
      </c>
      <c r="H490" t="s">
        <v>642</v>
      </c>
      <c r="I490" s="13">
        <v>44833.703101851854</v>
      </c>
      <c r="K490" t="s">
        <v>412</v>
      </c>
      <c r="M490" s="13">
        <v>44620</v>
      </c>
      <c r="R490">
        <v>0</v>
      </c>
      <c r="S490" t="s">
        <v>416</v>
      </c>
      <c r="T490" t="s">
        <v>57</v>
      </c>
      <c r="V490" t="s">
        <v>381</v>
      </c>
      <c r="W490" t="s">
        <v>647</v>
      </c>
      <c r="X490" t="s">
        <v>647</v>
      </c>
      <c r="AC490" s="13">
        <v>44711</v>
      </c>
      <c r="AD490" s="13">
        <v>44711</v>
      </c>
      <c r="AI490">
        <v>-18</v>
      </c>
      <c r="AN490" t="s">
        <v>31</v>
      </c>
      <c r="AO490">
        <v>0</v>
      </c>
      <c r="AS490" t="s">
        <v>392</v>
      </c>
      <c r="AX490" t="s">
        <v>31</v>
      </c>
      <c r="AY490" t="s">
        <v>386</v>
      </c>
      <c r="AZ490" t="s">
        <v>652</v>
      </c>
      <c r="BF490">
        <v>0</v>
      </c>
      <c r="BK490" t="s">
        <v>31</v>
      </c>
      <c r="BS490" t="s">
        <v>412</v>
      </c>
      <c r="CI490" t="s">
        <v>388</v>
      </c>
      <c r="CJ490" s="14">
        <v>45013</v>
      </c>
      <c r="CK490">
        <v>1</v>
      </c>
    </row>
    <row r="491" spans="1:89">
      <c r="A491" t="s">
        <v>637</v>
      </c>
      <c r="B491" t="s">
        <v>374</v>
      </c>
      <c r="C491" t="s">
        <v>638</v>
      </c>
      <c r="D491" t="s">
        <v>2059</v>
      </c>
      <c r="E491" t="s">
        <v>654</v>
      </c>
      <c r="F491" s="13">
        <v>44638.751250000001</v>
      </c>
      <c r="G491" t="s">
        <v>641</v>
      </c>
      <c r="H491" t="s">
        <v>642</v>
      </c>
      <c r="I491" s="13">
        <v>44833.703101851854</v>
      </c>
      <c r="K491" t="s">
        <v>412</v>
      </c>
      <c r="M491" s="13">
        <v>44620</v>
      </c>
      <c r="R491">
        <v>0</v>
      </c>
      <c r="S491" t="s">
        <v>380</v>
      </c>
      <c r="T491" t="s">
        <v>57</v>
      </c>
      <c r="V491" t="s">
        <v>381</v>
      </c>
      <c r="W491" t="s">
        <v>647</v>
      </c>
      <c r="X491" t="s">
        <v>647</v>
      </c>
      <c r="AC491" s="13">
        <v>44711</v>
      </c>
      <c r="AD491" s="13">
        <v>44711</v>
      </c>
      <c r="AI491">
        <v>-18</v>
      </c>
      <c r="AN491" t="s">
        <v>31</v>
      </c>
      <c r="AO491">
        <v>0</v>
      </c>
      <c r="AS491" t="s">
        <v>385</v>
      </c>
      <c r="AX491" t="s">
        <v>31</v>
      </c>
      <c r="AY491" t="s">
        <v>442</v>
      </c>
      <c r="AZ491" t="s">
        <v>655</v>
      </c>
      <c r="BF491">
        <v>0</v>
      </c>
      <c r="BK491" t="s">
        <v>31</v>
      </c>
      <c r="BS491" t="s">
        <v>412</v>
      </c>
      <c r="CI491" t="s">
        <v>388</v>
      </c>
      <c r="CJ491" s="14">
        <v>45013</v>
      </c>
      <c r="CK491">
        <v>1</v>
      </c>
    </row>
    <row r="492" spans="1:89">
      <c r="A492" t="s">
        <v>637</v>
      </c>
      <c r="B492" t="s">
        <v>374</v>
      </c>
      <c r="C492" t="s">
        <v>638</v>
      </c>
      <c r="D492" t="s">
        <v>2060</v>
      </c>
      <c r="E492" t="s">
        <v>657</v>
      </c>
      <c r="F492" s="13">
        <v>44638.751250000001</v>
      </c>
      <c r="G492" t="s">
        <v>641</v>
      </c>
      <c r="H492" t="s">
        <v>642</v>
      </c>
      <c r="I492" s="13">
        <v>44833.703101851854</v>
      </c>
      <c r="K492" t="s">
        <v>412</v>
      </c>
      <c r="M492" s="13">
        <v>44620</v>
      </c>
      <c r="R492">
        <v>0</v>
      </c>
      <c r="S492" t="s">
        <v>380</v>
      </c>
      <c r="T492" t="s">
        <v>57</v>
      </c>
      <c r="V492" t="s">
        <v>381</v>
      </c>
      <c r="W492" t="s">
        <v>647</v>
      </c>
      <c r="X492" t="s">
        <v>647</v>
      </c>
      <c r="AC492" s="13">
        <v>44711</v>
      </c>
      <c r="AD492" s="13">
        <v>44711</v>
      </c>
      <c r="AI492">
        <v>-18</v>
      </c>
      <c r="AN492" t="s">
        <v>31</v>
      </c>
      <c r="AO492">
        <v>0</v>
      </c>
      <c r="AS492" t="s">
        <v>385</v>
      </c>
      <c r="AX492" t="s">
        <v>31</v>
      </c>
      <c r="AY492" t="s">
        <v>442</v>
      </c>
      <c r="AZ492" t="s">
        <v>658</v>
      </c>
      <c r="BF492">
        <v>0</v>
      </c>
      <c r="BK492" t="s">
        <v>31</v>
      </c>
      <c r="BS492" t="s">
        <v>412</v>
      </c>
      <c r="CI492" t="s">
        <v>388</v>
      </c>
      <c r="CJ492" s="14">
        <v>45013</v>
      </c>
      <c r="CK492">
        <v>1</v>
      </c>
    </row>
    <row r="493" spans="1:89">
      <c r="A493" t="s">
        <v>637</v>
      </c>
      <c r="B493" t="s">
        <v>374</v>
      </c>
      <c r="C493" t="s">
        <v>638</v>
      </c>
      <c r="D493" t="s">
        <v>2061</v>
      </c>
      <c r="E493" t="s">
        <v>660</v>
      </c>
      <c r="F493" s="13">
        <v>44638.751238425924</v>
      </c>
      <c r="G493" t="s">
        <v>641</v>
      </c>
      <c r="H493" t="s">
        <v>642</v>
      </c>
      <c r="I493" s="13">
        <v>44833.703101851854</v>
      </c>
      <c r="K493" t="s">
        <v>412</v>
      </c>
      <c r="M493" s="13">
        <v>44620</v>
      </c>
      <c r="R493">
        <v>0</v>
      </c>
      <c r="S493" t="s">
        <v>380</v>
      </c>
      <c r="T493" t="s">
        <v>57</v>
      </c>
      <c r="V493" t="s">
        <v>381</v>
      </c>
      <c r="W493" t="s">
        <v>647</v>
      </c>
      <c r="X493" t="s">
        <v>647</v>
      </c>
      <c r="AC493" s="13">
        <v>44711</v>
      </c>
      <c r="AD493" s="13">
        <v>44711</v>
      </c>
      <c r="AI493">
        <v>-18</v>
      </c>
      <c r="AN493" t="s">
        <v>31</v>
      </c>
      <c r="AO493">
        <v>0</v>
      </c>
      <c r="AS493" t="s">
        <v>526</v>
      </c>
      <c r="AX493" t="s">
        <v>31</v>
      </c>
      <c r="AY493" t="s">
        <v>442</v>
      </c>
      <c r="AZ493" t="s">
        <v>661</v>
      </c>
      <c r="BF493">
        <v>0</v>
      </c>
      <c r="BK493" t="s">
        <v>31</v>
      </c>
      <c r="BS493" t="s">
        <v>412</v>
      </c>
      <c r="CI493" t="s">
        <v>388</v>
      </c>
      <c r="CJ493" s="14">
        <v>45013</v>
      </c>
      <c r="CK493">
        <v>1</v>
      </c>
    </row>
    <row r="494" spans="1:89">
      <c r="A494" t="s">
        <v>637</v>
      </c>
      <c r="B494" t="s">
        <v>374</v>
      </c>
      <c r="C494" t="s">
        <v>638</v>
      </c>
      <c r="D494" t="s">
        <v>2062</v>
      </c>
      <c r="E494" t="s">
        <v>663</v>
      </c>
      <c r="F494" s="13">
        <v>44638.751238425924</v>
      </c>
      <c r="G494" t="s">
        <v>641</v>
      </c>
      <c r="H494" t="s">
        <v>642</v>
      </c>
      <c r="I494" s="13">
        <v>44833.703101851854</v>
      </c>
      <c r="K494" t="s">
        <v>412</v>
      </c>
      <c r="M494" s="13">
        <v>44620</v>
      </c>
      <c r="R494">
        <v>0</v>
      </c>
      <c r="S494" t="s">
        <v>380</v>
      </c>
      <c r="T494" t="s">
        <v>57</v>
      </c>
      <c r="V494" t="s">
        <v>381</v>
      </c>
      <c r="W494" t="s">
        <v>647</v>
      </c>
      <c r="X494" t="s">
        <v>647</v>
      </c>
      <c r="AC494" s="13">
        <v>44711</v>
      </c>
      <c r="AD494" s="13">
        <v>44711</v>
      </c>
      <c r="AI494">
        <v>-18</v>
      </c>
      <c r="AN494" t="s">
        <v>31</v>
      </c>
      <c r="AO494">
        <v>0</v>
      </c>
      <c r="AS494" t="s">
        <v>648</v>
      </c>
      <c r="AX494" t="s">
        <v>31</v>
      </c>
      <c r="AY494" t="s">
        <v>442</v>
      </c>
      <c r="AZ494" t="s">
        <v>648</v>
      </c>
      <c r="BF494">
        <v>0</v>
      </c>
      <c r="BK494" t="s">
        <v>31</v>
      </c>
      <c r="BS494" t="s">
        <v>412</v>
      </c>
      <c r="CI494" t="s">
        <v>388</v>
      </c>
      <c r="CJ494" s="14">
        <v>45013</v>
      </c>
      <c r="CK494">
        <v>1</v>
      </c>
    </row>
    <row r="495" spans="1:89">
      <c r="A495" t="s">
        <v>637</v>
      </c>
      <c r="B495" t="s">
        <v>374</v>
      </c>
      <c r="C495" t="s">
        <v>638</v>
      </c>
      <c r="D495" t="s">
        <v>2063</v>
      </c>
      <c r="E495" t="s">
        <v>665</v>
      </c>
      <c r="F495" s="13">
        <v>44638.751238425924</v>
      </c>
      <c r="G495" t="s">
        <v>641</v>
      </c>
      <c r="H495" t="s">
        <v>642</v>
      </c>
      <c r="I495" s="13">
        <v>44833.703101851854</v>
      </c>
      <c r="K495" t="s">
        <v>412</v>
      </c>
      <c r="M495" s="13">
        <v>44620</v>
      </c>
      <c r="R495">
        <v>0</v>
      </c>
      <c r="S495" t="s">
        <v>380</v>
      </c>
      <c r="T495" t="s">
        <v>57</v>
      </c>
      <c r="V495" t="s">
        <v>381</v>
      </c>
      <c r="W495" t="s">
        <v>647</v>
      </c>
      <c r="X495" t="s">
        <v>647</v>
      </c>
      <c r="AC495" s="13">
        <v>44711</v>
      </c>
      <c r="AD495" s="13">
        <v>44711</v>
      </c>
      <c r="AI495">
        <v>-18</v>
      </c>
      <c r="AN495" t="s">
        <v>31</v>
      </c>
      <c r="AO495">
        <v>0</v>
      </c>
      <c r="AS495" t="s">
        <v>385</v>
      </c>
      <c r="AX495" t="s">
        <v>31</v>
      </c>
      <c r="AY495" t="s">
        <v>442</v>
      </c>
      <c r="AZ495" t="s">
        <v>666</v>
      </c>
      <c r="BF495">
        <v>0</v>
      </c>
      <c r="BK495" t="s">
        <v>31</v>
      </c>
      <c r="BS495" t="s">
        <v>412</v>
      </c>
      <c r="CI495" t="s">
        <v>388</v>
      </c>
      <c r="CJ495" s="14">
        <v>45013</v>
      </c>
      <c r="CK495">
        <v>1</v>
      </c>
    </row>
    <row r="496" spans="1:89">
      <c r="A496" t="s">
        <v>1181</v>
      </c>
      <c r="B496" t="s">
        <v>374</v>
      </c>
      <c r="C496" t="s">
        <v>1182</v>
      </c>
      <c r="D496" t="s">
        <v>2064</v>
      </c>
      <c r="E496" t="s">
        <v>671</v>
      </c>
      <c r="F496" s="13">
        <v>44638.751226851855</v>
      </c>
      <c r="G496" t="s">
        <v>641</v>
      </c>
      <c r="H496" t="s">
        <v>642</v>
      </c>
      <c r="I496" s="13">
        <v>44833.703101851854</v>
      </c>
      <c r="K496" t="s">
        <v>412</v>
      </c>
      <c r="M496" s="13">
        <v>44620</v>
      </c>
      <c r="R496">
        <v>0</v>
      </c>
      <c r="S496" t="s">
        <v>380</v>
      </c>
      <c r="T496" t="s">
        <v>57</v>
      </c>
      <c r="V496" t="s">
        <v>381</v>
      </c>
      <c r="W496" t="s">
        <v>647</v>
      </c>
      <c r="X496" t="s">
        <v>647</v>
      </c>
      <c r="AC496" s="13">
        <v>44711</v>
      </c>
      <c r="AD496" s="13">
        <v>44711</v>
      </c>
      <c r="AI496">
        <v>-18</v>
      </c>
      <c r="AN496" t="s">
        <v>31</v>
      </c>
      <c r="AO496">
        <v>0</v>
      </c>
      <c r="AS496" t="s">
        <v>538</v>
      </c>
      <c r="AX496" t="s">
        <v>31</v>
      </c>
      <c r="AY496" t="s">
        <v>442</v>
      </c>
      <c r="AZ496" t="s">
        <v>672</v>
      </c>
      <c r="BF496">
        <v>0</v>
      </c>
      <c r="BK496" t="s">
        <v>31</v>
      </c>
      <c r="BS496" t="s">
        <v>412</v>
      </c>
      <c r="CI496" t="s">
        <v>388</v>
      </c>
      <c r="CJ496" s="14">
        <v>45013</v>
      </c>
      <c r="CK496">
        <v>1</v>
      </c>
    </row>
    <row r="497" spans="1:89">
      <c r="A497" t="s">
        <v>1181</v>
      </c>
      <c r="B497" t="s">
        <v>374</v>
      </c>
      <c r="C497" t="s">
        <v>1182</v>
      </c>
      <c r="D497" t="s">
        <v>2065</v>
      </c>
      <c r="E497" t="s">
        <v>668</v>
      </c>
      <c r="F497" s="13">
        <v>44638.751226851855</v>
      </c>
      <c r="G497" t="s">
        <v>641</v>
      </c>
      <c r="H497" t="s">
        <v>642</v>
      </c>
      <c r="I497" s="13">
        <v>44833.703101851854</v>
      </c>
      <c r="K497" t="s">
        <v>412</v>
      </c>
      <c r="M497" s="13">
        <v>44620</v>
      </c>
      <c r="R497">
        <v>0</v>
      </c>
      <c r="S497" t="s">
        <v>380</v>
      </c>
      <c r="T497" t="s">
        <v>57</v>
      </c>
      <c r="V497" t="s">
        <v>381</v>
      </c>
      <c r="W497" t="s">
        <v>647</v>
      </c>
      <c r="X497" t="s">
        <v>647</v>
      </c>
      <c r="AC497" s="13">
        <v>44711</v>
      </c>
      <c r="AD497" s="13">
        <v>44711</v>
      </c>
      <c r="AI497">
        <v>-18</v>
      </c>
      <c r="AN497" t="s">
        <v>31</v>
      </c>
      <c r="AO497">
        <v>0</v>
      </c>
      <c r="AS497" t="s">
        <v>648</v>
      </c>
      <c r="AX497" t="s">
        <v>31</v>
      </c>
      <c r="AY497" t="s">
        <v>442</v>
      </c>
      <c r="AZ497" t="s">
        <v>669</v>
      </c>
      <c r="BF497">
        <v>0</v>
      </c>
      <c r="BK497" t="s">
        <v>31</v>
      </c>
      <c r="BS497" t="s">
        <v>412</v>
      </c>
      <c r="CI497" t="s">
        <v>388</v>
      </c>
      <c r="CJ497" s="14">
        <v>45013</v>
      </c>
      <c r="CK497">
        <v>1</v>
      </c>
    </row>
    <row r="498" spans="1:89">
      <c r="A498" t="s">
        <v>2066</v>
      </c>
      <c r="B498" t="s">
        <v>374</v>
      </c>
      <c r="C498" t="s">
        <v>2067</v>
      </c>
      <c r="D498" t="s">
        <v>2068</v>
      </c>
      <c r="E498" t="s">
        <v>2069</v>
      </c>
      <c r="F498" s="13">
        <v>44638.441678240742</v>
      </c>
      <c r="G498" t="s">
        <v>2070</v>
      </c>
      <c r="H498" t="s">
        <v>2071</v>
      </c>
      <c r="I498" s="13">
        <v>45012.044259259259</v>
      </c>
      <c r="K498" t="s">
        <v>415</v>
      </c>
      <c r="M498" s="13">
        <v>44651</v>
      </c>
      <c r="R498">
        <v>0</v>
      </c>
      <c r="S498" t="s">
        <v>380</v>
      </c>
      <c r="T498" t="s">
        <v>57</v>
      </c>
      <c r="V498" t="s">
        <v>478</v>
      </c>
      <c r="W498" t="s">
        <v>2072</v>
      </c>
      <c r="X498" t="s">
        <v>2072</v>
      </c>
      <c r="AC498" s="13">
        <v>44742</v>
      </c>
      <c r="AD498" s="13">
        <v>44651</v>
      </c>
      <c r="AF498" t="s">
        <v>451</v>
      </c>
      <c r="AI498">
        <v>-361</v>
      </c>
      <c r="AL498" t="s">
        <v>2073</v>
      </c>
      <c r="AN498" t="s">
        <v>31</v>
      </c>
      <c r="AO498">
        <v>0</v>
      </c>
      <c r="AS498" t="s">
        <v>385</v>
      </c>
      <c r="AX498" t="s">
        <v>57</v>
      </c>
      <c r="AY498" t="s">
        <v>442</v>
      </c>
      <c r="AZ498" t="s">
        <v>2074</v>
      </c>
      <c r="BF498">
        <v>0</v>
      </c>
      <c r="BK498" t="s">
        <v>31</v>
      </c>
      <c r="BS498" t="s">
        <v>419</v>
      </c>
      <c r="BT498" t="s">
        <v>419</v>
      </c>
      <c r="CI498" t="s">
        <v>388</v>
      </c>
      <c r="CJ498" s="14">
        <v>45013</v>
      </c>
      <c r="CK498">
        <v>1</v>
      </c>
    </row>
    <row r="499" spans="1:89">
      <c r="A499" t="s">
        <v>2075</v>
      </c>
      <c r="B499" t="s">
        <v>374</v>
      </c>
      <c r="C499" t="s">
        <v>2076</v>
      </c>
      <c r="D499" t="s">
        <v>2077</v>
      </c>
      <c r="E499" t="s">
        <v>2078</v>
      </c>
      <c r="F499" s="13">
        <v>44637.628877314812</v>
      </c>
      <c r="G499" t="s">
        <v>2079</v>
      </c>
      <c r="H499" t="s">
        <v>2080</v>
      </c>
      <c r="I499" s="13">
        <v>45012.044247685182</v>
      </c>
      <c r="K499" t="s">
        <v>415</v>
      </c>
      <c r="M499" s="13">
        <v>44673</v>
      </c>
      <c r="R499">
        <v>0</v>
      </c>
      <c r="S499" t="s">
        <v>380</v>
      </c>
      <c r="T499" t="s">
        <v>57</v>
      </c>
      <c r="V499" t="s">
        <v>478</v>
      </c>
      <c r="W499" t="s">
        <v>2081</v>
      </c>
      <c r="X499" t="s">
        <v>2081</v>
      </c>
      <c r="AF499" t="s">
        <v>451</v>
      </c>
      <c r="AI499">
        <v>-339</v>
      </c>
      <c r="AL499" t="s">
        <v>2082</v>
      </c>
      <c r="AN499" t="s">
        <v>31</v>
      </c>
      <c r="AO499">
        <v>0</v>
      </c>
      <c r="AS499" t="s">
        <v>385</v>
      </c>
      <c r="AX499" t="s">
        <v>57</v>
      </c>
      <c r="AY499" t="s">
        <v>386</v>
      </c>
      <c r="AZ499" t="s">
        <v>2083</v>
      </c>
      <c r="BF499">
        <v>0</v>
      </c>
      <c r="BK499" t="s">
        <v>31</v>
      </c>
      <c r="BS499" t="s">
        <v>419</v>
      </c>
      <c r="BT499" t="s">
        <v>419</v>
      </c>
      <c r="CI499" t="s">
        <v>388</v>
      </c>
      <c r="CJ499" s="14">
        <v>45013</v>
      </c>
      <c r="CK499">
        <v>1</v>
      </c>
    </row>
    <row r="500" spans="1:89">
      <c r="A500" t="s">
        <v>1655</v>
      </c>
      <c r="B500" t="s">
        <v>374</v>
      </c>
      <c r="C500" t="s">
        <v>1656</v>
      </c>
      <c r="D500" t="s">
        <v>2084</v>
      </c>
      <c r="E500" t="s">
        <v>2085</v>
      </c>
      <c r="F500" s="13">
        <v>44637.545694444445</v>
      </c>
      <c r="G500" t="s">
        <v>1659</v>
      </c>
      <c r="H500" t="s">
        <v>1660</v>
      </c>
      <c r="I500" s="13">
        <v>45012.044247685182</v>
      </c>
      <c r="K500" t="s">
        <v>415</v>
      </c>
      <c r="M500" s="13">
        <v>44742</v>
      </c>
      <c r="R500">
        <v>0</v>
      </c>
      <c r="S500" t="s">
        <v>380</v>
      </c>
      <c r="T500" t="s">
        <v>57</v>
      </c>
      <c r="V500" t="s">
        <v>478</v>
      </c>
      <c r="W500" t="s">
        <v>2086</v>
      </c>
      <c r="X500" t="s">
        <v>2086</v>
      </c>
      <c r="AF500" t="s">
        <v>451</v>
      </c>
      <c r="AI500">
        <v>-270</v>
      </c>
      <c r="AL500" t="s">
        <v>2087</v>
      </c>
      <c r="AN500" t="s">
        <v>31</v>
      </c>
      <c r="AO500">
        <v>0</v>
      </c>
      <c r="AS500" t="s">
        <v>385</v>
      </c>
      <c r="AX500" t="s">
        <v>31</v>
      </c>
      <c r="AY500" t="s">
        <v>442</v>
      </c>
      <c r="AZ500" t="s">
        <v>2088</v>
      </c>
      <c r="BE500" t="s">
        <v>1364</v>
      </c>
      <c r="BF500">
        <v>0</v>
      </c>
      <c r="BK500" t="s">
        <v>31</v>
      </c>
      <c r="BS500" t="s">
        <v>419</v>
      </c>
      <c r="BT500" t="s">
        <v>419</v>
      </c>
      <c r="CI500" t="s">
        <v>388</v>
      </c>
      <c r="CJ500" s="14">
        <v>45013</v>
      </c>
      <c r="CK500">
        <v>1</v>
      </c>
    </row>
    <row r="501" spans="1:89">
      <c r="A501" t="s">
        <v>2089</v>
      </c>
      <c r="B501" t="s">
        <v>374</v>
      </c>
      <c r="C501" t="s">
        <v>2090</v>
      </c>
      <c r="D501" t="s">
        <v>2091</v>
      </c>
      <c r="E501" t="s">
        <v>2092</v>
      </c>
      <c r="F501" s="13">
        <v>44637.512175925927</v>
      </c>
      <c r="G501" t="s">
        <v>2079</v>
      </c>
      <c r="H501" t="s">
        <v>2080</v>
      </c>
      <c r="I501" s="13">
        <v>45012.044247685182</v>
      </c>
      <c r="K501" t="s">
        <v>415</v>
      </c>
      <c r="M501" s="13">
        <v>44666</v>
      </c>
      <c r="R501">
        <v>0</v>
      </c>
      <c r="S501" t="s">
        <v>380</v>
      </c>
      <c r="T501" t="s">
        <v>57</v>
      </c>
      <c r="V501" t="s">
        <v>478</v>
      </c>
      <c r="W501" t="s">
        <v>2093</v>
      </c>
      <c r="X501" t="s">
        <v>2093</v>
      </c>
      <c r="AF501" t="s">
        <v>451</v>
      </c>
      <c r="AI501">
        <v>-346</v>
      </c>
      <c r="AL501" t="s">
        <v>2094</v>
      </c>
      <c r="AN501" t="s">
        <v>31</v>
      </c>
      <c r="AO501">
        <v>0</v>
      </c>
      <c r="AS501" t="s">
        <v>702</v>
      </c>
      <c r="AX501" t="s">
        <v>57</v>
      </c>
      <c r="AY501" t="s">
        <v>386</v>
      </c>
      <c r="AZ501" t="s">
        <v>2095</v>
      </c>
      <c r="BF501">
        <v>0</v>
      </c>
      <c r="BK501" t="s">
        <v>31</v>
      </c>
      <c r="BS501" t="s">
        <v>419</v>
      </c>
      <c r="BT501" t="s">
        <v>419</v>
      </c>
      <c r="CI501" t="s">
        <v>388</v>
      </c>
      <c r="CJ501" s="14">
        <v>45013</v>
      </c>
      <c r="CK501">
        <v>1</v>
      </c>
    </row>
    <row r="502" spans="1:89">
      <c r="A502" t="s">
        <v>2096</v>
      </c>
      <c r="B502" t="s">
        <v>374</v>
      </c>
      <c r="C502" t="s">
        <v>2097</v>
      </c>
      <c r="D502" t="s">
        <v>2098</v>
      </c>
      <c r="E502" t="s">
        <v>2099</v>
      </c>
      <c r="F502" s="13">
        <v>44637.236168981479</v>
      </c>
      <c r="G502" t="s">
        <v>2100</v>
      </c>
      <c r="H502" t="s">
        <v>2101</v>
      </c>
      <c r="I502" s="13">
        <v>45012.044236111113</v>
      </c>
      <c r="K502" t="s">
        <v>415</v>
      </c>
      <c r="M502" s="13">
        <v>44681</v>
      </c>
      <c r="R502">
        <v>0</v>
      </c>
      <c r="S502" t="s">
        <v>380</v>
      </c>
      <c r="T502" t="s">
        <v>57</v>
      </c>
      <c r="V502" t="s">
        <v>478</v>
      </c>
      <c r="W502" t="s">
        <v>2102</v>
      </c>
      <c r="X502" t="s">
        <v>2102</v>
      </c>
      <c r="AC502" s="13">
        <v>44681</v>
      </c>
      <c r="AD502" s="13">
        <v>44681</v>
      </c>
      <c r="AF502" t="s">
        <v>451</v>
      </c>
      <c r="AI502">
        <v>-331</v>
      </c>
      <c r="AL502" t="s">
        <v>2103</v>
      </c>
      <c r="AN502" t="s">
        <v>31</v>
      </c>
      <c r="AO502">
        <v>0</v>
      </c>
      <c r="AS502" t="s">
        <v>385</v>
      </c>
      <c r="AX502" t="s">
        <v>57</v>
      </c>
      <c r="AY502" t="s">
        <v>442</v>
      </c>
      <c r="AZ502" t="s">
        <v>2104</v>
      </c>
      <c r="BF502">
        <v>0</v>
      </c>
      <c r="BK502" t="s">
        <v>31</v>
      </c>
      <c r="BS502" t="s">
        <v>419</v>
      </c>
      <c r="BT502" t="s">
        <v>419</v>
      </c>
      <c r="CI502" t="s">
        <v>388</v>
      </c>
      <c r="CJ502" s="14">
        <v>45013</v>
      </c>
      <c r="CK502">
        <v>1</v>
      </c>
    </row>
    <row r="503" spans="1:89">
      <c r="A503" t="s">
        <v>2105</v>
      </c>
      <c r="B503" t="s">
        <v>374</v>
      </c>
      <c r="C503" t="s">
        <v>1990</v>
      </c>
      <c r="D503" t="s">
        <v>2106</v>
      </c>
      <c r="E503" t="s">
        <v>2107</v>
      </c>
      <c r="F503" s="13">
        <v>44636.812071759261</v>
      </c>
      <c r="G503" t="s">
        <v>2108</v>
      </c>
      <c r="H503" t="s">
        <v>2109</v>
      </c>
      <c r="I503" s="13">
        <v>45012.044236111113</v>
      </c>
      <c r="K503" t="s">
        <v>415</v>
      </c>
      <c r="M503" s="13">
        <v>45107</v>
      </c>
      <c r="R503">
        <v>0</v>
      </c>
      <c r="S503" t="s">
        <v>380</v>
      </c>
      <c r="T503" t="s">
        <v>57</v>
      </c>
      <c r="V503" t="s">
        <v>381</v>
      </c>
      <c r="W503" t="s">
        <v>2110</v>
      </c>
      <c r="X503" t="s">
        <v>2110</v>
      </c>
      <c r="AF503" t="s">
        <v>451</v>
      </c>
      <c r="AI503">
        <v>95</v>
      </c>
      <c r="AL503" t="s">
        <v>2111</v>
      </c>
      <c r="AN503" t="s">
        <v>31</v>
      </c>
      <c r="AO503">
        <v>0</v>
      </c>
      <c r="AS503" t="s">
        <v>385</v>
      </c>
      <c r="AX503" t="s">
        <v>31</v>
      </c>
      <c r="AY503" t="s">
        <v>442</v>
      </c>
      <c r="AZ503" t="s">
        <v>2112</v>
      </c>
      <c r="BF503">
        <v>0</v>
      </c>
      <c r="BK503" t="s">
        <v>31</v>
      </c>
      <c r="BS503" t="s">
        <v>419</v>
      </c>
      <c r="BT503" t="s">
        <v>419</v>
      </c>
      <c r="CI503" t="s">
        <v>388</v>
      </c>
      <c r="CJ503" s="14">
        <v>45013</v>
      </c>
      <c r="CK503">
        <v>1</v>
      </c>
    </row>
    <row r="504" spans="1:89">
      <c r="A504" t="s">
        <v>2113</v>
      </c>
      <c r="B504" t="s">
        <v>374</v>
      </c>
      <c r="C504" t="s">
        <v>2114</v>
      </c>
      <c r="D504" t="s">
        <v>2115</v>
      </c>
      <c r="E504" t="s">
        <v>2116</v>
      </c>
      <c r="F504" s="13">
        <v>44636.791597222225</v>
      </c>
      <c r="G504" t="s">
        <v>2108</v>
      </c>
      <c r="H504" t="s">
        <v>2109</v>
      </c>
      <c r="I504" s="13">
        <v>44655.415659722225</v>
      </c>
      <c r="K504" t="s">
        <v>379</v>
      </c>
      <c r="M504" s="13">
        <v>44651</v>
      </c>
      <c r="R504">
        <v>100</v>
      </c>
      <c r="S504" t="s">
        <v>380</v>
      </c>
      <c r="T504" t="s">
        <v>57</v>
      </c>
      <c r="V504" t="s">
        <v>478</v>
      </c>
      <c r="W504" t="s">
        <v>2117</v>
      </c>
      <c r="X504" t="s">
        <v>2117</v>
      </c>
      <c r="AF504" t="s">
        <v>382</v>
      </c>
      <c r="AG504" t="s">
        <v>2118</v>
      </c>
      <c r="AI504">
        <v>-4</v>
      </c>
      <c r="AJ504" s="13">
        <v>44655</v>
      </c>
      <c r="AL504" t="s">
        <v>2119</v>
      </c>
      <c r="AN504" t="s">
        <v>31</v>
      </c>
      <c r="AO504">
        <v>0</v>
      </c>
      <c r="AR504" t="s">
        <v>2118</v>
      </c>
      <c r="AS504" t="s">
        <v>648</v>
      </c>
      <c r="AX504" t="s">
        <v>31</v>
      </c>
      <c r="AY504" t="s">
        <v>386</v>
      </c>
      <c r="AZ504" t="s">
        <v>2120</v>
      </c>
      <c r="BF504">
        <v>0</v>
      </c>
      <c r="BK504" t="s">
        <v>31</v>
      </c>
      <c r="BS504" t="s">
        <v>379</v>
      </c>
      <c r="BT504" t="s">
        <v>379</v>
      </c>
      <c r="CI504" t="s">
        <v>388</v>
      </c>
      <c r="CJ504" s="14">
        <v>45013</v>
      </c>
      <c r="CK504">
        <v>1</v>
      </c>
    </row>
    <row r="505" spans="1:89">
      <c r="A505" t="s">
        <v>2121</v>
      </c>
      <c r="B505" t="s">
        <v>374</v>
      </c>
      <c r="C505" t="s">
        <v>2122</v>
      </c>
      <c r="D505" t="s">
        <v>2123</v>
      </c>
      <c r="E505" t="s">
        <v>2124</v>
      </c>
      <c r="F505" s="13">
        <v>44636.787615740737</v>
      </c>
      <c r="G505" t="s">
        <v>2125</v>
      </c>
      <c r="H505" t="s">
        <v>2126</v>
      </c>
      <c r="I505" s="13">
        <v>45012.044236111113</v>
      </c>
      <c r="K505" t="s">
        <v>415</v>
      </c>
      <c r="M505" s="13">
        <v>44719</v>
      </c>
      <c r="R505">
        <v>0</v>
      </c>
      <c r="S505" t="s">
        <v>416</v>
      </c>
      <c r="T505" t="s">
        <v>57</v>
      </c>
      <c r="V505" t="s">
        <v>478</v>
      </c>
      <c r="W505" t="s">
        <v>2127</v>
      </c>
      <c r="X505" t="s">
        <v>2127</v>
      </c>
      <c r="AF505" t="s">
        <v>451</v>
      </c>
      <c r="AI505">
        <v>-293</v>
      </c>
      <c r="AL505" t="s">
        <v>2128</v>
      </c>
      <c r="AN505" t="s">
        <v>31</v>
      </c>
      <c r="AO505">
        <v>0</v>
      </c>
      <c r="AS505" t="s">
        <v>392</v>
      </c>
      <c r="AX505" t="s">
        <v>31</v>
      </c>
      <c r="AY505" t="s">
        <v>386</v>
      </c>
      <c r="AZ505" t="s">
        <v>2129</v>
      </c>
      <c r="BF505">
        <v>0</v>
      </c>
      <c r="BK505" t="s">
        <v>31</v>
      </c>
      <c r="BS505" t="s">
        <v>419</v>
      </c>
      <c r="BT505" t="s">
        <v>419</v>
      </c>
      <c r="CI505" t="s">
        <v>388</v>
      </c>
      <c r="CJ505" s="14">
        <v>45013</v>
      </c>
      <c r="CK505">
        <v>1</v>
      </c>
    </row>
    <row r="506" spans="1:89">
      <c r="A506" t="s">
        <v>2121</v>
      </c>
      <c r="B506" t="s">
        <v>374</v>
      </c>
      <c r="C506" t="s">
        <v>2122</v>
      </c>
      <c r="D506" t="s">
        <v>2130</v>
      </c>
      <c r="E506" t="s">
        <v>2131</v>
      </c>
      <c r="F506" s="13">
        <v>44636.767118055555</v>
      </c>
      <c r="G506" t="s">
        <v>2125</v>
      </c>
      <c r="H506" t="s">
        <v>2126</v>
      </c>
      <c r="I506" s="13">
        <v>44636.776921296296</v>
      </c>
      <c r="K506" t="s">
        <v>412</v>
      </c>
      <c r="R506">
        <v>0</v>
      </c>
      <c r="S506" t="s">
        <v>416</v>
      </c>
      <c r="T506" t="s">
        <v>57</v>
      </c>
      <c r="V506" t="s">
        <v>381</v>
      </c>
      <c r="W506" t="s">
        <v>2132</v>
      </c>
      <c r="X506" t="s">
        <v>2132</v>
      </c>
      <c r="AI506">
        <v>14</v>
      </c>
      <c r="AL506" t="s">
        <v>2133</v>
      </c>
      <c r="AN506" t="s">
        <v>31</v>
      </c>
      <c r="AO506">
        <v>0</v>
      </c>
      <c r="AS506" t="s">
        <v>385</v>
      </c>
      <c r="AX506" t="s">
        <v>57</v>
      </c>
      <c r="AY506" t="s">
        <v>442</v>
      </c>
      <c r="AZ506" t="s">
        <v>2134</v>
      </c>
      <c r="BF506">
        <v>0</v>
      </c>
      <c r="BK506" t="s">
        <v>31</v>
      </c>
      <c r="BS506" t="s">
        <v>412</v>
      </c>
      <c r="BT506" t="s">
        <v>412</v>
      </c>
      <c r="CI506" t="s">
        <v>388</v>
      </c>
      <c r="CJ506" s="14">
        <v>45013</v>
      </c>
      <c r="CK506">
        <v>1</v>
      </c>
    </row>
    <row r="507" spans="1:89">
      <c r="A507" t="s">
        <v>2121</v>
      </c>
      <c r="B507" t="s">
        <v>374</v>
      </c>
      <c r="C507" t="s">
        <v>2122</v>
      </c>
      <c r="D507" t="s">
        <v>2135</v>
      </c>
      <c r="E507" t="s">
        <v>2136</v>
      </c>
      <c r="F507" s="13">
        <v>44636.741377314815</v>
      </c>
      <c r="G507" t="s">
        <v>2125</v>
      </c>
      <c r="H507" t="s">
        <v>2126</v>
      </c>
      <c r="I507" s="13">
        <v>45012.044224537036</v>
      </c>
      <c r="K507" t="s">
        <v>415</v>
      </c>
      <c r="M507" s="13">
        <v>44957</v>
      </c>
      <c r="R507">
        <v>0</v>
      </c>
      <c r="S507" t="s">
        <v>380</v>
      </c>
      <c r="T507" t="s">
        <v>57</v>
      </c>
      <c r="V507" t="s">
        <v>478</v>
      </c>
      <c r="W507" t="s">
        <v>2137</v>
      </c>
      <c r="X507" t="s">
        <v>2137</v>
      </c>
      <c r="AF507" t="s">
        <v>451</v>
      </c>
      <c r="AI507">
        <v>-55</v>
      </c>
      <c r="AL507" t="s">
        <v>2138</v>
      </c>
      <c r="AN507" t="s">
        <v>57</v>
      </c>
      <c r="AO507">
        <v>0</v>
      </c>
      <c r="AS507" t="s">
        <v>392</v>
      </c>
      <c r="AX507" t="s">
        <v>57</v>
      </c>
      <c r="AY507" t="s">
        <v>442</v>
      </c>
      <c r="AZ507" t="s">
        <v>2139</v>
      </c>
      <c r="BF507">
        <v>0</v>
      </c>
      <c r="BK507" t="s">
        <v>31</v>
      </c>
      <c r="BS507" t="s">
        <v>419</v>
      </c>
      <c r="BT507" t="s">
        <v>419</v>
      </c>
      <c r="CI507" t="s">
        <v>388</v>
      </c>
      <c r="CJ507" s="14">
        <v>45013</v>
      </c>
      <c r="CK507">
        <v>1</v>
      </c>
    </row>
    <row r="508" spans="1:89">
      <c r="A508" t="s">
        <v>2121</v>
      </c>
      <c r="B508" t="s">
        <v>374</v>
      </c>
      <c r="C508" t="s">
        <v>2122</v>
      </c>
      <c r="D508" t="s">
        <v>2140</v>
      </c>
      <c r="E508" t="s">
        <v>2141</v>
      </c>
      <c r="F508" s="13">
        <v>44636.739247685182</v>
      </c>
      <c r="G508" t="s">
        <v>2125</v>
      </c>
      <c r="H508" t="s">
        <v>2126</v>
      </c>
      <c r="I508" s="13">
        <v>45012.044224537036</v>
      </c>
      <c r="K508" t="s">
        <v>415</v>
      </c>
      <c r="M508" s="13">
        <v>44957</v>
      </c>
      <c r="R508">
        <v>0</v>
      </c>
      <c r="S508" t="s">
        <v>380</v>
      </c>
      <c r="T508" t="s">
        <v>57</v>
      </c>
      <c r="V508" t="s">
        <v>478</v>
      </c>
      <c r="W508" t="s">
        <v>2137</v>
      </c>
      <c r="X508" t="s">
        <v>2137</v>
      </c>
      <c r="AF508" t="s">
        <v>451</v>
      </c>
      <c r="AI508">
        <v>-55</v>
      </c>
      <c r="AL508" t="s">
        <v>2138</v>
      </c>
      <c r="AN508" t="s">
        <v>57</v>
      </c>
      <c r="AO508">
        <v>0</v>
      </c>
      <c r="AS508" t="s">
        <v>392</v>
      </c>
      <c r="AX508" t="s">
        <v>57</v>
      </c>
      <c r="AY508" t="s">
        <v>442</v>
      </c>
      <c r="AZ508" t="s">
        <v>2142</v>
      </c>
      <c r="BF508">
        <v>0</v>
      </c>
      <c r="BK508" t="s">
        <v>31</v>
      </c>
      <c r="BS508" t="s">
        <v>419</v>
      </c>
      <c r="BT508" t="s">
        <v>419</v>
      </c>
      <c r="CI508" t="s">
        <v>388</v>
      </c>
      <c r="CJ508" s="14">
        <v>45013</v>
      </c>
      <c r="CK508">
        <v>1</v>
      </c>
    </row>
    <row r="509" spans="1:89">
      <c r="A509" t="s">
        <v>2121</v>
      </c>
      <c r="B509" t="s">
        <v>374</v>
      </c>
      <c r="C509" t="s">
        <v>2122</v>
      </c>
      <c r="D509" t="s">
        <v>2143</v>
      </c>
      <c r="E509" t="s">
        <v>2144</v>
      </c>
      <c r="F509" s="13">
        <v>44636.736446759256</v>
      </c>
      <c r="G509" t="s">
        <v>2125</v>
      </c>
      <c r="H509" t="s">
        <v>2126</v>
      </c>
      <c r="I509" s="13">
        <v>45012.044224537036</v>
      </c>
      <c r="K509" t="s">
        <v>415</v>
      </c>
      <c r="M509" s="13">
        <v>44957</v>
      </c>
      <c r="R509">
        <v>0</v>
      </c>
      <c r="S509" t="s">
        <v>380</v>
      </c>
      <c r="T509" t="s">
        <v>57</v>
      </c>
      <c r="V509" t="s">
        <v>478</v>
      </c>
      <c r="W509" t="s">
        <v>2137</v>
      </c>
      <c r="X509" t="s">
        <v>2137</v>
      </c>
      <c r="AF509" t="s">
        <v>451</v>
      </c>
      <c r="AI509">
        <v>-55</v>
      </c>
      <c r="AL509" t="s">
        <v>2138</v>
      </c>
      <c r="AN509" t="s">
        <v>57</v>
      </c>
      <c r="AO509">
        <v>0</v>
      </c>
      <c r="AS509" t="s">
        <v>392</v>
      </c>
      <c r="AX509" t="s">
        <v>57</v>
      </c>
      <c r="AY509" t="s">
        <v>442</v>
      </c>
      <c r="AZ509" t="s">
        <v>2145</v>
      </c>
      <c r="BF509">
        <v>0</v>
      </c>
      <c r="BK509" t="s">
        <v>31</v>
      </c>
      <c r="BS509" t="s">
        <v>419</v>
      </c>
      <c r="BT509" t="s">
        <v>419</v>
      </c>
      <c r="CI509" t="s">
        <v>388</v>
      </c>
      <c r="CJ509" s="14">
        <v>45013</v>
      </c>
      <c r="CK509">
        <v>1</v>
      </c>
    </row>
    <row r="510" spans="1:89">
      <c r="A510" t="s">
        <v>2146</v>
      </c>
      <c r="B510" t="s">
        <v>374</v>
      </c>
      <c r="C510" t="s">
        <v>698</v>
      </c>
      <c r="D510" t="s">
        <v>2147</v>
      </c>
      <c r="E510" t="s">
        <v>2148</v>
      </c>
      <c r="F510" s="13">
        <v>44636.628229166665</v>
      </c>
      <c r="G510" t="s">
        <v>2149</v>
      </c>
      <c r="H510" t="s">
        <v>2150</v>
      </c>
      <c r="I510" s="13">
        <v>45012.044212962966</v>
      </c>
      <c r="K510" t="s">
        <v>415</v>
      </c>
      <c r="M510" s="13">
        <v>44880</v>
      </c>
      <c r="R510">
        <v>0</v>
      </c>
      <c r="S510" t="s">
        <v>380</v>
      </c>
      <c r="T510" t="s">
        <v>57</v>
      </c>
      <c r="V510" t="s">
        <v>478</v>
      </c>
      <c r="W510" t="s">
        <v>2151</v>
      </c>
      <c r="X510" t="s">
        <v>2151</v>
      </c>
      <c r="AF510" t="s">
        <v>451</v>
      </c>
      <c r="AI510">
        <v>-132</v>
      </c>
      <c r="AL510" t="s">
        <v>2152</v>
      </c>
      <c r="AN510" t="s">
        <v>31</v>
      </c>
      <c r="AO510">
        <v>0</v>
      </c>
      <c r="AS510" t="s">
        <v>385</v>
      </c>
      <c r="AX510" t="s">
        <v>31</v>
      </c>
      <c r="AY510" t="s">
        <v>442</v>
      </c>
      <c r="AZ510" t="s">
        <v>2153</v>
      </c>
      <c r="BE510" t="s">
        <v>2154</v>
      </c>
      <c r="BF510">
        <v>0</v>
      </c>
      <c r="BK510" t="s">
        <v>31</v>
      </c>
      <c r="BS510" t="s">
        <v>419</v>
      </c>
      <c r="BT510" t="s">
        <v>419</v>
      </c>
      <c r="CI510" t="s">
        <v>388</v>
      </c>
      <c r="CJ510" s="14">
        <v>45013</v>
      </c>
      <c r="CK510">
        <v>1</v>
      </c>
    </row>
    <row r="511" spans="1:89">
      <c r="A511" t="s">
        <v>2155</v>
      </c>
      <c r="B511" t="s">
        <v>374</v>
      </c>
      <c r="C511" t="s">
        <v>2156</v>
      </c>
      <c r="D511" t="s">
        <v>2157</v>
      </c>
      <c r="E511" t="s">
        <v>2158</v>
      </c>
      <c r="F511" s="13">
        <v>44636.498240740744</v>
      </c>
      <c r="G511" t="s">
        <v>2159</v>
      </c>
      <c r="H511" t="s">
        <v>2160</v>
      </c>
      <c r="I511" s="13">
        <v>45012.044212962966</v>
      </c>
      <c r="K511" t="s">
        <v>415</v>
      </c>
      <c r="M511" s="13">
        <v>44718</v>
      </c>
      <c r="R511">
        <v>0</v>
      </c>
      <c r="S511" t="s">
        <v>416</v>
      </c>
      <c r="T511" t="s">
        <v>57</v>
      </c>
      <c r="V511" t="s">
        <v>478</v>
      </c>
      <c r="W511" t="s">
        <v>2161</v>
      </c>
      <c r="X511" t="s">
        <v>2161</v>
      </c>
      <c r="AC511" s="13">
        <v>44718</v>
      </c>
      <c r="AD511" s="13">
        <v>44718</v>
      </c>
      <c r="AF511" t="s">
        <v>451</v>
      </c>
      <c r="AI511">
        <v>-294</v>
      </c>
      <c r="AL511" t="s">
        <v>2162</v>
      </c>
      <c r="AN511" t="s">
        <v>31</v>
      </c>
      <c r="AO511">
        <v>0</v>
      </c>
      <c r="AS511" t="s">
        <v>385</v>
      </c>
      <c r="AX511" t="s">
        <v>57</v>
      </c>
      <c r="AY511" t="s">
        <v>386</v>
      </c>
      <c r="AZ511" t="s">
        <v>2163</v>
      </c>
      <c r="BF511">
        <v>0</v>
      </c>
      <c r="BK511" t="s">
        <v>31</v>
      </c>
      <c r="BS511" t="s">
        <v>419</v>
      </c>
      <c r="BT511" t="s">
        <v>419</v>
      </c>
      <c r="CI511" t="s">
        <v>388</v>
      </c>
      <c r="CJ511" s="14">
        <v>45013</v>
      </c>
      <c r="CK511">
        <v>1</v>
      </c>
    </row>
    <row r="512" spans="1:89">
      <c r="A512" t="s">
        <v>2164</v>
      </c>
      <c r="B512" t="s">
        <v>374</v>
      </c>
      <c r="C512" t="s">
        <v>2165</v>
      </c>
      <c r="D512" t="s">
        <v>2166</v>
      </c>
      <c r="E512" t="s">
        <v>2167</v>
      </c>
      <c r="F512" s="13">
        <v>44636.479328703703</v>
      </c>
      <c r="G512" t="s">
        <v>2168</v>
      </c>
      <c r="H512" t="s">
        <v>2169</v>
      </c>
      <c r="I512" s="13">
        <v>45012.044212962966</v>
      </c>
      <c r="K512" t="s">
        <v>415</v>
      </c>
      <c r="M512" s="13">
        <v>44742</v>
      </c>
      <c r="R512">
        <v>0</v>
      </c>
      <c r="S512" t="s">
        <v>380</v>
      </c>
      <c r="T512" t="s">
        <v>57</v>
      </c>
      <c r="V512" t="s">
        <v>478</v>
      </c>
      <c r="W512" t="s">
        <v>2170</v>
      </c>
      <c r="X512" t="s">
        <v>2170</v>
      </c>
      <c r="AC512" s="13">
        <v>44834</v>
      </c>
      <c r="AD512" s="13">
        <v>44742</v>
      </c>
      <c r="AF512" t="s">
        <v>451</v>
      </c>
      <c r="AI512">
        <v>-270</v>
      </c>
      <c r="AL512" t="s">
        <v>2171</v>
      </c>
      <c r="AN512" t="s">
        <v>57</v>
      </c>
      <c r="AO512">
        <v>0</v>
      </c>
      <c r="AS512" t="s">
        <v>1720</v>
      </c>
      <c r="AX512" t="s">
        <v>57</v>
      </c>
      <c r="AY512" t="s">
        <v>386</v>
      </c>
      <c r="AZ512" t="s">
        <v>2172</v>
      </c>
      <c r="BF512">
        <v>0</v>
      </c>
      <c r="BK512" t="s">
        <v>31</v>
      </c>
      <c r="BS512" t="s">
        <v>419</v>
      </c>
      <c r="BT512" t="s">
        <v>419</v>
      </c>
      <c r="CI512" t="s">
        <v>388</v>
      </c>
      <c r="CJ512" s="14">
        <v>45013</v>
      </c>
      <c r="CK512">
        <v>1</v>
      </c>
    </row>
    <row r="513" spans="1:89">
      <c r="A513" t="s">
        <v>2173</v>
      </c>
      <c r="B513" t="s">
        <v>374</v>
      </c>
      <c r="C513" t="s">
        <v>2174</v>
      </c>
      <c r="D513" t="s">
        <v>2175</v>
      </c>
      <c r="E513" t="s">
        <v>2176</v>
      </c>
      <c r="F513" s="13">
        <v>44636.415092592593</v>
      </c>
      <c r="G513" t="s">
        <v>1483</v>
      </c>
      <c r="H513" t="s">
        <v>1484</v>
      </c>
      <c r="I513" s="13">
        <v>45012.04420138889</v>
      </c>
      <c r="K513" t="s">
        <v>415</v>
      </c>
      <c r="M513" s="13">
        <v>44684</v>
      </c>
      <c r="R513">
        <v>0</v>
      </c>
      <c r="S513" t="s">
        <v>380</v>
      </c>
      <c r="T513" t="s">
        <v>57</v>
      </c>
      <c r="V513" t="s">
        <v>478</v>
      </c>
      <c r="W513" t="s">
        <v>2177</v>
      </c>
      <c r="X513" t="s">
        <v>2177</v>
      </c>
      <c r="AC513" s="13">
        <v>44676</v>
      </c>
      <c r="AD513" s="13">
        <v>44624</v>
      </c>
      <c r="AF513" t="s">
        <v>451</v>
      </c>
      <c r="AI513">
        <v>-328</v>
      </c>
      <c r="AL513" t="s">
        <v>2178</v>
      </c>
      <c r="AN513" t="s">
        <v>31</v>
      </c>
      <c r="AO513">
        <v>0</v>
      </c>
      <c r="AS513" t="s">
        <v>648</v>
      </c>
      <c r="AX513" t="s">
        <v>31</v>
      </c>
      <c r="AY513" t="s">
        <v>386</v>
      </c>
      <c r="AZ513" t="s">
        <v>2179</v>
      </c>
      <c r="BF513">
        <v>0</v>
      </c>
      <c r="BK513" t="s">
        <v>31</v>
      </c>
      <c r="BS513" t="s">
        <v>419</v>
      </c>
      <c r="BT513" t="s">
        <v>419</v>
      </c>
      <c r="CI513" t="s">
        <v>388</v>
      </c>
      <c r="CJ513" s="14">
        <v>45013</v>
      </c>
      <c r="CK513">
        <v>1</v>
      </c>
    </row>
    <row r="514" spans="1:89">
      <c r="A514" t="s">
        <v>1415</v>
      </c>
      <c r="B514" t="s">
        <v>374</v>
      </c>
      <c r="C514" t="s">
        <v>1416</v>
      </c>
      <c r="D514" t="s">
        <v>2180</v>
      </c>
      <c r="E514" t="s">
        <v>2181</v>
      </c>
      <c r="F514" s="13">
        <v>44636.357164351852</v>
      </c>
      <c r="G514" t="s">
        <v>1418</v>
      </c>
      <c r="H514" t="s">
        <v>1419</v>
      </c>
      <c r="I514" s="13">
        <v>45012.04420138889</v>
      </c>
      <c r="K514" t="s">
        <v>415</v>
      </c>
      <c r="M514" s="13">
        <v>44834</v>
      </c>
      <c r="R514">
        <v>0</v>
      </c>
      <c r="S514" t="s">
        <v>380</v>
      </c>
      <c r="T514" t="s">
        <v>57</v>
      </c>
      <c r="V514" t="s">
        <v>478</v>
      </c>
      <c r="W514" t="s">
        <v>2182</v>
      </c>
      <c r="X514" t="s">
        <v>2182</v>
      </c>
      <c r="AF514" t="s">
        <v>451</v>
      </c>
      <c r="AI514">
        <v>-178</v>
      </c>
      <c r="AL514" t="s">
        <v>2183</v>
      </c>
      <c r="AN514" t="s">
        <v>31</v>
      </c>
      <c r="AO514">
        <v>0</v>
      </c>
      <c r="AS514" t="s">
        <v>385</v>
      </c>
      <c r="AX514" t="s">
        <v>31</v>
      </c>
      <c r="AY514" t="s">
        <v>442</v>
      </c>
      <c r="AZ514" t="s">
        <v>2184</v>
      </c>
      <c r="BF514">
        <v>0</v>
      </c>
      <c r="BK514" t="s">
        <v>31</v>
      </c>
      <c r="BS514" t="s">
        <v>419</v>
      </c>
      <c r="BT514" t="s">
        <v>419</v>
      </c>
      <c r="CI514" t="s">
        <v>388</v>
      </c>
      <c r="CJ514" s="14">
        <v>45013</v>
      </c>
      <c r="CK514">
        <v>1</v>
      </c>
    </row>
    <row r="515" spans="1:89">
      <c r="A515" t="s">
        <v>2096</v>
      </c>
      <c r="B515" t="s">
        <v>374</v>
      </c>
      <c r="C515" t="s">
        <v>2097</v>
      </c>
      <c r="D515" t="s">
        <v>2185</v>
      </c>
      <c r="E515" t="s">
        <v>2186</v>
      </c>
      <c r="F515" s="13">
        <v>44636.264421296299</v>
      </c>
      <c r="G515" t="s">
        <v>2100</v>
      </c>
      <c r="H515" t="s">
        <v>2101</v>
      </c>
      <c r="I515" s="13">
        <v>45012.04420138889</v>
      </c>
      <c r="K515" t="s">
        <v>415</v>
      </c>
      <c r="M515" s="13">
        <v>44742</v>
      </c>
      <c r="R515">
        <v>0</v>
      </c>
      <c r="S515" t="s">
        <v>380</v>
      </c>
      <c r="T515" t="s">
        <v>57</v>
      </c>
      <c r="V515" t="s">
        <v>478</v>
      </c>
      <c r="W515" t="s">
        <v>2187</v>
      </c>
      <c r="X515" t="s">
        <v>2187</v>
      </c>
      <c r="AC515" s="13">
        <v>44742</v>
      </c>
      <c r="AD515" s="13">
        <v>44742</v>
      </c>
      <c r="AF515" t="s">
        <v>451</v>
      </c>
      <c r="AI515">
        <v>-270</v>
      </c>
      <c r="AL515" t="s">
        <v>2188</v>
      </c>
      <c r="AN515" t="s">
        <v>31</v>
      </c>
      <c r="AO515">
        <v>0</v>
      </c>
      <c r="AS515" t="s">
        <v>702</v>
      </c>
      <c r="AX515" t="s">
        <v>57</v>
      </c>
      <c r="AY515" t="s">
        <v>442</v>
      </c>
      <c r="AZ515" t="s">
        <v>2189</v>
      </c>
      <c r="BF515">
        <v>0</v>
      </c>
      <c r="BK515" t="s">
        <v>31</v>
      </c>
      <c r="BS515" t="s">
        <v>419</v>
      </c>
      <c r="BT515" t="s">
        <v>419</v>
      </c>
      <c r="CI515" t="s">
        <v>388</v>
      </c>
      <c r="CJ515" s="14">
        <v>45013</v>
      </c>
      <c r="CK515">
        <v>1</v>
      </c>
    </row>
    <row r="516" spans="1:89">
      <c r="A516" t="s">
        <v>2190</v>
      </c>
      <c r="B516" t="s">
        <v>374</v>
      </c>
      <c r="C516" t="s">
        <v>2191</v>
      </c>
      <c r="D516" t="s">
        <v>2192</v>
      </c>
      <c r="E516" t="s">
        <v>2193</v>
      </c>
      <c r="F516" s="13">
        <v>44635.547256944446</v>
      </c>
      <c r="G516" t="s">
        <v>2100</v>
      </c>
      <c r="H516" t="s">
        <v>2101</v>
      </c>
      <c r="I516" s="13">
        <v>45012.044189814813</v>
      </c>
      <c r="K516" t="s">
        <v>415</v>
      </c>
      <c r="M516" s="13">
        <v>44742</v>
      </c>
      <c r="R516">
        <v>0</v>
      </c>
      <c r="S516" t="s">
        <v>380</v>
      </c>
      <c r="T516" t="s">
        <v>57</v>
      </c>
      <c r="V516" t="s">
        <v>478</v>
      </c>
      <c r="W516" t="s">
        <v>2187</v>
      </c>
      <c r="X516" t="s">
        <v>2187</v>
      </c>
      <c r="AC516" s="13">
        <v>44742</v>
      </c>
      <c r="AD516" s="13">
        <v>44742</v>
      </c>
      <c r="AF516" t="s">
        <v>451</v>
      </c>
      <c r="AI516">
        <v>-270</v>
      </c>
      <c r="AL516" t="s">
        <v>2194</v>
      </c>
      <c r="AN516" t="s">
        <v>31</v>
      </c>
      <c r="AO516">
        <v>0</v>
      </c>
      <c r="AS516" t="s">
        <v>385</v>
      </c>
      <c r="AX516" t="s">
        <v>57</v>
      </c>
      <c r="AY516" t="s">
        <v>442</v>
      </c>
      <c r="AZ516" t="s">
        <v>2195</v>
      </c>
      <c r="BF516">
        <v>0</v>
      </c>
      <c r="BK516" t="s">
        <v>31</v>
      </c>
      <c r="BS516" t="s">
        <v>419</v>
      </c>
      <c r="BT516" t="s">
        <v>419</v>
      </c>
      <c r="CI516" t="s">
        <v>388</v>
      </c>
      <c r="CJ516" s="14">
        <v>45013</v>
      </c>
      <c r="CK516">
        <v>1</v>
      </c>
    </row>
    <row r="517" spans="1:89">
      <c r="A517" t="s">
        <v>2196</v>
      </c>
      <c r="B517" t="s">
        <v>374</v>
      </c>
      <c r="C517" t="s">
        <v>2197</v>
      </c>
      <c r="D517" t="s">
        <v>2198</v>
      </c>
      <c r="E517" t="s">
        <v>2199</v>
      </c>
      <c r="F517" s="13">
        <v>44635.432662037034</v>
      </c>
      <c r="G517" t="s">
        <v>2200</v>
      </c>
      <c r="H517" t="s">
        <v>2201</v>
      </c>
      <c r="I517" s="13">
        <v>44635.432662037034</v>
      </c>
      <c r="K517" t="s">
        <v>412</v>
      </c>
      <c r="R517">
        <v>0</v>
      </c>
      <c r="S517" t="s">
        <v>416</v>
      </c>
      <c r="V517" t="s">
        <v>381</v>
      </c>
      <c r="W517" t="s">
        <v>2202</v>
      </c>
      <c r="X517" t="s">
        <v>2202</v>
      </c>
      <c r="AI517">
        <v>45</v>
      </c>
      <c r="AL517" t="s">
        <v>2203</v>
      </c>
      <c r="AN517" t="s">
        <v>31</v>
      </c>
      <c r="AO517">
        <v>0</v>
      </c>
      <c r="AZ517" t="s">
        <v>2204</v>
      </c>
      <c r="BF517">
        <v>0</v>
      </c>
      <c r="BK517" t="s">
        <v>31</v>
      </c>
      <c r="BS517" t="s">
        <v>412</v>
      </c>
      <c r="BT517" t="s">
        <v>412</v>
      </c>
      <c r="CI517" t="s">
        <v>388</v>
      </c>
      <c r="CJ517" s="14">
        <v>45013</v>
      </c>
      <c r="CK517">
        <v>1</v>
      </c>
    </row>
    <row r="518" spans="1:89">
      <c r="A518" t="s">
        <v>2196</v>
      </c>
      <c r="B518" t="s">
        <v>374</v>
      </c>
      <c r="C518" t="s">
        <v>2197</v>
      </c>
      <c r="D518" t="s">
        <v>2205</v>
      </c>
      <c r="E518" t="s">
        <v>2206</v>
      </c>
      <c r="F518" s="13">
        <v>44635.431562500002</v>
      </c>
      <c r="G518" t="s">
        <v>2200</v>
      </c>
      <c r="H518" t="s">
        <v>2201</v>
      </c>
      <c r="I518" s="13">
        <v>44635.431562500002</v>
      </c>
      <c r="K518" t="s">
        <v>412</v>
      </c>
      <c r="R518">
        <v>0</v>
      </c>
      <c r="S518" t="s">
        <v>416</v>
      </c>
      <c r="V518" t="s">
        <v>381</v>
      </c>
      <c r="W518" t="s">
        <v>2202</v>
      </c>
      <c r="X518" t="s">
        <v>2202</v>
      </c>
      <c r="AI518">
        <v>45</v>
      </c>
      <c r="AL518" t="s">
        <v>2203</v>
      </c>
      <c r="AN518" t="s">
        <v>31</v>
      </c>
      <c r="AO518">
        <v>0</v>
      </c>
      <c r="AZ518" t="s">
        <v>2207</v>
      </c>
      <c r="BF518">
        <v>0</v>
      </c>
      <c r="BK518" t="s">
        <v>31</v>
      </c>
      <c r="BS518" t="s">
        <v>412</v>
      </c>
      <c r="BT518" t="s">
        <v>412</v>
      </c>
      <c r="CI518" t="s">
        <v>388</v>
      </c>
      <c r="CJ518" s="14">
        <v>45013</v>
      </c>
      <c r="CK518">
        <v>1</v>
      </c>
    </row>
    <row r="519" spans="1:89">
      <c r="A519" t="s">
        <v>2196</v>
      </c>
      <c r="B519" t="s">
        <v>374</v>
      </c>
      <c r="C519" t="s">
        <v>2197</v>
      </c>
      <c r="D519" t="s">
        <v>2208</v>
      </c>
      <c r="E519" t="s">
        <v>2209</v>
      </c>
      <c r="F519" s="13">
        <v>44635.415914351855</v>
      </c>
      <c r="G519" t="s">
        <v>2200</v>
      </c>
      <c r="H519" t="s">
        <v>2201</v>
      </c>
      <c r="I519" s="13">
        <v>44635.415925925925</v>
      </c>
      <c r="K519" t="s">
        <v>412</v>
      </c>
      <c r="R519">
        <v>0</v>
      </c>
      <c r="S519" t="s">
        <v>416</v>
      </c>
      <c r="V519" t="s">
        <v>381</v>
      </c>
      <c r="W519" t="s">
        <v>2202</v>
      </c>
      <c r="X519" t="s">
        <v>2202</v>
      </c>
      <c r="AI519">
        <v>45</v>
      </c>
      <c r="AL519" t="s">
        <v>2203</v>
      </c>
      <c r="AN519" t="s">
        <v>31</v>
      </c>
      <c r="AO519">
        <v>0</v>
      </c>
      <c r="AZ519" t="s">
        <v>2210</v>
      </c>
      <c r="BF519">
        <v>0</v>
      </c>
      <c r="BK519" t="s">
        <v>31</v>
      </c>
      <c r="BS519" t="s">
        <v>412</v>
      </c>
      <c r="BT519" t="s">
        <v>412</v>
      </c>
      <c r="CI519" t="s">
        <v>388</v>
      </c>
      <c r="CJ519" s="14">
        <v>45013</v>
      </c>
      <c r="CK519">
        <v>1</v>
      </c>
    </row>
    <row r="520" spans="1:89">
      <c r="A520" t="s">
        <v>435</v>
      </c>
      <c r="B520" t="s">
        <v>374</v>
      </c>
      <c r="C520" t="s">
        <v>436</v>
      </c>
      <c r="D520" t="s">
        <v>2211</v>
      </c>
      <c r="E520" t="s">
        <v>2212</v>
      </c>
      <c r="F520" s="13">
        <v>44630.701249999998</v>
      </c>
      <c r="G520" t="s">
        <v>439</v>
      </c>
      <c r="H520" t="s">
        <v>440</v>
      </c>
      <c r="I520" s="13">
        <v>45012.044189814813</v>
      </c>
      <c r="K520" t="s">
        <v>415</v>
      </c>
      <c r="M520" s="13">
        <v>44719</v>
      </c>
      <c r="R520">
        <v>0</v>
      </c>
      <c r="S520" t="s">
        <v>416</v>
      </c>
      <c r="T520" t="s">
        <v>57</v>
      </c>
      <c r="V520" t="s">
        <v>478</v>
      </c>
      <c r="W520" t="s">
        <v>440</v>
      </c>
      <c r="X520" t="s">
        <v>440</v>
      </c>
      <c r="AF520" t="s">
        <v>451</v>
      </c>
      <c r="AI520">
        <v>-293</v>
      </c>
      <c r="AL520" t="s">
        <v>2213</v>
      </c>
      <c r="AN520" t="s">
        <v>31</v>
      </c>
      <c r="AO520">
        <v>0</v>
      </c>
      <c r="AS520" t="s">
        <v>392</v>
      </c>
      <c r="AX520" t="s">
        <v>57</v>
      </c>
      <c r="AY520" t="s">
        <v>442</v>
      </c>
      <c r="AZ520" t="s">
        <v>2214</v>
      </c>
      <c r="BF520">
        <v>0</v>
      </c>
      <c r="BK520" t="s">
        <v>31</v>
      </c>
      <c r="BS520" t="s">
        <v>419</v>
      </c>
      <c r="BT520" t="s">
        <v>419</v>
      </c>
      <c r="CI520" t="s">
        <v>388</v>
      </c>
      <c r="CJ520" s="14">
        <v>45013</v>
      </c>
      <c r="CK520">
        <v>1</v>
      </c>
    </row>
    <row r="521" spans="1:89">
      <c r="A521" t="s">
        <v>435</v>
      </c>
      <c r="B521" t="s">
        <v>374</v>
      </c>
      <c r="C521" t="s">
        <v>436</v>
      </c>
      <c r="D521" t="s">
        <v>2215</v>
      </c>
      <c r="E521" t="s">
        <v>2216</v>
      </c>
      <c r="F521" s="13">
        <v>44630.676840277774</v>
      </c>
      <c r="G521" t="s">
        <v>439</v>
      </c>
      <c r="H521" t="s">
        <v>440</v>
      </c>
      <c r="I521" s="13">
        <v>45012.044189814813</v>
      </c>
      <c r="K521" t="s">
        <v>415</v>
      </c>
      <c r="M521" s="13">
        <v>44719</v>
      </c>
      <c r="R521">
        <v>0</v>
      </c>
      <c r="S521" t="s">
        <v>416</v>
      </c>
      <c r="T521" t="s">
        <v>57</v>
      </c>
      <c r="V521" t="s">
        <v>478</v>
      </c>
      <c r="W521" t="s">
        <v>440</v>
      </c>
      <c r="X521" t="s">
        <v>440</v>
      </c>
      <c r="AF521" t="s">
        <v>451</v>
      </c>
      <c r="AI521">
        <v>-293</v>
      </c>
      <c r="AL521" t="s">
        <v>2217</v>
      </c>
      <c r="AN521" t="s">
        <v>31</v>
      </c>
      <c r="AO521">
        <v>0</v>
      </c>
      <c r="AS521" t="s">
        <v>392</v>
      </c>
      <c r="AX521" t="s">
        <v>57</v>
      </c>
      <c r="AY521" t="s">
        <v>442</v>
      </c>
      <c r="AZ521" t="s">
        <v>2218</v>
      </c>
      <c r="BF521">
        <v>0</v>
      </c>
      <c r="BK521" t="s">
        <v>31</v>
      </c>
      <c r="BS521" t="s">
        <v>419</v>
      </c>
      <c r="BT521" t="s">
        <v>419</v>
      </c>
      <c r="CI521" t="s">
        <v>388</v>
      </c>
      <c r="CJ521" s="14">
        <v>45013</v>
      </c>
      <c r="CK521">
        <v>1</v>
      </c>
    </row>
    <row r="522" spans="1:89">
      <c r="A522" t="s">
        <v>435</v>
      </c>
      <c r="B522" t="s">
        <v>374</v>
      </c>
      <c r="C522" t="s">
        <v>436</v>
      </c>
      <c r="D522" t="s">
        <v>2219</v>
      </c>
      <c r="E522" t="s">
        <v>2220</v>
      </c>
      <c r="F522" s="13">
        <v>44630.61996527778</v>
      </c>
      <c r="G522" t="s">
        <v>439</v>
      </c>
      <c r="H522" t="s">
        <v>440</v>
      </c>
      <c r="I522" s="13">
        <v>45012.044178240743</v>
      </c>
      <c r="K522" t="s">
        <v>415</v>
      </c>
      <c r="M522" s="13">
        <v>44720</v>
      </c>
      <c r="R522">
        <v>0</v>
      </c>
      <c r="S522" t="s">
        <v>416</v>
      </c>
      <c r="T522" t="s">
        <v>57</v>
      </c>
      <c r="V522" t="s">
        <v>478</v>
      </c>
      <c r="W522" t="s">
        <v>440</v>
      </c>
      <c r="X522" t="s">
        <v>440</v>
      </c>
      <c r="AF522" t="s">
        <v>451</v>
      </c>
      <c r="AI522">
        <v>-292</v>
      </c>
      <c r="AL522" t="s">
        <v>2221</v>
      </c>
      <c r="AN522" t="s">
        <v>31</v>
      </c>
      <c r="AO522">
        <v>0</v>
      </c>
      <c r="AS522" t="s">
        <v>392</v>
      </c>
      <c r="AX522" t="s">
        <v>57</v>
      </c>
      <c r="AY522" t="s">
        <v>442</v>
      </c>
      <c r="AZ522" t="s">
        <v>2222</v>
      </c>
      <c r="BF522">
        <v>0</v>
      </c>
      <c r="BK522" t="s">
        <v>31</v>
      </c>
      <c r="BS522" t="s">
        <v>419</v>
      </c>
      <c r="BT522" t="s">
        <v>419</v>
      </c>
      <c r="CI522" t="s">
        <v>388</v>
      </c>
      <c r="CJ522" s="14">
        <v>45013</v>
      </c>
      <c r="CK522">
        <v>1</v>
      </c>
    </row>
    <row r="523" spans="1:89">
      <c r="A523" t="s">
        <v>435</v>
      </c>
      <c r="B523" t="s">
        <v>374</v>
      </c>
      <c r="C523" t="s">
        <v>436</v>
      </c>
      <c r="D523" t="s">
        <v>2223</v>
      </c>
      <c r="E523" t="s">
        <v>2224</v>
      </c>
      <c r="F523" s="13">
        <v>44630.518460648149</v>
      </c>
      <c r="G523" t="s">
        <v>439</v>
      </c>
      <c r="H523" t="s">
        <v>440</v>
      </c>
      <c r="I523" s="13">
        <v>45012.044178240743</v>
      </c>
      <c r="K523" t="s">
        <v>415</v>
      </c>
      <c r="M523" s="13">
        <v>44708</v>
      </c>
      <c r="R523">
        <v>0</v>
      </c>
      <c r="S523" t="s">
        <v>416</v>
      </c>
      <c r="T523" t="s">
        <v>57</v>
      </c>
      <c r="V523" t="s">
        <v>478</v>
      </c>
      <c r="W523" t="s">
        <v>440</v>
      </c>
      <c r="X523" t="s">
        <v>440</v>
      </c>
      <c r="AF523" t="s">
        <v>451</v>
      </c>
      <c r="AI523">
        <v>-304</v>
      </c>
      <c r="AL523" t="s">
        <v>2225</v>
      </c>
      <c r="AN523" t="s">
        <v>31</v>
      </c>
      <c r="AO523">
        <v>0</v>
      </c>
      <c r="AS523" t="s">
        <v>392</v>
      </c>
      <c r="AX523" t="s">
        <v>57</v>
      </c>
      <c r="AY523" t="s">
        <v>442</v>
      </c>
      <c r="AZ523" t="s">
        <v>2226</v>
      </c>
      <c r="BF523">
        <v>0</v>
      </c>
      <c r="BK523" t="s">
        <v>31</v>
      </c>
      <c r="BS523" t="s">
        <v>419</v>
      </c>
      <c r="BT523" t="s">
        <v>419</v>
      </c>
      <c r="CI523" t="s">
        <v>388</v>
      </c>
      <c r="CJ523" s="14">
        <v>45013</v>
      </c>
      <c r="CK523">
        <v>1</v>
      </c>
    </row>
    <row r="524" spans="1:89">
      <c r="A524" t="s">
        <v>2227</v>
      </c>
      <c r="B524" t="s">
        <v>374</v>
      </c>
      <c r="C524" t="s">
        <v>2228</v>
      </c>
      <c r="D524" t="s">
        <v>2229</v>
      </c>
      <c r="E524" t="s">
        <v>2230</v>
      </c>
      <c r="F524" s="13">
        <v>44630.5075</v>
      </c>
      <c r="G524" t="s">
        <v>2231</v>
      </c>
      <c r="H524" t="s">
        <v>2232</v>
      </c>
      <c r="I524" s="13">
        <v>45012.044178240743</v>
      </c>
      <c r="K524" t="s">
        <v>415</v>
      </c>
      <c r="M524" s="13">
        <v>44848</v>
      </c>
      <c r="R524">
        <v>0</v>
      </c>
      <c r="S524" t="s">
        <v>380</v>
      </c>
      <c r="T524" t="s">
        <v>57</v>
      </c>
      <c r="V524" t="s">
        <v>478</v>
      </c>
      <c r="W524" t="s">
        <v>2233</v>
      </c>
      <c r="X524" t="s">
        <v>2233</v>
      </c>
      <c r="AF524" t="s">
        <v>451</v>
      </c>
      <c r="AI524">
        <v>-164</v>
      </c>
      <c r="AL524" t="s">
        <v>2234</v>
      </c>
      <c r="AN524" t="s">
        <v>31</v>
      </c>
      <c r="AO524">
        <v>0</v>
      </c>
      <c r="AS524" t="s">
        <v>385</v>
      </c>
      <c r="AX524" t="s">
        <v>31</v>
      </c>
      <c r="AY524" t="s">
        <v>386</v>
      </c>
      <c r="AZ524" t="s">
        <v>2235</v>
      </c>
      <c r="BF524">
        <v>0</v>
      </c>
      <c r="BK524" t="s">
        <v>31</v>
      </c>
      <c r="BS524" t="s">
        <v>419</v>
      </c>
      <c r="BT524" t="s">
        <v>419</v>
      </c>
      <c r="CI524" t="s">
        <v>388</v>
      </c>
      <c r="CJ524" s="14">
        <v>45013</v>
      </c>
      <c r="CK524">
        <v>1</v>
      </c>
    </row>
    <row r="525" spans="1:89">
      <c r="A525" t="s">
        <v>435</v>
      </c>
      <c r="B525" t="s">
        <v>374</v>
      </c>
      <c r="C525" t="s">
        <v>436</v>
      </c>
      <c r="D525" t="s">
        <v>2236</v>
      </c>
      <c r="E525" t="s">
        <v>2237</v>
      </c>
      <c r="F525" s="13">
        <v>44630.470138888886</v>
      </c>
      <c r="G525" t="s">
        <v>439</v>
      </c>
      <c r="H525" t="s">
        <v>440</v>
      </c>
      <c r="I525" s="13">
        <v>45012.044166666667</v>
      </c>
      <c r="K525" t="s">
        <v>415</v>
      </c>
      <c r="M525" s="13">
        <v>44742</v>
      </c>
      <c r="R525">
        <v>0</v>
      </c>
      <c r="S525" t="s">
        <v>416</v>
      </c>
      <c r="T525" t="s">
        <v>57</v>
      </c>
      <c r="V525" t="s">
        <v>478</v>
      </c>
      <c r="W525" t="s">
        <v>440</v>
      </c>
      <c r="X525" t="s">
        <v>440</v>
      </c>
      <c r="AF525" t="s">
        <v>451</v>
      </c>
      <c r="AI525">
        <v>-270</v>
      </c>
      <c r="AL525" t="s">
        <v>2238</v>
      </c>
      <c r="AN525" t="s">
        <v>31</v>
      </c>
      <c r="AO525">
        <v>0</v>
      </c>
      <c r="AS525" t="s">
        <v>392</v>
      </c>
      <c r="AX525" t="s">
        <v>57</v>
      </c>
      <c r="AY525" t="s">
        <v>442</v>
      </c>
      <c r="AZ525" t="s">
        <v>2239</v>
      </c>
      <c r="BF525">
        <v>0</v>
      </c>
      <c r="BK525" t="s">
        <v>31</v>
      </c>
      <c r="BS525" t="s">
        <v>419</v>
      </c>
      <c r="BT525" t="s">
        <v>419</v>
      </c>
      <c r="CI525" t="s">
        <v>388</v>
      </c>
      <c r="CJ525" s="14">
        <v>45013</v>
      </c>
      <c r="CK525">
        <v>1</v>
      </c>
    </row>
    <row r="526" spans="1:89">
      <c r="A526" t="s">
        <v>2121</v>
      </c>
      <c r="B526" t="s">
        <v>374</v>
      </c>
      <c r="C526" t="s">
        <v>2122</v>
      </c>
      <c r="D526" t="s">
        <v>2240</v>
      </c>
      <c r="E526" t="s">
        <v>2241</v>
      </c>
      <c r="F526" s="13">
        <v>44630.440706018519</v>
      </c>
      <c r="G526" t="s">
        <v>2125</v>
      </c>
      <c r="H526" t="s">
        <v>2126</v>
      </c>
      <c r="I526" s="13">
        <v>45012.044166666667</v>
      </c>
      <c r="K526" t="s">
        <v>415</v>
      </c>
      <c r="M526" s="13">
        <v>44712</v>
      </c>
      <c r="R526">
        <v>0</v>
      </c>
      <c r="S526" t="s">
        <v>416</v>
      </c>
      <c r="T526" t="s">
        <v>57</v>
      </c>
      <c r="V526" t="s">
        <v>478</v>
      </c>
      <c r="W526" t="s">
        <v>2127</v>
      </c>
      <c r="X526" t="s">
        <v>2127</v>
      </c>
      <c r="AC526" s="13">
        <v>45777</v>
      </c>
      <c r="AD526" s="13">
        <v>45657</v>
      </c>
      <c r="AF526" t="s">
        <v>451</v>
      </c>
      <c r="AI526">
        <v>-300</v>
      </c>
      <c r="AL526" t="s">
        <v>2242</v>
      </c>
      <c r="AN526" t="s">
        <v>31</v>
      </c>
      <c r="AO526">
        <v>0</v>
      </c>
      <c r="AS526" t="s">
        <v>392</v>
      </c>
      <c r="AX526" t="s">
        <v>57</v>
      </c>
      <c r="AY526" t="s">
        <v>442</v>
      </c>
      <c r="AZ526" t="s">
        <v>2243</v>
      </c>
      <c r="BF526">
        <v>0</v>
      </c>
      <c r="BK526" t="s">
        <v>31</v>
      </c>
      <c r="BS526" t="s">
        <v>419</v>
      </c>
      <c r="BT526" t="s">
        <v>419</v>
      </c>
      <c r="CI526" t="s">
        <v>388</v>
      </c>
      <c r="CJ526" s="14">
        <v>45013</v>
      </c>
      <c r="CK526">
        <v>1</v>
      </c>
    </row>
    <row r="527" spans="1:89">
      <c r="A527" t="s">
        <v>2244</v>
      </c>
      <c r="B527" t="s">
        <v>374</v>
      </c>
      <c r="C527" t="s">
        <v>2245</v>
      </c>
      <c r="D527" t="s">
        <v>2246</v>
      </c>
      <c r="E527" t="s">
        <v>2247</v>
      </c>
      <c r="F527" s="13">
        <v>44629.441805555558</v>
      </c>
      <c r="G527" t="s">
        <v>2248</v>
      </c>
      <c r="H527" t="s">
        <v>2249</v>
      </c>
      <c r="I527" s="13">
        <v>45012.044166666667</v>
      </c>
      <c r="K527" t="s">
        <v>415</v>
      </c>
      <c r="M527" s="13">
        <v>44681</v>
      </c>
      <c r="R527">
        <v>0</v>
      </c>
      <c r="S527" t="s">
        <v>416</v>
      </c>
      <c r="T527" t="s">
        <v>57</v>
      </c>
      <c r="V527" t="s">
        <v>478</v>
      </c>
      <c r="W527" t="s">
        <v>2250</v>
      </c>
      <c r="X527" t="s">
        <v>2250</v>
      </c>
      <c r="AF527" t="s">
        <v>451</v>
      </c>
      <c r="AI527">
        <v>-331</v>
      </c>
      <c r="AL527" t="s">
        <v>2251</v>
      </c>
      <c r="AN527" t="s">
        <v>31</v>
      </c>
      <c r="AO527">
        <v>0</v>
      </c>
      <c r="AS527" t="s">
        <v>385</v>
      </c>
      <c r="AX527" t="s">
        <v>31</v>
      </c>
      <c r="AY527" t="s">
        <v>442</v>
      </c>
      <c r="AZ527" t="s">
        <v>2252</v>
      </c>
      <c r="BF527">
        <v>0</v>
      </c>
      <c r="BK527" t="s">
        <v>31</v>
      </c>
      <c r="BS527" t="s">
        <v>419</v>
      </c>
      <c r="BT527" t="s">
        <v>419</v>
      </c>
      <c r="CI527" t="s">
        <v>388</v>
      </c>
      <c r="CJ527" s="14">
        <v>45013</v>
      </c>
      <c r="CK527">
        <v>1</v>
      </c>
    </row>
    <row r="528" spans="1:89">
      <c r="A528" t="s">
        <v>2253</v>
      </c>
      <c r="B528" t="s">
        <v>374</v>
      </c>
      <c r="C528" t="s">
        <v>2254</v>
      </c>
      <c r="D528" t="s">
        <v>2255</v>
      </c>
      <c r="E528" t="s">
        <v>2256</v>
      </c>
      <c r="F528" s="13">
        <v>44629.439085648148</v>
      </c>
      <c r="G528" t="s">
        <v>2257</v>
      </c>
      <c r="H528" t="s">
        <v>2258</v>
      </c>
      <c r="I528" s="13">
        <v>44629.439791666664</v>
      </c>
      <c r="K528" t="s">
        <v>412</v>
      </c>
      <c r="R528">
        <v>0</v>
      </c>
      <c r="S528" t="s">
        <v>380</v>
      </c>
      <c r="T528" t="s">
        <v>57</v>
      </c>
      <c r="V528" t="s">
        <v>381</v>
      </c>
      <c r="W528" t="s">
        <v>2259</v>
      </c>
      <c r="X528" t="s">
        <v>2259</v>
      </c>
      <c r="AI528">
        <v>113</v>
      </c>
      <c r="AL528" t="s">
        <v>2260</v>
      </c>
      <c r="AN528" t="s">
        <v>31</v>
      </c>
      <c r="AO528">
        <v>0</v>
      </c>
      <c r="AS528" t="s">
        <v>385</v>
      </c>
      <c r="AX528" t="s">
        <v>57</v>
      </c>
      <c r="AY528" t="s">
        <v>386</v>
      </c>
      <c r="AZ528" t="s">
        <v>2261</v>
      </c>
      <c r="BF528">
        <v>0</v>
      </c>
      <c r="BK528" t="s">
        <v>31</v>
      </c>
      <c r="BS528" t="s">
        <v>412</v>
      </c>
      <c r="BT528" t="s">
        <v>412</v>
      </c>
      <c r="CI528" t="s">
        <v>388</v>
      </c>
      <c r="CJ528" s="14">
        <v>45013</v>
      </c>
      <c r="CK528">
        <v>1</v>
      </c>
    </row>
    <row r="529" spans="1:89">
      <c r="A529" t="s">
        <v>1479</v>
      </c>
      <c r="B529" t="s">
        <v>374</v>
      </c>
      <c r="C529" t="s">
        <v>1480</v>
      </c>
      <c r="D529" t="s">
        <v>2262</v>
      </c>
      <c r="E529" t="s">
        <v>2263</v>
      </c>
      <c r="F529" s="13">
        <v>44629.43886574074</v>
      </c>
      <c r="G529" t="s">
        <v>1483</v>
      </c>
      <c r="H529" t="s">
        <v>1484</v>
      </c>
      <c r="I529" s="13">
        <v>45012.044166666667</v>
      </c>
      <c r="K529" t="s">
        <v>415</v>
      </c>
      <c r="M529" s="13">
        <v>44669</v>
      </c>
      <c r="R529">
        <v>0</v>
      </c>
      <c r="S529" t="s">
        <v>380</v>
      </c>
      <c r="T529" t="s">
        <v>57</v>
      </c>
      <c r="V529" t="s">
        <v>478</v>
      </c>
      <c r="W529" t="s">
        <v>2264</v>
      </c>
      <c r="X529" t="s">
        <v>2264</v>
      </c>
      <c r="AC529" s="13">
        <v>44669</v>
      </c>
      <c r="AD529" s="13">
        <v>44593</v>
      </c>
      <c r="AF529" t="s">
        <v>451</v>
      </c>
      <c r="AI529">
        <v>-343</v>
      </c>
      <c r="AL529" t="s">
        <v>2265</v>
      </c>
      <c r="AN529" t="s">
        <v>31</v>
      </c>
      <c r="AO529">
        <v>0</v>
      </c>
      <c r="AS529" t="s">
        <v>648</v>
      </c>
      <c r="AX529" t="s">
        <v>31</v>
      </c>
      <c r="AY529" t="s">
        <v>386</v>
      </c>
      <c r="AZ529" t="s">
        <v>2266</v>
      </c>
      <c r="BF529">
        <v>0</v>
      </c>
      <c r="BK529" t="s">
        <v>31</v>
      </c>
      <c r="BS529" t="s">
        <v>419</v>
      </c>
      <c r="BT529" t="s">
        <v>419</v>
      </c>
      <c r="CI529" t="s">
        <v>388</v>
      </c>
      <c r="CJ529" s="14">
        <v>45013</v>
      </c>
      <c r="CK529">
        <v>1</v>
      </c>
    </row>
    <row r="530" spans="1:89">
      <c r="A530" t="s">
        <v>2267</v>
      </c>
      <c r="B530" t="s">
        <v>374</v>
      </c>
      <c r="C530" t="s">
        <v>2268</v>
      </c>
      <c r="D530" t="s">
        <v>2269</v>
      </c>
      <c r="E530" t="s">
        <v>2270</v>
      </c>
      <c r="F530" s="13">
        <v>44629.380740740744</v>
      </c>
      <c r="G530" t="s">
        <v>2271</v>
      </c>
      <c r="H530" t="s">
        <v>2272</v>
      </c>
      <c r="I530" s="13">
        <v>45012.04415509259</v>
      </c>
      <c r="K530" t="s">
        <v>415</v>
      </c>
      <c r="M530" s="13">
        <v>44711</v>
      </c>
      <c r="R530">
        <v>0</v>
      </c>
      <c r="S530" t="s">
        <v>380</v>
      </c>
      <c r="T530" t="s">
        <v>57</v>
      </c>
      <c r="V530" t="s">
        <v>478</v>
      </c>
      <c r="W530" t="s">
        <v>2273</v>
      </c>
      <c r="X530" t="s">
        <v>2273</v>
      </c>
      <c r="AF530" t="s">
        <v>451</v>
      </c>
      <c r="AI530">
        <v>-301</v>
      </c>
      <c r="AL530" t="s">
        <v>2274</v>
      </c>
      <c r="AN530" t="s">
        <v>31</v>
      </c>
      <c r="AO530">
        <v>0</v>
      </c>
      <c r="AS530" t="s">
        <v>392</v>
      </c>
      <c r="AX530" t="s">
        <v>31</v>
      </c>
      <c r="AY530" t="s">
        <v>386</v>
      </c>
      <c r="AZ530" t="s">
        <v>2275</v>
      </c>
      <c r="BF530">
        <v>0</v>
      </c>
      <c r="BK530" t="s">
        <v>31</v>
      </c>
      <c r="BS530" t="s">
        <v>419</v>
      </c>
      <c r="BT530" t="s">
        <v>419</v>
      </c>
      <c r="CI530" t="s">
        <v>388</v>
      </c>
      <c r="CJ530" s="14">
        <v>45013</v>
      </c>
      <c r="CK530">
        <v>1</v>
      </c>
    </row>
    <row r="531" spans="1:89">
      <c r="A531" t="s">
        <v>454</v>
      </c>
      <c r="B531" t="s">
        <v>374</v>
      </c>
      <c r="C531" t="s">
        <v>455</v>
      </c>
      <c r="D531" t="s">
        <v>2276</v>
      </c>
      <c r="E531" t="s">
        <v>1623</v>
      </c>
      <c r="F531" s="13">
        <v>44628.468206018515</v>
      </c>
      <c r="G531" t="s">
        <v>1591</v>
      </c>
      <c r="H531" t="s">
        <v>1592</v>
      </c>
      <c r="I531" s="13">
        <v>44628.469918981478</v>
      </c>
      <c r="K531" t="s">
        <v>412</v>
      </c>
      <c r="R531">
        <v>0</v>
      </c>
      <c r="S531" t="s">
        <v>380</v>
      </c>
      <c r="T531" t="s">
        <v>57</v>
      </c>
      <c r="V531" t="s">
        <v>381</v>
      </c>
      <c r="W531" t="s">
        <v>2277</v>
      </c>
      <c r="X531" t="s">
        <v>2277</v>
      </c>
      <c r="AI531">
        <v>68</v>
      </c>
      <c r="AL531" t="s">
        <v>1624</v>
      </c>
      <c r="AN531" t="s">
        <v>31</v>
      </c>
      <c r="AO531">
        <v>0</v>
      </c>
      <c r="AS531" t="s">
        <v>702</v>
      </c>
      <c r="AX531" t="s">
        <v>31</v>
      </c>
      <c r="AY531" t="s">
        <v>442</v>
      </c>
      <c r="AZ531" t="s">
        <v>2278</v>
      </c>
      <c r="BF531">
        <v>0</v>
      </c>
      <c r="BK531" t="s">
        <v>31</v>
      </c>
      <c r="BS531" t="s">
        <v>412</v>
      </c>
      <c r="BT531" t="s">
        <v>412</v>
      </c>
      <c r="CI531" t="s">
        <v>388</v>
      </c>
      <c r="CJ531" s="14">
        <v>45013</v>
      </c>
      <c r="CK531">
        <v>1</v>
      </c>
    </row>
    <row r="532" spans="1:89">
      <c r="A532" t="s">
        <v>2155</v>
      </c>
      <c r="B532" t="s">
        <v>374</v>
      </c>
      <c r="C532" t="s">
        <v>2156</v>
      </c>
      <c r="D532" t="s">
        <v>2279</v>
      </c>
      <c r="E532" t="s">
        <v>2158</v>
      </c>
      <c r="F532" s="13">
        <v>44628.446759259263</v>
      </c>
      <c r="G532" t="s">
        <v>2159</v>
      </c>
      <c r="H532" t="s">
        <v>2160</v>
      </c>
      <c r="I532" s="13">
        <v>44636.508414351854</v>
      </c>
      <c r="K532" t="s">
        <v>409</v>
      </c>
      <c r="R532">
        <v>0</v>
      </c>
      <c r="S532" t="s">
        <v>416</v>
      </c>
      <c r="V532" t="s">
        <v>381</v>
      </c>
      <c r="W532" t="s">
        <v>2280</v>
      </c>
      <c r="X532" t="s">
        <v>2280</v>
      </c>
      <c r="AI532">
        <v>87</v>
      </c>
      <c r="AL532" t="s">
        <v>2162</v>
      </c>
      <c r="AN532" t="s">
        <v>31</v>
      </c>
      <c r="AO532">
        <v>0</v>
      </c>
      <c r="AZ532" t="s">
        <v>2281</v>
      </c>
      <c r="BF532">
        <v>0</v>
      </c>
      <c r="BK532" t="s">
        <v>31</v>
      </c>
      <c r="BS532" t="s">
        <v>409</v>
      </c>
      <c r="BT532" t="s">
        <v>409</v>
      </c>
      <c r="CI532" t="s">
        <v>388</v>
      </c>
      <c r="CJ532" s="14">
        <v>45013</v>
      </c>
      <c r="CK532">
        <v>1</v>
      </c>
    </row>
    <row r="533" spans="1:89">
      <c r="A533" t="s">
        <v>711</v>
      </c>
      <c r="B533" t="s">
        <v>374</v>
      </c>
      <c r="C533" t="s">
        <v>712</v>
      </c>
      <c r="D533" t="s">
        <v>2282</v>
      </c>
      <c r="E533" t="s">
        <v>2283</v>
      </c>
      <c r="F533" s="13">
        <v>44628.356747685182</v>
      </c>
      <c r="G533" t="s">
        <v>2284</v>
      </c>
      <c r="H533" t="s">
        <v>845</v>
      </c>
      <c r="I533" s="13">
        <v>44628.358229166668</v>
      </c>
      <c r="R533">
        <v>0</v>
      </c>
      <c r="S533" t="s">
        <v>416</v>
      </c>
      <c r="T533" t="s">
        <v>57</v>
      </c>
      <c r="V533" t="s">
        <v>381</v>
      </c>
      <c r="W533" t="s">
        <v>2285</v>
      </c>
      <c r="X533" t="s">
        <v>2285</v>
      </c>
      <c r="AC533" s="13">
        <v>44631</v>
      </c>
      <c r="AD533" s="13">
        <v>44631</v>
      </c>
      <c r="AI533">
        <v>3</v>
      </c>
      <c r="AN533" t="s">
        <v>31</v>
      </c>
      <c r="AO533">
        <v>0</v>
      </c>
      <c r="AS533" t="s">
        <v>385</v>
      </c>
      <c r="AX533" t="s">
        <v>57</v>
      </c>
      <c r="AY533" t="s">
        <v>386</v>
      </c>
      <c r="AZ533" t="s">
        <v>2286</v>
      </c>
      <c r="BF533">
        <v>0</v>
      </c>
      <c r="BK533" t="s">
        <v>31</v>
      </c>
      <c r="BS533" t="s">
        <v>412</v>
      </c>
      <c r="CI533" t="s">
        <v>388</v>
      </c>
      <c r="CJ533" s="14">
        <v>45013</v>
      </c>
      <c r="CK533">
        <v>1</v>
      </c>
    </row>
    <row r="534" spans="1:89">
      <c r="A534" t="s">
        <v>1497</v>
      </c>
      <c r="B534" t="s">
        <v>374</v>
      </c>
      <c r="C534" t="s">
        <v>1498</v>
      </c>
      <c r="D534" t="s">
        <v>2287</v>
      </c>
      <c r="E534" t="s">
        <v>2288</v>
      </c>
      <c r="F534" s="13">
        <v>44627.594305555554</v>
      </c>
      <c r="G534" t="s">
        <v>1501</v>
      </c>
      <c r="H534" t="s">
        <v>1502</v>
      </c>
      <c r="I534" s="13">
        <v>45012.04415509259</v>
      </c>
      <c r="K534" t="s">
        <v>415</v>
      </c>
      <c r="M534" s="13">
        <v>44680</v>
      </c>
      <c r="R534">
        <v>0</v>
      </c>
      <c r="S534" t="s">
        <v>416</v>
      </c>
      <c r="T534" t="s">
        <v>57</v>
      </c>
      <c r="V534" t="s">
        <v>478</v>
      </c>
      <c r="W534" t="s">
        <v>2289</v>
      </c>
      <c r="X534" t="s">
        <v>2289</v>
      </c>
      <c r="AF534" t="s">
        <v>451</v>
      </c>
      <c r="AI534">
        <v>-332</v>
      </c>
      <c r="AL534" t="s">
        <v>2290</v>
      </c>
      <c r="AN534" t="s">
        <v>31</v>
      </c>
      <c r="AO534">
        <v>0</v>
      </c>
      <c r="AS534" t="s">
        <v>392</v>
      </c>
      <c r="AX534" t="s">
        <v>57</v>
      </c>
      <c r="AY534" t="s">
        <v>442</v>
      </c>
      <c r="AZ534" t="s">
        <v>2291</v>
      </c>
      <c r="BF534">
        <v>0</v>
      </c>
      <c r="BK534" t="s">
        <v>31</v>
      </c>
      <c r="BS534" t="s">
        <v>419</v>
      </c>
      <c r="BT534" t="s">
        <v>419</v>
      </c>
      <c r="CI534" t="s">
        <v>388</v>
      </c>
      <c r="CJ534" s="14">
        <v>45013</v>
      </c>
      <c r="CK534">
        <v>1</v>
      </c>
    </row>
    <row r="535" spans="1:89">
      <c r="A535" t="s">
        <v>2292</v>
      </c>
      <c r="B535" t="s">
        <v>374</v>
      </c>
      <c r="C535" t="s">
        <v>2293</v>
      </c>
      <c r="D535" t="s">
        <v>2294</v>
      </c>
      <c r="E535" t="s">
        <v>2295</v>
      </c>
      <c r="F535" s="13">
        <v>44622.540555555555</v>
      </c>
      <c r="G535" t="s">
        <v>2296</v>
      </c>
      <c r="H535" t="s">
        <v>2297</v>
      </c>
      <c r="I535" s="13">
        <v>44622.541168981479</v>
      </c>
      <c r="K535" t="s">
        <v>412</v>
      </c>
      <c r="R535">
        <v>0</v>
      </c>
      <c r="S535" t="s">
        <v>380</v>
      </c>
      <c r="T535" t="s">
        <v>57</v>
      </c>
      <c r="V535" t="s">
        <v>381</v>
      </c>
      <c r="W535" t="s">
        <v>2298</v>
      </c>
      <c r="X535" t="s">
        <v>2298</v>
      </c>
      <c r="AI535">
        <v>58</v>
      </c>
      <c r="AL535" t="s">
        <v>2299</v>
      </c>
      <c r="AN535" t="s">
        <v>31</v>
      </c>
      <c r="AO535">
        <v>0</v>
      </c>
      <c r="AS535" t="s">
        <v>707</v>
      </c>
      <c r="AX535" t="s">
        <v>57</v>
      </c>
      <c r="AY535" t="s">
        <v>386</v>
      </c>
      <c r="AZ535" t="s">
        <v>2300</v>
      </c>
      <c r="BE535">
        <v>3.2</v>
      </c>
      <c r="BF535">
        <v>0</v>
      </c>
      <c r="BK535" t="s">
        <v>31</v>
      </c>
      <c r="BS535" t="s">
        <v>412</v>
      </c>
      <c r="BT535" t="s">
        <v>412</v>
      </c>
      <c r="CI535" t="s">
        <v>388</v>
      </c>
      <c r="CJ535" s="14">
        <v>45013</v>
      </c>
      <c r="CK535">
        <v>1</v>
      </c>
    </row>
    <row r="536" spans="1:89">
      <c r="A536" t="s">
        <v>2292</v>
      </c>
      <c r="B536" t="s">
        <v>374</v>
      </c>
      <c r="C536" t="s">
        <v>2293</v>
      </c>
      <c r="D536" t="s">
        <v>2301</v>
      </c>
      <c r="E536" t="s">
        <v>2302</v>
      </c>
      <c r="F536" s="13">
        <v>44622.537002314813</v>
      </c>
      <c r="G536" t="s">
        <v>2296</v>
      </c>
      <c r="H536" t="s">
        <v>2297</v>
      </c>
      <c r="I536" s="13">
        <v>44622.538414351853</v>
      </c>
      <c r="K536" t="s">
        <v>412</v>
      </c>
      <c r="R536">
        <v>0</v>
      </c>
      <c r="S536" t="s">
        <v>380</v>
      </c>
      <c r="T536" t="s">
        <v>57</v>
      </c>
      <c r="V536" t="s">
        <v>381</v>
      </c>
      <c r="W536" t="s">
        <v>2298</v>
      </c>
      <c r="X536" t="s">
        <v>2298</v>
      </c>
      <c r="AI536">
        <v>29</v>
      </c>
      <c r="AL536" t="s">
        <v>2299</v>
      </c>
      <c r="AN536" t="s">
        <v>31</v>
      </c>
      <c r="AO536">
        <v>0</v>
      </c>
      <c r="AS536" t="s">
        <v>385</v>
      </c>
      <c r="AX536" t="s">
        <v>57</v>
      </c>
      <c r="AY536" t="s">
        <v>386</v>
      </c>
      <c r="AZ536" t="s">
        <v>2303</v>
      </c>
      <c r="BE536">
        <v>3.2</v>
      </c>
      <c r="BF536">
        <v>0</v>
      </c>
      <c r="BK536" t="s">
        <v>31</v>
      </c>
      <c r="BS536" t="s">
        <v>412</v>
      </c>
      <c r="BT536" t="s">
        <v>412</v>
      </c>
      <c r="CI536" t="s">
        <v>388</v>
      </c>
      <c r="CJ536" s="14">
        <v>45013</v>
      </c>
      <c r="CK536">
        <v>1</v>
      </c>
    </row>
    <row r="537" spans="1:89">
      <c r="A537" t="s">
        <v>454</v>
      </c>
      <c r="B537" t="s">
        <v>374</v>
      </c>
      <c r="C537" t="s">
        <v>455</v>
      </c>
      <c r="D537" t="s">
        <v>2304</v>
      </c>
      <c r="E537" t="s">
        <v>2305</v>
      </c>
      <c r="F537" s="13">
        <v>44622.000636574077</v>
      </c>
      <c r="G537" t="s">
        <v>1264</v>
      </c>
      <c r="H537" t="s">
        <v>1265</v>
      </c>
      <c r="I537" s="13">
        <v>45012.04415509259</v>
      </c>
      <c r="K537" t="s">
        <v>415</v>
      </c>
      <c r="M537" s="13">
        <v>44819</v>
      </c>
      <c r="R537">
        <v>0</v>
      </c>
      <c r="S537" t="s">
        <v>380</v>
      </c>
      <c r="T537" t="s">
        <v>57</v>
      </c>
      <c r="V537" t="s">
        <v>478</v>
      </c>
      <c r="W537" t="s">
        <v>2306</v>
      </c>
      <c r="X537" t="s">
        <v>2306</v>
      </c>
      <c r="AF537" t="s">
        <v>451</v>
      </c>
      <c r="AI537">
        <v>-193</v>
      </c>
      <c r="AL537" t="s">
        <v>2307</v>
      </c>
      <c r="AN537" t="s">
        <v>31</v>
      </c>
      <c r="AO537">
        <v>0</v>
      </c>
      <c r="AS537" t="s">
        <v>392</v>
      </c>
      <c r="AX537" t="s">
        <v>57</v>
      </c>
      <c r="AY537" t="s">
        <v>442</v>
      </c>
      <c r="AZ537" t="s">
        <v>2308</v>
      </c>
      <c r="BE537" t="s">
        <v>2309</v>
      </c>
      <c r="BF537">
        <v>0</v>
      </c>
      <c r="BK537" t="s">
        <v>31</v>
      </c>
      <c r="BS537" t="s">
        <v>419</v>
      </c>
      <c r="BT537" t="s">
        <v>419</v>
      </c>
      <c r="CI537" t="s">
        <v>388</v>
      </c>
      <c r="CJ537" s="14">
        <v>45013</v>
      </c>
      <c r="CK537">
        <v>1</v>
      </c>
    </row>
    <row r="538" spans="1:89">
      <c r="A538" t="s">
        <v>2310</v>
      </c>
      <c r="B538" t="s">
        <v>374</v>
      </c>
      <c r="C538" t="s">
        <v>607</v>
      </c>
      <c r="D538" t="s">
        <v>2311</v>
      </c>
      <c r="E538" t="s">
        <v>2312</v>
      </c>
      <c r="F538" s="13">
        <v>44621.807881944442</v>
      </c>
      <c r="G538" t="s">
        <v>2313</v>
      </c>
      <c r="H538" t="s">
        <v>2314</v>
      </c>
      <c r="I538" s="13">
        <v>44621.812430555554</v>
      </c>
      <c r="K538" t="s">
        <v>412</v>
      </c>
      <c r="R538">
        <v>0</v>
      </c>
      <c r="S538" t="s">
        <v>380</v>
      </c>
      <c r="T538" t="s">
        <v>57</v>
      </c>
      <c r="V538" t="s">
        <v>381</v>
      </c>
      <c r="W538" t="s">
        <v>2315</v>
      </c>
      <c r="X538" t="s">
        <v>2315</v>
      </c>
      <c r="AC538" s="13">
        <v>44742</v>
      </c>
      <c r="AD538" s="13">
        <v>44742</v>
      </c>
      <c r="AI538">
        <v>121</v>
      </c>
      <c r="AL538" t="s">
        <v>2316</v>
      </c>
      <c r="AN538" t="s">
        <v>31</v>
      </c>
      <c r="AO538">
        <v>0</v>
      </c>
      <c r="AS538" t="s">
        <v>744</v>
      </c>
      <c r="AX538" t="s">
        <v>31</v>
      </c>
      <c r="AY538" t="s">
        <v>442</v>
      </c>
      <c r="AZ538" t="s">
        <v>2317</v>
      </c>
      <c r="BF538">
        <v>0</v>
      </c>
      <c r="BK538" t="s">
        <v>31</v>
      </c>
      <c r="BS538" t="s">
        <v>412</v>
      </c>
      <c r="BT538" t="s">
        <v>412</v>
      </c>
      <c r="CI538" t="s">
        <v>388</v>
      </c>
      <c r="CJ538" s="14">
        <v>45013</v>
      </c>
      <c r="CK538">
        <v>1</v>
      </c>
    </row>
    <row r="539" spans="1:89">
      <c r="A539" t="s">
        <v>1655</v>
      </c>
      <c r="B539" t="s">
        <v>374</v>
      </c>
      <c r="C539" t="s">
        <v>1656</v>
      </c>
      <c r="D539" t="s">
        <v>2318</v>
      </c>
      <c r="E539" t="s">
        <v>2319</v>
      </c>
      <c r="F539" s="13">
        <v>44621.80537037037</v>
      </c>
      <c r="G539" t="s">
        <v>1659</v>
      </c>
      <c r="H539" t="s">
        <v>1660</v>
      </c>
      <c r="I539" s="13">
        <v>45012.04414351852</v>
      </c>
      <c r="K539" t="s">
        <v>415</v>
      </c>
      <c r="M539" s="13">
        <v>44650</v>
      </c>
      <c r="R539">
        <v>100</v>
      </c>
      <c r="S539" t="s">
        <v>380</v>
      </c>
      <c r="T539" t="s">
        <v>57</v>
      </c>
      <c r="V539" t="s">
        <v>478</v>
      </c>
      <c r="W539" t="s">
        <v>1661</v>
      </c>
      <c r="X539" t="s">
        <v>1661</v>
      </c>
      <c r="AB539" t="s">
        <v>57</v>
      </c>
      <c r="AC539" s="13">
        <v>44650</v>
      </c>
      <c r="AD539" s="13">
        <v>44620</v>
      </c>
      <c r="AF539" t="s">
        <v>382</v>
      </c>
      <c r="AG539" t="s">
        <v>2320</v>
      </c>
      <c r="AI539">
        <v>-362</v>
      </c>
      <c r="AJ539" s="13">
        <v>44651</v>
      </c>
      <c r="AL539" t="s">
        <v>1670</v>
      </c>
      <c r="AN539" t="s">
        <v>31</v>
      </c>
      <c r="AO539">
        <v>0</v>
      </c>
      <c r="AR539" t="s">
        <v>2320</v>
      </c>
      <c r="AS539" t="s">
        <v>385</v>
      </c>
      <c r="AX539" t="s">
        <v>31</v>
      </c>
      <c r="AY539" t="s">
        <v>442</v>
      </c>
      <c r="AZ539" t="s">
        <v>2321</v>
      </c>
      <c r="BF539">
        <v>0</v>
      </c>
      <c r="BK539" t="s">
        <v>31</v>
      </c>
      <c r="BS539" t="s">
        <v>1201</v>
      </c>
      <c r="BT539" t="s">
        <v>1202</v>
      </c>
      <c r="CI539" t="s">
        <v>388</v>
      </c>
      <c r="CJ539" s="14">
        <v>45013</v>
      </c>
      <c r="CK539">
        <v>1</v>
      </c>
    </row>
    <row r="540" spans="1:89">
      <c r="A540" t="s">
        <v>673</v>
      </c>
      <c r="B540" t="s">
        <v>374</v>
      </c>
      <c r="C540" t="s">
        <v>674</v>
      </c>
      <c r="D540" t="s">
        <v>2322</v>
      </c>
      <c r="E540" t="s">
        <v>2323</v>
      </c>
      <c r="F540" s="13">
        <v>44621.722754629627</v>
      </c>
      <c r="G540" t="s">
        <v>2324</v>
      </c>
      <c r="H540" t="s">
        <v>2325</v>
      </c>
      <c r="I540" s="13">
        <v>45012.04414351852</v>
      </c>
      <c r="K540" t="s">
        <v>415</v>
      </c>
      <c r="M540" s="13">
        <v>44895</v>
      </c>
      <c r="R540">
        <v>0</v>
      </c>
      <c r="S540" t="s">
        <v>380</v>
      </c>
      <c r="T540" t="s">
        <v>57</v>
      </c>
      <c r="V540" t="s">
        <v>478</v>
      </c>
      <c r="W540" t="s">
        <v>2326</v>
      </c>
      <c r="X540" t="s">
        <v>2326</v>
      </c>
      <c r="AF540" t="s">
        <v>451</v>
      </c>
      <c r="AI540">
        <v>-117</v>
      </c>
      <c r="AL540" t="s">
        <v>2327</v>
      </c>
      <c r="AN540" t="s">
        <v>31</v>
      </c>
      <c r="AO540">
        <v>0</v>
      </c>
      <c r="AS540" t="s">
        <v>385</v>
      </c>
      <c r="AX540" t="s">
        <v>31</v>
      </c>
      <c r="AY540" t="s">
        <v>442</v>
      </c>
      <c r="AZ540" t="s">
        <v>2328</v>
      </c>
      <c r="BF540">
        <v>0</v>
      </c>
      <c r="BK540" t="s">
        <v>31</v>
      </c>
      <c r="BS540" t="s">
        <v>419</v>
      </c>
      <c r="BT540" t="s">
        <v>419</v>
      </c>
      <c r="CI540" t="s">
        <v>388</v>
      </c>
      <c r="CJ540" s="14">
        <v>45013</v>
      </c>
      <c r="CK540">
        <v>1</v>
      </c>
    </row>
    <row r="541" spans="1:89">
      <c r="A541" t="s">
        <v>673</v>
      </c>
      <c r="B541" t="s">
        <v>374</v>
      </c>
      <c r="C541" t="s">
        <v>674</v>
      </c>
      <c r="D541" t="s">
        <v>2329</v>
      </c>
      <c r="E541" t="s">
        <v>2330</v>
      </c>
      <c r="F541" s="13">
        <v>44621.721030092594</v>
      </c>
      <c r="G541" t="s">
        <v>2324</v>
      </c>
      <c r="H541" t="s">
        <v>2325</v>
      </c>
      <c r="I541" s="13">
        <v>45012.044131944444</v>
      </c>
      <c r="K541" t="s">
        <v>415</v>
      </c>
      <c r="M541" s="13">
        <v>44651</v>
      </c>
      <c r="R541">
        <v>0</v>
      </c>
      <c r="S541" t="s">
        <v>380</v>
      </c>
      <c r="T541" t="s">
        <v>57</v>
      </c>
      <c r="V541" t="s">
        <v>478</v>
      </c>
      <c r="W541" t="s">
        <v>2326</v>
      </c>
      <c r="X541" t="s">
        <v>2326</v>
      </c>
      <c r="AF541" t="s">
        <v>451</v>
      </c>
      <c r="AI541">
        <v>-361</v>
      </c>
      <c r="AL541" t="s">
        <v>2327</v>
      </c>
      <c r="AN541" t="s">
        <v>31</v>
      </c>
      <c r="AO541">
        <v>0</v>
      </c>
      <c r="AS541" t="s">
        <v>385</v>
      </c>
      <c r="AX541" t="s">
        <v>31</v>
      </c>
      <c r="AY541" t="s">
        <v>386</v>
      </c>
      <c r="AZ541" t="s">
        <v>2331</v>
      </c>
      <c r="BF541">
        <v>0</v>
      </c>
      <c r="BK541" t="s">
        <v>31</v>
      </c>
      <c r="BS541" t="s">
        <v>419</v>
      </c>
      <c r="BT541" t="s">
        <v>419</v>
      </c>
      <c r="CI541" t="s">
        <v>388</v>
      </c>
      <c r="CJ541" s="14">
        <v>45013</v>
      </c>
      <c r="CK541">
        <v>1</v>
      </c>
    </row>
    <row r="542" spans="1:89">
      <c r="A542" t="s">
        <v>2332</v>
      </c>
      <c r="B542" t="s">
        <v>374</v>
      </c>
      <c r="C542" t="s">
        <v>2333</v>
      </c>
      <c r="D542" t="s">
        <v>2334</v>
      </c>
      <c r="E542" t="s">
        <v>2335</v>
      </c>
      <c r="F542" s="13">
        <v>44621.682743055557</v>
      </c>
      <c r="G542" t="s">
        <v>2336</v>
      </c>
      <c r="H542" t="s">
        <v>2337</v>
      </c>
      <c r="I542" s="13">
        <v>45012.044131944444</v>
      </c>
      <c r="K542" t="s">
        <v>415</v>
      </c>
      <c r="M542" s="13">
        <v>44742</v>
      </c>
      <c r="R542">
        <v>0</v>
      </c>
      <c r="S542" t="s">
        <v>380</v>
      </c>
      <c r="T542" t="s">
        <v>57</v>
      </c>
      <c r="V542" t="s">
        <v>478</v>
      </c>
      <c r="W542" t="s">
        <v>2338</v>
      </c>
      <c r="X542" t="s">
        <v>2338</v>
      </c>
      <c r="AF542" t="s">
        <v>451</v>
      </c>
      <c r="AI542">
        <v>-270</v>
      </c>
      <c r="AL542" t="s">
        <v>2339</v>
      </c>
      <c r="AN542" t="s">
        <v>31</v>
      </c>
      <c r="AO542">
        <v>0</v>
      </c>
      <c r="AS542" t="s">
        <v>526</v>
      </c>
      <c r="AX542" t="s">
        <v>31</v>
      </c>
      <c r="AY542" t="s">
        <v>442</v>
      </c>
      <c r="AZ542" t="s">
        <v>2340</v>
      </c>
      <c r="BE542" t="s">
        <v>2341</v>
      </c>
      <c r="BF542">
        <v>0</v>
      </c>
      <c r="BK542" t="s">
        <v>31</v>
      </c>
      <c r="BS542" t="s">
        <v>419</v>
      </c>
      <c r="BT542" t="s">
        <v>419</v>
      </c>
      <c r="CI542" t="s">
        <v>388</v>
      </c>
      <c r="CJ542" s="14">
        <v>45013</v>
      </c>
      <c r="CK542">
        <v>1</v>
      </c>
    </row>
    <row r="543" spans="1:89">
      <c r="A543" t="s">
        <v>2342</v>
      </c>
      <c r="B543" t="s">
        <v>374</v>
      </c>
      <c r="C543" t="s">
        <v>2343</v>
      </c>
      <c r="D543" t="s">
        <v>2344</v>
      </c>
      <c r="E543" t="s">
        <v>2345</v>
      </c>
      <c r="F543" s="13">
        <v>44621.635231481479</v>
      </c>
      <c r="G543" t="s">
        <v>2346</v>
      </c>
      <c r="H543" t="s">
        <v>2347</v>
      </c>
      <c r="I543" s="13">
        <v>45012.044131944444</v>
      </c>
      <c r="K543" t="s">
        <v>415</v>
      </c>
      <c r="M543" s="13">
        <v>44712</v>
      </c>
      <c r="R543">
        <v>0</v>
      </c>
      <c r="S543" t="s">
        <v>380</v>
      </c>
      <c r="T543" t="s">
        <v>57</v>
      </c>
      <c r="V543" t="s">
        <v>478</v>
      </c>
      <c r="W543" t="s">
        <v>2348</v>
      </c>
      <c r="X543" t="s">
        <v>2348</v>
      </c>
      <c r="AF543" t="s">
        <v>451</v>
      </c>
      <c r="AI543">
        <v>-300</v>
      </c>
      <c r="AL543" t="s">
        <v>2349</v>
      </c>
      <c r="AN543" t="s">
        <v>31</v>
      </c>
      <c r="AO543">
        <v>0</v>
      </c>
      <c r="AS543" t="s">
        <v>385</v>
      </c>
      <c r="AX543" t="s">
        <v>57</v>
      </c>
      <c r="AY543" t="s">
        <v>442</v>
      </c>
      <c r="AZ543" t="s">
        <v>2350</v>
      </c>
      <c r="BF543">
        <v>0</v>
      </c>
      <c r="BK543" t="s">
        <v>31</v>
      </c>
      <c r="BS543" t="s">
        <v>419</v>
      </c>
      <c r="BT543" t="s">
        <v>419</v>
      </c>
      <c r="CI543" t="s">
        <v>388</v>
      </c>
      <c r="CJ543" s="14">
        <v>45013</v>
      </c>
      <c r="CK543">
        <v>1</v>
      </c>
    </row>
    <row r="544" spans="1:89">
      <c r="A544" t="s">
        <v>1655</v>
      </c>
      <c r="B544" t="s">
        <v>374</v>
      </c>
      <c r="C544" t="s">
        <v>1656</v>
      </c>
      <c r="D544" t="s">
        <v>2351</v>
      </c>
      <c r="E544" t="s">
        <v>2352</v>
      </c>
      <c r="F544" s="13">
        <v>44621.624803240738</v>
      </c>
      <c r="G544" t="s">
        <v>1659</v>
      </c>
      <c r="H544" t="s">
        <v>1660</v>
      </c>
      <c r="I544" s="13">
        <v>45012.044120370374</v>
      </c>
      <c r="K544" t="s">
        <v>415</v>
      </c>
      <c r="M544" s="13">
        <v>44681</v>
      </c>
      <c r="R544">
        <v>0</v>
      </c>
      <c r="S544" t="s">
        <v>380</v>
      </c>
      <c r="T544" t="s">
        <v>57</v>
      </c>
      <c r="V544" t="s">
        <v>478</v>
      </c>
      <c r="W544" t="s">
        <v>2353</v>
      </c>
      <c r="X544" t="s">
        <v>2353</v>
      </c>
      <c r="AC544" s="13">
        <v>44681</v>
      </c>
      <c r="AD544" s="13">
        <v>44681</v>
      </c>
      <c r="AF544" t="s">
        <v>451</v>
      </c>
      <c r="AI544">
        <v>-331</v>
      </c>
      <c r="AL544" t="s">
        <v>2354</v>
      </c>
      <c r="AN544" t="s">
        <v>31</v>
      </c>
      <c r="AO544">
        <v>0</v>
      </c>
      <c r="AS544" t="s">
        <v>385</v>
      </c>
      <c r="AX544" t="s">
        <v>31</v>
      </c>
      <c r="AY544" t="s">
        <v>386</v>
      </c>
      <c r="AZ544" t="s">
        <v>2355</v>
      </c>
      <c r="BE544" t="s">
        <v>1364</v>
      </c>
      <c r="BF544">
        <v>0</v>
      </c>
      <c r="BK544" t="s">
        <v>31</v>
      </c>
      <c r="BS544" t="s">
        <v>419</v>
      </c>
      <c r="BT544" t="s">
        <v>419</v>
      </c>
      <c r="CI544" t="s">
        <v>388</v>
      </c>
      <c r="CJ544" s="14">
        <v>45013</v>
      </c>
      <c r="CK544">
        <v>1</v>
      </c>
    </row>
    <row r="545" spans="1:89">
      <c r="A545" t="s">
        <v>673</v>
      </c>
      <c r="B545" t="s">
        <v>374</v>
      </c>
      <c r="C545" t="s">
        <v>674</v>
      </c>
      <c r="D545" t="s">
        <v>2356</v>
      </c>
      <c r="E545" t="s">
        <v>2357</v>
      </c>
      <c r="F545" s="13">
        <v>44621.426631944443</v>
      </c>
      <c r="G545" t="s">
        <v>2358</v>
      </c>
      <c r="H545" t="s">
        <v>2359</v>
      </c>
      <c r="I545" s="13">
        <v>45012.044120370374</v>
      </c>
      <c r="K545" t="s">
        <v>415</v>
      </c>
      <c r="M545" s="13">
        <v>44651</v>
      </c>
      <c r="R545">
        <v>0</v>
      </c>
      <c r="S545" t="s">
        <v>380</v>
      </c>
      <c r="T545" t="s">
        <v>57</v>
      </c>
      <c r="V545" t="s">
        <v>478</v>
      </c>
      <c r="W545" t="s">
        <v>2360</v>
      </c>
      <c r="X545" t="s">
        <v>2360</v>
      </c>
      <c r="AF545" t="s">
        <v>451</v>
      </c>
      <c r="AI545">
        <v>-361</v>
      </c>
      <c r="AL545" t="s">
        <v>2361</v>
      </c>
      <c r="AN545" t="s">
        <v>31</v>
      </c>
      <c r="AO545">
        <v>0</v>
      </c>
      <c r="AS545" t="s">
        <v>538</v>
      </c>
      <c r="AX545" t="s">
        <v>31</v>
      </c>
      <c r="AY545" t="s">
        <v>442</v>
      </c>
      <c r="AZ545" t="s">
        <v>2362</v>
      </c>
      <c r="BE545" t="s">
        <v>2363</v>
      </c>
      <c r="BF545">
        <v>0</v>
      </c>
      <c r="BK545" t="s">
        <v>31</v>
      </c>
      <c r="BS545" t="s">
        <v>419</v>
      </c>
      <c r="BT545" t="s">
        <v>419</v>
      </c>
      <c r="CI545" t="s">
        <v>388</v>
      </c>
      <c r="CJ545" s="14">
        <v>45013</v>
      </c>
      <c r="CK545">
        <v>1</v>
      </c>
    </row>
    <row r="546" spans="1:89">
      <c r="A546" t="s">
        <v>673</v>
      </c>
      <c r="B546" t="s">
        <v>374</v>
      </c>
      <c r="C546" t="s">
        <v>674</v>
      </c>
      <c r="D546" t="s">
        <v>2364</v>
      </c>
      <c r="E546" t="s">
        <v>2365</v>
      </c>
      <c r="F546" s="13">
        <v>44621.405949074076</v>
      </c>
      <c r="G546" t="s">
        <v>2358</v>
      </c>
      <c r="H546" t="s">
        <v>2359</v>
      </c>
      <c r="I546" s="13">
        <v>44621.406793981485</v>
      </c>
      <c r="K546" t="s">
        <v>412</v>
      </c>
      <c r="R546">
        <v>0</v>
      </c>
      <c r="S546" t="s">
        <v>380</v>
      </c>
      <c r="T546" t="s">
        <v>57</v>
      </c>
      <c r="V546" t="s">
        <v>381</v>
      </c>
      <c r="W546" t="s">
        <v>2359</v>
      </c>
      <c r="X546" t="s">
        <v>2359</v>
      </c>
      <c r="AI546">
        <v>60</v>
      </c>
      <c r="AL546" t="s">
        <v>2366</v>
      </c>
      <c r="AN546" t="s">
        <v>31</v>
      </c>
      <c r="AO546">
        <v>0</v>
      </c>
      <c r="AS546" t="s">
        <v>385</v>
      </c>
      <c r="AX546" t="s">
        <v>31</v>
      </c>
      <c r="AY546" t="s">
        <v>442</v>
      </c>
      <c r="AZ546" t="s">
        <v>2367</v>
      </c>
      <c r="BF546">
        <v>0</v>
      </c>
      <c r="BK546" t="s">
        <v>31</v>
      </c>
      <c r="BS546" t="s">
        <v>412</v>
      </c>
      <c r="BT546" t="s">
        <v>412</v>
      </c>
      <c r="CI546" t="s">
        <v>388</v>
      </c>
      <c r="CJ546" s="14">
        <v>45013</v>
      </c>
      <c r="CK546">
        <v>1</v>
      </c>
    </row>
    <row r="547" spans="1:89">
      <c r="A547" t="s">
        <v>2368</v>
      </c>
      <c r="B547" t="s">
        <v>374</v>
      </c>
      <c r="C547" t="s">
        <v>2369</v>
      </c>
      <c r="D547" t="s">
        <v>2370</v>
      </c>
      <c r="E547" t="s">
        <v>2371</v>
      </c>
      <c r="F547" s="13">
        <v>44621.400127314817</v>
      </c>
      <c r="G547" t="s">
        <v>2372</v>
      </c>
      <c r="H547" t="s">
        <v>2373</v>
      </c>
      <c r="I547" s="13">
        <v>44643.409305555557</v>
      </c>
      <c r="K547" t="s">
        <v>379</v>
      </c>
      <c r="M547" s="13">
        <v>44621</v>
      </c>
      <c r="R547">
        <v>100</v>
      </c>
      <c r="S547" t="s">
        <v>380</v>
      </c>
      <c r="T547" t="s">
        <v>57</v>
      </c>
      <c r="V547" t="s">
        <v>478</v>
      </c>
      <c r="W547" t="s">
        <v>2374</v>
      </c>
      <c r="X547" t="s">
        <v>2374</v>
      </c>
      <c r="AB547" t="s">
        <v>57</v>
      </c>
      <c r="AF547" t="s">
        <v>382</v>
      </c>
      <c r="AG547" t="s">
        <v>2375</v>
      </c>
      <c r="AI547">
        <v>-22</v>
      </c>
      <c r="AJ547" s="13">
        <v>44628</v>
      </c>
      <c r="AL547" t="s">
        <v>2376</v>
      </c>
      <c r="AN547" t="s">
        <v>31</v>
      </c>
      <c r="AO547">
        <v>0</v>
      </c>
      <c r="AR547" t="s">
        <v>2375</v>
      </c>
      <c r="AS547" t="s">
        <v>385</v>
      </c>
      <c r="AX547" t="s">
        <v>57</v>
      </c>
      <c r="AY547" t="s">
        <v>442</v>
      </c>
      <c r="AZ547" t="s">
        <v>2377</v>
      </c>
      <c r="BC547" t="s">
        <v>480</v>
      </c>
      <c r="BD547" t="s">
        <v>2378</v>
      </c>
      <c r="BF547">
        <v>0</v>
      </c>
      <c r="BK547" t="s">
        <v>31</v>
      </c>
      <c r="BS547" t="s">
        <v>379</v>
      </c>
      <c r="BT547" t="s">
        <v>379</v>
      </c>
      <c r="CC547" t="s">
        <v>2379</v>
      </c>
      <c r="CI547" t="s">
        <v>388</v>
      </c>
      <c r="CJ547" s="14">
        <v>45013</v>
      </c>
      <c r="CK547">
        <v>1</v>
      </c>
    </row>
    <row r="548" spans="1:89">
      <c r="A548" t="s">
        <v>1535</v>
      </c>
      <c r="B548" t="s">
        <v>374</v>
      </c>
      <c r="C548" t="s">
        <v>1536</v>
      </c>
      <c r="D548" t="s">
        <v>2380</v>
      </c>
      <c r="E548" t="s">
        <v>2381</v>
      </c>
      <c r="F548" s="13">
        <v>44621.380810185183</v>
      </c>
      <c r="G548" t="s">
        <v>1539</v>
      </c>
      <c r="H548" t="s">
        <v>1540</v>
      </c>
      <c r="I548" s="13">
        <v>45012.044120370374</v>
      </c>
      <c r="K548" t="s">
        <v>415</v>
      </c>
      <c r="M548" s="13">
        <v>44640</v>
      </c>
      <c r="R548">
        <v>0</v>
      </c>
      <c r="S548" t="s">
        <v>380</v>
      </c>
      <c r="T548" t="s">
        <v>57</v>
      </c>
      <c r="V548" t="s">
        <v>478</v>
      </c>
      <c r="W548" t="s">
        <v>1540</v>
      </c>
      <c r="X548" t="s">
        <v>1540</v>
      </c>
      <c r="AC548" s="13">
        <v>44652</v>
      </c>
      <c r="AD548" s="13">
        <v>44651</v>
      </c>
      <c r="AF548" t="s">
        <v>451</v>
      </c>
      <c r="AG548" t="s">
        <v>2382</v>
      </c>
      <c r="AI548">
        <v>-372</v>
      </c>
      <c r="AL548" t="s">
        <v>2383</v>
      </c>
      <c r="AN548" t="s">
        <v>31</v>
      </c>
      <c r="AO548">
        <v>0</v>
      </c>
      <c r="AS548" t="s">
        <v>392</v>
      </c>
      <c r="AX548" t="s">
        <v>57</v>
      </c>
      <c r="AY548" t="s">
        <v>386</v>
      </c>
      <c r="AZ548" t="s">
        <v>2384</v>
      </c>
      <c r="BF548">
        <v>0</v>
      </c>
      <c r="BK548" t="s">
        <v>31</v>
      </c>
      <c r="BS548" t="s">
        <v>419</v>
      </c>
      <c r="BT548" t="s">
        <v>419</v>
      </c>
      <c r="CI548" t="s">
        <v>388</v>
      </c>
      <c r="CJ548" s="14">
        <v>45013</v>
      </c>
      <c r="CK548">
        <v>1</v>
      </c>
    </row>
    <row r="549" spans="1:89">
      <c r="A549" t="s">
        <v>454</v>
      </c>
      <c r="B549" t="s">
        <v>374</v>
      </c>
      <c r="C549" t="s">
        <v>455</v>
      </c>
      <c r="D549" t="s">
        <v>2385</v>
      </c>
      <c r="E549" t="s">
        <v>2386</v>
      </c>
      <c r="F549" s="13">
        <v>44620.996203703704</v>
      </c>
      <c r="G549" t="s">
        <v>2387</v>
      </c>
      <c r="H549" t="s">
        <v>2388</v>
      </c>
      <c r="I549" s="13">
        <v>45012.044108796297</v>
      </c>
      <c r="K549" t="s">
        <v>415</v>
      </c>
      <c r="M549" s="13">
        <v>45169</v>
      </c>
      <c r="R549">
        <v>0</v>
      </c>
      <c r="S549" t="s">
        <v>380</v>
      </c>
      <c r="T549" t="s">
        <v>57</v>
      </c>
      <c r="V549" t="s">
        <v>381</v>
      </c>
      <c r="W549" t="s">
        <v>2306</v>
      </c>
      <c r="X549" t="s">
        <v>2306</v>
      </c>
      <c r="AF549" t="s">
        <v>451</v>
      </c>
      <c r="AI549">
        <v>157</v>
      </c>
      <c r="AL549" t="s">
        <v>2389</v>
      </c>
      <c r="AN549" t="s">
        <v>31</v>
      </c>
      <c r="AO549">
        <v>0</v>
      </c>
      <c r="AS549" t="s">
        <v>392</v>
      </c>
      <c r="AX549" t="s">
        <v>57</v>
      </c>
      <c r="AY549" t="s">
        <v>442</v>
      </c>
      <c r="AZ549" t="s">
        <v>2390</v>
      </c>
      <c r="BE549" t="s">
        <v>2391</v>
      </c>
      <c r="BF549">
        <v>0</v>
      </c>
      <c r="BK549" t="s">
        <v>31</v>
      </c>
      <c r="BS549" t="s">
        <v>419</v>
      </c>
      <c r="BT549" t="s">
        <v>419</v>
      </c>
      <c r="CI549" t="s">
        <v>388</v>
      </c>
      <c r="CJ549" s="14">
        <v>45013</v>
      </c>
      <c r="CK549">
        <v>1</v>
      </c>
    </row>
    <row r="550" spans="1:89">
      <c r="A550" t="s">
        <v>454</v>
      </c>
      <c r="B550" t="s">
        <v>374</v>
      </c>
      <c r="C550" t="s">
        <v>455</v>
      </c>
      <c r="D550" t="s">
        <v>2392</v>
      </c>
      <c r="E550" t="s">
        <v>2393</v>
      </c>
      <c r="F550" s="13">
        <v>44620.937708333331</v>
      </c>
      <c r="G550" t="s">
        <v>2387</v>
      </c>
      <c r="H550" t="s">
        <v>2388</v>
      </c>
      <c r="I550" s="13">
        <v>45012.044108796297</v>
      </c>
      <c r="K550" t="s">
        <v>415</v>
      </c>
      <c r="M550" s="13">
        <v>44803</v>
      </c>
      <c r="R550">
        <v>0</v>
      </c>
      <c r="S550" t="s">
        <v>380</v>
      </c>
      <c r="T550" t="s">
        <v>57</v>
      </c>
      <c r="V550" t="s">
        <v>478</v>
      </c>
      <c r="W550" t="s">
        <v>2306</v>
      </c>
      <c r="X550" t="s">
        <v>2306</v>
      </c>
      <c r="AF550" t="s">
        <v>451</v>
      </c>
      <c r="AI550">
        <v>-209</v>
      </c>
      <c r="AL550" t="s">
        <v>2394</v>
      </c>
      <c r="AN550" t="s">
        <v>57</v>
      </c>
      <c r="AO550">
        <v>0</v>
      </c>
      <c r="AS550" t="s">
        <v>392</v>
      </c>
      <c r="AX550" t="s">
        <v>57</v>
      </c>
      <c r="AY550" t="s">
        <v>442</v>
      </c>
      <c r="AZ550" t="s">
        <v>2395</v>
      </c>
      <c r="BE550" t="s">
        <v>2396</v>
      </c>
      <c r="BF550">
        <v>0</v>
      </c>
      <c r="BK550" t="s">
        <v>31</v>
      </c>
      <c r="BS550" t="s">
        <v>419</v>
      </c>
      <c r="BT550" t="s">
        <v>419</v>
      </c>
      <c r="CI550" t="s">
        <v>388</v>
      </c>
      <c r="CJ550" s="14">
        <v>45013</v>
      </c>
      <c r="CK550">
        <v>1</v>
      </c>
    </row>
    <row r="551" spans="1:89">
      <c r="A551" t="s">
        <v>454</v>
      </c>
      <c r="B551" t="s">
        <v>374</v>
      </c>
      <c r="C551" t="s">
        <v>455</v>
      </c>
      <c r="D551" t="s">
        <v>2397</v>
      </c>
      <c r="E551" t="s">
        <v>2398</v>
      </c>
      <c r="F551" s="13">
        <v>44620.903287037036</v>
      </c>
      <c r="G551" t="s">
        <v>2399</v>
      </c>
      <c r="H551" t="s">
        <v>2400</v>
      </c>
      <c r="I551" s="13">
        <v>45012.044108796297</v>
      </c>
      <c r="K551" t="s">
        <v>415</v>
      </c>
      <c r="M551" s="13">
        <v>44882</v>
      </c>
      <c r="R551">
        <v>0</v>
      </c>
      <c r="S551" t="s">
        <v>380</v>
      </c>
      <c r="T551" t="s">
        <v>57</v>
      </c>
      <c r="V551" t="s">
        <v>478</v>
      </c>
      <c r="W551" t="s">
        <v>2401</v>
      </c>
      <c r="X551" t="s">
        <v>2401</v>
      </c>
      <c r="AF551" t="s">
        <v>451</v>
      </c>
      <c r="AI551">
        <v>-130</v>
      </c>
      <c r="AL551" t="s">
        <v>2402</v>
      </c>
      <c r="AN551" t="s">
        <v>31</v>
      </c>
      <c r="AO551">
        <v>0</v>
      </c>
      <c r="AS551" t="s">
        <v>385</v>
      </c>
      <c r="AX551" t="s">
        <v>57</v>
      </c>
      <c r="AY551" t="s">
        <v>386</v>
      </c>
      <c r="AZ551" t="s">
        <v>2403</v>
      </c>
      <c r="BE551" t="s">
        <v>2404</v>
      </c>
      <c r="BF551">
        <v>0</v>
      </c>
      <c r="BK551" t="s">
        <v>31</v>
      </c>
      <c r="BS551" t="s">
        <v>419</v>
      </c>
      <c r="BT551" t="s">
        <v>419</v>
      </c>
      <c r="CI551" t="s">
        <v>388</v>
      </c>
      <c r="CJ551" s="14">
        <v>45013</v>
      </c>
      <c r="CK551">
        <v>1</v>
      </c>
    </row>
    <row r="552" spans="1:89">
      <c r="A552" t="s">
        <v>454</v>
      </c>
      <c r="B552" t="s">
        <v>374</v>
      </c>
      <c r="C552" t="s">
        <v>455</v>
      </c>
      <c r="D552" t="s">
        <v>2405</v>
      </c>
      <c r="E552" t="s">
        <v>2406</v>
      </c>
      <c r="F552" s="13">
        <v>44620.887777777774</v>
      </c>
      <c r="G552" t="s">
        <v>2399</v>
      </c>
      <c r="H552" t="s">
        <v>2400</v>
      </c>
      <c r="I552" s="13">
        <v>45012.04409722222</v>
      </c>
      <c r="K552" t="s">
        <v>415</v>
      </c>
      <c r="M552" s="13">
        <v>44881</v>
      </c>
      <c r="R552">
        <v>0</v>
      </c>
      <c r="S552" t="s">
        <v>380</v>
      </c>
      <c r="T552" t="s">
        <v>57</v>
      </c>
      <c r="V552" t="s">
        <v>478</v>
      </c>
      <c r="W552" t="s">
        <v>2401</v>
      </c>
      <c r="X552" t="s">
        <v>2401</v>
      </c>
      <c r="AF552" t="s">
        <v>451</v>
      </c>
      <c r="AI552">
        <v>-131</v>
      </c>
      <c r="AL552" t="s">
        <v>2407</v>
      </c>
      <c r="AN552" t="s">
        <v>31</v>
      </c>
      <c r="AO552">
        <v>0</v>
      </c>
      <c r="AS552" t="s">
        <v>385</v>
      </c>
      <c r="AX552" t="s">
        <v>57</v>
      </c>
      <c r="AY552" t="s">
        <v>386</v>
      </c>
      <c r="AZ552" t="s">
        <v>2408</v>
      </c>
      <c r="BE552" t="s">
        <v>2409</v>
      </c>
      <c r="BF552">
        <v>0</v>
      </c>
      <c r="BK552" t="s">
        <v>31</v>
      </c>
      <c r="BS552" t="s">
        <v>419</v>
      </c>
      <c r="BT552" t="s">
        <v>419</v>
      </c>
      <c r="CI552" t="s">
        <v>388</v>
      </c>
      <c r="CJ552" s="14">
        <v>45013</v>
      </c>
      <c r="CK552">
        <v>1</v>
      </c>
    </row>
    <row r="553" spans="1:89">
      <c r="A553" t="s">
        <v>454</v>
      </c>
      <c r="B553" t="s">
        <v>374</v>
      </c>
      <c r="C553" t="s">
        <v>455</v>
      </c>
      <c r="D553" t="s">
        <v>2410</v>
      </c>
      <c r="E553" t="s">
        <v>2411</v>
      </c>
      <c r="F553" s="13">
        <v>44620.855370370373</v>
      </c>
      <c r="G553" t="s">
        <v>2399</v>
      </c>
      <c r="H553" t="s">
        <v>2400</v>
      </c>
      <c r="I553" s="13">
        <v>45012.04409722222</v>
      </c>
      <c r="K553" t="s">
        <v>415</v>
      </c>
      <c r="M553" s="13">
        <v>44882</v>
      </c>
      <c r="R553">
        <v>0</v>
      </c>
      <c r="S553" t="s">
        <v>380</v>
      </c>
      <c r="T553" t="s">
        <v>57</v>
      </c>
      <c r="V553" t="s">
        <v>478</v>
      </c>
      <c r="W553" t="s">
        <v>2401</v>
      </c>
      <c r="X553" t="s">
        <v>2401</v>
      </c>
      <c r="AF553" t="s">
        <v>451</v>
      </c>
      <c r="AI553">
        <v>-130</v>
      </c>
      <c r="AL553" t="s">
        <v>2412</v>
      </c>
      <c r="AN553" t="s">
        <v>31</v>
      </c>
      <c r="AO553">
        <v>0</v>
      </c>
      <c r="AS553" t="s">
        <v>385</v>
      </c>
      <c r="AX553" t="s">
        <v>57</v>
      </c>
      <c r="AY553" t="s">
        <v>386</v>
      </c>
      <c r="AZ553" t="s">
        <v>2413</v>
      </c>
      <c r="BE553" t="s">
        <v>2414</v>
      </c>
      <c r="BF553">
        <v>0</v>
      </c>
      <c r="BK553" t="s">
        <v>31</v>
      </c>
      <c r="BS553" t="s">
        <v>419</v>
      </c>
      <c r="BT553" t="s">
        <v>419</v>
      </c>
      <c r="CI553" t="s">
        <v>388</v>
      </c>
      <c r="CJ553" s="14">
        <v>45013</v>
      </c>
      <c r="CK553">
        <v>1</v>
      </c>
    </row>
    <row r="554" spans="1:89">
      <c r="A554" t="s">
        <v>454</v>
      </c>
      <c r="B554" t="s">
        <v>374</v>
      </c>
      <c r="C554" t="s">
        <v>455</v>
      </c>
      <c r="D554" t="s">
        <v>2415</v>
      </c>
      <c r="E554" t="s">
        <v>2416</v>
      </c>
      <c r="F554" s="13">
        <v>44620.822314814817</v>
      </c>
      <c r="G554" t="s">
        <v>2399</v>
      </c>
      <c r="H554" t="s">
        <v>2400</v>
      </c>
      <c r="I554" s="13">
        <v>45012.04409722222</v>
      </c>
      <c r="K554" t="s">
        <v>415</v>
      </c>
      <c r="M554" s="13">
        <v>44769</v>
      </c>
      <c r="R554">
        <v>0</v>
      </c>
      <c r="S554" t="s">
        <v>380</v>
      </c>
      <c r="T554" t="s">
        <v>57</v>
      </c>
      <c r="V554" t="s">
        <v>478</v>
      </c>
      <c r="W554" t="s">
        <v>2417</v>
      </c>
      <c r="X554" t="s">
        <v>2417</v>
      </c>
      <c r="AF554" t="s">
        <v>451</v>
      </c>
      <c r="AI554">
        <v>-243</v>
      </c>
      <c r="AL554" t="s">
        <v>2418</v>
      </c>
      <c r="AN554" t="s">
        <v>31</v>
      </c>
      <c r="AO554">
        <v>0</v>
      </c>
      <c r="AS554" t="s">
        <v>385</v>
      </c>
      <c r="AX554" t="s">
        <v>57</v>
      </c>
      <c r="AY554" t="s">
        <v>386</v>
      </c>
      <c r="AZ554" t="s">
        <v>2419</v>
      </c>
      <c r="BE554" t="s">
        <v>2420</v>
      </c>
      <c r="BF554">
        <v>0</v>
      </c>
      <c r="BK554" t="s">
        <v>31</v>
      </c>
      <c r="BS554" t="s">
        <v>419</v>
      </c>
      <c r="BT554" t="s">
        <v>419</v>
      </c>
      <c r="CI554" t="s">
        <v>388</v>
      </c>
      <c r="CJ554" s="14">
        <v>45013</v>
      </c>
      <c r="CK554">
        <v>1</v>
      </c>
    </row>
    <row r="555" spans="1:89">
      <c r="A555" t="s">
        <v>697</v>
      </c>
      <c r="B555" t="s">
        <v>374</v>
      </c>
      <c r="C555" t="s">
        <v>698</v>
      </c>
      <c r="D555" t="s">
        <v>2421</v>
      </c>
      <c r="E555" t="s">
        <v>2422</v>
      </c>
      <c r="F555" s="13">
        <v>44620.779594907406</v>
      </c>
      <c r="G555" t="s">
        <v>2423</v>
      </c>
      <c r="H555" t="s">
        <v>2424</v>
      </c>
      <c r="I555" s="13">
        <v>45012.044085648151</v>
      </c>
      <c r="K555" t="s">
        <v>415</v>
      </c>
      <c r="M555" s="13">
        <v>44651</v>
      </c>
      <c r="R555">
        <v>0</v>
      </c>
      <c r="S555" t="s">
        <v>380</v>
      </c>
      <c r="T555" t="s">
        <v>57</v>
      </c>
      <c r="V555" t="s">
        <v>478</v>
      </c>
      <c r="W555" t="s">
        <v>2425</v>
      </c>
      <c r="X555" t="s">
        <v>2425</v>
      </c>
      <c r="AF555" t="s">
        <v>451</v>
      </c>
      <c r="AI555">
        <v>-361</v>
      </c>
      <c r="AL555" t="s">
        <v>2426</v>
      </c>
      <c r="AN555" t="s">
        <v>31</v>
      </c>
      <c r="AO555">
        <v>0</v>
      </c>
      <c r="AS555" t="s">
        <v>392</v>
      </c>
      <c r="AX555" t="s">
        <v>31</v>
      </c>
      <c r="AY555" t="s">
        <v>386</v>
      </c>
      <c r="AZ555" t="s">
        <v>2427</v>
      </c>
      <c r="BF555">
        <v>0</v>
      </c>
      <c r="BK555" t="s">
        <v>31</v>
      </c>
      <c r="BS555" t="s">
        <v>419</v>
      </c>
      <c r="BT555" t="s">
        <v>419</v>
      </c>
      <c r="CI555" t="s">
        <v>388</v>
      </c>
      <c r="CJ555" s="14">
        <v>45013</v>
      </c>
      <c r="CK555">
        <v>1</v>
      </c>
    </row>
    <row r="556" spans="1:89">
      <c r="A556" t="s">
        <v>697</v>
      </c>
      <c r="B556" t="s">
        <v>374</v>
      </c>
      <c r="C556" t="s">
        <v>698</v>
      </c>
      <c r="D556" t="s">
        <v>2428</v>
      </c>
      <c r="E556" t="s">
        <v>2429</v>
      </c>
      <c r="F556" s="13">
        <v>44620.770682870374</v>
      </c>
      <c r="G556" t="s">
        <v>2423</v>
      </c>
      <c r="H556" t="s">
        <v>2424</v>
      </c>
      <c r="I556" s="13">
        <v>45012.044085648151</v>
      </c>
      <c r="K556" t="s">
        <v>415</v>
      </c>
      <c r="M556" s="13">
        <v>44742</v>
      </c>
      <c r="R556">
        <v>0</v>
      </c>
      <c r="S556" t="s">
        <v>380</v>
      </c>
      <c r="T556" t="s">
        <v>57</v>
      </c>
      <c r="V556" t="s">
        <v>478</v>
      </c>
      <c r="W556" t="s">
        <v>2425</v>
      </c>
      <c r="X556" t="s">
        <v>2425</v>
      </c>
      <c r="AF556" t="s">
        <v>451</v>
      </c>
      <c r="AI556">
        <v>-270</v>
      </c>
      <c r="AL556" t="s">
        <v>2430</v>
      </c>
      <c r="AN556" t="s">
        <v>31</v>
      </c>
      <c r="AO556">
        <v>0</v>
      </c>
      <c r="AS556" t="s">
        <v>526</v>
      </c>
      <c r="AX556" t="s">
        <v>31</v>
      </c>
      <c r="AY556" t="s">
        <v>386</v>
      </c>
      <c r="AZ556" t="s">
        <v>2431</v>
      </c>
      <c r="BF556">
        <v>0</v>
      </c>
      <c r="BK556" t="s">
        <v>31</v>
      </c>
      <c r="BS556" t="s">
        <v>419</v>
      </c>
      <c r="BT556" t="s">
        <v>419</v>
      </c>
      <c r="CI556" t="s">
        <v>388</v>
      </c>
      <c r="CJ556" s="14">
        <v>45013</v>
      </c>
      <c r="CK556">
        <v>1</v>
      </c>
    </row>
    <row r="557" spans="1:89">
      <c r="A557" t="s">
        <v>454</v>
      </c>
      <c r="B557" t="s">
        <v>374</v>
      </c>
      <c r="C557" t="s">
        <v>455</v>
      </c>
      <c r="D557" t="s">
        <v>2432</v>
      </c>
      <c r="E557" t="s">
        <v>2433</v>
      </c>
      <c r="F557" s="13">
        <v>44620.740208333336</v>
      </c>
      <c r="G557" t="s">
        <v>2399</v>
      </c>
      <c r="H557" t="s">
        <v>2400</v>
      </c>
      <c r="I557" s="13">
        <v>45012.044085648151</v>
      </c>
      <c r="K557" t="s">
        <v>415</v>
      </c>
      <c r="M557" s="13">
        <v>44769</v>
      </c>
      <c r="R557">
        <v>0</v>
      </c>
      <c r="S557" t="s">
        <v>380</v>
      </c>
      <c r="T557" t="s">
        <v>57</v>
      </c>
      <c r="V557" t="s">
        <v>478</v>
      </c>
      <c r="W557" t="s">
        <v>2417</v>
      </c>
      <c r="X557" t="s">
        <v>2417</v>
      </c>
      <c r="AF557" t="s">
        <v>451</v>
      </c>
      <c r="AI557">
        <v>-243</v>
      </c>
      <c r="AL557" t="s">
        <v>2434</v>
      </c>
      <c r="AN557" t="s">
        <v>31</v>
      </c>
      <c r="AO557">
        <v>0</v>
      </c>
      <c r="AS557" t="s">
        <v>385</v>
      </c>
      <c r="AX557" t="s">
        <v>57</v>
      </c>
      <c r="AY557" t="s">
        <v>386</v>
      </c>
      <c r="AZ557" t="s">
        <v>2435</v>
      </c>
      <c r="BE557" t="s">
        <v>2436</v>
      </c>
      <c r="BF557">
        <v>0</v>
      </c>
      <c r="BK557" t="s">
        <v>31</v>
      </c>
      <c r="BS557" t="s">
        <v>419</v>
      </c>
      <c r="BT557" t="s">
        <v>419</v>
      </c>
      <c r="CI557" t="s">
        <v>388</v>
      </c>
      <c r="CJ557" s="14">
        <v>45013</v>
      </c>
      <c r="CK557">
        <v>1</v>
      </c>
    </row>
    <row r="558" spans="1:89">
      <c r="A558" t="s">
        <v>2332</v>
      </c>
      <c r="B558" t="s">
        <v>374</v>
      </c>
      <c r="C558" t="s">
        <v>2333</v>
      </c>
      <c r="D558" t="s">
        <v>2437</v>
      </c>
      <c r="E558" t="e">
        <f>- Incorporate the Bankerâ€™s check in the monthly review process, as conducted by the CRAs. This review will confirm that the client data is correctly updated on the source system (i.e. COCL data extract) to confirm that all clients are correctly linked to a Banker and that there are no unmanaged clients.  - CRAs will update the Banker details on the source system where CIB clients were incorrectly or not linked to a Banker.</f>
        <v>#NAME?</v>
      </c>
      <c r="F558" s="13">
        <v>44620.735821759263</v>
      </c>
      <c r="G558" t="s">
        <v>2438</v>
      </c>
      <c r="H558" t="s">
        <v>2439</v>
      </c>
      <c r="I558" s="13">
        <v>45012.044074074074</v>
      </c>
      <c r="K558" t="s">
        <v>415</v>
      </c>
      <c r="M558" s="13">
        <v>44681</v>
      </c>
      <c r="R558">
        <v>0</v>
      </c>
      <c r="S558" t="s">
        <v>380</v>
      </c>
      <c r="T558" t="s">
        <v>57</v>
      </c>
      <c r="V558" t="s">
        <v>478</v>
      </c>
      <c r="W558" t="s">
        <v>2440</v>
      </c>
      <c r="X558" t="s">
        <v>2440</v>
      </c>
      <c r="AC558" s="13">
        <v>44652</v>
      </c>
      <c r="AD558" s="13">
        <v>44621</v>
      </c>
      <c r="AF558" t="s">
        <v>451</v>
      </c>
      <c r="AI558">
        <v>-331</v>
      </c>
      <c r="AL558" t="s">
        <v>2441</v>
      </c>
      <c r="AN558" t="s">
        <v>31</v>
      </c>
      <c r="AO558">
        <v>0</v>
      </c>
      <c r="AS558" t="s">
        <v>385</v>
      </c>
      <c r="AX558" t="s">
        <v>57</v>
      </c>
      <c r="AY558" t="s">
        <v>386</v>
      </c>
      <c r="AZ558" t="s">
        <v>2442</v>
      </c>
      <c r="BE558" t="s">
        <v>2443</v>
      </c>
      <c r="BF558">
        <v>0</v>
      </c>
      <c r="BK558" t="s">
        <v>31</v>
      </c>
      <c r="BS558" t="s">
        <v>419</v>
      </c>
      <c r="BT558" t="s">
        <v>419</v>
      </c>
      <c r="CI558" t="s">
        <v>388</v>
      </c>
      <c r="CJ558" s="14">
        <v>45013</v>
      </c>
      <c r="CK558">
        <v>1</v>
      </c>
    </row>
    <row r="559" spans="1:89">
      <c r="A559" t="s">
        <v>2444</v>
      </c>
      <c r="B559" t="s">
        <v>374</v>
      </c>
      <c r="C559" t="s">
        <v>2445</v>
      </c>
      <c r="D559" t="s">
        <v>2446</v>
      </c>
      <c r="E559" t="s">
        <v>2447</v>
      </c>
      <c r="F559" s="13">
        <v>44620.728726851848</v>
      </c>
      <c r="G559" t="s">
        <v>1526</v>
      </c>
      <c r="H559" t="s">
        <v>1527</v>
      </c>
      <c r="I559" s="13">
        <v>44620.72928240741</v>
      </c>
      <c r="K559" t="s">
        <v>412</v>
      </c>
      <c r="R559">
        <v>0</v>
      </c>
      <c r="S559" t="s">
        <v>380</v>
      </c>
      <c r="T559" t="s">
        <v>57</v>
      </c>
      <c r="V559" t="s">
        <v>381</v>
      </c>
      <c r="W559" t="s">
        <v>2448</v>
      </c>
      <c r="X559" t="s">
        <v>2448</v>
      </c>
      <c r="AI559">
        <v>77</v>
      </c>
      <c r="AL559" t="s">
        <v>2449</v>
      </c>
      <c r="AN559" t="s">
        <v>31</v>
      </c>
      <c r="AO559">
        <v>0</v>
      </c>
      <c r="AS559" t="s">
        <v>538</v>
      </c>
      <c r="AX559" t="s">
        <v>31</v>
      </c>
      <c r="AY559" t="s">
        <v>442</v>
      </c>
      <c r="AZ559" t="s">
        <v>2450</v>
      </c>
      <c r="BF559">
        <v>0</v>
      </c>
      <c r="BK559" t="s">
        <v>31</v>
      </c>
      <c r="BS559" t="s">
        <v>412</v>
      </c>
      <c r="BT559" t="s">
        <v>412</v>
      </c>
      <c r="CI559" t="s">
        <v>388</v>
      </c>
      <c r="CJ559" s="14">
        <v>45013</v>
      </c>
      <c r="CK559">
        <v>1</v>
      </c>
    </row>
    <row r="560" spans="1:89">
      <c r="A560" t="s">
        <v>2451</v>
      </c>
      <c r="B560" t="s">
        <v>374</v>
      </c>
      <c r="C560" t="s">
        <v>2452</v>
      </c>
      <c r="D560" t="s">
        <v>2453</v>
      </c>
      <c r="E560" t="s">
        <v>2454</v>
      </c>
      <c r="F560" s="13">
        <v>44620.713182870371</v>
      </c>
      <c r="G560" t="s">
        <v>2455</v>
      </c>
      <c r="H560" t="s">
        <v>2456</v>
      </c>
      <c r="I560" s="13">
        <v>44620.713182870371</v>
      </c>
      <c r="K560" t="s">
        <v>412</v>
      </c>
      <c r="R560">
        <v>0</v>
      </c>
      <c r="S560" t="s">
        <v>380</v>
      </c>
      <c r="V560" t="s">
        <v>381</v>
      </c>
      <c r="W560" t="s">
        <v>2457</v>
      </c>
      <c r="X560" t="s">
        <v>2457</v>
      </c>
      <c r="AI560">
        <v>31</v>
      </c>
      <c r="AL560" t="s">
        <v>2458</v>
      </c>
      <c r="AN560" t="s">
        <v>31</v>
      </c>
      <c r="AO560">
        <v>0</v>
      </c>
      <c r="AZ560" t="s">
        <v>2459</v>
      </c>
      <c r="BF560">
        <v>0</v>
      </c>
      <c r="BK560" t="s">
        <v>31</v>
      </c>
      <c r="BS560" t="s">
        <v>412</v>
      </c>
      <c r="BT560" t="s">
        <v>412</v>
      </c>
      <c r="CI560" t="s">
        <v>388</v>
      </c>
      <c r="CJ560" s="14">
        <v>45013</v>
      </c>
      <c r="CK560">
        <v>1</v>
      </c>
    </row>
    <row r="561" spans="1:89">
      <c r="A561" t="s">
        <v>454</v>
      </c>
      <c r="B561" t="s">
        <v>374</v>
      </c>
      <c r="C561" t="s">
        <v>455</v>
      </c>
      <c r="D561" t="s">
        <v>2460</v>
      </c>
      <c r="E561" t="s">
        <v>2461</v>
      </c>
      <c r="F561" s="13">
        <v>44620.708668981482</v>
      </c>
      <c r="G561" t="s">
        <v>1264</v>
      </c>
      <c r="H561" t="s">
        <v>1265</v>
      </c>
      <c r="I561" s="13">
        <v>44620.719456018516</v>
      </c>
      <c r="K561" t="s">
        <v>379</v>
      </c>
      <c r="M561" s="13">
        <v>44620</v>
      </c>
      <c r="R561">
        <v>100</v>
      </c>
      <c r="S561" t="s">
        <v>380</v>
      </c>
      <c r="T561" t="s">
        <v>57</v>
      </c>
      <c r="V561" t="s">
        <v>381</v>
      </c>
      <c r="W561" t="s">
        <v>2306</v>
      </c>
      <c r="X561" t="s">
        <v>2306</v>
      </c>
      <c r="AF561" t="s">
        <v>382</v>
      </c>
      <c r="AG561" t="s">
        <v>2462</v>
      </c>
      <c r="AI561">
        <v>0</v>
      </c>
      <c r="AL561" t="s">
        <v>2463</v>
      </c>
      <c r="AN561" t="s">
        <v>31</v>
      </c>
      <c r="AO561">
        <v>0</v>
      </c>
      <c r="AS561" t="s">
        <v>385</v>
      </c>
      <c r="AX561" t="s">
        <v>57</v>
      </c>
      <c r="AY561" t="s">
        <v>386</v>
      </c>
      <c r="AZ561" t="s">
        <v>2464</v>
      </c>
      <c r="BF561">
        <v>0</v>
      </c>
      <c r="BK561" t="s">
        <v>31</v>
      </c>
      <c r="BS561" t="s">
        <v>379</v>
      </c>
      <c r="BT561" t="s">
        <v>379</v>
      </c>
      <c r="CI561" t="s">
        <v>388</v>
      </c>
      <c r="CJ561" s="14">
        <v>45013</v>
      </c>
      <c r="CK561">
        <v>1</v>
      </c>
    </row>
    <row r="562" spans="1:89">
      <c r="A562" t="s">
        <v>2451</v>
      </c>
      <c r="B562" t="s">
        <v>374</v>
      </c>
      <c r="C562" t="s">
        <v>2452</v>
      </c>
      <c r="D562" t="s">
        <v>2465</v>
      </c>
      <c r="E562" t="s">
        <v>2466</v>
      </c>
      <c r="F562" s="13">
        <v>44620.703148148146</v>
      </c>
      <c r="G562" t="s">
        <v>2455</v>
      </c>
      <c r="H562" t="s">
        <v>2456</v>
      </c>
      <c r="I562" s="13">
        <v>44620.703148148146</v>
      </c>
      <c r="K562" t="s">
        <v>412</v>
      </c>
      <c r="R562">
        <v>0</v>
      </c>
      <c r="S562" t="s">
        <v>380</v>
      </c>
      <c r="V562" t="s">
        <v>381</v>
      </c>
      <c r="W562" t="s">
        <v>2467</v>
      </c>
      <c r="X562" t="s">
        <v>2467</v>
      </c>
      <c r="AI562">
        <v>31</v>
      </c>
      <c r="AL562" t="s">
        <v>2468</v>
      </c>
      <c r="AN562" t="s">
        <v>31</v>
      </c>
      <c r="AO562">
        <v>0</v>
      </c>
      <c r="AZ562" t="s">
        <v>2469</v>
      </c>
      <c r="BF562">
        <v>0</v>
      </c>
      <c r="BK562" t="s">
        <v>31</v>
      </c>
      <c r="BS562" t="s">
        <v>412</v>
      </c>
      <c r="BT562" t="s">
        <v>412</v>
      </c>
      <c r="CI562" t="s">
        <v>388</v>
      </c>
      <c r="CJ562" s="14">
        <v>45013</v>
      </c>
      <c r="CK562">
        <v>1</v>
      </c>
    </row>
    <row r="563" spans="1:89">
      <c r="A563" t="s">
        <v>2451</v>
      </c>
      <c r="B563" t="s">
        <v>374</v>
      </c>
      <c r="C563" t="s">
        <v>2452</v>
      </c>
      <c r="D563" t="s">
        <v>2470</v>
      </c>
      <c r="E563" t="s">
        <v>2471</v>
      </c>
      <c r="F563" s="13">
        <v>44620.69327546296</v>
      </c>
      <c r="G563" t="s">
        <v>2455</v>
      </c>
      <c r="H563" t="s">
        <v>2456</v>
      </c>
      <c r="I563" s="13">
        <v>44620.693287037036</v>
      </c>
      <c r="K563" t="s">
        <v>412</v>
      </c>
      <c r="R563">
        <v>0</v>
      </c>
      <c r="S563" t="s">
        <v>380</v>
      </c>
      <c r="V563" t="s">
        <v>381</v>
      </c>
      <c r="W563" t="s">
        <v>2440</v>
      </c>
      <c r="X563" t="s">
        <v>2440</v>
      </c>
      <c r="AI563">
        <v>31</v>
      </c>
      <c r="AL563" t="s">
        <v>2472</v>
      </c>
      <c r="AN563" t="s">
        <v>31</v>
      </c>
      <c r="AO563">
        <v>0</v>
      </c>
      <c r="AZ563" t="s">
        <v>2473</v>
      </c>
      <c r="BF563">
        <v>0</v>
      </c>
      <c r="BK563" t="s">
        <v>31</v>
      </c>
      <c r="BS563" t="s">
        <v>412</v>
      </c>
      <c r="BT563" t="s">
        <v>412</v>
      </c>
      <c r="CI563" t="s">
        <v>388</v>
      </c>
      <c r="CJ563" s="14">
        <v>45013</v>
      </c>
      <c r="CK563">
        <v>1</v>
      </c>
    </row>
    <row r="564" spans="1:89">
      <c r="A564" t="s">
        <v>454</v>
      </c>
      <c r="B564" t="s">
        <v>374</v>
      </c>
      <c r="C564" t="s">
        <v>455</v>
      </c>
      <c r="D564" t="s">
        <v>2474</v>
      </c>
      <c r="E564" t="s">
        <v>2475</v>
      </c>
      <c r="F564" s="13">
        <v>44620.67695601852</v>
      </c>
      <c r="G564" t="s">
        <v>2399</v>
      </c>
      <c r="H564" t="s">
        <v>2400</v>
      </c>
      <c r="I564" s="13">
        <v>45012.044074074074</v>
      </c>
      <c r="K564" t="s">
        <v>415</v>
      </c>
      <c r="M564" s="13">
        <v>44769</v>
      </c>
      <c r="R564">
        <v>0</v>
      </c>
      <c r="S564" t="s">
        <v>380</v>
      </c>
      <c r="T564" t="s">
        <v>57</v>
      </c>
      <c r="V564" t="s">
        <v>478</v>
      </c>
      <c r="W564" t="s">
        <v>2417</v>
      </c>
      <c r="X564" t="s">
        <v>2417</v>
      </c>
      <c r="AF564" t="s">
        <v>451</v>
      </c>
      <c r="AI564">
        <v>-243</v>
      </c>
      <c r="AL564" t="s">
        <v>2476</v>
      </c>
      <c r="AN564" t="s">
        <v>31</v>
      </c>
      <c r="AO564">
        <v>0</v>
      </c>
      <c r="AS564" t="s">
        <v>385</v>
      </c>
      <c r="AX564" t="s">
        <v>57</v>
      </c>
      <c r="AY564" t="s">
        <v>386</v>
      </c>
      <c r="AZ564" t="s">
        <v>2477</v>
      </c>
      <c r="BE564" t="s">
        <v>2478</v>
      </c>
      <c r="BF564">
        <v>0</v>
      </c>
      <c r="BK564" t="s">
        <v>31</v>
      </c>
      <c r="BS564" t="s">
        <v>419</v>
      </c>
      <c r="BT564" t="s">
        <v>419</v>
      </c>
      <c r="CI564" t="s">
        <v>388</v>
      </c>
      <c r="CJ564" s="14">
        <v>45013</v>
      </c>
      <c r="CK564">
        <v>1</v>
      </c>
    </row>
    <row r="565" spans="1:89">
      <c r="A565" t="s">
        <v>1522</v>
      </c>
      <c r="B565" t="s">
        <v>374</v>
      </c>
      <c r="C565" t="s">
        <v>1523</v>
      </c>
      <c r="D565" t="s">
        <v>2479</v>
      </c>
      <c r="E565" t="s">
        <v>2480</v>
      </c>
      <c r="F565" s="13">
        <v>44620.67114583333</v>
      </c>
      <c r="G565" t="s">
        <v>1526</v>
      </c>
      <c r="H565" t="s">
        <v>1527</v>
      </c>
      <c r="I565" s="13">
        <v>44620.671770833331</v>
      </c>
      <c r="K565" t="s">
        <v>412</v>
      </c>
      <c r="R565">
        <v>0</v>
      </c>
      <c r="S565" t="s">
        <v>380</v>
      </c>
      <c r="T565" t="s">
        <v>57</v>
      </c>
      <c r="V565" t="s">
        <v>381</v>
      </c>
      <c r="W565" t="s">
        <v>2481</v>
      </c>
      <c r="X565" t="s">
        <v>2481</v>
      </c>
      <c r="AI565">
        <v>31</v>
      </c>
      <c r="AL565" t="s">
        <v>2482</v>
      </c>
      <c r="AN565" t="s">
        <v>31</v>
      </c>
      <c r="AO565">
        <v>0</v>
      </c>
      <c r="AS565" t="s">
        <v>538</v>
      </c>
      <c r="AX565" t="s">
        <v>31</v>
      </c>
      <c r="AY565" t="s">
        <v>442</v>
      </c>
      <c r="AZ565" t="s">
        <v>2483</v>
      </c>
      <c r="BF565">
        <v>0</v>
      </c>
      <c r="BK565" t="s">
        <v>31</v>
      </c>
      <c r="BS565" t="s">
        <v>412</v>
      </c>
      <c r="BT565" t="s">
        <v>412</v>
      </c>
      <c r="CI565" t="s">
        <v>388</v>
      </c>
      <c r="CJ565" s="14">
        <v>45013</v>
      </c>
      <c r="CK565">
        <v>1</v>
      </c>
    </row>
    <row r="566" spans="1:89">
      <c r="A566" t="s">
        <v>2484</v>
      </c>
      <c r="B566" t="s">
        <v>374</v>
      </c>
      <c r="C566" t="s">
        <v>2485</v>
      </c>
      <c r="D566" t="s">
        <v>2486</v>
      </c>
      <c r="E566" t="s">
        <v>2487</v>
      </c>
      <c r="F566" s="13">
        <v>44620.663888888892</v>
      </c>
      <c r="G566" t="s">
        <v>1526</v>
      </c>
      <c r="H566" t="s">
        <v>1527</v>
      </c>
      <c r="I566" s="13">
        <v>44620.664456018516</v>
      </c>
      <c r="K566" t="s">
        <v>412</v>
      </c>
      <c r="R566">
        <v>0</v>
      </c>
      <c r="S566" t="s">
        <v>380</v>
      </c>
      <c r="T566" t="s">
        <v>57</v>
      </c>
      <c r="V566" t="s">
        <v>381</v>
      </c>
      <c r="W566" t="s">
        <v>2481</v>
      </c>
      <c r="X566" t="s">
        <v>2481</v>
      </c>
      <c r="AI566">
        <v>31</v>
      </c>
      <c r="AL566" t="s">
        <v>2488</v>
      </c>
      <c r="AN566" t="s">
        <v>31</v>
      </c>
      <c r="AO566">
        <v>0</v>
      </c>
      <c r="AS566" t="s">
        <v>538</v>
      </c>
      <c r="AX566" t="s">
        <v>31</v>
      </c>
      <c r="AY566" t="s">
        <v>442</v>
      </c>
      <c r="AZ566" t="s">
        <v>2483</v>
      </c>
      <c r="BF566">
        <v>0</v>
      </c>
      <c r="BK566" t="s">
        <v>31</v>
      </c>
      <c r="BS566" t="s">
        <v>412</v>
      </c>
      <c r="BT566" t="s">
        <v>412</v>
      </c>
      <c r="CI566" t="s">
        <v>388</v>
      </c>
      <c r="CJ566" s="14">
        <v>45013</v>
      </c>
      <c r="CK566">
        <v>1</v>
      </c>
    </row>
    <row r="567" spans="1:89">
      <c r="A567" t="s">
        <v>2451</v>
      </c>
      <c r="B567" t="s">
        <v>374</v>
      </c>
      <c r="C567" t="s">
        <v>2452</v>
      </c>
      <c r="D567" t="s">
        <v>2489</v>
      </c>
      <c r="E567" t="s">
        <v>2490</v>
      </c>
      <c r="F567" s="13">
        <v>44620.6637962963</v>
      </c>
      <c r="G567" t="s">
        <v>2455</v>
      </c>
      <c r="H567" t="s">
        <v>2456</v>
      </c>
      <c r="I567" s="13">
        <v>44620.663807870369</v>
      </c>
      <c r="K567" t="s">
        <v>412</v>
      </c>
      <c r="R567">
        <v>0</v>
      </c>
      <c r="S567" t="s">
        <v>380</v>
      </c>
      <c r="V567" t="s">
        <v>381</v>
      </c>
      <c r="W567" t="s">
        <v>2467</v>
      </c>
      <c r="X567" t="s">
        <v>2467</v>
      </c>
      <c r="AI567">
        <v>31</v>
      </c>
      <c r="AL567" t="s">
        <v>2491</v>
      </c>
      <c r="AN567" t="s">
        <v>31</v>
      </c>
      <c r="AO567">
        <v>0</v>
      </c>
      <c r="AZ567" t="s">
        <v>2492</v>
      </c>
      <c r="BF567">
        <v>0</v>
      </c>
      <c r="BK567" t="s">
        <v>31</v>
      </c>
      <c r="BS567" t="s">
        <v>412</v>
      </c>
      <c r="BT567" t="s">
        <v>412</v>
      </c>
      <c r="CI567" t="s">
        <v>388</v>
      </c>
      <c r="CJ567" s="14">
        <v>45013</v>
      </c>
      <c r="CK567">
        <v>1</v>
      </c>
    </row>
    <row r="568" spans="1:89">
      <c r="A568" t="s">
        <v>2332</v>
      </c>
      <c r="B568" t="s">
        <v>374</v>
      </c>
      <c r="C568" t="s">
        <v>2333</v>
      </c>
      <c r="D568" t="s">
        <v>2493</v>
      </c>
      <c r="E568" t="s">
        <v>2494</v>
      </c>
      <c r="F568" s="13">
        <v>44620.655925925923</v>
      </c>
      <c r="G568" t="s">
        <v>2438</v>
      </c>
      <c r="H568" t="s">
        <v>2439</v>
      </c>
      <c r="I568" s="13">
        <v>45012.044074074074</v>
      </c>
      <c r="K568" t="s">
        <v>415</v>
      </c>
      <c r="M568" s="13">
        <v>44742</v>
      </c>
      <c r="R568">
        <v>0</v>
      </c>
      <c r="S568" t="s">
        <v>380</v>
      </c>
      <c r="T568" t="s">
        <v>57</v>
      </c>
      <c r="V568" t="s">
        <v>478</v>
      </c>
      <c r="W568" t="s">
        <v>2440</v>
      </c>
      <c r="X568" t="s">
        <v>2440</v>
      </c>
      <c r="AF568" t="s">
        <v>451</v>
      </c>
      <c r="AI568">
        <v>-270</v>
      </c>
      <c r="AL568" t="s">
        <v>2495</v>
      </c>
      <c r="AN568" t="s">
        <v>31</v>
      </c>
      <c r="AO568">
        <v>0</v>
      </c>
      <c r="AS568" t="s">
        <v>522</v>
      </c>
      <c r="AX568" t="s">
        <v>57</v>
      </c>
      <c r="AY568" t="s">
        <v>442</v>
      </c>
      <c r="AZ568" t="s">
        <v>2496</v>
      </c>
      <c r="BE568" t="s">
        <v>2443</v>
      </c>
      <c r="BF568">
        <v>0</v>
      </c>
      <c r="BK568" t="s">
        <v>31</v>
      </c>
      <c r="BS568" t="s">
        <v>419</v>
      </c>
      <c r="BT568" t="s">
        <v>419</v>
      </c>
      <c r="CI568" t="s">
        <v>388</v>
      </c>
      <c r="CJ568" s="14">
        <v>45013</v>
      </c>
      <c r="CK568">
        <v>1</v>
      </c>
    </row>
    <row r="569" spans="1:89">
      <c r="A569" t="s">
        <v>2451</v>
      </c>
      <c r="B569" t="s">
        <v>374</v>
      </c>
      <c r="C569" t="s">
        <v>2452</v>
      </c>
      <c r="D569" t="s">
        <v>2497</v>
      </c>
      <c r="E569" t="s">
        <v>2498</v>
      </c>
      <c r="F569" s="13">
        <v>44620.652465277781</v>
      </c>
      <c r="G569" t="s">
        <v>2455</v>
      </c>
      <c r="H569" t="s">
        <v>2456</v>
      </c>
      <c r="I569" s="13">
        <v>44620.652465277781</v>
      </c>
      <c r="K569" t="s">
        <v>412</v>
      </c>
      <c r="R569">
        <v>0</v>
      </c>
      <c r="S569" t="s">
        <v>380</v>
      </c>
      <c r="V569" t="s">
        <v>381</v>
      </c>
      <c r="W569" t="s">
        <v>2499</v>
      </c>
      <c r="X569" t="s">
        <v>2499</v>
      </c>
      <c r="AI569">
        <v>31</v>
      </c>
      <c r="AL569" t="s">
        <v>2500</v>
      </c>
      <c r="AN569" t="s">
        <v>31</v>
      </c>
      <c r="AO569">
        <v>0</v>
      </c>
      <c r="AZ569" t="s">
        <v>2501</v>
      </c>
      <c r="BF569">
        <v>0</v>
      </c>
      <c r="BK569" t="s">
        <v>31</v>
      </c>
      <c r="BS569" t="s">
        <v>412</v>
      </c>
      <c r="BT569" t="s">
        <v>412</v>
      </c>
      <c r="CI569" t="s">
        <v>388</v>
      </c>
      <c r="CJ569" s="14">
        <v>45013</v>
      </c>
      <c r="CK569">
        <v>1</v>
      </c>
    </row>
    <row r="570" spans="1:89">
      <c r="A570" t="s">
        <v>2502</v>
      </c>
      <c r="B570" t="s">
        <v>374</v>
      </c>
      <c r="C570" t="s">
        <v>2503</v>
      </c>
      <c r="D570" t="s">
        <v>2504</v>
      </c>
      <c r="E570" t="s">
        <v>2505</v>
      </c>
      <c r="F570" s="13">
        <v>44620.645752314813</v>
      </c>
      <c r="G570" t="s">
        <v>2506</v>
      </c>
      <c r="H570" t="s">
        <v>2507</v>
      </c>
      <c r="I570" s="13">
        <v>44620.651701388888</v>
      </c>
      <c r="K570" t="s">
        <v>379</v>
      </c>
      <c r="M570" s="13">
        <v>44620</v>
      </c>
      <c r="R570">
        <v>100</v>
      </c>
      <c r="S570" t="s">
        <v>380</v>
      </c>
      <c r="T570" t="s">
        <v>57</v>
      </c>
      <c r="V570" t="s">
        <v>381</v>
      </c>
      <c r="W570" t="s">
        <v>2507</v>
      </c>
      <c r="X570" t="s">
        <v>2507</v>
      </c>
      <c r="AF570" t="s">
        <v>382</v>
      </c>
      <c r="AG570" t="s">
        <v>382</v>
      </c>
      <c r="AI570">
        <v>0</v>
      </c>
      <c r="AL570" t="s">
        <v>2508</v>
      </c>
      <c r="AN570" t="s">
        <v>31</v>
      </c>
      <c r="AO570">
        <v>0</v>
      </c>
      <c r="AS570" t="s">
        <v>538</v>
      </c>
      <c r="AX570" t="s">
        <v>57</v>
      </c>
      <c r="AY570" t="s">
        <v>386</v>
      </c>
      <c r="AZ570" t="s">
        <v>2509</v>
      </c>
      <c r="BF570">
        <v>0</v>
      </c>
      <c r="BK570" t="s">
        <v>31</v>
      </c>
      <c r="BS570" t="s">
        <v>379</v>
      </c>
      <c r="BT570" t="s">
        <v>379</v>
      </c>
      <c r="CI570" t="s">
        <v>388</v>
      </c>
      <c r="CJ570" s="14">
        <v>45013</v>
      </c>
      <c r="CK570">
        <v>1</v>
      </c>
    </row>
    <row r="571" spans="1:89">
      <c r="A571" t="s">
        <v>2451</v>
      </c>
      <c r="B571" t="s">
        <v>374</v>
      </c>
      <c r="C571" t="s">
        <v>2452</v>
      </c>
      <c r="D571" t="s">
        <v>2510</v>
      </c>
      <c r="E571" t="s">
        <v>2511</v>
      </c>
      <c r="F571" s="13">
        <v>44620.640706018516</v>
      </c>
      <c r="G571" t="s">
        <v>2455</v>
      </c>
      <c r="H571" t="s">
        <v>2456</v>
      </c>
      <c r="I571" s="13">
        <v>44620.641504629632</v>
      </c>
      <c r="K571" t="s">
        <v>412</v>
      </c>
      <c r="R571">
        <v>0</v>
      </c>
      <c r="S571" t="s">
        <v>380</v>
      </c>
      <c r="T571" t="s">
        <v>57</v>
      </c>
      <c r="V571" t="s">
        <v>381</v>
      </c>
      <c r="W571" t="s">
        <v>2512</v>
      </c>
      <c r="X571" t="s">
        <v>2512</v>
      </c>
      <c r="AC571" s="13">
        <v>44562</v>
      </c>
      <c r="AD571" s="13">
        <v>44562</v>
      </c>
      <c r="AI571">
        <v>31</v>
      </c>
      <c r="AL571" t="s">
        <v>2513</v>
      </c>
      <c r="AN571" t="s">
        <v>31</v>
      </c>
      <c r="AO571">
        <v>0</v>
      </c>
      <c r="AS571" t="s">
        <v>392</v>
      </c>
      <c r="AX571" t="s">
        <v>57</v>
      </c>
      <c r="AY571" t="s">
        <v>442</v>
      </c>
      <c r="AZ571" t="s">
        <v>2514</v>
      </c>
      <c r="BF571">
        <v>0</v>
      </c>
      <c r="BK571" t="s">
        <v>31</v>
      </c>
      <c r="BS571" t="s">
        <v>412</v>
      </c>
      <c r="BT571" t="s">
        <v>412</v>
      </c>
      <c r="CI571" t="s">
        <v>388</v>
      </c>
      <c r="CJ571" s="14">
        <v>45013</v>
      </c>
      <c r="CK571">
        <v>1</v>
      </c>
    </row>
    <row r="572" spans="1:89">
      <c r="A572" t="s">
        <v>2227</v>
      </c>
      <c r="B572" t="s">
        <v>374</v>
      </c>
      <c r="C572" t="s">
        <v>2228</v>
      </c>
      <c r="D572" t="s">
        <v>2515</v>
      </c>
      <c r="E572" t="s">
        <v>2516</v>
      </c>
      <c r="F572" s="13">
        <v>44620.598229166666</v>
      </c>
      <c r="G572" t="s">
        <v>2231</v>
      </c>
      <c r="H572" t="s">
        <v>2232</v>
      </c>
      <c r="I572" s="13">
        <v>44972.596226851849</v>
      </c>
      <c r="K572" t="s">
        <v>379</v>
      </c>
      <c r="M572" s="13">
        <v>44848</v>
      </c>
      <c r="R572">
        <v>100</v>
      </c>
      <c r="S572" t="s">
        <v>380</v>
      </c>
      <c r="T572" t="s">
        <v>57</v>
      </c>
      <c r="V572" t="s">
        <v>381</v>
      </c>
      <c r="W572" t="s">
        <v>2233</v>
      </c>
      <c r="X572" t="s">
        <v>2233</v>
      </c>
      <c r="AF572" t="s">
        <v>382</v>
      </c>
      <c r="AG572" t="s">
        <v>2517</v>
      </c>
      <c r="AI572">
        <v>228</v>
      </c>
      <c r="AL572" t="s">
        <v>2518</v>
      </c>
      <c r="AN572" t="s">
        <v>31</v>
      </c>
      <c r="AO572">
        <v>0</v>
      </c>
      <c r="AS572" t="s">
        <v>385</v>
      </c>
      <c r="AX572" t="s">
        <v>57</v>
      </c>
      <c r="AY572" t="s">
        <v>386</v>
      </c>
      <c r="AZ572" t="s">
        <v>2519</v>
      </c>
      <c r="BF572">
        <v>0</v>
      </c>
      <c r="BK572" t="s">
        <v>31</v>
      </c>
      <c r="BS572" t="s">
        <v>379</v>
      </c>
      <c r="BT572" t="s">
        <v>379</v>
      </c>
      <c r="CI572" t="s">
        <v>388</v>
      </c>
      <c r="CJ572" s="14">
        <v>45013</v>
      </c>
      <c r="CK572">
        <v>1</v>
      </c>
    </row>
    <row r="573" spans="1:89">
      <c r="A573" t="s">
        <v>1421</v>
      </c>
      <c r="B573" t="s">
        <v>374</v>
      </c>
      <c r="C573" t="s">
        <v>1422</v>
      </c>
      <c r="D573" t="s">
        <v>2520</v>
      </c>
      <c r="E573" t="s">
        <v>2521</v>
      </c>
      <c r="F573" s="13">
        <v>44620.581793981481</v>
      </c>
      <c r="G573" t="s">
        <v>2522</v>
      </c>
      <c r="H573" t="s">
        <v>2523</v>
      </c>
      <c r="I573" s="13">
        <v>45012.044074074074</v>
      </c>
      <c r="K573" t="s">
        <v>415</v>
      </c>
      <c r="M573" s="13">
        <v>44681</v>
      </c>
      <c r="R573">
        <v>0</v>
      </c>
      <c r="S573" t="s">
        <v>380</v>
      </c>
      <c r="T573" t="s">
        <v>57</v>
      </c>
      <c r="V573" t="s">
        <v>478</v>
      </c>
      <c r="W573" t="s">
        <v>1425</v>
      </c>
      <c r="X573" t="s">
        <v>1425</v>
      </c>
      <c r="AF573" t="s">
        <v>451</v>
      </c>
      <c r="AI573">
        <v>-331</v>
      </c>
      <c r="AL573" t="s">
        <v>2524</v>
      </c>
      <c r="AN573" t="s">
        <v>31</v>
      </c>
      <c r="AO573">
        <v>0</v>
      </c>
      <c r="AS573" t="s">
        <v>392</v>
      </c>
      <c r="AX573" t="s">
        <v>57</v>
      </c>
      <c r="AY573" t="s">
        <v>386</v>
      </c>
      <c r="AZ573" t="s">
        <v>2525</v>
      </c>
      <c r="BF573">
        <v>0</v>
      </c>
      <c r="BK573" t="s">
        <v>31</v>
      </c>
      <c r="BS573" t="s">
        <v>419</v>
      </c>
      <c r="BT573" t="s">
        <v>419</v>
      </c>
      <c r="CI573" t="s">
        <v>388</v>
      </c>
      <c r="CJ573" s="14">
        <v>45013</v>
      </c>
      <c r="CK573">
        <v>1</v>
      </c>
    </row>
    <row r="574" spans="1:89">
      <c r="A574" t="s">
        <v>567</v>
      </c>
      <c r="B574" t="s">
        <v>374</v>
      </c>
      <c r="C574" t="s">
        <v>568</v>
      </c>
      <c r="D574" t="s">
        <v>2526</v>
      </c>
      <c r="E574" t="s">
        <v>2527</v>
      </c>
      <c r="F574" s="13">
        <v>44620.54347222222</v>
      </c>
      <c r="G574" t="s">
        <v>2522</v>
      </c>
      <c r="H574" t="s">
        <v>2523</v>
      </c>
      <c r="I574" s="13">
        <v>45012.044062499997</v>
      </c>
      <c r="K574" t="s">
        <v>415</v>
      </c>
      <c r="M574" s="13">
        <v>44895</v>
      </c>
      <c r="R574">
        <v>0</v>
      </c>
      <c r="S574" t="s">
        <v>380</v>
      </c>
      <c r="T574" t="s">
        <v>57</v>
      </c>
      <c r="V574" t="s">
        <v>478</v>
      </c>
      <c r="W574" t="s">
        <v>1425</v>
      </c>
      <c r="X574" t="s">
        <v>1425</v>
      </c>
      <c r="AF574" t="s">
        <v>451</v>
      </c>
      <c r="AI574">
        <v>-117</v>
      </c>
      <c r="AL574" t="s">
        <v>2528</v>
      </c>
      <c r="AN574" t="s">
        <v>31</v>
      </c>
      <c r="AO574">
        <v>0</v>
      </c>
      <c r="AS574" t="s">
        <v>392</v>
      </c>
      <c r="AX574" t="s">
        <v>57</v>
      </c>
      <c r="AY574" t="s">
        <v>442</v>
      </c>
      <c r="AZ574" t="s">
        <v>2529</v>
      </c>
      <c r="BF574">
        <v>0</v>
      </c>
      <c r="BK574" t="s">
        <v>31</v>
      </c>
      <c r="BS574" t="s">
        <v>419</v>
      </c>
      <c r="BT574" t="s">
        <v>419</v>
      </c>
      <c r="CI574" t="s">
        <v>388</v>
      </c>
      <c r="CJ574" s="14">
        <v>45013</v>
      </c>
      <c r="CK574">
        <v>1</v>
      </c>
    </row>
    <row r="575" spans="1:89">
      <c r="A575" t="s">
        <v>454</v>
      </c>
      <c r="B575" t="s">
        <v>374</v>
      </c>
      <c r="C575" t="s">
        <v>455</v>
      </c>
      <c r="D575" t="s">
        <v>2530</v>
      </c>
      <c r="E575" t="s">
        <v>2531</v>
      </c>
      <c r="F575" s="13">
        <v>44620.537997685184</v>
      </c>
      <c r="G575" t="s">
        <v>2399</v>
      </c>
      <c r="H575" t="s">
        <v>2400</v>
      </c>
      <c r="I575" s="13">
        <v>45012.044062499997</v>
      </c>
      <c r="K575" t="s">
        <v>415</v>
      </c>
      <c r="M575" s="13">
        <v>44890</v>
      </c>
      <c r="R575">
        <v>0</v>
      </c>
      <c r="S575" t="s">
        <v>380</v>
      </c>
      <c r="T575" t="s">
        <v>57</v>
      </c>
      <c r="V575" t="s">
        <v>478</v>
      </c>
      <c r="W575" t="s">
        <v>2417</v>
      </c>
      <c r="X575" t="s">
        <v>2417</v>
      </c>
      <c r="AF575" t="s">
        <v>451</v>
      </c>
      <c r="AI575">
        <v>-122</v>
      </c>
      <c r="AL575" t="s">
        <v>2532</v>
      </c>
      <c r="AN575" t="s">
        <v>31</v>
      </c>
      <c r="AO575">
        <v>0</v>
      </c>
      <c r="AS575" t="s">
        <v>385</v>
      </c>
      <c r="AX575" t="s">
        <v>57</v>
      </c>
      <c r="AY575" t="s">
        <v>386</v>
      </c>
      <c r="AZ575" t="s">
        <v>2533</v>
      </c>
      <c r="BF575">
        <v>0</v>
      </c>
      <c r="BK575" t="s">
        <v>31</v>
      </c>
      <c r="BS575" t="s">
        <v>419</v>
      </c>
      <c r="BT575" t="s">
        <v>419</v>
      </c>
      <c r="CI575" t="s">
        <v>388</v>
      </c>
      <c r="CJ575" s="14">
        <v>45013</v>
      </c>
      <c r="CK575">
        <v>1</v>
      </c>
    </row>
    <row r="576" spans="1:89">
      <c r="A576" t="s">
        <v>1522</v>
      </c>
      <c r="B576" t="s">
        <v>374</v>
      </c>
      <c r="C576" t="s">
        <v>1523</v>
      </c>
      <c r="D576" t="s">
        <v>2534</v>
      </c>
      <c r="E576" t="s">
        <v>2535</v>
      </c>
      <c r="F576" s="13">
        <v>44620.521423611113</v>
      </c>
      <c r="G576" t="s">
        <v>1526</v>
      </c>
      <c r="H576" t="s">
        <v>1527</v>
      </c>
      <c r="I576" s="13">
        <v>44620.521956018521</v>
      </c>
      <c r="K576" t="s">
        <v>412</v>
      </c>
      <c r="R576">
        <v>0</v>
      </c>
      <c r="S576" t="s">
        <v>380</v>
      </c>
      <c r="T576" t="s">
        <v>57</v>
      </c>
      <c r="V576" t="s">
        <v>381</v>
      </c>
      <c r="W576" t="s">
        <v>2536</v>
      </c>
      <c r="X576" t="s">
        <v>2536</v>
      </c>
      <c r="AI576">
        <v>0</v>
      </c>
      <c r="AL576" t="s">
        <v>2537</v>
      </c>
      <c r="AN576" t="s">
        <v>31</v>
      </c>
      <c r="AO576">
        <v>0</v>
      </c>
      <c r="AS576" t="s">
        <v>385</v>
      </c>
      <c r="AX576" t="s">
        <v>31</v>
      </c>
      <c r="AY576" t="s">
        <v>386</v>
      </c>
      <c r="AZ576" t="s">
        <v>2538</v>
      </c>
      <c r="BF576">
        <v>0</v>
      </c>
      <c r="BK576" t="s">
        <v>31</v>
      </c>
      <c r="BS576" t="s">
        <v>412</v>
      </c>
      <c r="BT576" t="s">
        <v>412</v>
      </c>
      <c r="CI576" t="s">
        <v>388</v>
      </c>
      <c r="CJ576" s="14">
        <v>45013</v>
      </c>
      <c r="CK576">
        <v>1</v>
      </c>
    </row>
    <row r="577" spans="1:89">
      <c r="A577" t="s">
        <v>1497</v>
      </c>
      <c r="B577" t="s">
        <v>374</v>
      </c>
      <c r="C577" t="s">
        <v>1498</v>
      </c>
      <c r="D577" t="s">
        <v>2539</v>
      </c>
      <c r="E577" t="s">
        <v>2540</v>
      </c>
      <c r="F577" s="13">
        <v>44620.514236111114</v>
      </c>
      <c r="G577" t="s">
        <v>439</v>
      </c>
      <c r="H577" t="s">
        <v>440</v>
      </c>
      <c r="I577" s="13">
        <v>45012.044062499997</v>
      </c>
      <c r="K577" t="s">
        <v>415</v>
      </c>
      <c r="M577" s="13">
        <v>44691</v>
      </c>
      <c r="R577">
        <v>0</v>
      </c>
      <c r="S577" t="s">
        <v>416</v>
      </c>
      <c r="T577" t="s">
        <v>31</v>
      </c>
      <c r="V577" t="s">
        <v>478</v>
      </c>
      <c r="W577" t="s">
        <v>440</v>
      </c>
      <c r="X577" t="s">
        <v>440</v>
      </c>
      <c r="AF577" t="s">
        <v>451</v>
      </c>
      <c r="AI577">
        <v>-321</v>
      </c>
      <c r="AL577" t="s">
        <v>2541</v>
      </c>
      <c r="AN577" t="s">
        <v>31</v>
      </c>
      <c r="AO577">
        <v>0</v>
      </c>
      <c r="AS577" t="s">
        <v>392</v>
      </c>
      <c r="AX577" t="s">
        <v>57</v>
      </c>
      <c r="AY577" t="s">
        <v>442</v>
      </c>
      <c r="AZ577" t="s">
        <v>2542</v>
      </c>
      <c r="BF577">
        <v>0</v>
      </c>
      <c r="BK577" t="s">
        <v>31</v>
      </c>
      <c r="BS577" t="s">
        <v>419</v>
      </c>
      <c r="BT577" t="s">
        <v>419</v>
      </c>
      <c r="CI577" t="s">
        <v>388</v>
      </c>
      <c r="CJ577" s="14">
        <v>45013</v>
      </c>
      <c r="CK577">
        <v>1</v>
      </c>
    </row>
    <row r="578" spans="1:89">
      <c r="A578" t="s">
        <v>2543</v>
      </c>
      <c r="B578" t="s">
        <v>374</v>
      </c>
      <c r="C578" t="s">
        <v>2544</v>
      </c>
      <c r="D578" t="s">
        <v>2545</v>
      </c>
      <c r="E578" t="s">
        <v>2546</v>
      </c>
      <c r="F578" s="13">
        <v>44620.485601851855</v>
      </c>
      <c r="G578" t="s">
        <v>1526</v>
      </c>
      <c r="H578" t="s">
        <v>1527</v>
      </c>
      <c r="I578" s="13">
        <v>44620.486168981479</v>
      </c>
      <c r="K578" t="s">
        <v>412</v>
      </c>
      <c r="R578">
        <v>0</v>
      </c>
      <c r="S578" t="s">
        <v>380</v>
      </c>
      <c r="T578" t="s">
        <v>57</v>
      </c>
      <c r="V578" t="s">
        <v>381</v>
      </c>
      <c r="W578" t="s">
        <v>2547</v>
      </c>
      <c r="X578" t="s">
        <v>2547</v>
      </c>
      <c r="AI578">
        <v>122</v>
      </c>
      <c r="AL578" t="s">
        <v>2548</v>
      </c>
      <c r="AN578" t="s">
        <v>31</v>
      </c>
      <c r="AO578">
        <v>0</v>
      </c>
      <c r="AS578" t="s">
        <v>392</v>
      </c>
      <c r="AX578" t="s">
        <v>31</v>
      </c>
      <c r="AY578" t="s">
        <v>442</v>
      </c>
      <c r="AZ578" t="s">
        <v>2549</v>
      </c>
      <c r="BF578">
        <v>0</v>
      </c>
      <c r="BK578" t="s">
        <v>31</v>
      </c>
      <c r="BS578" t="s">
        <v>412</v>
      </c>
      <c r="BT578" t="s">
        <v>412</v>
      </c>
      <c r="CI578" t="s">
        <v>388</v>
      </c>
      <c r="CJ578" s="14">
        <v>45013</v>
      </c>
      <c r="CK578">
        <v>1</v>
      </c>
    </row>
    <row r="579" spans="1:89">
      <c r="A579" t="s">
        <v>2550</v>
      </c>
      <c r="B579" t="s">
        <v>374</v>
      </c>
      <c r="C579" t="s">
        <v>2551</v>
      </c>
      <c r="D579" t="s">
        <v>2552</v>
      </c>
      <c r="E579" t="s">
        <v>2553</v>
      </c>
      <c r="F579" s="13">
        <v>44620.470543981479</v>
      </c>
      <c r="G579" t="s">
        <v>1526</v>
      </c>
      <c r="H579" t="s">
        <v>1527</v>
      </c>
      <c r="I579" s="13">
        <v>44620.471076388887</v>
      </c>
      <c r="K579" t="s">
        <v>412</v>
      </c>
      <c r="R579">
        <v>0</v>
      </c>
      <c r="S579" t="s">
        <v>380</v>
      </c>
      <c r="T579" t="s">
        <v>57</v>
      </c>
      <c r="V579" t="s">
        <v>381</v>
      </c>
      <c r="W579" t="s">
        <v>2547</v>
      </c>
      <c r="X579" t="s">
        <v>2547</v>
      </c>
      <c r="AI579">
        <v>31</v>
      </c>
      <c r="AL579" t="s">
        <v>2554</v>
      </c>
      <c r="AN579" t="s">
        <v>31</v>
      </c>
      <c r="AO579">
        <v>0</v>
      </c>
      <c r="AS579" t="s">
        <v>392</v>
      </c>
      <c r="AX579" t="s">
        <v>31</v>
      </c>
      <c r="AY579" t="s">
        <v>442</v>
      </c>
      <c r="AZ579" t="s">
        <v>2555</v>
      </c>
      <c r="BF579">
        <v>0</v>
      </c>
      <c r="BK579" t="s">
        <v>31</v>
      </c>
      <c r="BS579" t="s">
        <v>412</v>
      </c>
      <c r="BT579" t="s">
        <v>412</v>
      </c>
      <c r="CI579" t="s">
        <v>388</v>
      </c>
      <c r="CJ579" s="14">
        <v>45013</v>
      </c>
      <c r="CK579">
        <v>1</v>
      </c>
    </row>
    <row r="580" spans="1:89">
      <c r="A580" t="s">
        <v>454</v>
      </c>
      <c r="B580" t="s">
        <v>374</v>
      </c>
      <c r="C580" t="s">
        <v>455</v>
      </c>
      <c r="D580" t="s">
        <v>2556</v>
      </c>
      <c r="E580" t="s">
        <v>2557</v>
      </c>
      <c r="F580" s="13">
        <v>44620.463773148149</v>
      </c>
      <c r="G580" t="s">
        <v>2399</v>
      </c>
      <c r="H580" t="s">
        <v>2400</v>
      </c>
      <c r="I580" s="13">
        <v>45012.044050925928</v>
      </c>
      <c r="K580" t="s">
        <v>415</v>
      </c>
      <c r="M580" s="13">
        <v>44769</v>
      </c>
      <c r="R580">
        <v>0</v>
      </c>
      <c r="S580" t="s">
        <v>380</v>
      </c>
      <c r="T580" t="s">
        <v>57</v>
      </c>
      <c r="V580" t="s">
        <v>478</v>
      </c>
      <c r="W580" t="s">
        <v>2417</v>
      </c>
      <c r="X580" t="s">
        <v>2417</v>
      </c>
      <c r="AF580" t="s">
        <v>451</v>
      </c>
      <c r="AI580">
        <v>-243</v>
      </c>
      <c r="AL580" t="s">
        <v>2558</v>
      </c>
      <c r="AN580" t="s">
        <v>31</v>
      </c>
      <c r="AO580">
        <v>0</v>
      </c>
      <c r="AS580" t="s">
        <v>385</v>
      </c>
      <c r="AX580" t="s">
        <v>57</v>
      </c>
      <c r="AY580" t="s">
        <v>386</v>
      </c>
      <c r="AZ580" t="s">
        <v>2559</v>
      </c>
      <c r="BE580" t="s">
        <v>2560</v>
      </c>
      <c r="BF580">
        <v>0</v>
      </c>
      <c r="BK580" t="s">
        <v>31</v>
      </c>
      <c r="BS580" t="s">
        <v>419</v>
      </c>
      <c r="BT580" t="s">
        <v>419</v>
      </c>
      <c r="CI580" t="s">
        <v>388</v>
      </c>
      <c r="CJ580" s="14">
        <v>45013</v>
      </c>
      <c r="CK580">
        <v>1</v>
      </c>
    </row>
    <row r="581" spans="1:89">
      <c r="A581" t="s">
        <v>2550</v>
      </c>
      <c r="B581" t="s">
        <v>374</v>
      </c>
      <c r="C581" t="s">
        <v>2551</v>
      </c>
      <c r="D581" t="s">
        <v>2561</v>
      </c>
      <c r="E581" t="s">
        <v>2562</v>
      </c>
      <c r="F581" s="13">
        <v>44620.460659722223</v>
      </c>
      <c r="G581" t="s">
        <v>1526</v>
      </c>
      <c r="H581" t="s">
        <v>1527</v>
      </c>
      <c r="I581" s="13">
        <v>44620.4612037037</v>
      </c>
      <c r="K581" t="s">
        <v>412</v>
      </c>
      <c r="R581">
        <v>0</v>
      </c>
      <c r="S581" t="s">
        <v>380</v>
      </c>
      <c r="T581" t="s">
        <v>57</v>
      </c>
      <c r="V581" t="s">
        <v>381</v>
      </c>
      <c r="W581" t="s">
        <v>2547</v>
      </c>
      <c r="X581" t="s">
        <v>2547</v>
      </c>
      <c r="AI581">
        <v>0</v>
      </c>
      <c r="AL581" t="s">
        <v>2563</v>
      </c>
      <c r="AN581" t="s">
        <v>31</v>
      </c>
      <c r="AO581">
        <v>0</v>
      </c>
      <c r="AS581" t="s">
        <v>385</v>
      </c>
      <c r="AX581" t="s">
        <v>31</v>
      </c>
      <c r="AY581" t="s">
        <v>386</v>
      </c>
      <c r="AZ581" t="s">
        <v>2564</v>
      </c>
      <c r="BF581">
        <v>0</v>
      </c>
      <c r="BK581" t="s">
        <v>31</v>
      </c>
      <c r="BS581" t="s">
        <v>412</v>
      </c>
      <c r="BT581" t="s">
        <v>412</v>
      </c>
      <c r="CI581" t="s">
        <v>388</v>
      </c>
      <c r="CJ581" s="14">
        <v>45013</v>
      </c>
      <c r="CK581">
        <v>1</v>
      </c>
    </row>
    <row r="582" spans="1:89">
      <c r="A582" t="s">
        <v>2565</v>
      </c>
      <c r="B582" t="s">
        <v>374</v>
      </c>
      <c r="C582" t="s">
        <v>2566</v>
      </c>
      <c r="D582" t="s">
        <v>2567</v>
      </c>
      <c r="E582" t="s">
        <v>2568</v>
      </c>
      <c r="F582" s="13">
        <v>44620.453194444446</v>
      </c>
      <c r="G582" t="s">
        <v>2149</v>
      </c>
      <c r="H582" t="s">
        <v>2150</v>
      </c>
      <c r="I582" s="13">
        <v>45012.044050925928</v>
      </c>
      <c r="K582" t="s">
        <v>415</v>
      </c>
      <c r="M582" s="13">
        <v>44824</v>
      </c>
      <c r="R582">
        <v>0</v>
      </c>
      <c r="S582" t="s">
        <v>380</v>
      </c>
      <c r="T582" t="s">
        <v>57</v>
      </c>
      <c r="V582" t="s">
        <v>478</v>
      </c>
      <c r="W582" t="s">
        <v>2569</v>
      </c>
      <c r="X582" t="s">
        <v>2569</v>
      </c>
      <c r="AC582" s="13">
        <v>44200</v>
      </c>
      <c r="AD582" s="13">
        <v>44197</v>
      </c>
      <c r="AF582" t="s">
        <v>451</v>
      </c>
      <c r="AI582">
        <v>-188</v>
      </c>
      <c r="AL582" t="s">
        <v>2570</v>
      </c>
      <c r="AN582" t="s">
        <v>31</v>
      </c>
      <c r="AO582">
        <v>0</v>
      </c>
      <c r="AS582" t="s">
        <v>392</v>
      </c>
      <c r="AX582" t="s">
        <v>31</v>
      </c>
      <c r="AY582" t="s">
        <v>442</v>
      </c>
      <c r="AZ582" t="s">
        <v>2571</v>
      </c>
      <c r="BE582" t="s">
        <v>2572</v>
      </c>
      <c r="BF582">
        <v>0</v>
      </c>
      <c r="BK582" t="s">
        <v>31</v>
      </c>
      <c r="BS582" t="s">
        <v>419</v>
      </c>
      <c r="BT582" t="s">
        <v>419</v>
      </c>
      <c r="CI582" t="s">
        <v>388</v>
      </c>
      <c r="CJ582" s="14">
        <v>45013</v>
      </c>
      <c r="CK582">
        <v>1</v>
      </c>
    </row>
    <row r="583" spans="1:89">
      <c r="A583" t="s">
        <v>2573</v>
      </c>
      <c r="B583" t="s">
        <v>374</v>
      </c>
      <c r="C583" t="s">
        <v>2574</v>
      </c>
      <c r="D583" t="s">
        <v>2575</v>
      </c>
      <c r="E583" t="s">
        <v>2576</v>
      </c>
      <c r="F583" s="13">
        <v>44620.4455787037</v>
      </c>
      <c r="G583" t="s">
        <v>2577</v>
      </c>
      <c r="H583" t="s">
        <v>2578</v>
      </c>
      <c r="I583" s="13">
        <v>45012.044050925928</v>
      </c>
      <c r="K583" t="s">
        <v>415</v>
      </c>
      <c r="M583" s="13">
        <v>44742</v>
      </c>
      <c r="R583">
        <v>0</v>
      </c>
      <c r="S583" t="s">
        <v>380</v>
      </c>
      <c r="T583" t="s">
        <v>57</v>
      </c>
      <c r="V583" t="s">
        <v>478</v>
      </c>
      <c r="W583" t="s">
        <v>2578</v>
      </c>
      <c r="X583" t="s">
        <v>2578</v>
      </c>
      <c r="AF583" t="s">
        <v>451</v>
      </c>
      <c r="AI583">
        <v>-270</v>
      </c>
      <c r="AL583" t="s">
        <v>2579</v>
      </c>
      <c r="AN583" t="s">
        <v>31</v>
      </c>
      <c r="AO583">
        <v>0</v>
      </c>
      <c r="AS583" t="s">
        <v>392</v>
      </c>
      <c r="AX583" t="s">
        <v>31</v>
      </c>
      <c r="AY583" t="s">
        <v>442</v>
      </c>
      <c r="AZ583" t="s">
        <v>2580</v>
      </c>
      <c r="BF583">
        <v>0</v>
      </c>
      <c r="BK583" t="s">
        <v>31</v>
      </c>
      <c r="BS583" t="s">
        <v>419</v>
      </c>
      <c r="BT583" t="s">
        <v>419</v>
      </c>
      <c r="CI583" t="s">
        <v>388</v>
      </c>
      <c r="CJ583" s="14">
        <v>45013</v>
      </c>
      <c r="CK583">
        <v>1</v>
      </c>
    </row>
    <row r="584" spans="1:89">
      <c r="A584" t="s">
        <v>2581</v>
      </c>
      <c r="B584" t="s">
        <v>374</v>
      </c>
      <c r="C584" t="s">
        <v>2582</v>
      </c>
      <c r="D584" t="s">
        <v>2583</v>
      </c>
      <c r="E584" t="s">
        <v>2584</v>
      </c>
      <c r="F584" s="13">
        <v>44620.427476851852</v>
      </c>
      <c r="G584" t="s">
        <v>2079</v>
      </c>
      <c r="H584" t="s">
        <v>2080</v>
      </c>
      <c r="I584" s="13">
        <v>45012.044050925928</v>
      </c>
      <c r="K584" t="s">
        <v>415</v>
      </c>
      <c r="M584" s="13">
        <v>44712</v>
      </c>
      <c r="R584">
        <v>0</v>
      </c>
      <c r="S584" t="s">
        <v>416</v>
      </c>
      <c r="T584" t="s">
        <v>57</v>
      </c>
      <c r="V584" t="s">
        <v>478</v>
      </c>
      <c r="W584" t="s">
        <v>2585</v>
      </c>
      <c r="X584" t="s">
        <v>2585</v>
      </c>
      <c r="AF584" t="s">
        <v>451</v>
      </c>
      <c r="AI584">
        <v>-300</v>
      </c>
      <c r="AL584" t="s">
        <v>2586</v>
      </c>
      <c r="AN584" t="s">
        <v>31</v>
      </c>
      <c r="AO584">
        <v>0</v>
      </c>
      <c r="AS584" t="s">
        <v>392</v>
      </c>
      <c r="AX584" t="s">
        <v>57</v>
      </c>
      <c r="AY584" t="s">
        <v>386</v>
      </c>
      <c r="AZ584" t="s">
        <v>2587</v>
      </c>
      <c r="BF584">
        <v>0</v>
      </c>
      <c r="BK584" t="s">
        <v>31</v>
      </c>
      <c r="BS584" t="s">
        <v>419</v>
      </c>
      <c r="BT584" t="s">
        <v>419</v>
      </c>
      <c r="CI584" t="s">
        <v>388</v>
      </c>
      <c r="CJ584" s="14">
        <v>45013</v>
      </c>
      <c r="CK584">
        <v>1</v>
      </c>
    </row>
    <row r="585" spans="1:89">
      <c r="A585" t="s">
        <v>2105</v>
      </c>
      <c r="B585" t="s">
        <v>374</v>
      </c>
      <c r="C585" t="s">
        <v>1990</v>
      </c>
      <c r="D585" t="s">
        <v>2588</v>
      </c>
      <c r="E585" t="s">
        <v>2589</v>
      </c>
      <c r="F585" s="13">
        <v>44620.414189814815</v>
      </c>
      <c r="G585" t="s">
        <v>2108</v>
      </c>
      <c r="H585" t="s">
        <v>2109</v>
      </c>
      <c r="I585" s="13">
        <v>44621.764432870368</v>
      </c>
      <c r="K585" t="s">
        <v>409</v>
      </c>
      <c r="R585">
        <v>0</v>
      </c>
      <c r="S585" t="s">
        <v>380</v>
      </c>
      <c r="T585" t="s">
        <v>57</v>
      </c>
      <c r="V585" t="s">
        <v>381</v>
      </c>
      <c r="W585" t="s">
        <v>2590</v>
      </c>
      <c r="X585" t="s">
        <v>2590</v>
      </c>
      <c r="AI585">
        <v>305</v>
      </c>
      <c r="AL585" t="s">
        <v>2591</v>
      </c>
      <c r="AN585" t="s">
        <v>31</v>
      </c>
      <c r="AO585">
        <v>0</v>
      </c>
      <c r="AS585" t="s">
        <v>526</v>
      </c>
      <c r="AX585" t="s">
        <v>31</v>
      </c>
      <c r="AY585" t="s">
        <v>442</v>
      </c>
      <c r="AZ585" t="s">
        <v>2592</v>
      </c>
      <c r="BF585">
        <v>0</v>
      </c>
      <c r="BK585" t="s">
        <v>31</v>
      </c>
      <c r="BS585" t="s">
        <v>409</v>
      </c>
      <c r="BT585" t="s">
        <v>409</v>
      </c>
      <c r="CI585" t="s">
        <v>388</v>
      </c>
      <c r="CJ585" s="14">
        <v>45013</v>
      </c>
      <c r="CK585">
        <v>1</v>
      </c>
    </row>
    <row r="586" spans="1:89">
      <c r="A586" t="s">
        <v>454</v>
      </c>
      <c r="B586" t="s">
        <v>374</v>
      </c>
      <c r="C586" t="s">
        <v>455</v>
      </c>
      <c r="D586" t="s">
        <v>2593</v>
      </c>
      <c r="E586" t="s">
        <v>2594</v>
      </c>
      <c r="F586" s="13">
        <v>44620.396273148152</v>
      </c>
      <c r="G586" t="s">
        <v>2399</v>
      </c>
      <c r="H586" t="s">
        <v>2400</v>
      </c>
      <c r="I586" s="13">
        <v>45012.044039351851</v>
      </c>
      <c r="K586" t="s">
        <v>415</v>
      </c>
      <c r="M586" s="13">
        <v>44769</v>
      </c>
      <c r="R586">
        <v>0</v>
      </c>
      <c r="S586" t="s">
        <v>380</v>
      </c>
      <c r="T586" t="s">
        <v>57</v>
      </c>
      <c r="V586" t="s">
        <v>478</v>
      </c>
      <c r="W586" t="s">
        <v>2417</v>
      </c>
      <c r="X586" t="s">
        <v>2417</v>
      </c>
      <c r="AF586" t="s">
        <v>451</v>
      </c>
      <c r="AI586">
        <v>-243</v>
      </c>
      <c r="AL586" t="s">
        <v>2595</v>
      </c>
      <c r="AN586" t="s">
        <v>31</v>
      </c>
      <c r="AO586">
        <v>0</v>
      </c>
      <c r="AS586" t="s">
        <v>385</v>
      </c>
      <c r="AX586" t="s">
        <v>57</v>
      </c>
      <c r="AY586" t="s">
        <v>386</v>
      </c>
      <c r="AZ586" t="s">
        <v>2596</v>
      </c>
      <c r="BE586" t="s">
        <v>2597</v>
      </c>
      <c r="BF586">
        <v>0</v>
      </c>
      <c r="BK586" t="s">
        <v>31</v>
      </c>
      <c r="BS586" t="s">
        <v>419</v>
      </c>
      <c r="BT586" t="s">
        <v>419</v>
      </c>
      <c r="CI586" t="s">
        <v>388</v>
      </c>
      <c r="CJ586" s="14">
        <v>45013</v>
      </c>
      <c r="CK586">
        <v>1</v>
      </c>
    </row>
    <row r="587" spans="1:89">
      <c r="A587" t="s">
        <v>2105</v>
      </c>
      <c r="B587" t="s">
        <v>374</v>
      </c>
      <c r="C587" t="s">
        <v>1990</v>
      </c>
      <c r="D587" t="s">
        <v>2598</v>
      </c>
      <c r="E587" t="s">
        <v>2599</v>
      </c>
      <c r="F587" s="13">
        <v>44620.361747685187</v>
      </c>
      <c r="G587" t="s">
        <v>2108</v>
      </c>
      <c r="H587" t="s">
        <v>2109</v>
      </c>
      <c r="I587" s="13">
        <v>44620.651678240742</v>
      </c>
      <c r="K587" t="s">
        <v>409</v>
      </c>
      <c r="R587">
        <v>0</v>
      </c>
      <c r="S587" t="s">
        <v>380</v>
      </c>
      <c r="T587" t="s">
        <v>57</v>
      </c>
      <c r="V587" t="s">
        <v>381</v>
      </c>
      <c r="W587" t="s">
        <v>2600</v>
      </c>
      <c r="X587" t="s">
        <v>2600</v>
      </c>
      <c r="AI587">
        <v>487</v>
      </c>
      <c r="AL587" t="s">
        <v>2601</v>
      </c>
      <c r="AN587" t="s">
        <v>31</v>
      </c>
      <c r="AO587">
        <v>0</v>
      </c>
      <c r="AS587" t="s">
        <v>385</v>
      </c>
      <c r="AX587" t="s">
        <v>31</v>
      </c>
      <c r="AY587" t="s">
        <v>442</v>
      </c>
      <c r="AZ587" t="s">
        <v>2602</v>
      </c>
      <c r="BF587">
        <v>0</v>
      </c>
      <c r="BK587" t="s">
        <v>31</v>
      </c>
      <c r="BS587" t="s">
        <v>409</v>
      </c>
      <c r="BT587" t="s">
        <v>409</v>
      </c>
      <c r="CI587" t="s">
        <v>388</v>
      </c>
      <c r="CJ587" s="14">
        <v>45013</v>
      </c>
      <c r="CK587">
        <v>1</v>
      </c>
    </row>
    <row r="588" spans="1:89">
      <c r="A588" t="s">
        <v>2603</v>
      </c>
      <c r="B588" t="s">
        <v>374</v>
      </c>
      <c r="C588" t="s">
        <v>2604</v>
      </c>
      <c r="D588" t="s">
        <v>2605</v>
      </c>
      <c r="E588" t="s">
        <v>2606</v>
      </c>
      <c r="F588" s="13">
        <v>44620.346898148149</v>
      </c>
      <c r="G588" t="s">
        <v>2607</v>
      </c>
      <c r="H588" t="s">
        <v>2608</v>
      </c>
      <c r="I588" s="13">
        <v>45012.044039351851</v>
      </c>
      <c r="K588" t="s">
        <v>415</v>
      </c>
      <c r="M588" s="13">
        <v>44925</v>
      </c>
      <c r="R588">
        <v>0</v>
      </c>
      <c r="S588" t="s">
        <v>380</v>
      </c>
      <c r="T588" t="s">
        <v>57</v>
      </c>
      <c r="V588" t="s">
        <v>478</v>
      </c>
      <c r="W588" t="s">
        <v>2609</v>
      </c>
      <c r="X588" t="s">
        <v>2609</v>
      </c>
      <c r="AF588" t="s">
        <v>451</v>
      </c>
      <c r="AI588">
        <v>-87</v>
      </c>
      <c r="AL588" t="s">
        <v>2610</v>
      </c>
      <c r="AN588" t="s">
        <v>31</v>
      </c>
      <c r="AO588">
        <v>0</v>
      </c>
      <c r="AS588" t="s">
        <v>385</v>
      </c>
      <c r="AX588" t="s">
        <v>31</v>
      </c>
      <c r="AY588" t="s">
        <v>386</v>
      </c>
      <c r="AZ588" t="s">
        <v>2606</v>
      </c>
      <c r="BF588">
        <v>0</v>
      </c>
      <c r="BK588" t="s">
        <v>31</v>
      </c>
      <c r="BS588" t="s">
        <v>419</v>
      </c>
      <c r="BT588" t="s">
        <v>419</v>
      </c>
      <c r="CI588" t="s">
        <v>388</v>
      </c>
      <c r="CJ588" s="14">
        <v>45013</v>
      </c>
      <c r="CK588">
        <v>1</v>
      </c>
    </row>
    <row r="589" spans="1:89">
      <c r="A589" t="s">
        <v>2603</v>
      </c>
      <c r="B589" t="s">
        <v>374</v>
      </c>
      <c r="C589" t="s">
        <v>2604</v>
      </c>
      <c r="D589" t="s">
        <v>2611</v>
      </c>
      <c r="E589" t="s">
        <v>2612</v>
      </c>
      <c r="F589" s="13">
        <v>44620.340648148151</v>
      </c>
      <c r="G589" t="s">
        <v>2607</v>
      </c>
      <c r="H589" t="s">
        <v>2608</v>
      </c>
      <c r="I589" s="13">
        <v>45012.044039351851</v>
      </c>
      <c r="K589" t="s">
        <v>415</v>
      </c>
      <c r="M589" s="13">
        <v>44651</v>
      </c>
      <c r="R589">
        <v>0</v>
      </c>
      <c r="S589" t="s">
        <v>380</v>
      </c>
      <c r="T589" t="s">
        <v>57</v>
      </c>
      <c r="V589" t="s">
        <v>478</v>
      </c>
      <c r="W589" t="s">
        <v>2609</v>
      </c>
      <c r="X589" t="s">
        <v>2609</v>
      </c>
      <c r="AF589" t="s">
        <v>451</v>
      </c>
      <c r="AI589">
        <v>-361</v>
      </c>
      <c r="AL589" t="s">
        <v>2613</v>
      </c>
      <c r="AN589" t="s">
        <v>31</v>
      </c>
      <c r="AO589">
        <v>0</v>
      </c>
      <c r="AS589" t="s">
        <v>385</v>
      </c>
      <c r="AX589" t="s">
        <v>31</v>
      </c>
      <c r="AY589" t="s">
        <v>386</v>
      </c>
      <c r="AZ589" t="s">
        <v>2612</v>
      </c>
      <c r="BF589">
        <v>0</v>
      </c>
      <c r="BK589" t="s">
        <v>31</v>
      </c>
      <c r="BS589" t="s">
        <v>419</v>
      </c>
      <c r="BT589" t="s">
        <v>419</v>
      </c>
      <c r="CI589" t="s">
        <v>388</v>
      </c>
      <c r="CJ589" s="14">
        <v>45013</v>
      </c>
      <c r="CK589">
        <v>1</v>
      </c>
    </row>
    <row r="590" spans="1:89">
      <c r="A590" t="s">
        <v>2603</v>
      </c>
      <c r="B590" t="s">
        <v>374</v>
      </c>
      <c r="C590" t="s">
        <v>2604</v>
      </c>
      <c r="D590" t="s">
        <v>2614</v>
      </c>
      <c r="E590" t="s">
        <v>2615</v>
      </c>
      <c r="F590" s="13">
        <v>44620.332719907405</v>
      </c>
      <c r="G590" t="s">
        <v>2607</v>
      </c>
      <c r="H590" t="s">
        <v>2608</v>
      </c>
      <c r="I590" s="13">
        <v>45012.044027777774</v>
      </c>
      <c r="K590" t="s">
        <v>415</v>
      </c>
      <c r="M590" s="13">
        <v>44742</v>
      </c>
      <c r="R590">
        <v>0</v>
      </c>
      <c r="S590" t="s">
        <v>380</v>
      </c>
      <c r="T590" t="s">
        <v>57</v>
      </c>
      <c r="V590" t="s">
        <v>478</v>
      </c>
      <c r="W590" t="s">
        <v>2616</v>
      </c>
      <c r="X590" t="s">
        <v>2616</v>
      </c>
      <c r="AF590" t="s">
        <v>451</v>
      </c>
      <c r="AI590">
        <v>-270</v>
      </c>
      <c r="AL590" t="s">
        <v>2617</v>
      </c>
      <c r="AN590" t="s">
        <v>31</v>
      </c>
      <c r="AO590">
        <v>0</v>
      </c>
      <c r="AS590" t="s">
        <v>385</v>
      </c>
      <c r="AX590" t="s">
        <v>31</v>
      </c>
      <c r="AY590" t="s">
        <v>386</v>
      </c>
      <c r="AZ590" t="s">
        <v>2615</v>
      </c>
      <c r="BF590">
        <v>0</v>
      </c>
      <c r="BK590" t="s">
        <v>31</v>
      </c>
      <c r="BS590" t="s">
        <v>419</v>
      </c>
      <c r="BT590" t="s">
        <v>419</v>
      </c>
      <c r="CI590" t="s">
        <v>388</v>
      </c>
      <c r="CJ590" s="14">
        <v>45013</v>
      </c>
      <c r="CK590">
        <v>1</v>
      </c>
    </row>
    <row r="591" spans="1:89">
      <c r="A591" t="s">
        <v>2444</v>
      </c>
      <c r="B591" t="s">
        <v>374</v>
      </c>
      <c r="C591" t="s">
        <v>2445</v>
      </c>
      <c r="D591" t="s">
        <v>2618</v>
      </c>
      <c r="E591" t="s">
        <v>2619</v>
      </c>
      <c r="F591" s="13">
        <v>44619.996770833335</v>
      </c>
      <c r="G591" t="s">
        <v>1526</v>
      </c>
      <c r="H591" t="s">
        <v>1527</v>
      </c>
      <c r="I591" s="13">
        <v>44619.99800925926</v>
      </c>
      <c r="K591" t="s">
        <v>412</v>
      </c>
      <c r="R591">
        <v>0</v>
      </c>
      <c r="S591" t="s">
        <v>380</v>
      </c>
      <c r="T591" t="s">
        <v>57</v>
      </c>
      <c r="V591" t="s">
        <v>381</v>
      </c>
      <c r="W591" t="s">
        <v>2620</v>
      </c>
      <c r="X591" t="s">
        <v>2620</v>
      </c>
      <c r="AC591" s="13">
        <v>44834</v>
      </c>
      <c r="AD591" s="13">
        <v>44834</v>
      </c>
      <c r="AI591">
        <v>215</v>
      </c>
      <c r="AL591" t="s">
        <v>2621</v>
      </c>
      <c r="AN591" t="s">
        <v>31</v>
      </c>
      <c r="AO591">
        <v>0</v>
      </c>
      <c r="AS591" t="s">
        <v>385</v>
      </c>
      <c r="AX591" t="s">
        <v>57</v>
      </c>
      <c r="AY591" t="s">
        <v>442</v>
      </c>
      <c r="AZ591" t="s">
        <v>2622</v>
      </c>
      <c r="BF591">
        <v>0</v>
      </c>
      <c r="BK591" t="s">
        <v>31</v>
      </c>
      <c r="BS591" t="s">
        <v>412</v>
      </c>
      <c r="BT591" t="s">
        <v>412</v>
      </c>
      <c r="CI591" t="s">
        <v>388</v>
      </c>
      <c r="CJ591" s="14">
        <v>45013</v>
      </c>
      <c r="CK591">
        <v>1</v>
      </c>
    </row>
    <row r="592" spans="1:89">
      <c r="A592" t="s">
        <v>2444</v>
      </c>
      <c r="B592" t="s">
        <v>374</v>
      </c>
      <c r="C592" t="s">
        <v>2445</v>
      </c>
      <c r="D592" t="s">
        <v>2623</v>
      </c>
      <c r="E592" t="s">
        <v>2624</v>
      </c>
      <c r="F592" s="13">
        <v>44619.987824074073</v>
      </c>
      <c r="G592" t="s">
        <v>1526</v>
      </c>
      <c r="H592" t="s">
        <v>1527</v>
      </c>
      <c r="I592" s="13">
        <v>44619.988541666666</v>
      </c>
      <c r="K592" t="s">
        <v>412</v>
      </c>
      <c r="R592">
        <v>0</v>
      </c>
      <c r="S592" t="s">
        <v>380</v>
      </c>
      <c r="T592" t="s">
        <v>57</v>
      </c>
      <c r="V592" t="s">
        <v>381</v>
      </c>
      <c r="W592" t="s">
        <v>2625</v>
      </c>
      <c r="X592" t="s">
        <v>2625</v>
      </c>
      <c r="AC592" s="13">
        <v>44757</v>
      </c>
      <c r="AD592" s="13">
        <v>44757</v>
      </c>
      <c r="AI592">
        <v>138</v>
      </c>
      <c r="AL592" t="s">
        <v>2626</v>
      </c>
      <c r="AN592" t="s">
        <v>31</v>
      </c>
      <c r="AO592">
        <v>0</v>
      </c>
      <c r="AS592" t="s">
        <v>385</v>
      </c>
      <c r="AX592" t="s">
        <v>57</v>
      </c>
      <c r="AY592" t="s">
        <v>442</v>
      </c>
      <c r="AZ592" t="s">
        <v>2627</v>
      </c>
      <c r="BF592">
        <v>0</v>
      </c>
      <c r="BK592" t="s">
        <v>31</v>
      </c>
      <c r="BS592" t="s">
        <v>412</v>
      </c>
      <c r="BT592" t="s">
        <v>412</v>
      </c>
      <c r="CI592" t="s">
        <v>388</v>
      </c>
      <c r="CJ592" s="14">
        <v>45013</v>
      </c>
      <c r="CK592">
        <v>1</v>
      </c>
    </row>
    <row r="593" spans="1:89">
      <c r="A593" t="s">
        <v>2444</v>
      </c>
      <c r="B593" t="s">
        <v>374</v>
      </c>
      <c r="C593" t="s">
        <v>2445</v>
      </c>
      <c r="D593" t="s">
        <v>2628</v>
      </c>
      <c r="E593" t="s">
        <v>2629</v>
      </c>
      <c r="F593" s="13">
        <v>44619.985300925924</v>
      </c>
      <c r="G593" t="s">
        <v>1526</v>
      </c>
      <c r="H593" t="s">
        <v>1527</v>
      </c>
      <c r="I593" s="13">
        <v>44619.986388888887</v>
      </c>
      <c r="K593" t="s">
        <v>412</v>
      </c>
      <c r="R593">
        <v>0</v>
      </c>
      <c r="S593" t="s">
        <v>380</v>
      </c>
      <c r="T593" t="s">
        <v>57</v>
      </c>
      <c r="V593" t="s">
        <v>381</v>
      </c>
      <c r="W593" t="s">
        <v>2625</v>
      </c>
      <c r="X593" t="s">
        <v>2625</v>
      </c>
      <c r="AC593" s="13">
        <v>44757</v>
      </c>
      <c r="AD593" s="13">
        <v>44757</v>
      </c>
      <c r="AI593">
        <v>138</v>
      </c>
      <c r="AL593" t="s">
        <v>2626</v>
      </c>
      <c r="AN593" t="s">
        <v>31</v>
      </c>
      <c r="AO593">
        <v>0</v>
      </c>
      <c r="AS593" t="s">
        <v>385</v>
      </c>
      <c r="AX593" t="s">
        <v>57</v>
      </c>
      <c r="AY593" t="s">
        <v>442</v>
      </c>
      <c r="AZ593" t="s">
        <v>2630</v>
      </c>
      <c r="BF593">
        <v>0</v>
      </c>
      <c r="BK593" t="s">
        <v>31</v>
      </c>
      <c r="BS593" t="s">
        <v>412</v>
      </c>
      <c r="BT593" t="s">
        <v>412</v>
      </c>
      <c r="CI593" t="s">
        <v>388</v>
      </c>
      <c r="CJ593" s="14">
        <v>45013</v>
      </c>
      <c r="CK593">
        <v>1</v>
      </c>
    </row>
    <row r="594" spans="1:89">
      <c r="A594" t="s">
        <v>2444</v>
      </c>
      <c r="B594" t="s">
        <v>374</v>
      </c>
      <c r="C594" t="s">
        <v>2445</v>
      </c>
      <c r="D594" t="s">
        <v>2631</v>
      </c>
      <c r="E594" t="s">
        <v>2632</v>
      </c>
      <c r="F594" s="13">
        <v>44619.982928240737</v>
      </c>
      <c r="G594" t="s">
        <v>1526</v>
      </c>
      <c r="H594" t="s">
        <v>1527</v>
      </c>
      <c r="I594" s="13">
        <v>44619.983981481484</v>
      </c>
      <c r="K594" t="s">
        <v>412</v>
      </c>
      <c r="R594">
        <v>0</v>
      </c>
      <c r="S594" t="s">
        <v>380</v>
      </c>
      <c r="T594" t="s">
        <v>57</v>
      </c>
      <c r="V594" t="s">
        <v>381</v>
      </c>
      <c r="W594" t="s">
        <v>2633</v>
      </c>
      <c r="X594" t="s">
        <v>2633</v>
      </c>
      <c r="AC594" s="13">
        <v>44757</v>
      </c>
      <c r="AD594" s="13">
        <v>44757</v>
      </c>
      <c r="AI594">
        <v>138</v>
      </c>
      <c r="AL594" t="s">
        <v>2626</v>
      </c>
      <c r="AN594" t="s">
        <v>31</v>
      </c>
      <c r="AO594">
        <v>0</v>
      </c>
      <c r="AS594" t="s">
        <v>385</v>
      </c>
      <c r="AX594" t="s">
        <v>57</v>
      </c>
      <c r="AY594" t="s">
        <v>442</v>
      </c>
      <c r="AZ594" t="s">
        <v>2634</v>
      </c>
      <c r="BF594">
        <v>0</v>
      </c>
      <c r="BK594" t="s">
        <v>31</v>
      </c>
      <c r="BS594" t="s">
        <v>412</v>
      </c>
      <c r="BT594" t="s">
        <v>412</v>
      </c>
      <c r="CI594" t="s">
        <v>388</v>
      </c>
      <c r="CJ594" s="14">
        <v>45013</v>
      </c>
      <c r="CK594">
        <v>1</v>
      </c>
    </row>
    <row r="595" spans="1:89">
      <c r="A595" t="s">
        <v>2444</v>
      </c>
      <c r="B595" t="s">
        <v>374</v>
      </c>
      <c r="C595" t="s">
        <v>2445</v>
      </c>
      <c r="D595" t="s">
        <v>2635</v>
      </c>
      <c r="E595" t="s">
        <v>2636</v>
      </c>
      <c r="F595" s="13">
        <v>44619.980717592596</v>
      </c>
      <c r="G595" t="s">
        <v>1526</v>
      </c>
      <c r="H595" t="s">
        <v>1527</v>
      </c>
      <c r="I595" s="13">
        <v>44619.981678240743</v>
      </c>
      <c r="K595" t="s">
        <v>412</v>
      </c>
      <c r="R595">
        <v>0</v>
      </c>
      <c r="S595" t="s">
        <v>380</v>
      </c>
      <c r="T595" t="s">
        <v>57</v>
      </c>
      <c r="V595" t="s">
        <v>381</v>
      </c>
      <c r="W595" t="s">
        <v>2625</v>
      </c>
      <c r="X595" t="s">
        <v>2625</v>
      </c>
      <c r="AC595" s="13">
        <v>44757</v>
      </c>
      <c r="AD595" s="13">
        <v>44757</v>
      </c>
      <c r="AI595">
        <v>138</v>
      </c>
      <c r="AL595" t="s">
        <v>2626</v>
      </c>
      <c r="AN595" t="s">
        <v>31</v>
      </c>
      <c r="AO595">
        <v>0</v>
      </c>
      <c r="AS595" t="s">
        <v>385</v>
      </c>
      <c r="AX595" t="s">
        <v>57</v>
      </c>
      <c r="AY595" t="s">
        <v>442</v>
      </c>
      <c r="AZ595" t="s">
        <v>2637</v>
      </c>
      <c r="BF595">
        <v>0</v>
      </c>
      <c r="BK595" t="s">
        <v>31</v>
      </c>
      <c r="BS595" t="s">
        <v>412</v>
      </c>
      <c r="BT595" t="s">
        <v>412</v>
      </c>
      <c r="CI595" t="s">
        <v>388</v>
      </c>
      <c r="CJ595" s="14">
        <v>45013</v>
      </c>
      <c r="CK595">
        <v>1</v>
      </c>
    </row>
    <row r="596" spans="1:89">
      <c r="A596" t="s">
        <v>2444</v>
      </c>
      <c r="B596" t="s">
        <v>374</v>
      </c>
      <c r="C596" t="s">
        <v>2445</v>
      </c>
      <c r="D596" t="s">
        <v>2638</v>
      </c>
      <c r="E596" t="s">
        <v>2639</v>
      </c>
      <c r="F596" s="13">
        <v>44619.973356481481</v>
      </c>
      <c r="G596" t="s">
        <v>1526</v>
      </c>
      <c r="H596" t="s">
        <v>1527</v>
      </c>
      <c r="I596" s="13">
        <v>44619.974143518521</v>
      </c>
      <c r="K596" t="s">
        <v>412</v>
      </c>
      <c r="R596">
        <v>0</v>
      </c>
      <c r="S596" t="s">
        <v>380</v>
      </c>
      <c r="T596" t="s">
        <v>57</v>
      </c>
      <c r="V596" t="s">
        <v>381</v>
      </c>
      <c r="W596" t="s">
        <v>2640</v>
      </c>
      <c r="X596" t="s">
        <v>2640</v>
      </c>
      <c r="AC596" s="13">
        <v>44757</v>
      </c>
      <c r="AD596" s="13">
        <v>44757</v>
      </c>
      <c r="AI596">
        <v>138</v>
      </c>
      <c r="AL596" t="s">
        <v>2626</v>
      </c>
      <c r="AN596" t="s">
        <v>31</v>
      </c>
      <c r="AO596">
        <v>0</v>
      </c>
      <c r="AS596" t="s">
        <v>385</v>
      </c>
      <c r="AX596" t="s">
        <v>57</v>
      </c>
      <c r="AY596" t="s">
        <v>442</v>
      </c>
      <c r="AZ596" t="s">
        <v>2641</v>
      </c>
      <c r="BF596">
        <v>0</v>
      </c>
      <c r="BK596" t="s">
        <v>31</v>
      </c>
      <c r="BS596" t="s">
        <v>412</v>
      </c>
      <c r="BT596" t="s">
        <v>412</v>
      </c>
      <c r="CI596" t="s">
        <v>388</v>
      </c>
      <c r="CJ596" s="14">
        <v>45013</v>
      </c>
      <c r="CK596">
        <v>1</v>
      </c>
    </row>
    <row r="597" spans="1:89">
      <c r="A597" t="s">
        <v>2444</v>
      </c>
      <c r="B597" t="s">
        <v>374</v>
      </c>
      <c r="C597" t="s">
        <v>2445</v>
      </c>
      <c r="D597" t="s">
        <v>2642</v>
      </c>
      <c r="E597" t="s">
        <v>2643</v>
      </c>
      <c r="F597" s="13">
        <v>44619.967303240737</v>
      </c>
      <c r="G597" t="s">
        <v>1526</v>
      </c>
      <c r="H597" t="s">
        <v>1527</v>
      </c>
      <c r="I597" s="13">
        <v>44619.968553240738</v>
      </c>
      <c r="K597" t="s">
        <v>412</v>
      </c>
      <c r="R597">
        <v>0</v>
      </c>
      <c r="S597" t="s">
        <v>380</v>
      </c>
      <c r="T597" t="s">
        <v>57</v>
      </c>
      <c r="V597" t="s">
        <v>381</v>
      </c>
      <c r="W597" t="s">
        <v>2644</v>
      </c>
      <c r="X597" t="s">
        <v>2644</v>
      </c>
      <c r="AC597" s="13">
        <v>44757</v>
      </c>
      <c r="AD597" s="13">
        <v>44757</v>
      </c>
      <c r="AI597">
        <v>138</v>
      </c>
      <c r="AL597" t="s">
        <v>2645</v>
      </c>
      <c r="AN597" t="s">
        <v>31</v>
      </c>
      <c r="AO597">
        <v>0</v>
      </c>
      <c r="AS597" t="s">
        <v>392</v>
      </c>
      <c r="AX597" t="s">
        <v>57</v>
      </c>
      <c r="AY597" t="s">
        <v>442</v>
      </c>
      <c r="AZ597" t="s">
        <v>2634</v>
      </c>
      <c r="BF597">
        <v>0</v>
      </c>
      <c r="BK597" t="s">
        <v>31</v>
      </c>
      <c r="BS597" t="s">
        <v>412</v>
      </c>
      <c r="BT597" t="s">
        <v>412</v>
      </c>
      <c r="CI597" t="s">
        <v>388</v>
      </c>
      <c r="CJ597" s="14">
        <v>45013</v>
      </c>
      <c r="CK597">
        <v>1</v>
      </c>
    </row>
    <row r="598" spans="1:89">
      <c r="A598" t="s">
        <v>2444</v>
      </c>
      <c r="B598" t="s">
        <v>374</v>
      </c>
      <c r="C598" t="s">
        <v>2445</v>
      </c>
      <c r="D598" t="s">
        <v>2646</v>
      </c>
      <c r="E598" t="s">
        <v>2647</v>
      </c>
      <c r="F598" s="13">
        <v>44619.964421296296</v>
      </c>
      <c r="G598" t="s">
        <v>1526</v>
      </c>
      <c r="H598" t="s">
        <v>1527</v>
      </c>
      <c r="I598" s="13">
        <v>44619.965648148151</v>
      </c>
      <c r="K598" t="s">
        <v>412</v>
      </c>
      <c r="R598">
        <v>0</v>
      </c>
      <c r="S598" t="s">
        <v>380</v>
      </c>
      <c r="T598" t="s">
        <v>57</v>
      </c>
      <c r="V598" t="s">
        <v>381</v>
      </c>
      <c r="W598" t="s">
        <v>2644</v>
      </c>
      <c r="X598" t="s">
        <v>2644</v>
      </c>
      <c r="AC598" s="13">
        <v>44757</v>
      </c>
      <c r="AD598" s="13">
        <v>44757</v>
      </c>
      <c r="AI598">
        <v>138</v>
      </c>
      <c r="AL598" t="s">
        <v>2645</v>
      </c>
      <c r="AN598" t="s">
        <v>31</v>
      </c>
      <c r="AO598">
        <v>0</v>
      </c>
      <c r="AS598" t="s">
        <v>385</v>
      </c>
      <c r="AX598" t="s">
        <v>57</v>
      </c>
      <c r="AY598" t="s">
        <v>442</v>
      </c>
      <c r="AZ598" t="s">
        <v>2648</v>
      </c>
      <c r="BF598">
        <v>0</v>
      </c>
      <c r="BK598" t="s">
        <v>31</v>
      </c>
      <c r="BS598" t="s">
        <v>412</v>
      </c>
      <c r="BT598" t="s">
        <v>412</v>
      </c>
      <c r="CI598" t="s">
        <v>388</v>
      </c>
      <c r="CJ598" s="14">
        <v>45013</v>
      </c>
      <c r="CK598">
        <v>1</v>
      </c>
    </row>
    <row r="599" spans="1:89">
      <c r="A599" t="s">
        <v>2444</v>
      </c>
      <c r="B599" t="s">
        <v>374</v>
      </c>
      <c r="C599" t="s">
        <v>2445</v>
      </c>
      <c r="D599" t="s">
        <v>2649</v>
      </c>
      <c r="E599" t="s">
        <v>2643</v>
      </c>
      <c r="F599" s="13">
        <v>44619.943854166668</v>
      </c>
      <c r="G599" t="s">
        <v>1526</v>
      </c>
      <c r="H599" t="s">
        <v>1527</v>
      </c>
      <c r="I599" s="13">
        <v>44619.944756944446</v>
      </c>
      <c r="K599" t="s">
        <v>412</v>
      </c>
      <c r="R599">
        <v>0</v>
      </c>
      <c r="S599" t="s">
        <v>380</v>
      </c>
      <c r="T599" t="s">
        <v>57</v>
      </c>
      <c r="V599" t="s">
        <v>381</v>
      </c>
      <c r="W599" t="s">
        <v>2633</v>
      </c>
      <c r="X599" t="s">
        <v>2633</v>
      </c>
      <c r="AC599" s="13">
        <v>44782</v>
      </c>
      <c r="AD599" s="13">
        <v>44782</v>
      </c>
      <c r="AI599">
        <v>163</v>
      </c>
      <c r="AL599" t="s">
        <v>2650</v>
      </c>
      <c r="AN599" t="s">
        <v>31</v>
      </c>
      <c r="AO599">
        <v>0</v>
      </c>
      <c r="AS599" t="s">
        <v>392</v>
      </c>
      <c r="AX599" t="s">
        <v>57</v>
      </c>
      <c r="AY599" t="s">
        <v>442</v>
      </c>
      <c r="AZ599" t="s">
        <v>2634</v>
      </c>
      <c r="BF599">
        <v>0</v>
      </c>
      <c r="BK599" t="s">
        <v>31</v>
      </c>
      <c r="BS599" t="s">
        <v>412</v>
      </c>
      <c r="BT599" t="s">
        <v>412</v>
      </c>
      <c r="CI599" t="s">
        <v>388</v>
      </c>
      <c r="CJ599" s="14">
        <v>45013</v>
      </c>
      <c r="CK599">
        <v>1</v>
      </c>
    </row>
    <row r="600" spans="1:89">
      <c r="A600" t="s">
        <v>2444</v>
      </c>
      <c r="B600" t="s">
        <v>374</v>
      </c>
      <c r="C600" t="s">
        <v>2445</v>
      </c>
      <c r="D600" t="s">
        <v>2651</v>
      </c>
      <c r="E600" t="s">
        <v>2652</v>
      </c>
      <c r="F600" s="13">
        <v>44619.940567129626</v>
      </c>
      <c r="G600" t="s">
        <v>1526</v>
      </c>
      <c r="H600" t="s">
        <v>1527</v>
      </c>
      <c r="I600" s="13">
        <v>44619.942071759258</v>
      </c>
      <c r="K600" t="s">
        <v>412</v>
      </c>
      <c r="R600">
        <v>0</v>
      </c>
      <c r="S600" t="s">
        <v>380</v>
      </c>
      <c r="T600" t="s">
        <v>57</v>
      </c>
      <c r="V600" t="s">
        <v>381</v>
      </c>
      <c r="W600" t="s">
        <v>2633</v>
      </c>
      <c r="X600" t="s">
        <v>2633</v>
      </c>
      <c r="AC600" s="13">
        <v>44782</v>
      </c>
      <c r="AD600" s="13">
        <v>44782</v>
      </c>
      <c r="AI600">
        <v>163</v>
      </c>
      <c r="AL600" t="s">
        <v>2650</v>
      </c>
      <c r="AN600" t="s">
        <v>31</v>
      </c>
      <c r="AO600">
        <v>0</v>
      </c>
      <c r="AS600" t="s">
        <v>385</v>
      </c>
      <c r="AX600" t="s">
        <v>57</v>
      </c>
      <c r="AY600" t="s">
        <v>442</v>
      </c>
      <c r="AZ600" t="s">
        <v>2653</v>
      </c>
      <c r="BE600" t="s">
        <v>2654</v>
      </c>
      <c r="BF600">
        <v>0</v>
      </c>
      <c r="BK600" t="s">
        <v>31</v>
      </c>
      <c r="BS600" t="s">
        <v>412</v>
      </c>
      <c r="BT600" t="s">
        <v>412</v>
      </c>
      <c r="CI600" t="s">
        <v>388</v>
      </c>
      <c r="CJ600" s="14">
        <v>45013</v>
      </c>
      <c r="CK600">
        <v>1</v>
      </c>
    </row>
    <row r="601" spans="1:89">
      <c r="A601" t="s">
        <v>1522</v>
      </c>
      <c r="B601" t="s">
        <v>374</v>
      </c>
      <c r="C601" t="s">
        <v>1523</v>
      </c>
      <c r="D601" t="s">
        <v>2655</v>
      </c>
      <c r="E601" t="s">
        <v>2656</v>
      </c>
      <c r="F601" s="13">
        <v>44619.882094907407</v>
      </c>
      <c r="G601" t="s">
        <v>1526</v>
      </c>
      <c r="H601" t="s">
        <v>1527</v>
      </c>
      <c r="I601" s="13">
        <v>44619.882708333331</v>
      </c>
      <c r="K601" t="s">
        <v>412</v>
      </c>
      <c r="R601">
        <v>0</v>
      </c>
      <c r="S601" t="s">
        <v>380</v>
      </c>
      <c r="T601" t="s">
        <v>57</v>
      </c>
      <c r="V601" t="s">
        <v>381</v>
      </c>
      <c r="W601" t="s">
        <v>2657</v>
      </c>
      <c r="X601" t="s">
        <v>2657</v>
      </c>
      <c r="AI601">
        <v>62</v>
      </c>
      <c r="AL601" t="s">
        <v>2658</v>
      </c>
      <c r="AN601" t="s">
        <v>31</v>
      </c>
      <c r="AO601">
        <v>0</v>
      </c>
      <c r="AS601" t="s">
        <v>385</v>
      </c>
      <c r="AX601" t="s">
        <v>31</v>
      </c>
      <c r="AY601" t="s">
        <v>386</v>
      </c>
      <c r="AZ601" t="s">
        <v>2659</v>
      </c>
      <c r="BF601">
        <v>0</v>
      </c>
      <c r="BK601" t="s">
        <v>31</v>
      </c>
      <c r="BS601" t="s">
        <v>412</v>
      </c>
      <c r="BT601" t="s">
        <v>412</v>
      </c>
      <c r="CI601" t="s">
        <v>388</v>
      </c>
      <c r="CJ601" s="14">
        <v>45013</v>
      </c>
      <c r="CK601">
        <v>1</v>
      </c>
    </row>
    <row r="602" spans="1:89">
      <c r="A602" t="s">
        <v>1522</v>
      </c>
      <c r="B602" t="s">
        <v>374</v>
      </c>
      <c r="C602" t="s">
        <v>1523</v>
      </c>
      <c r="D602" t="s">
        <v>2660</v>
      </c>
      <c r="E602" t="s">
        <v>2661</v>
      </c>
      <c r="F602" s="13">
        <v>44619.879571759258</v>
      </c>
      <c r="G602" t="s">
        <v>1526</v>
      </c>
      <c r="H602" t="s">
        <v>1527</v>
      </c>
      <c r="I602" s="13">
        <v>44619.880069444444</v>
      </c>
      <c r="K602" t="s">
        <v>412</v>
      </c>
      <c r="R602">
        <v>0</v>
      </c>
      <c r="S602" t="s">
        <v>380</v>
      </c>
      <c r="T602" t="s">
        <v>57</v>
      </c>
      <c r="V602" t="s">
        <v>381</v>
      </c>
      <c r="W602" t="s">
        <v>2662</v>
      </c>
      <c r="X602" t="s">
        <v>2662</v>
      </c>
      <c r="AI602">
        <v>62</v>
      </c>
      <c r="AL602" t="s">
        <v>2658</v>
      </c>
      <c r="AN602" t="s">
        <v>31</v>
      </c>
      <c r="AO602">
        <v>0</v>
      </c>
      <c r="AS602" t="s">
        <v>392</v>
      </c>
      <c r="AX602" t="s">
        <v>31</v>
      </c>
      <c r="AY602" t="s">
        <v>442</v>
      </c>
      <c r="AZ602" t="s">
        <v>2663</v>
      </c>
      <c r="BF602">
        <v>0</v>
      </c>
      <c r="BK602" t="s">
        <v>31</v>
      </c>
      <c r="BS602" t="s">
        <v>412</v>
      </c>
      <c r="BT602" t="s">
        <v>412</v>
      </c>
      <c r="CI602" t="s">
        <v>388</v>
      </c>
      <c r="CJ602" s="14">
        <v>45013</v>
      </c>
      <c r="CK602">
        <v>1</v>
      </c>
    </row>
    <row r="603" spans="1:89">
      <c r="A603" t="s">
        <v>1522</v>
      </c>
      <c r="B603" t="s">
        <v>374</v>
      </c>
      <c r="C603" t="s">
        <v>1523</v>
      </c>
      <c r="D603" t="s">
        <v>2664</v>
      </c>
      <c r="E603" t="s">
        <v>2665</v>
      </c>
      <c r="F603" s="13">
        <v>44619.877430555556</v>
      </c>
      <c r="G603" t="s">
        <v>1526</v>
      </c>
      <c r="H603" t="s">
        <v>1527</v>
      </c>
      <c r="I603" s="13">
        <v>44619.877939814818</v>
      </c>
      <c r="K603" t="s">
        <v>412</v>
      </c>
      <c r="R603">
        <v>0</v>
      </c>
      <c r="S603" t="s">
        <v>380</v>
      </c>
      <c r="T603" t="s">
        <v>57</v>
      </c>
      <c r="V603" t="s">
        <v>381</v>
      </c>
      <c r="W603" t="s">
        <v>2666</v>
      </c>
      <c r="X603" t="s">
        <v>2666</v>
      </c>
      <c r="AI603">
        <v>62</v>
      </c>
      <c r="AL603" t="s">
        <v>2658</v>
      </c>
      <c r="AN603" t="s">
        <v>31</v>
      </c>
      <c r="AO603">
        <v>0</v>
      </c>
      <c r="AS603" t="s">
        <v>392</v>
      </c>
      <c r="AX603" t="s">
        <v>31</v>
      </c>
      <c r="AY603" t="s">
        <v>442</v>
      </c>
      <c r="AZ603" t="s">
        <v>2667</v>
      </c>
      <c r="BF603">
        <v>0</v>
      </c>
      <c r="BK603" t="s">
        <v>31</v>
      </c>
      <c r="BS603" t="s">
        <v>412</v>
      </c>
      <c r="BT603" t="s">
        <v>412</v>
      </c>
      <c r="CI603" t="s">
        <v>388</v>
      </c>
      <c r="CJ603" s="14">
        <v>45013</v>
      </c>
      <c r="CK603">
        <v>1</v>
      </c>
    </row>
    <row r="604" spans="1:89">
      <c r="A604" t="s">
        <v>1522</v>
      </c>
      <c r="B604" t="s">
        <v>374</v>
      </c>
      <c r="C604" t="s">
        <v>1523</v>
      </c>
      <c r="D604" t="s">
        <v>2668</v>
      </c>
      <c r="E604" t="s">
        <v>2669</v>
      </c>
      <c r="F604" s="13">
        <v>44619.875659722224</v>
      </c>
      <c r="G604" t="s">
        <v>1526</v>
      </c>
      <c r="H604" t="s">
        <v>1527</v>
      </c>
      <c r="I604" s="13">
        <v>44619.876273148147</v>
      </c>
      <c r="K604" t="s">
        <v>412</v>
      </c>
      <c r="R604">
        <v>0</v>
      </c>
      <c r="S604" t="s">
        <v>380</v>
      </c>
      <c r="T604" t="s">
        <v>57</v>
      </c>
      <c r="V604" t="s">
        <v>381</v>
      </c>
      <c r="W604" t="s">
        <v>2670</v>
      </c>
      <c r="X604" t="s">
        <v>2670</v>
      </c>
      <c r="AI604">
        <v>62</v>
      </c>
      <c r="AL604" t="s">
        <v>2658</v>
      </c>
      <c r="AN604" t="s">
        <v>31</v>
      </c>
      <c r="AO604">
        <v>0</v>
      </c>
      <c r="AS604" t="s">
        <v>744</v>
      </c>
      <c r="AX604" t="s">
        <v>31</v>
      </c>
      <c r="AY604" t="s">
        <v>442</v>
      </c>
      <c r="AZ604" t="s">
        <v>2671</v>
      </c>
      <c r="BF604">
        <v>0</v>
      </c>
      <c r="BK604" t="s">
        <v>31</v>
      </c>
      <c r="BS604" t="s">
        <v>412</v>
      </c>
      <c r="BT604" t="s">
        <v>412</v>
      </c>
      <c r="CI604" t="s">
        <v>388</v>
      </c>
      <c r="CJ604" s="14">
        <v>45013</v>
      </c>
      <c r="CK604">
        <v>1</v>
      </c>
    </row>
    <row r="605" spans="1:89">
      <c r="A605" t="s">
        <v>1522</v>
      </c>
      <c r="B605" t="s">
        <v>374</v>
      </c>
      <c r="C605" t="s">
        <v>1523</v>
      </c>
      <c r="D605" t="s">
        <v>2672</v>
      </c>
      <c r="E605" t="s">
        <v>2673</v>
      </c>
      <c r="F605" s="13">
        <v>44619.873611111114</v>
      </c>
      <c r="G605" t="s">
        <v>1526</v>
      </c>
      <c r="H605" t="s">
        <v>1527</v>
      </c>
      <c r="I605" s="13">
        <v>44619.874386574076</v>
      </c>
      <c r="K605" t="s">
        <v>412</v>
      </c>
      <c r="R605">
        <v>0</v>
      </c>
      <c r="S605" t="s">
        <v>380</v>
      </c>
      <c r="T605" t="s">
        <v>57</v>
      </c>
      <c r="V605" t="s">
        <v>381</v>
      </c>
      <c r="W605" t="s">
        <v>2657</v>
      </c>
      <c r="X605" t="s">
        <v>2657</v>
      </c>
      <c r="AI605">
        <v>62</v>
      </c>
      <c r="AL605" t="s">
        <v>2658</v>
      </c>
      <c r="AN605" t="s">
        <v>31</v>
      </c>
      <c r="AO605">
        <v>0</v>
      </c>
      <c r="AS605" t="s">
        <v>385</v>
      </c>
      <c r="AX605" t="s">
        <v>31</v>
      </c>
      <c r="AY605" t="s">
        <v>386</v>
      </c>
      <c r="AZ605" t="s">
        <v>2673</v>
      </c>
      <c r="BF605">
        <v>0</v>
      </c>
      <c r="BK605" t="s">
        <v>31</v>
      </c>
      <c r="BS605" t="s">
        <v>412</v>
      </c>
      <c r="BT605" t="s">
        <v>412</v>
      </c>
      <c r="CI605" t="s">
        <v>388</v>
      </c>
      <c r="CJ605" s="14">
        <v>45013</v>
      </c>
      <c r="CK605">
        <v>1</v>
      </c>
    </row>
    <row r="606" spans="1:89">
      <c r="A606" t="s">
        <v>1522</v>
      </c>
      <c r="B606" t="s">
        <v>374</v>
      </c>
      <c r="C606" t="s">
        <v>1523</v>
      </c>
      <c r="D606" t="s">
        <v>2674</v>
      </c>
      <c r="E606" t="s">
        <v>2675</v>
      </c>
      <c r="F606" s="13">
        <v>44619.872025462966</v>
      </c>
      <c r="G606" t="s">
        <v>1526</v>
      </c>
      <c r="H606" t="s">
        <v>1527</v>
      </c>
      <c r="I606" s="13">
        <v>44619.872546296298</v>
      </c>
      <c r="K606" t="s">
        <v>412</v>
      </c>
      <c r="R606">
        <v>0</v>
      </c>
      <c r="S606" t="s">
        <v>380</v>
      </c>
      <c r="T606" t="s">
        <v>57</v>
      </c>
      <c r="V606" t="s">
        <v>381</v>
      </c>
      <c r="W606" t="s">
        <v>2657</v>
      </c>
      <c r="X606" t="s">
        <v>2657</v>
      </c>
      <c r="AI606">
        <v>62</v>
      </c>
      <c r="AL606" t="s">
        <v>2658</v>
      </c>
      <c r="AN606" t="s">
        <v>31</v>
      </c>
      <c r="AO606">
        <v>0</v>
      </c>
      <c r="AS606" t="s">
        <v>392</v>
      </c>
      <c r="AX606" t="s">
        <v>31</v>
      </c>
      <c r="AY606" t="s">
        <v>442</v>
      </c>
      <c r="AZ606" t="s">
        <v>2676</v>
      </c>
      <c r="BF606">
        <v>0</v>
      </c>
      <c r="BK606" t="s">
        <v>31</v>
      </c>
      <c r="BS606" t="s">
        <v>412</v>
      </c>
      <c r="BT606" t="s">
        <v>412</v>
      </c>
      <c r="CI606" t="s">
        <v>388</v>
      </c>
      <c r="CJ606" s="14">
        <v>45013</v>
      </c>
      <c r="CK606">
        <v>1</v>
      </c>
    </row>
    <row r="607" spans="1:89">
      <c r="A607" t="s">
        <v>1522</v>
      </c>
      <c r="B607" t="s">
        <v>374</v>
      </c>
      <c r="C607" t="s">
        <v>1523</v>
      </c>
      <c r="D607" t="s">
        <v>2677</v>
      </c>
      <c r="E607" t="s">
        <v>2678</v>
      </c>
      <c r="F607" s="13">
        <v>44619.869791666664</v>
      </c>
      <c r="G607" t="s">
        <v>1526</v>
      </c>
      <c r="H607" t="s">
        <v>1527</v>
      </c>
      <c r="I607" s="13">
        <v>44619.870497685188</v>
      </c>
      <c r="K607" t="s">
        <v>412</v>
      </c>
      <c r="R607">
        <v>0</v>
      </c>
      <c r="S607" t="s">
        <v>380</v>
      </c>
      <c r="T607" t="s">
        <v>57</v>
      </c>
      <c r="V607" t="s">
        <v>381</v>
      </c>
      <c r="W607" t="s">
        <v>2679</v>
      </c>
      <c r="X607" t="s">
        <v>2679</v>
      </c>
      <c r="AI607">
        <v>62</v>
      </c>
      <c r="AL607" t="s">
        <v>2658</v>
      </c>
      <c r="AN607" t="s">
        <v>31</v>
      </c>
      <c r="AO607">
        <v>0</v>
      </c>
      <c r="AS607" t="s">
        <v>538</v>
      </c>
      <c r="AX607" t="s">
        <v>31</v>
      </c>
      <c r="AY607" t="s">
        <v>386</v>
      </c>
      <c r="AZ607" t="s">
        <v>2680</v>
      </c>
      <c r="BF607">
        <v>0</v>
      </c>
      <c r="BK607" t="s">
        <v>31</v>
      </c>
      <c r="BS607" t="s">
        <v>412</v>
      </c>
      <c r="BT607" t="s">
        <v>412</v>
      </c>
      <c r="CI607" t="s">
        <v>388</v>
      </c>
      <c r="CJ607" s="14">
        <v>45013</v>
      </c>
      <c r="CK607">
        <v>1</v>
      </c>
    </row>
    <row r="608" spans="1:89">
      <c r="A608" t="s">
        <v>1522</v>
      </c>
      <c r="B608" t="s">
        <v>374</v>
      </c>
      <c r="C608" t="s">
        <v>1523</v>
      </c>
      <c r="D608" t="s">
        <v>2681</v>
      </c>
      <c r="E608" t="s">
        <v>2682</v>
      </c>
      <c r="F608" s="13">
        <v>44619.867939814816</v>
      </c>
      <c r="G608" t="s">
        <v>1526</v>
      </c>
      <c r="H608" t="s">
        <v>1527</v>
      </c>
      <c r="I608" s="13">
        <v>44619.86859953704</v>
      </c>
      <c r="K608" t="s">
        <v>412</v>
      </c>
      <c r="R608">
        <v>0</v>
      </c>
      <c r="S608" t="s">
        <v>380</v>
      </c>
      <c r="T608" t="s">
        <v>57</v>
      </c>
      <c r="V608" t="s">
        <v>381</v>
      </c>
      <c r="W608" t="s">
        <v>2679</v>
      </c>
      <c r="X608" t="s">
        <v>2679</v>
      </c>
      <c r="AI608">
        <v>62</v>
      </c>
      <c r="AL608" t="s">
        <v>2658</v>
      </c>
      <c r="AN608" t="s">
        <v>31</v>
      </c>
      <c r="AO608">
        <v>0</v>
      </c>
      <c r="AS608" t="s">
        <v>385</v>
      </c>
      <c r="AX608" t="s">
        <v>31</v>
      </c>
      <c r="AY608" t="s">
        <v>442</v>
      </c>
      <c r="AZ608" t="s">
        <v>2683</v>
      </c>
      <c r="BF608">
        <v>0</v>
      </c>
      <c r="BK608" t="s">
        <v>31</v>
      </c>
      <c r="BS608" t="s">
        <v>412</v>
      </c>
      <c r="BT608" t="s">
        <v>412</v>
      </c>
      <c r="CI608" t="s">
        <v>388</v>
      </c>
      <c r="CJ608" s="14">
        <v>45013</v>
      </c>
      <c r="CK608">
        <v>1</v>
      </c>
    </row>
    <row r="609" spans="1:89">
      <c r="A609" t="s">
        <v>1522</v>
      </c>
      <c r="B609" t="s">
        <v>374</v>
      </c>
      <c r="C609" t="s">
        <v>1523</v>
      </c>
      <c r="D609" t="s">
        <v>2684</v>
      </c>
      <c r="E609" t="s">
        <v>2685</v>
      </c>
      <c r="F609" s="13">
        <v>44619.865162037036</v>
      </c>
      <c r="G609" t="s">
        <v>1526</v>
      </c>
      <c r="H609" t="s">
        <v>1527</v>
      </c>
      <c r="I609" s="13">
        <v>44619.866412037038</v>
      </c>
      <c r="K609" t="s">
        <v>412</v>
      </c>
      <c r="R609">
        <v>0</v>
      </c>
      <c r="S609" t="s">
        <v>380</v>
      </c>
      <c r="T609" t="s">
        <v>57</v>
      </c>
      <c r="V609" t="s">
        <v>381</v>
      </c>
      <c r="W609" t="s">
        <v>2686</v>
      </c>
      <c r="X609" t="s">
        <v>2686</v>
      </c>
      <c r="AI609">
        <v>62</v>
      </c>
      <c r="AL609" t="s">
        <v>2658</v>
      </c>
      <c r="AN609" t="s">
        <v>31</v>
      </c>
      <c r="AO609">
        <v>0</v>
      </c>
      <c r="AS609" t="s">
        <v>707</v>
      </c>
      <c r="AX609" t="s">
        <v>31</v>
      </c>
      <c r="AY609" t="s">
        <v>386</v>
      </c>
      <c r="AZ609" t="s">
        <v>2687</v>
      </c>
      <c r="BF609">
        <v>0</v>
      </c>
      <c r="BK609" t="s">
        <v>31</v>
      </c>
      <c r="BS609" t="s">
        <v>412</v>
      </c>
      <c r="BT609" t="s">
        <v>412</v>
      </c>
      <c r="CI609" t="s">
        <v>388</v>
      </c>
      <c r="CJ609" s="14">
        <v>45013</v>
      </c>
      <c r="CK609">
        <v>1</v>
      </c>
    </row>
    <row r="610" spans="1:89">
      <c r="A610" t="s">
        <v>1522</v>
      </c>
      <c r="B610" t="s">
        <v>374</v>
      </c>
      <c r="C610" t="s">
        <v>1523</v>
      </c>
      <c r="D610" t="s">
        <v>2688</v>
      </c>
      <c r="E610" t="s">
        <v>2689</v>
      </c>
      <c r="F610" s="13">
        <v>44619.863206018519</v>
      </c>
      <c r="G610" t="s">
        <v>1526</v>
      </c>
      <c r="H610" t="s">
        <v>1527</v>
      </c>
      <c r="I610" s="13">
        <v>44619.864074074074</v>
      </c>
      <c r="K610" t="s">
        <v>412</v>
      </c>
      <c r="R610">
        <v>0</v>
      </c>
      <c r="S610" t="s">
        <v>380</v>
      </c>
      <c r="T610" t="s">
        <v>57</v>
      </c>
      <c r="V610" t="s">
        <v>381</v>
      </c>
      <c r="W610" t="s">
        <v>2686</v>
      </c>
      <c r="X610" t="s">
        <v>2686</v>
      </c>
      <c r="AI610">
        <v>62</v>
      </c>
      <c r="AL610" t="s">
        <v>2658</v>
      </c>
      <c r="AN610" t="s">
        <v>31</v>
      </c>
      <c r="AO610">
        <v>0</v>
      </c>
      <c r="AS610" t="s">
        <v>648</v>
      </c>
      <c r="AX610" t="s">
        <v>31</v>
      </c>
      <c r="AY610" t="s">
        <v>442</v>
      </c>
      <c r="AZ610" t="s">
        <v>2690</v>
      </c>
      <c r="BF610">
        <v>0</v>
      </c>
      <c r="BK610" t="s">
        <v>31</v>
      </c>
      <c r="BS610" t="s">
        <v>412</v>
      </c>
      <c r="BT610" t="s">
        <v>412</v>
      </c>
      <c r="CI610" t="s">
        <v>388</v>
      </c>
      <c r="CJ610" s="14">
        <v>45013</v>
      </c>
      <c r="CK610">
        <v>1</v>
      </c>
    </row>
    <row r="611" spans="1:89">
      <c r="A611" t="s">
        <v>1522</v>
      </c>
      <c r="B611" t="s">
        <v>374</v>
      </c>
      <c r="C611" t="s">
        <v>1523</v>
      </c>
      <c r="D611" t="s">
        <v>2691</v>
      </c>
      <c r="E611" t="s">
        <v>2656</v>
      </c>
      <c r="F611" s="13">
        <v>44619.861168981479</v>
      </c>
      <c r="G611" t="s">
        <v>1526</v>
      </c>
      <c r="H611" t="s">
        <v>1527</v>
      </c>
      <c r="I611" s="13">
        <v>44619.861747685187</v>
      </c>
      <c r="K611" t="s">
        <v>412</v>
      </c>
      <c r="R611">
        <v>0</v>
      </c>
      <c r="S611" t="s">
        <v>380</v>
      </c>
      <c r="T611" t="s">
        <v>57</v>
      </c>
      <c r="V611" t="s">
        <v>381</v>
      </c>
      <c r="W611" t="s">
        <v>2657</v>
      </c>
      <c r="X611" t="s">
        <v>2657</v>
      </c>
      <c r="AI611">
        <v>62</v>
      </c>
      <c r="AL611" t="s">
        <v>2658</v>
      </c>
      <c r="AN611" t="s">
        <v>31</v>
      </c>
      <c r="AO611">
        <v>0</v>
      </c>
      <c r="AS611" t="s">
        <v>648</v>
      </c>
      <c r="AX611" t="s">
        <v>31</v>
      </c>
      <c r="AY611" t="s">
        <v>442</v>
      </c>
      <c r="AZ611" t="s">
        <v>2692</v>
      </c>
      <c r="BF611">
        <v>0</v>
      </c>
      <c r="BK611" t="s">
        <v>31</v>
      </c>
      <c r="BS611" t="s">
        <v>412</v>
      </c>
      <c r="BT611" t="s">
        <v>412</v>
      </c>
      <c r="CI611" t="s">
        <v>388</v>
      </c>
      <c r="CJ611" s="14">
        <v>45013</v>
      </c>
      <c r="CK611">
        <v>1</v>
      </c>
    </row>
    <row r="612" spans="1:89">
      <c r="A612" t="s">
        <v>2693</v>
      </c>
      <c r="B612" t="s">
        <v>374</v>
      </c>
      <c r="C612" t="s">
        <v>2694</v>
      </c>
      <c r="D612" t="s">
        <v>2695</v>
      </c>
      <c r="E612" t="s">
        <v>2696</v>
      </c>
      <c r="F612" s="13">
        <v>44619.849710648145</v>
      </c>
      <c r="G612" t="s">
        <v>1526</v>
      </c>
      <c r="H612" t="s">
        <v>1527</v>
      </c>
      <c r="I612" s="13">
        <v>44619.850358796299</v>
      </c>
      <c r="K612" t="s">
        <v>412</v>
      </c>
      <c r="R612">
        <v>0</v>
      </c>
      <c r="S612" t="s">
        <v>380</v>
      </c>
      <c r="T612" t="s">
        <v>57</v>
      </c>
      <c r="V612" t="s">
        <v>381</v>
      </c>
      <c r="W612" t="s">
        <v>2697</v>
      </c>
      <c r="X612" t="s">
        <v>2697</v>
      </c>
      <c r="AI612">
        <v>154</v>
      </c>
      <c r="AL612" t="s">
        <v>2698</v>
      </c>
      <c r="AN612" t="s">
        <v>31</v>
      </c>
      <c r="AO612">
        <v>0</v>
      </c>
      <c r="AS612" t="s">
        <v>392</v>
      </c>
      <c r="AX612" t="s">
        <v>31</v>
      </c>
      <c r="AY612" t="s">
        <v>442</v>
      </c>
      <c r="AZ612" t="s">
        <v>2699</v>
      </c>
      <c r="BF612">
        <v>0</v>
      </c>
      <c r="BK612" t="s">
        <v>31</v>
      </c>
      <c r="BS612" t="s">
        <v>412</v>
      </c>
      <c r="BT612" t="s">
        <v>412</v>
      </c>
      <c r="CI612" t="s">
        <v>388</v>
      </c>
      <c r="CJ612" s="14">
        <v>45013</v>
      </c>
      <c r="CK612">
        <v>1</v>
      </c>
    </row>
    <row r="613" spans="1:89">
      <c r="A613" t="s">
        <v>2700</v>
      </c>
      <c r="B613" t="s">
        <v>374</v>
      </c>
      <c r="C613" t="s">
        <v>2701</v>
      </c>
      <c r="D613" t="s">
        <v>2702</v>
      </c>
      <c r="E613" t="s">
        <v>2703</v>
      </c>
      <c r="F613" s="13">
        <v>44619.839861111112</v>
      </c>
      <c r="G613" t="s">
        <v>1526</v>
      </c>
      <c r="H613" t="s">
        <v>1527</v>
      </c>
      <c r="I613" s="13">
        <v>44619.840555555558</v>
      </c>
      <c r="K613" t="s">
        <v>412</v>
      </c>
      <c r="R613">
        <v>0</v>
      </c>
      <c r="S613" t="s">
        <v>380</v>
      </c>
      <c r="T613" t="s">
        <v>57</v>
      </c>
      <c r="V613" t="s">
        <v>381</v>
      </c>
      <c r="W613" t="s">
        <v>2704</v>
      </c>
      <c r="X613" t="s">
        <v>2704</v>
      </c>
      <c r="AI613">
        <v>1</v>
      </c>
      <c r="AL613" t="s">
        <v>2705</v>
      </c>
      <c r="AN613" t="s">
        <v>31</v>
      </c>
      <c r="AO613">
        <v>0</v>
      </c>
      <c r="AS613" t="s">
        <v>461</v>
      </c>
      <c r="AX613" t="s">
        <v>31</v>
      </c>
      <c r="AY613" t="s">
        <v>442</v>
      </c>
      <c r="AZ613" t="s">
        <v>2706</v>
      </c>
      <c r="BF613">
        <v>0</v>
      </c>
      <c r="BK613" t="s">
        <v>31</v>
      </c>
      <c r="BS613" t="s">
        <v>412</v>
      </c>
      <c r="BT613" t="s">
        <v>412</v>
      </c>
      <c r="CI613" t="s">
        <v>388</v>
      </c>
      <c r="CJ613" s="14">
        <v>45013</v>
      </c>
      <c r="CK613">
        <v>1</v>
      </c>
    </row>
    <row r="614" spans="1:89">
      <c r="A614" t="s">
        <v>2700</v>
      </c>
      <c r="B614" t="s">
        <v>374</v>
      </c>
      <c r="C614" t="s">
        <v>2701</v>
      </c>
      <c r="D614" t="s">
        <v>2707</v>
      </c>
      <c r="E614" t="s">
        <v>2708</v>
      </c>
      <c r="F614" s="13">
        <v>44619.832939814813</v>
      </c>
      <c r="G614" t="s">
        <v>1526</v>
      </c>
      <c r="H614" t="s">
        <v>1527</v>
      </c>
      <c r="I614" s="13">
        <v>44619.833854166667</v>
      </c>
      <c r="K614" t="s">
        <v>412</v>
      </c>
      <c r="R614">
        <v>0</v>
      </c>
      <c r="S614" t="s">
        <v>380</v>
      </c>
      <c r="T614" t="s">
        <v>57</v>
      </c>
      <c r="V614" t="s">
        <v>381</v>
      </c>
      <c r="W614" t="s">
        <v>2704</v>
      </c>
      <c r="X614" t="s">
        <v>2704</v>
      </c>
      <c r="AI614">
        <v>2</v>
      </c>
      <c r="AL614" t="s">
        <v>2709</v>
      </c>
      <c r="AN614" t="s">
        <v>31</v>
      </c>
      <c r="AO614">
        <v>0</v>
      </c>
      <c r="AS614" t="s">
        <v>385</v>
      </c>
      <c r="AX614" t="s">
        <v>31</v>
      </c>
      <c r="AY614" t="s">
        <v>442</v>
      </c>
      <c r="AZ614" t="s">
        <v>2710</v>
      </c>
      <c r="BF614">
        <v>0</v>
      </c>
      <c r="BK614" t="s">
        <v>31</v>
      </c>
      <c r="BS614" t="s">
        <v>412</v>
      </c>
      <c r="BT614" t="s">
        <v>412</v>
      </c>
      <c r="CI614" t="s">
        <v>388</v>
      </c>
      <c r="CJ614" s="14">
        <v>45013</v>
      </c>
      <c r="CK614">
        <v>1</v>
      </c>
    </row>
    <row r="615" spans="1:89">
      <c r="A615" t="s">
        <v>2700</v>
      </c>
      <c r="B615" t="s">
        <v>374</v>
      </c>
      <c r="C615" t="s">
        <v>2701</v>
      </c>
      <c r="D615" t="s">
        <v>2711</v>
      </c>
      <c r="E615" t="s">
        <v>2712</v>
      </c>
      <c r="F615" s="13">
        <v>44619.825590277775</v>
      </c>
      <c r="G615" t="s">
        <v>1526</v>
      </c>
      <c r="H615" t="s">
        <v>1527</v>
      </c>
      <c r="I615" s="13">
        <v>44619.826145833336</v>
      </c>
      <c r="K615" t="s">
        <v>412</v>
      </c>
      <c r="R615">
        <v>0</v>
      </c>
      <c r="S615" t="s">
        <v>380</v>
      </c>
      <c r="T615" t="s">
        <v>57</v>
      </c>
      <c r="V615" t="s">
        <v>381</v>
      </c>
      <c r="W615" t="s">
        <v>2704</v>
      </c>
      <c r="X615" t="s">
        <v>2704</v>
      </c>
      <c r="AI615">
        <v>2</v>
      </c>
      <c r="AL615" t="s">
        <v>2713</v>
      </c>
      <c r="AN615" t="s">
        <v>31</v>
      </c>
      <c r="AO615">
        <v>0</v>
      </c>
      <c r="AS615" t="s">
        <v>522</v>
      </c>
      <c r="AX615" t="s">
        <v>31</v>
      </c>
      <c r="AY615" t="s">
        <v>442</v>
      </c>
      <c r="AZ615" t="s">
        <v>2714</v>
      </c>
      <c r="BF615">
        <v>0</v>
      </c>
      <c r="BK615" t="s">
        <v>31</v>
      </c>
      <c r="BS615" t="s">
        <v>412</v>
      </c>
      <c r="BT615" t="s">
        <v>412</v>
      </c>
      <c r="CI615" t="s">
        <v>388</v>
      </c>
      <c r="CJ615" s="14">
        <v>45013</v>
      </c>
      <c r="CK615">
        <v>1</v>
      </c>
    </row>
    <row r="616" spans="1:89">
      <c r="A616" t="s">
        <v>2700</v>
      </c>
      <c r="B616" t="s">
        <v>374</v>
      </c>
      <c r="C616" t="s">
        <v>2701</v>
      </c>
      <c r="D616" t="s">
        <v>2715</v>
      </c>
      <c r="E616" t="s">
        <v>2716</v>
      </c>
      <c r="F616" s="13">
        <v>44619.818888888891</v>
      </c>
      <c r="G616" t="s">
        <v>1526</v>
      </c>
      <c r="H616" t="s">
        <v>1527</v>
      </c>
      <c r="I616" s="13">
        <v>44619.819733796299</v>
      </c>
      <c r="K616" t="s">
        <v>412</v>
      </c>
      <c r="R616">
        <v>0</v>
      </c>
      <c r="S616" t="s">
        <v>380</v>
      </c>
      <c r="T616" t="s">
        <v>57</v>
      </c>
      <c r="V616" t="s">
        <v>381</v>
      </c>
      <c r="W616" t="s">
        <v>2704</v>
      </c>
      <c r="X616" t="s">
        <v>2704</v>
      </c>
      <c r="AI616">
        <v>29</v>
      </c>
      <c r="AL616" t="s">
        <v>2717</v>
      </c>
      <c r="AN616" t="s">
        <v>31</v>
      </c>
      <c r="AO616">
        <v>0</v>
      </c>
      <c r="AS616" t="s">
        <v>385</v>
      </c>
      <c r="AX616" t="s">
        <v>31</v>
      </c>
      <c r="AY616" t="s">
        <v>442</v>
      </c>
      <c r="AZ616" t="s">
        <v>2718</v>
      </c>
      <c r="BF616">
        <v>0</v>
      </c>
      <c r="BK616" t="s">
        <v>31</v>
      </c>
      <c r="BS616" t="s">
        <v>412</v>
      </c>
      <c r="BT616" t="s">
        <v>412</v>
      </c>
      <c r="CI616" t="s">
        <v>388</v>
      </c>
      <c r="CJ616" s="14">
        <v>45013</v>
      </c>
      <c r="CK616">
        <v>1</v>
      </c>
    </row>
    <row r="617" spans="1:89">
      <c r="A617" t="s">
        <v>2700</v>
      </c>
      <c r="B617" t="s">
        <v>374</v>
      </c>
      <c r="C617" t="s">
        <v>2701</v>
      </c>
      <c r="D617" t="s">
        <v>2719</v>
      </c>
      <c r="E617" t="s">
        <v>2720</v>
      </c>
      <c r="F617" s="13">
        <v>44619.785949074074</v>
      </c>
      <c r="G617" t="s">
        <v>1526</v>
      </c>
      <c r="H617" t="s">
        <v>1527</v>
      </c>
      <c r="I617" s="13">
        <v>44619.788599537038</v>
      </c>
      <c r="K617" t="s">
        <v>412</v>
      </c>
      <c r="R617">
        <v>0</v>
      </c>
      <c r="S617" t="s">
        <v>380</v>
      </c>
      <c r="T617" t="s">
        <v>57</v>
      </c>
      <c r="V617" t="s">
        <v>381</v>
      </c>
      <c r="W617" t="s">
        <v>2721</v>
      </c>
      <c r="X617" t="s">
        <v>2721</v>
      </c>
      <c r="AI617">
        <v>47</v>
      </c>
      <c r="AL617" t="s">
        <v>2722</v>
      </c>
      <c r="AN617" t="s">
        <v>31</v>
      </c>
      <c r="AO617">
        <v>0</v>
      </c>
      <c r="AS617" t="s">
        <v>385</v>
      </c>
      <c r="AX617" t="s">
        <v>31</v>
      </c>
      <c r="AY617" t="s">
        <v>386</v>
      </c>
      <c r="AZ617" t="s">
        <v>2723</v>
      </c>
      <c r="BE617" t="s">
        <v>2724</v>
      </c>
      <c r="BF617">
        <v>0</v>
      </c>
      <c r="BK617" t="s">
        <v>31</v>
      </c>
      <c r="BS617" t="s">
        <v>412</v>
      </c>
      <c r="BT617" t="s">
        <v>412</v>
      </c>
      <c r="CI617" t="s">
        <v>388</v>
      </c>
      <c r="CJ617" s="14">
        <v>45013</v>
      </c>
      <c r="CK617">
        <v>1</v>
      </c>
    </row>
    <row r="618" spans="1:89">
      <c r="A618" t="s">
        <v>2725</v>
      </c>
      <c r="B618" t="s">
        <v>374</v>
      </c>
      <c r="C618" t="s">
        <v>2726</v>
      </c>
      <c r="D618" t="s">
        <v>2727</v>
      </c>
      <c r="E618" t="s">
        <v>2728</v>
      </c>
      <c r="F618" s="13">
        <v>44618.468761574077</v>
      </c>
      <c r="G618" t="s">
        <v>2729</v>
      </c>
      <c r="H618" t="s">
        <v>2730</v>
      </c>
      <c r="I618" s="13">
        <v>45012.044027777774</v>
      </c>
      <c r="K618" t="s">
        <v>415</v>
      </c>
      <c r="M618" s="13">
        <v>44926</v>
      </c>
      <c r="R618">
        <v>0</v>
      </c>
      <c r="S618" t="s">
        <v>380</v>
      </c>
      <c r="T618" t="s">
        <v>57</v>
      </c>
      <c r="V618" t="s">
        <v>478</v>
      </c>
      <c r="W618" t="s">
        <v>2731</v>
      </c>
      <c r="X618" t="s">
        <v>2731</v>
      </c>
      <c r="AF618" t="s">
        <v>451</v>
      </c>
      <c r="AI618">
        <v>-86</v>
      </c>
      <c r="AL618" t="s">
        <v>2732</v>
      </c>
      <c r="AN618" t="s">
        <v>31</v>
      </c>
      <c r="AO618">
        <v>0</v>
      </c>
      <c r="AS618" t="s">
        <v>392</v>
      </c>
      <c r="AX618" t="s">
        <v>57</v>
      </c>
      <c r="AY618" t="s">
        <v>386</v>
      </c>
      <c r="AZ618" t="s">
        <v>2733</v>
      </c>
      <c r="BE618">
        <v>6</v>
      </c>
      <c r="BF618">
        <v>0</v>
      </c>
      <c r="BK618" t="s">
        <v>31</v>
      </c>
      <c r="BS618" t="s">
        <v>419</v>
      </c>
      <c r="BT618" t="s">
        <v>419</v>
      </c>
      <c r="CI618" t="s">
        <v>388</v>
      </c>
      <c r="CJ618" s="14">
        <v>45013</v>
      </c>
      <c r="CK618">
        <v>1</v>
      </c>
    </row>
    <row r="619" spans="1:89">
      <c r="A619" t="s">
        <v>2725</v>
      </c>
      <c r="B619" t="s">
        <v>374</v>
      </c>
      <c r="C619" t="s">
        <v>2726</v>
      </c>
      <c r="D619" t="s">
        <v>2734</v>
      </c>
      <c r="E619" t="s">
        <v>2735</v>
      </c>
      <c r="F619" s="13">
        <v>44618.457881944443</v>
      </c>
      <c r="G619" t="s">
        <v>2729</v>
      </c>
      <c r="H619" t="s">
        <v>2730</v>
      </c>
      <c r="I619" s="13">
        <v>45012.044027777774</v>
      </c>
      <c r="K619" t="s">
        <v>415</v>
      </c>
      <c r="M619" s="13">
        <v>44651</v>
      </c>
      <c r="R619">
        <v>0</v>
      </c>
      <c r="S619" t="s">
        <v>380</v>
      </c>
      <c r="T619" t="s">
        <v>57</v>
      </c>
      <c r="V619" t="s">
        <v>478</v>
      </c>
      <c r="W619" t="s">
        <v>2731</v>
      </c>
      <c r="X619" t="s">
        <v>2731</v>
      </c>
      <c r="Y619" t="s">
        <v>480</v>
      </c>
      <c r="AE619" t="s">
        <v>2736</v>
      </c>
      <c r="AF619" t="s">
        <v>451</v>
      </c>
      <c r="AG619" t="s">
        <v>2737</v>
      </c>
      <c r="AI619">
        <v>-361</v>
      </c>
      <c r="AL619" t="s">
        <v>2738</v>
      </c>
      <c r="AN619" t="s">
        <v>31</v>
      </c>
      <c r="AO619">
        <v>0</v>
      </c>
      <c r="AS619" t="s">
        <v>385</v>
      </c>
      <c r="AT619" t="s">
        <v>57</v>
      </c>
      <c r="AV619" s="13">
        <v>44741</v>
      </c>
      <c r="AX619" t="s">
        <v>57</v>
      </c>
      <c r="AY619" t="s">
        <v>386</v>
      </c>
      <c r="AZ619" t="s">
        <v>2739</v>
      </c>
      <c r="BE619">
        <v>5</v>
      </c>
      <c r="BF619">
        <v>0</v>
      </c>
      <c r="BK619" t="s">
        <v>31</v>
      </c>
      <c r="BS619" t="s">
        <v>484</v>
      </c>
      <c r="BT619" t="s">
        <v>484</v>
      </c>
      <c r="CI619" t="s">
        <v>388</v>
      </c>
      <c r="CJ619" s="14">
        <v>45013</v>
      </c>
      <c r="CK619">
        <v>1</v>
      </c>
    </row>
    <row r="620" spans="1:89">
      <c r="A620" t="s">
        <v>2740</v>
      </c>
      <c r="B620" t="s">
        <v>374</v>
      </c>
      <c r="C620" t="s">
        <v>2741</v>
      </c>
      <c r="D620" t="s">
        <v>2742</v>
      </c>
      <c r="E620" t="s">
        <v>2743</v>
      </c>
      <c r="F620" s="13">
        <v>44618.449733796297</v>
      </c>
      <c r="G620" t="s">
        <v>2729</v>
      </c>
      <c r="H620" t="s">
        <v>2730</v>
      </c>
      <c r="I620" s="13">
        <v>45012.044016203705</v>
      </c>
      <c r="K620" t="s">
        <v>415</v>
      </c>
      <c r="M620" s="13">
        <v>44651</v>
      </c>
      <c r="R620">
        <v>0</v>
      </c>
      <c r="S620" t="s">
        <v>380</v>
      </c>
      <c r="T620" t="s">
        <v>57</v>
      </c>
      <c r="V620" t="s">
        <v>478</v>
      </c>
      <c r="W620" t="s">
        <v>2731</v>
      </c>
      <c r="X620" t="s">
        <v>2731</v>
      </c>
      <c r="Y620" t="s">
        <v>480</v>
      </c>
      <c r="AE620" t="s">
        <v>2736</v>
      </c>
      <c r="AF620" t="s">
        <v>451</v>
      </c>
      <c r="AG620" t="s">
        <v>2737</v>
      </c>
      <c r="AI620">
        <v>-361</v>
      </c>
      <c r="AL620" t="s">
        <v>2744</v>
      </c>
      <c r="AN620" t="s">
        <v>31</v>
      </c>
      <c r="AO620">
        <v>0</v>
      </c>
      <c r="AS620" t="s">
        <v>385</v>
      </c>
      <c r="AT620" t="s">
        <v>57</v>
      </c>
      <c r="AV620" s="13">
        <v>44741</v>
      </c>
      <c r="AX620" t="s">
        <v>57</v>
      </c>
      <c r="AY620" t="s">
        <v>386</v>
      </c>
      <c r="AZ620" t="s">
        <v>2745</v>
      </c>
      <c r="BE620">
        <v>4</v>
      </c>
      <c r="BF620">
        <v>0</v>
      </c>
      <c r="BK620" t="s">
        <v>31</v>
      </c>
      <c r="BS620" t="s">
        <v>484</v>
      </c>
      <c r="BT620" t="s">
        <v>484</v>
      </c>
      <c r="CI620" t="s">
        <v>388</v>
      </c>
      <c r="CJ620" s="14">
        <v>45013</v>
      </c>
      <c r="CK620">
        <v>1</v>
      </c>
    </row>
    <row r="621" spans="1:89">
      <c r="A621" t="s">
        <v>2746</v>
      </c>
      <c r="B621" t="s">
        <v>374</v>
      </c>
      <c r="C621" t="s">
        <v>2747</v>
      </c>
      <c r="D621" t="s">
        <v>2748</v>
      </c>
      <c r="E621" t="s">
        <v>2749</v>
      </c>
      <c r="F621" s="13">
        <v>44618.437916666669</v>
      </c>
      <c r="G621" t="s">
        <v>2729</v>
      </c>
      <c r="H621" t="s">
        <v>2730</v>
      </c>
      <c r="I621" s="13">
        <v>45012.044016203705</v>
      </c>
      <c r="K621" t="s">
        <v>415</v>
      </c>
      <c r="M621" s="13">
        <v>44651</v>
      </c>
      <c r="R621">
        <v>0</v>
      </c>
      <c r="S621" t="s">
        <v>380</v>
      </c>
      <c r="T621" t="s">
        <v>57</v>
      </c>
      <c r="V621" t="s">
        <v>478</v>
      </c>
      <c r="W621" t="s">
        <v>2731</v>
      </c>
      <c r="X621" t="s">
        <v>2731</v>
      </c>
      <c r="Y621" t="s">
        <v>480</v>
      </c>
      <c r="AE621" t="s">
        <v>2750</v>
      </c>
      <c r="AF621" t="s">
        <v>451</v>
      </c>
      <c r="AG621" t="s">
        <v>2737</v>
      </c>
      <c r="AI621">
        <v>-361</v>
      </c>
      <c r="AL621" t="s">
        <v>2751</v>
      </c>
      <c r="AN621" t="s">
        <v>31</v>
      </c>
      <c r="AO621">
        <v>0</v>
      </c>
      <c r="AS621" t="s">
        <v>385</v>
      </c>
      <c r="AT621" t="s">
        <v>57</v>
      </c>
      <c r="AV621" s="13">
        <v>44741</v>
      </c>
      <c r="AX621" t="s">
        <v>57</v>
      </c>
      <c r="AY621" t="s">
        <v>386</v>
      </c>
      <c r="AZ621" t="s">
        <v>2752</v>
      </c>
      <c r="BE621">
        <v>3</v>
      </c>
      <c r="BF621">
        <v>0</v>
      </c>
      <c r="BK621" t="s">
        <v>31</v>
      </c>
      <c r="BS621" t="s">
        <v>484</v>
      </c>
      <c r="BT621" t="s">
        <v>484</v>
      </c>
      <c r="CI621" t="s">
        <v>388</v>
      </c>
      <c r="CJ621" s="14">
        <v>45013</v>
      </c>
      <c r="CK621">
        <v>1</v>
      </c>
    </row>
    <row r="622" spans="1:89">
      <c r="A622" t="s">
        <v>2753</v>
      </c>
      <c r="B622" t="s">
        <v>374</v>
      </c>
      <c r="C622" t="s">
        <v>2754</v>
      </c>
      <c r="D622" t="s">
        <v>2755</v>
      </c>
      <c r="E622" t="s">
        <v>2756</v>
      </c>
      <c r="F622" s="13">
        <v>44618.431446759256</v>
      </c>
      <c r="G622" t="s">
        <v>2729</v>
      </c>
      <c r="H622" t="s">
        <v>2730</v>
      </c>
      <c r="I622" s="13">
        <v>45012.044016203705</v>
      </c>
      <c r="K622" t="s">
        <v>415</v>
      </c>
      <c r="M622" s="13">
        <v>44651</v>
      </c>
      <c r="R622">
        <v>0</v>
      </c>
      <c r="S622" t="s">
        <v>380</v>
      </c>
      <c r="T622" t="s">
        <v>57</v>
      </c>
      <c r="V622" t="s">
        <v>478</v>
      </c>
      <c r="W622" t="s">
        <v>2731</v>
      </c>
      <c r="X622" t="s">
        <v>2731</v>
      </c>
      <c r="Y622" t="s">
        <v>480</v>
      </c>
      <c r="AE622" t="s">
        <v>2757</v>
      </c>
      <c r="AF622" t="s">
        <v>451</v>
      </c>
      <c r="AG622" t="s">
        <v>2758</v>
      </c>
      <c r="AI622">
        <v>-361</v>
      </c>
      <c r="AL622" t="s">
        <v>2759</v>
      </c>
      <c r="AN622" t="s">
        <v>31</v>
      </c>
      <c r="AO622">
        <v>0</v>
      </c>
      <c r="AS622" t="s">
        <v>385</v>
      </c>
      <c r="AT622" t="s">
        <v>57</v>
      </c>
      <c r="AV622" s="13">
        <v>44741</v>
      </c>
      <c r="AX622" t="s">
        <v>57</v>
      </c>
      <c r="AY622" t="s">
        <v>386</v>
      </c>
      <c r="AZ622" t="s">
        <v>2760</v>
      </c>
      <c r="BE622">
        <v>2</v>
      </c>
      <c r="BF622">
        <v>0</v>
      </c>
      <c r="BK622" t="s">
        <v>31</v>
      </c>
      <c r="BS622" t="s">
        <v>484</v>
      </c>
      <c r="BT622" t="s">
        <v>484</v>
      </c>
      <c r="CI622" t="s">
        <v>388</v>
      </c>
      <c r="CJ622" s="14">
        <v>45013</v>
      </c>
      <c r="CK622">
        <v>1</v>
      </c>
    </row>
    <row r="623" spans="1:89">
      <c r="A623" t="s">
        <v>2244</v>
      </c>
      <c r="B623" t="s">
        <v>374</v>
      </c>
      <c r="C623" t="s">
        <v>2245</v>
      </c>
      <c r="D623" t="s">
        <v>2761</v>
      </c>
      <c r="E623" t="s">
        <v>2466</v>
      </c>
      <c r="F623" s="13">
        <v>44617.840937499997</v>
      </c>
      <c r="G623" t="s">
        <v>2248</v>
      </c>
      <c r="H623" t="s">
        <v>2249</v>
      </c>
      <c r="I623" s="13">
        <v>45012.044004629628</v>
      </c>
      <c r="K623" t="s">
        <v>415</v>
      </c>
      <c r="M623" s="13">
        <v>44627</v>
      </c>
      <c r="R623">
        <v>0</v>
      </c>
      <c r="S623" t="s">
        <v>416</v>
      </c>
      <c r="T623" t="s">
        <v>57</v>
      </c>
      <c r="V623" t="s">
        <v>478</v>
      </c>
      <c r="W623" t="s">
        <v>2762</v>
      </c>
      <c r="X623" t="s">
        <v>2762</v>
      </c>
      <c r="Y623" t="s">
        <v>480</v>
      </c>
      <c r="AF623" t="s">
        <v>451</v>
      </c>
      <c r="AG623" t="s">
        <v>2763</v>
      </c>
      <c r="AI623">
        <v>-385</v>
      </c>
      <c r="AL623" t="s">
        <v>2764</v>
      </c>
      <c r="AN623" t="s">
        <v>31</v>
      </c>
      <c r="AO623">
        <v>0</v>
      </c>
      <c r="AS623" t="s">
        <v>385</v>
      </c>
      <c r="AT623" t="s">
        <v>31</v>
      </c>
      <c r="AX623" t="s">
        <v>31</v>
      </c>
      <c r="AY623" t="s">
        <v>442</v>
      </c>
      <c r="AZ623" t="s">
        <v>2765</v>
      </c>
      <c r="BF623">
        <v>0</v>
      </c>
      <c r="BK623" t="s">
        <v>31</v>
      </c>
      <c r="BS623" t="s">
        <v>484</v>
      </c>
      <c r="BT623" t="s">
        <v>484</v>
      </c>
      <c r="CI623" t="s">
        <v>388</v>
      </c>
      <c r="CJ623" s="14">
        <v>45013</v>
      </c>
      <c r="CK623">
        <v>1</v>
      </c>
    </row>
    <row r="624" spans="1:89">
      <c r="A624" t="s">
        <v>2244</v>
      </c>
      <c r="B624" t="s">
        <v>374</v>
      </c>
      <c r="C624" t="s">
        <v>2245</v>
      </c>
      <c r="D624" t="s">
        <v>2766</v>
      </c>
      <c r="E624" t="s">
        <v>2767</v>
      </c>
      <c r="F624" s="13">
        <v>44617.766712962963</v>
      </c>
      <c r="G624" t="s">
        <v>2248</v>
      </c>
      <c r="H624" t="s">
        <v>2249</v>
      </c>
      <c r="I624" s="13">
        <v>45012.044004629628</v>
      </c>
      <c r="K624" t="s">
        <v>415</v>
      </c>
      <c r="M624" s="13">
        <v>44651</v>
      </c>
      <c r="R624">
        <v>0</v>
      </c>
      <c r="S624" t="s">
        <v>416</v>
      </c>
      <c r="T624" t="s">
        <v>57</v>
      </c>
      <c r="V624" t="s">
        <v>478</v>
      </c>
      <c r="W624" t="s">
        <v>2768</v>
      </c>
      <c r="X624" t="s">
        <v>2768</v>
      </c>
      <c r="AF624" t="s">
        <v>451</v>
      </c>
      <c r="AI624">
        <v>-361</v>
      </c>
      <c r="AL624" t="s">
        <v>2769</v>
      </c>
      <c r="AN624" t="s">
        <v>31</v>
      </c>
      <c r="AO624">
        <v>0</v>
      </c>
      <c r="AS624" t="s">
        <v>385</v>
      </c>
      <c r="AX624" t="s">
        <v>31</v>
      </c>
      <c r="AY624" t="s">
        <v>442</v>
      </c>
      <c r="AZ624" t="s">
        <v>2770</v>
      </c>
      <c r="BF624">
        <v>0</v>
      </c>
      <c r="BK624" t="s">
        <v>31</v>
      </c>
      <c r="BS624" t="s">
        <v>419</v>
      </c>
      <c r="BT624" t="s">
        <v>419</v>
      </c>
      <c r="CI624" t="s">
        <v>388</v>
      </c>
      <c r="CJ624" s="14">
        <v>45013</v>
      </c>
      <c r="CK624">
        <v>1</v>
      </c>
    </row>
    <row r="625" spans="1:89">
      <c r="A625" t="s">
        <v>2740</v>
      </c>
      <c r="B625" t="s">
        <v>374</v>
      </c>
      <c r="C625" t="s">
        <v>2741</v>
      </c>
      <c r="D625" t="s">
        <v>2771</v>
      </c>
      <c r="E625" t="s">
        <v>2772</v>
      </c>
      <c r="F625" s="13">
        <v>44617.712245370371</v>
      </c>
      <c r="G625" t="s">
        <v>2729</v>
      </c>
      <c r="H625" t="s">
        <v>2730</v>
      </c>
      <c r="I625" s="13">
        <v>45012.044004629628</v>
      </c>
      <c r="K625" t="s">
        <v>415</v>
      </c>
      <c r="M625" s="13">
        <v>44926</v>
      </c>
      <c r="R625">
        <v>0</v>
      </c>
      <c r="S625" t="s">
        <v>380</v>
      </c>
      <c r="T625" t="s">
        <v>57</v>
      </c>
      <c r="V625" t="s">
        <v>478</v>
      </c>
      <c r="W625" t="s">
        <v>2731</v>
      </c>
      <c r="X625" t="s">
        <v>2731</v>
      </c>
      <c r="AC625" s="13">
        <v>45107</v>
      </c>
      <c r="AD625" s="13">
        <v>44929</v>
      </c>
      <c r="AF625" t="s">
        <v>451</v>
      </c>
      <c r="AI625">
        <v>-86</v>
      </c>
      <c r="AL625" t="s">
        <v>2773</v>
      </c>
      <c r="AN625" t="s">
        <v>31</v>
      </c>
      <c r="AO625">
        <v>0</v>
      </c>
      <c r="AS625" t="s">
        <v>702</v>
      </c>
      <c r="AX625" t="s">
        <v>57</v>
      </c>
      <c r="AY625" t="s">
        <v>442</v>
      </c>
      <c r="AZ625" t="s">
        <v>2774</v>
      </c>
      <c r="BE625">
        <v>1</v>
      </c>
      <c r="BF625">
        <v>0</v>
      </c>
      <c r="BK625" t="s">
        <v>31</v>
      </c>
      <c r="BS625" t="s">
        <v>419</v>
      </c>
      <c r="BT625" t="s">
        <v>419</v>
      </c>
      <c r="CI625" t="s">
        <v>388</v>
      </c>
      <c r="CJ625" s="14">
        <v>45013</v>
      </c>
      <c r="CK625">
        <v>1</v>
      </c>
    </row>
    <row r="626" spans="1:89">
      <c r="A626" t="s">
        <v>1655</v>
      </c>
      <c r="B626" t="s">
        <v>374</v>
      </c>
      <c r="C626" t="s">
        <v>1656</v>
      </c>
      <c r="D626" t="s">
        <v>2775</v>
      </c>
      <c r="E626" t="s">
        <v>2776</v>
      </c>
      <c r="F626" s="13">
        <v>44617.710474537038</v>
      </c>
      <c r="G626" t="s">
        <v>2777</v>
      </c>
      <c r="H626" t="s">
        <v>2778</v>
      </c>
      <c r="I626" s="13">
        <v>45012.043993055559</v>
      </c>
      <c r="K626" t="s">
        <v>415</v>
      </c>
      <c r="M626" s="13">
        <v>44712</v>
      </c>
      <c r="R626">
        <v>0</v>
      </c>
      <c r="S626" t="s">
        <v>380</v>
      </c>
      <c r="T626" t="s">
        <v>57</v>
      </c>
      <c r="V626" t="s">
        <v>478</v>
      </c>
      <c r="W626" t="s">
        <v>2779</v>
      </c>
      <c r="X626" t="s">
        <v>2779</v>
      </c>
      <c r="AF626" t="s">
        <v>451</v>
      </c>
      <c r="AI626">
        <v>-300</v>
      </c>
      <c r="AL626" t="s">
        <v>2087</v>
      </c>
      <c r="AN626" t="s">
        <v>31</v>
      </c>
      <c r="AO626">
        <v>0</v>
      </c>
      <c r="AS626" t="s">
        <v>385</v>
      </c>
      <c r="AX626" t="s">
        <v>31</v>
      </c>
      <c r="AY626" t="s">
        <v>442</v>
      </c>
      <c r="AZ626" t="s">
        <v>2780</v>
      </c>
      <c r="BF626">
        <v>0</v>
      </c>
      <c r="BK626" t="s">
        <v>31</v>
      </c>
      <c r="BS626" t="s">
        <v>419</v>
      </c>
      <c r="BT626" t="s">
        <v>419</v>
      </c>
      <c r="CI626" t="s">
        <v>388</v>
      </c>
      <c r="CJ626" s="14">
        <v>45013</v>
      </c>
      <c r="CK626">
        <v>1</v>
      </c>
    </row>
    <row r="627" spans="1:89">
      <c r="A627" t="s">
        <v>1655</v>
      </c>
      <c r="B627" t="s">
        <v>374</v>
      </c>
      <c r="C627" t="s">
        <v>1656</v>
      </c>
      <c r="D627" t="s">
        <v>2781</v>
      </c>
      <c r="E627" t="s">
        <v>2782</v>
      </c>
      <c r="F627" s="13">
        <v>44617.708194444444</v>
      </c>
      <c r="G627" t="s">
        <v>2777</v>
      </c>
      <c r="H627" t="s">
        <v>2778</v>
      </c>
      <c r="I627" s="13">
        <v>45012.043993055559</v>
      </c>
      <c r="K627" t="s">
        <v>415</v>
      </c>
      <c r="M627" s="13">
        <v>44650</v>
      </c>
      <c r="R627">
        <v>0</v>
      </c>
      <c r="S627" t="s">
        <v>380</v>
      </c>
      <c r="T627" t="s">
        <v>57</v>
      </c>
      <c r="V627" t="s">
        <v>478</v>
      </c>
      <c r="W627" t="s">
        <v>2783</v>
      </c>
      <c r="X627" t="s">
        <v>2783</v>
      </c>
      <c r="AF627" t="s">
        <v>451</v>
      </c>
      <c r="AI627">
        <v>-362</v>
      </c>
      <c r="AL627" t="s">
        <v>2087</v>
      </c>
      <c r="AN627" t="s">
        <v>31</v>
      </c>
      <c r="AO627">
        <v>0</v>
      </c>
      <c r="AS627" t="s">
        <v>538</v>
      </c>
      <c r="AX627" t="s">
        <v>57</v>
      </c>
      <c r="AY627" t="s">
        <v>442</v>
      </c>
      <c r="AZ627" t="s">
        <v>2784</v>
      </c>
      <c r="BF627">
        <v>0</v>
      </c>
      <c r="BK627" t="s">
        <v>31</v>
      </c>
      <c r="BS627" t="s">
        <v>419</v>
      </c>
      <c r="BT627" t="s">
        <v>419</v>
      </c>
      <c r="CI627" t="s">
        <v>388</v>
      </c>
      <c r="CJ627" s="14">
        <v>45013</v>
      </c>
      <c r="CK627">
        <v>1</v>
      </c>
    </row>
    <row r="628" spans="1:89">
      <c r="A628" t="s">
        <v>1655</v>
      </c>
      <c r="B628" t="s">
        <v>374</v>
      </c>
      <c r="C628" t="s">
        <v>1656</v>
      </c>
      <c r="D628" t="s">
        <v>2785</v>
      </c>
      <c r="E628" t="s">
        <v>2786</v>
      </c>
      <c r="F628" s="13">
        <v>44617.664571759262</v>
      </c>
      <c r="G628" t="s">
        <v>2777</v>
      </c>
      <c r="H628" t="s">
        <v>2778</v>
      </c>
      <c r="I628" s="13">
        <v>45012.043993055559</v>
      </c>
      <c r="K628" t="s">
        <v>415</v>
      </c>
      <c r="M628" s="13">
        <v>44651</v>
      </c>
      <c r="R628">
        <v>0</v>
      </c>
      <c r="S628" t="s">
        <v>380</v>
      </c>
      <c r="T628" t="s">
        <v>57</v>
      </c>
      <c r="V628" t="s">
        <v>478</v>
      </c>
      <c r="W628" t="s">
        <v>2787</v>
      </c>
      <c r="X628" t="s">
        <v>2787</v>
      </c>
      <c r="AC628" s="13">
        <v>44651</v>
      </c>
      <c r="AD628" s="13">
        <v>44621</v>
      </c>
      <c r="AF628" t="s">
        <v>451</v>
      </c>
      <c r="AI628">
        <v>-361</v>
      </c>
      <c r="AL628" t="s">
        <v>2788</v>
      </c>
      <c r="AN628" t="s">
        <v>31</v>
      </c>
      <c r="AO628">
        <v>0</v>
      </c>
      <c r="AS628" t="s">
        <v>707</v>
      </c>
      <c r="AX628" t="s">
        <v>31</v>
      </c>
      <c r="AY628" t="s">
        <v>386</v>
      </c>
      <c r="AZ628" t="s">
        <v>2789</v>
      </c>
      <c r="BE628" t="s">
        <v>1404</v>
      </c>
      <c r="BF628">
        <v>0</v>
      </c>
      <c r="BK628" t="s">
        <v>31</v>
      </c>
      <c r="BS628" t="s">
        <v>419</v>
      </c>
      <c r="BT628" t="s">
        <v>419</v>
      </c>
      <c r="CI628" t="s">
        <v>388</v>
      </c>
      <c r="CJ628" s="14">
        <v>45013</v>
      </c>
      <c r="CK628">
        <v>1</v>
      </c>
    </row>
    <row r="629" spans="1:89">
      <c r="A629" t="s">
        <v>2244</v>
      </c>
      <c r="B629" t="s">
        <v>374</v>
      </c>
      <c r="C629" t="s">
        <v>2245</v>
      </c>
      <c r="D629" t="s">
        <v>2790</v>
      </c>
      <c r="E629" t="s">
        <v>2791</v>
      </c>
      <c r="F629" s="13">
        <v>44617.660416666666</v>
      </c>
      <c r="G629" t="s">
        <v>2248</v>
      </c>
      <c r="H629" t="s">
        <v>2249</v>
      </c>
      <c r="I629" s="13">
        <v>45012.043981481482</v>
      </c>
      <c r="K629" t="s">
        <v>415</v>
      </c>
      <c r="M629" s="13">
        <v>44651</v>
      </c>
      <c r="R629">
        <v>20</v>
      </c>
      <c r="S629" t="s">
        <v>416</v>
      </c>
      <c r="T629" t="s">
        <v>57</v>
      </c>
      <c r="V629" t="s">
        <v>478</v>
      </c>
      <c r="W629" t="s">
        <v>2792</v>
      </c>
      <c r="X629" t="s">
        <v>2792</v>
      </c>
      <c r="AF629" t="s">
        <v>1301</v>
      </c>
      <c r="AG629" t="s">
        <v>2793</v>
      </c>
      <c r="AI629">
        <v>-361</v>
      </c>
      <c r="AJ629" s="13">
        <v>44742</v>
      </c>
      <c r="AL629" t="s">
        <v>2794</v>
      </c>
      <c r="AN629" t="s">
        <v>31</v>
      </c>
      <c r="AO629">
        <v>0</v>
      </c>
      <c r="AR629" t="s">
        <v>2795</v>
      </c>
      <c r="AS629" t="s">
        <v>385</v>
      </c>
      <c r="AX629" t="s">
        <v>31</v>
      </c>
      <c r="AY629" t="s">
        <v>442</v>
      </c>
      <c r="AZ629" t="s">
        <v>2796</v>
      </c>
      <c r="BF629">
        <v>0</v>
      </c>
      <c r="BK629" t="s">
        <v>31</v>
      </c>
      <c r="BS629" t="s">
        <v>419</v>
      </c>
      <c r="BT629" t="s">
        <v>419</v>
      </c>
      <c r="CI629" t="s">
        <v>388</v>
      </c>
      <c r="CJ629" s="14">
        <v>45013</v>
      </c>
      <c r="CK629">
        <v>1</v>
      </c>
    </row>
    <row r="630" spans="1:89">
      <c r="A630" t="s">
        <v>2797</v>
      </c>
      <c r="B630" t="s">
        <v>374</v>
      </c>
      <c r="C630" t="s">
        <v>2798</v>
      </c>
      <c r="D630" t="s">
        <v>2799</v>
      </c>
      <c r="E630" t="s">
        <v>2800</v>
      </c>
      <c r="F630" s="13">
        <v>44617.6562037037</v>
      </c>
      <c r="G630" t="s">
        <v>2801</v>
      </c>
      <c r="H630" t="s">
        <v>2802</v>
      </c>
      <c r="I630" s="13">
        <v>45012.043981481482</v>
      </c>
      <c r="K630" t="s">
        <v>415</v>
      </c>
      <c r="M630" s="13">
        <v>44651</v>
      </c>
      <c r="R630">
        <v>0</v>
      </c>
      <c r="S630" t="s">
        <v>380</v>
      </c>
      <c r="T630" t="s">
        <v>57</v>
      </c>
      <c r="V630" t="s">
        <v>478</v>
      </c>
      <c r="W630" t="s">
        <v>2803</v>
      </c>
      <c r="X630" t="s">
        <v>2803</v>
      </c>
      <c r="AC630" s="13">
        <v>44561</v>
      </c>
      <c r="AD630" s="13">
        <v>44561</v>
      </c>
      <c r="AF630" t="s">
        <v>451</v>
      </c>
      <c r="AI630">
        <v>-361</v>
      </c>
      <c r="AL630" t="s">
        <v>2804</v>
      </c>
      <c r="AN630" t="s">
        <v>31</v>
      </c>
      <c r="AO630">
        <v>0</v>
      </c>
      <c r="AS630" t="s">
        <v>385</v>
      </c>
      <c r="AX630" t="s">
        <v>31</v>
      </c>
      <c r="AY630" t="s">
        <v>442</v>
      </c>
      <c r="AZ630" t="s">
        <v>2805</v>
      </c>
      <c r="BF630">
        <v>0</v>
      </c>
      <c r="BK630" t="s">
        <v>31</v>
      </c>
      <c r="BS630" t="s">
        <v>419</v>
      </c>
      <c r="BT630" t="s">
        <v>419</v>
      </c>
      <c r="CI630" t="s">
        <v>388</v>
      </c>
      <c r="CJ630" s="14">
        <v>45013</v>
      </c>
      <c r="CK630">
        <v>1</v>
      </c>
    </row>
    <row r="631" spans="1:89">
      <c r="A631" t="s">
        <v>2797</v>
      </c>
      <c r="B631" t="s">
        <v>374</v>
      </c>
      <c r="C631" t="s">
        <v>2798</v>
      </c>
      <c r="D631" t="s">
        <v>2806</v>
      </c>
      <c r="E631" t="s">
        <v>2807</v>
      </c>
      <c r="F631" s="13">
        <v>44617.647881944446</v>
      </c>
      <c r="G631" t="s">
        <v>2801</v>
      </c>
      <c r="H631" t="s">
        <v>2802</v>
      </c>
      <c r="I631" s="13">
        <v>45012.043981481482</v>
      </c>
      <c r="K631" t="s">
        <v>415</v>
      </c>
      <c r="M631" s="13">
        <v>44651</v>
      </c>
      <c r="R631">
        <v>0</v>
      </c>
      <c r="S631" t="s">
        <v>380</v>
      </c>
      <c r="T631" t="s">
        <v>57</v>
      </c>
      <c r="V631" t="s">
        <v>478</v>
      </c>
      <c r="W631" t="s">
        <v>2808</v>
      </c>
      <c r="X631" t="s">
        <v>2808</v>
      </c>
      <c r="AC631" s="13">
        <v>44561</v>
      </c>
      <c r="AD631" s="13">
        <v>44561</v>
      </c>
      <c r="AF631" t="s">
        <v>451</v>
      </c>
      <c r="AI631">
        <v>-361</v>
      </c>
      <c r="AL631" t="s">
        <v>2809</v>
      </c>
      <c r="AN631" t="s">
        <v>31</v>
      </c>
      <c r="AO631">
        <v>0</v>
      </c>
      <c r="AS631" t="s">
        <v>385</v>
      </c>
      <c r="AX631" t="s">
        <v>31</v>
      </c>
      <c r="AY631" t="s">
        <v>442</v>
      </c>
      <c r="AZ631" t="s">
        <v>2810</v>
      </c>
      <c r="BF631">
        <v>0</v>
      </c>
      <c r="BK631" t="s">
        <v>31</v>
      </c>
      <c r="BS631" t="s">
        <v>419</v>
      </c>
      <c r="BT631" t="s">
        <v>419</v>
      </c>
      <c r="CI631" t="s">
        <v>388</v>
      </c>
      <c r="CJ631" s="14">
        <v>45013</v>
      </c>
      <c r="CK631">
        <v>1</v>
      </c>
    </row>
    <row r="632" spans="1:89">
      <c r="A632" t="s">
        <v>2797</v>
      </c>
      <c r="B632" t="s">
        <v>374</v>
      </c>
      <c r="C632" t="s">
        <v>2798</v>
      </c>
      <c r="D632" t="s">
        <v>2811</v>
      </c>
      <c r="E632" t="s">
        <v>2812</v>
      </c>
      <c r="F632" s="13">
        <v>44617.639062499999</v>
      </c>
      <c r="G632" t="s">
        <v>2801</v>
      </c>
      <c r="H632" t="s">
        <v>2802</v>
      </c>
      <c r="I632" s="13">
        <v>45012.043969907405</v>
      </c>
      <c r="K632" t="s">
        <v>415</v>
      </c>
      <c r="M632" s="13">
        <v>44651</v>
      </c>
      <c r="R632">
        <v>0</v>
      </c>
      <c r="S632" t="s">
        <v>380</v>
      </c>
      <c r="T632" t="s">
        <v>57</v>
      </c>
      <c r="V632" t="s">
        <v>478</v>
      </c>
      <c r="W632" t="s">
        <v>2808</v>
      </c>
      <c r="X632" t="s">
        <v>2808</v>
      </c>
      <c r="AC632" s="13">
        <v>44561</v>
      </c>
      <c r="AD632" s="13">
        <v>44561</v>
      </c>
      <c r="AF632" t="s">
        <v>451</v>
      </c>
      <c r="AI632">
        <v>-361</v>
      </c>
      <c r="AL632" t="s">
        <v>2813</v>
      </c>
      <c r="AN632" t="s">
        <v>31</v>
      </c>
      <c r="AO632">
        <v>0</v>
      </c>
      <c r="AS632" t="s">
        <v>385</v>
      </c>
      <c r="AX632" t="s">
        <v>31</v>
      </c>
      <c r="AY632" t="s">
        <v>442</v>
      </c>
      <c r="AZ632" t="s">
        <v>2814</v>
      </c>
      <c r="BF632">
        <v>0</v>
      </c>
      <c r="BK632" t="s">
        <v>31</v>
      </c>
      <c r="BS632" t="s">
        <v>419</v>
      </c>
      <c r="BT632" t="s">
        <v>419</v>
      </c>
      <c r="CI632" t="s">
        <v>388</v>
      </c>
      <c r="CJ632" s="14">
        <v>45013</v>
      </c>
      <c r="CK632">
        <v>1</v>
      </c>
    </row>
    <row r="633" spans="1:89">
      <c r="A633" t="s">
        <v>2797</v>
      </c>
      <c r="B633" t="s">
        <v>374</v>
      </c>
      <c r="C633" t="s">
        <v>2798</v>
      </c>
      <c r="D633" t="s">
        <v>2815</v>
      </c>
      <c r="E633" t="s">
        <v>2816</v>
      </c>
      <c r="F633" s="13">
        <v>44617.632407407407</v>
      </c>
      <c r="G633" t="s">
        <v>2801</v>
      </c>
      <c r="H633" t="s">
        <v>2802</v>
      </c>
      <c r="I633" s="13">
        <v>45012.043969907405</v>
      </c>
      <c r="K633" t="s">
        <v>415</v>
      </c>
      <c r="M633" s="13">
        <v>44651</v>
      </c>
      <c r="R633">
        <v>0</v>
      </c>
      <c r="S633" t="s">
        <v>380</v>
      </c>
      <c r="T633" t="s">
        <v>57</v>
      </c>
      <c r="V633" t="s">
        <v>478</v>
      </c>
      <c r="W633" t="s">
        <v>2817</v>
      </c>
      <c r="X633" t="s">
        <v>2817</v>
      </c>
      <c r="AC633" s="13">
        <v>44561</v>
      </c>
      <c r="AD633" s="13">
        <v>44561</v>
      </c>
      <c r="AF633" t="s">
        <v>451</v>
      </c>
      <c r="AI633">
        <v>-361</v>
      </c>
      <c r="AL633" t="s">
        <v>2818</v>
      </c>
      <c r="AN633" t="s">
        <v>31</v>
      </c>
      <c r="AO633">
        <v>0</v>
      </c>
      <c r="AS633" t="s">
        <v>385</v>
      </c>
      <c r="AX633" t="s">
        <v>31</v>
      </c>
      <c r="AY633" t="s">
        <v>442</v>
      </c>
      <c r="AZ633" t="s">
        <v>2819</v>
      </c>
      <c r="BF633">
        <v>0</v>
      </c>
      <c r="BK633" t="s">
        <v>31</v>
      </c>
      <c r="BS633" t="s">
        <v>419</v>
      </c>
      <c r="BT633" t="s">
        <v>419</v>
      </c>
      <c r="CI633" t="s">
        <v>388</v>
      </c>
      <c r="CJ633" s="14">
        <v>45013</v>
      </c>
      <c r="CK633">
        <v>1</v>
      </c>
    </row>
    <row r="634" spans="1:89">
      <c r="A634" t="s">
        <v>1655</v>
      </c>
      <c r="B634" t="s">
        <v>374</v>
      </c>
      <c r="C634" t="s">
        <v>1656</v>
      </c>
      <c r="D634" t="s">
        <v>2820</v>
      </c>
      <c r="E634" t="s">
        <v>2821</v>
      </c>
      <c r="F634" s="13">
        <v>44617.623391203706</v>
      </c>
      <c r="G634" t="s">
        <v>2777</v>
      </c>
      <c r="H634" t="s">
        <v>2778</v>
      </c>
      <c r="I634" s="13">
        <v>45012.043969907405</v>
      </c>
      <c r="K634" t="s">
        <v>415</v>
      </c>
      <c r="M634" s="13">
        <v>44834</v>
      </c>
      <c r="R634">
        <v>0</v>
      </c>
      <c r="S634" t="s">
        <v>380</v>
      </c>
      <c r="T634" t="s">
        <v>57</v>
      </c>
      <c r="V634" t="s">
        <v>478</v>
      </c>
      <c r="W634" t="s">
        <v>2822</v>
      </c>
      <c r="X634" t="s">
        <v>2822</v>
      </c>
      <c r="AC634" s="13">
        <v>44834</v>
      </c>
      <c r="AD634" s="13">
        <v>44742</v>
      </c>
      <c r="AF634" t="s">
        <v>451</v>
      </c>
      <c r="AI634">
        <v>-178</v>
      </c>
      <c r="AL634" t="s">
        <v>2823</v>
      </c>
      <c r="AN634" t="s">
        <v>31</v>
      </c>
      <c r="AO634">
        <v>0</v>
      </c>
      <c r="AS634" t="s">
        <v>392</v>
      </c>
      <c r="AX634" t="s">
        <v>31</v>
      </c>
      <c r="AY634" t="s">
        <v>442</v>
      </c>
      <c r="AZ634" t="s">
        <v>2824</v>
      </c>
      <c r="BE634" t="s">
        <v>2825</v>
      </c>
      <c r="BF634">
        <v>0</v>
      </c>
      <c r="BK634" t="s">
        <v>31</v>
      </c>
      <c r="BS634" t="s">
        <v>419</v>
      </c>
      <c r="BT634" t="s">
        <v>419</v>
      </c>
      <c r="CI634" t="s">
        <v>388</v>
      </c>
      <c r="CJ634" s="14">
        <v>45013</v>
      </c>
      <c r="CK634">
        <v>1</v>
      </c>
    </row>
    <row r="635" spans="1:89">
      <c r="A635" t="s">
        <v>2797</v>
      </c>
      <c r="B635" t="s">
        <v>374</v>
      </c>
      <c r="C635" t="s">
        <v>2798</v>
      </c>
      <c r="D635" t="s">
        <v>2826</v>
      </c>
      <c r="E635" t="s">
        <v>2827</v>
      </c>
      <c r="F635" s="13">
        <v>44617.622337962966</v>
      </c>
      <c r="G635" t="s">
        <v>2801</v>
      </c>
      <c r="H635" t="s">
        <v>2802</v>
      </c>
      <c r="I635" s="13">
        <v>45012.043958333335</v>
      </c>
      <c r="K635" t="s">
        <v>415</v>
      </c>
      <c r="M635" s="13">
        <v>44651</v>
      </c>
      <c r="R635">
        <v>0</v>
      </c>
      <c r="S635" t="s">
        <v>380</v>
      </c>
      <c r="T635" t="s">
        <v>57</v>
      </c>
      <c r="V635" t="s">
        <v>478</v>
      </c>
      <c r="W635" t="s">
        <v>2828</v>
      </c>
      <c r="X635" t="s">
        <v>2828</v>
      </c>
      <c r="AC635" s="13">
        <v>44561</v>
      </c>
      <c r="AD635" s="13">
        <v>44561</v>
      </c>
      <c r="AF635" t="s">
        <v>451</v>
      </c>
      <c r="AI635">
        <v>-361</v>
      </c>
      <c r="AL635" t="s">
        <v>2829</v>
      </c>
      <c r="AN635" t="s">
        <v>31</v>
      </c>
      <c r="AO635">
        <v>0</v>
      </c>
      <c r="AS635" t="s">
        <v>538</v>
      </c>
      <c r="AX635" t="s">
        <v>31</v>
      </c>
      <c r="AY635" t="s">
        <v>442</v>
      </c>
      <c r="AZ635" t="s">
        <v>2830</v>
      </c>
      <c r="BF635">
        <v>0</v>
      </c>
      <c r="BK635" t="s">
        <v>31</v>
      </c>
      <c r="BS635" t="s">
        <v>419</v>
      </c>
      <c r="BT635" t="s">
        <v>419</v>
      </c>
      <c r="CI635" t="s">
        <v>388</v>
      </c>
      <c r="CJ635" s="14">
        <v>45013</v>
      </c>
      <c r="CK635">
        <v>1</v>
      </c>
    </row>
    <row r="636" spans="1:89">
      <c r="A636" t="s">
        <v>2797</v>
      </c>
      <c r="B636" t="s">
        <v>374</v>
      </c>
      <c r="C636" t="s">
        <v>2798</v>
      </c>
      <c r="D636" t="s">
        <v>2831</v>
      </c>
      <c r="E636" t="s">
        <v>2832</v>
      </c>
      <c r="F636" s="13">
        <v>44617.600289351853</v>
      </c>
      <c r="G636" t="s">
        <v>2801</v>
      </c>
      <c r="H636" t="s">
        <v>2802</v>
      </c>
      <c r="I636" s="13">
        <v>45012.043958333335</v>
      </c>
      <c r="K636" t="s">
        <v>415</v>
      </c>
      <c r="M636" s="13">
        <v>44651</v>
      </c>
      <c r="R636">
        <v>0</v>
      </c>
      <c r="S636" t="s">
        <v>380</v>
      </c>
      <c r="T636" t="s">
        <v>57</v>
      </c>
      <c r="V636" t="s">
        <v>478</v>
      </c>
      <c r="W636" t="s">
        <v>2828</v>
      </c>
      <c r="X636" t="s">
        <v>2828</v>
      </c>
      <c r="AC636" s="13">
        <v>44561</v>
      </c>
      <c r="AD636" s="13">
        <v>44561</v>
      </c>
      <c r="AF636" t="s">
        <v>451</v>
      </c>
      <c r="AI636">
        <v>-361</v>
      </c>
      <c r="AL636" t="s">
        <v>2833</v>
      </c>
      <c r="AN636" t="s">
        <v>31</v>
      </c>
      <c r="AO636">
        <v>0</v>
      </c>
      <c r="AS636" t="s">
        <v>526</v>
      </c>
      <c r="AX636" t="s">
        <v>31</v>
      </c>
      <c r="AY636" t="s">
        <v>442</v>
      </c>
      <c r="AZ636" t="s">
        <v>2834</v>
      </c>
      <c r="BF636">
        <v>0</v>
      </c>
      <c r="BK636" t="s">
        <v>31</v>
      </c>
      <c r="BS636" t="s">
        <v>419</v>
      </c>
      <c r="BT636" t="s">
        <v>419</v>
      </c>
      <c r="CI636" t="s">
        <v>388</v>
      </c>
      <c r="CJ636" s="14">
        <v>45013</v>
      </c>
      <c r="CK636">
        <v>1</v>
      </c>
    </row>
    <row r="637" spans="1:89">
      <c r="A637" t="s">
        <v>2835</v>
      </c>
      <c r="B637" t="s">
        <v>374</v>
      </c>
      <c r="C637" t="s">
        <v>2836</v>
      </c>
      <c r="D637" t="s">
        <v>2837</v>
      </c>
      <c r="E637" t="s">
        <v>2838</v>
      </c>
      <c r="F637" s="13">
        <v>44617.594618055555</v>
      </c>
      <c r="G637" t="s">
        <v>2346</v>
      </c>
      <c r="H637" t="s">
        <v>2347</v>
      </c>
      <c r="I637" s="13">
        <v>45012.043958333335</v>
      </c>
      <c r="K637" t="s">
        <v>415</v>
      </c>
      <c r="M637" s="13">
        <v>44712</v>
      </c>
      <c r="R637">
        <v>0</v>
      </c>
      <c r="S637" t="s">
        <v>380</v>
      </c>
      <c r="T637" t="s">
        <v>57</v>
      </c>
      <c r="V637" t="s">
        <v>478</v>
      </c>
      <c r="W637" t="s">
        <v>2839</v>
      </c>
      <c r="X637" t="s">
        <v>2839</v>
      </c>
      <c r="AC637" s="13">
        <v>44804</v>
      </c>
      <c r="AD637" s="13">
        <v>44713</v>
      </c>
      <c r="AF637" t="s">
        <v>451</v>
      </c>
      <c r="AI637">
        <v>-300</v>
      </c>
      <c r="AL637" t="s">
        <v>2840</v>
      </c>
      <c r="AN637" t="s">
        <v>31</v>
      </c>
      <c r="AO637">
        <v>0</v>
      </c>
      <c r="AS637" t="s">
        <v>538</v>
      </c>
      <c r="AX637" t="s">
        <v>57</v>
      </c>
      <c r="AY637" t="s">
        <v>442</v>
      </c>
      <c r="AZ637" t="s">
        <v>2841</v>
      </c>
      <c r="BE637">
        <v>1</v>
      </c>
      <c r="BF637">
        <v>0</v>
      </c>
      <c r="BK637" t="s">
        <v>31</v>
      </c>
      <c r="BS637" t="s">
        <v>419</v>
      </c>
      <c r="BT637" t="s">
        <v>419</v>
      </c>
      <c r="CI637" t="s">
        <v>388</v>
      </c>
      <c r="CJ637" s="14">
        <v>45013</v>
      </c>
      <c r="CK637">
        <v>1</v>
      </c>
    </row>
    <row r="638" spans="1:89">
      <c r="A638" t="s">
        <v>2565</v>
      </c>
      <c r="B638" t="s">
        <v>374</v>
      </c>
      <c r="C638" t="s">
        <v>2566</v>
      </c>
      <c r="D638" t="s">
        <v>2842</v>
      </c>
      <c r="E638" t="s">
        <v>2843</v>
      </c>
      <c r="F638" s="13">
        <v>44617.567407407405</v>
      </c>
      <c r="G638" t="s">
        <v>2149</v>
      </c>
      <c r="H638" t="s">
        <v>2150</v>
      </c>
      <c r="I638" s="13">
        <v>45012.043958333335</v>
      </c>
      <c r="K638" t="s">
        <v>415</v>
      </c>
      <c r="M638" s="13">
        <v>44644</v>
      </c>
      <c r="R638">
        <v>0</v>
      </c>
      <c r="S638" t="s">
        <v>380</v>
      </c>
      <c r="T638" t="s">
        <v>57</v>
      </c>
      <c r="V638" t="s">
        <v>478</v>
      </c>
      <c r="W638" t="s">
        <v>2844</v>
      </c>
      <c r="X638" t="s">
        <v>2844</v>
      </c>
      <c r="AC638" s="13">
        <v>44200</v>
      </c>
      <c r="AD638" s="13">
        <v>44197</v>
      </c>
      <c r="AF638" t="s">
        <v>451</v>
      </c>
      <c r="AI638">
        <v>-368</v>
      </c>
      <c r="AL638" t="s">
        <v>2845</v>
      </c>
      <c r="AN638" t="s">
        <v>31</v>
      </c>
      <c r="AO638">
        <v>0</v>
      </c>
      <c r="AS638" t="s">
        <v>385</v>
      </c>
      <c r="AX638" t="s">
        <v>31</v>
      </c>
      <c r="AY638" t="s">
        <v>442</v>
      </c>
      <c r="AZ638" t="s">
        <v>2846</v>
      </c>
      <c r="BE638" t="s">
        <v>2847</v>
      </c>
      <c r="BF638">
        <v>0</v>
      </c>
      <c r="BK638" t="s">
        <v>31</v>
      </c>
      <c r="BS638" t="s">
        <v>419</v>
      </c>
      <c r="BT638" t="s">
        <v>419</v>
      </c>
      <c r="CI638" t="s">
        <v>388</v>
      </c>
      <c r="CJ638" s="14">
        <v>45013</v>
      </c>
      <c r="CK638">
        <v>1</v>
      </c>
    </row>
    <row r="639" spans="1:89">
      <c r="A639" t="s">
        <v>2848</v>
      </c>
      <c r="B639" t="s">
        <v>374</v>
      </c>
      <c r="C639" t="s">
        <v>2849</v>
      </c>
      <c r="D639" t="s">
        <v>2850</v>
      </c>
      <c r="E639" t="s">
        <v>2851</v>
      </c>
      <c r="F639" s="13">
        <v>44617.556516203702</v>
      </c>
      <c r="G639" t="s">
        <v>1591</v>
      </c>
      <c r="H639" t="s">
        <v>1592</v>
      </c>
      <c r="I639" s="13">
        <v>44617.561053240737</v>
      </c>
      <c r="K639" t="s">
        <v>412</v>
      </c>
      <c r="R639">
        <v>0</v>
      </c>
      <c r="S639" t="s">
        <v>380</v>
      </c>
      <c r="T639" t="s">
        <v>57</v>
      </c>
      <c r="V639" t="s">
        <v>381</v>
      </c>
      <c r="W639" t="s">
        <v>2852</v>
      </c>
      <c r="X639" t="s">
        <v>2852</v>
      </c>
      <c r="AC639" s="13">
        <v>44696</v>
      </c>
      <c r="AD639" s="13">
        <v>44607</v>
      </c>
      <c r="AI639">
        <v>79</v>
      </c>
      <c r="AL639" t="s">
        <v>2853</v>
      </c>
      <c r="AN639" t="s">
        <v>31</v>
      </c>
      <c r="AO639">
        <v>0</v>
      </c>
      <c r="AS639" t="s">
        <v>702</v>
      </c>
      <c r="AX639" t="s">
        <v>57</v>
      </c>
      <c r="AY639" t="s">
        <v>386</v>
      </c>
      <c r="AZ639" t="s">
        <v>2854</v>
      </c>
      <c r="BE639" t="s">
        <v>2855</v>
      </c>
      <c r="BF639">
        <v>0</v>
      </c>
      <c r="BK639" t="s">
        <v>31</v>
      </c>
      <c r="BS639" t="s">
        <v>412</v>
      </c>
      <c r="BT639" t="s">
        <v>412</v>
      </c>
      <c r="CI639" t="s">
        <v>388</v>
      </c>
      <c r="CJ639" s="14">
        <v>45013</v>
      </c>
      <c r="CK639">
        <v>1</v>
      </c>
    </row>
    <row r="640" spans="1:89">
      <c r="A640" t="s">
        <v>1655</v>
      </c>
      <c r="B640" t="s">
        <v>374</v>
      </c>
      <c r="C640" t="s">
        <v>1656</v>
      </c>
      <c r="D640" t="s">
        <v>2856</v>
      </c>
      <c r="E640" t="s">
        <v>2857</v>
      </c>
      <c r="F640" s="13">
        <v>44617.521863425929</v>
      </c>
      <c r="G640" t="s">
        <v>2777</v>
      </c>
      <c r="H640" t="s">
        <v>2778</v>
      </c>
      <c r="I640" s="13">
        <v>45012.043946759259</v>
      </c>
      <c r="K640" t="s">
        <v>415</v>
      </c>
      <c r="M640" s="13">
        <v>44680</v>
      </c>
      <c r="R640">
        <v>0</v>
      </c>
      <c r="S640" t="s">
        <v>380</v>
      </c>
      <c r="T640" t="s">
        <v>57</v>
      </c>
      <c r="V640" t="s">
        <v>478</v>
      </c>
      <c r="W640" t="s">
        <v>1661</v>
      </c>
      <c r="X640" t="s">
        <v>1661</v>
      </c>
      <c r="AC640" s="13">
        <v>44680</v>
      </c>
      <c r="AD640" s="13">
        <v>44592</v>
      </c>
      <c r="AF640" t="s">
        <v>451</v>
      </c>
      <c r="AI640">
        <v>-332</v>
      </c>
      <c r="AL640" t="s">
        <v>2858</v>
      </c>
      <c r="AN640" t="s">
        <v>31</v>
      </c>
      <c r="AO640">
        <v>0</v>
      </c>
      <c r="AS640" t="s">
        <v>385</v>
      </c>
      <c r="AX640" t="s">
        <v>31</v>
      </c>
      <c r="AY640" t="s">
        <v>442</v>
      </c>
      <c r="AZ640" t="s">
        <v>2859</v>
      </c>
      <c r="BF640">
        <v>0</v>
      </c>
      <c r="BK640" t="s">
        <v>31</v>
      </c>
      <c r="BS640" t="s">
        <v>419</v>
      </c>
      <c r="BT640" t="s">
        <v>419</v>
      </c>
      <c r="CI640" t="s">
        <v>388</v>
      </c>
      <c r="CJ640" s="14">
        <v>45013</v>
      </c>
      <c r="CK640">
        <v>1</v>
      </c>
    </row>
    <row r="641" spans="1:89">
      <c r="A641" t="s">
        <v>1655</v>
      </c>
      <c r="B641" t="s">
        <v>374</v>
      </c>
      <c r="C641" t="s">
        <v>1656</v>
      </c>
      <c r="D641" t="s">
        <v>2860</v>
      </c>
      <c r="E641" t="s">
        <v>2861</v>
      </c>
      <c r="F641" s="13">
        <v>44617.51635416667</v>
      </c>
      <c r="G641" t="s">
        <v>2777</v>
      </c>
      <c r="H641" t="s">
        <v>2778</v>
      </c>
      <c r="I641" s="13">
        <v>45012.043946759259</v>
      </c>
      <c r="K641" t="s">
        <v>415</v>
      </c>
      <c r="M641" s="13">
        <v>44834</v>
      </c>
      <c r="R641">
        <v>0</v>
      </c>
      <c r="S641" t="s">
        <v>380</v>
      </c>
      <c r="T641" t="s">
        <v>57</v>
      </c>
      <c r="V641" t="s">
        <v>478</v>
      </c>
      <c r="W641" t="s">
        <v>1661</v>
      </c>
      <c r="X641" t="s">
        <v>1661</v>
      </c>
      <c r="AC641" s="13">
        <v>44834</v>
      </c>
      <c r="AD641" s="13">
        <v>44285</v>
      </c>
      <c r="AF641" t="s">
        <v>451</v>
      </c>
      <c r="AI641">
        <v>-178</v>
      </c>
      <c r="AL641" t="s">
        <v>2858</v>
      </c>
      <c r="AN641" t="s">
        <v>31</v>
      </c>
      <c r="AO641">
        <v>0</v>
      </c>
      <c r="AS641" t="s">
        <v>385</v>
      </c>
      <c r="AX641" t="s">
        <v>31</v>
      </c>
      <c r="AY641" t="s">
        <v>442</v>
      </c>
      <c r="AZ641" t="s">
        <v>1663</v>
      </c>
      <c r="BE641" t="s">
        <v>2862</v>
      </c>
      <c r="BF641">
        <v>0</v>
      </c>
      <c r="BK641" t="s">
        <v>31</v>
      </c>
      <c r="BS641" t="s">
        <v>419</v>
      </c>
      <c r="BT641" t="s">
        <v>419</v>
      </c>
      <c r="CI641" t="s">
        <v>388</v>
      </c>
      <c r="CJ641" s="14">
        <v>45013</v>
      </c>
      <c r="CK641">
        <v>1</v>
      </c>
    </row>
    <row r="642" spans="1:89">
      <c r="A642" t="s">
        <v>1655</v>
      </c>
      <c r="B642" t="s">
        <v>374</v>
      </c>
      <c r="C642" t="s">
        <v>1656</v>
      </c>
      <c r="D642" t="s">
        <v>2863</v>
      </c>
      <c r="E642" t="s">
        <v>2864</v>
      </c>
      <c r="F642" s="13">
        <v>44617.509722222225</v>
      </c>
      <c r="G642" t="s">
        <v>2777</v>
      </c>
      <c r="H642" t="s">
        <v>2778</v>
      </c>
      <c r="I642" s="13">
        <v>45012.043946759259</v>
      </c>
      <c r="K642" t="s">
        <v>415</v>
      </c>
      <c r="M642" s="13">
        <v>44834</v>
      </c>
      <c r="R642">
        <v>0</v>
      </c>
      <c r="S642" t="s">
        <v>380</v>
      </c>
      <c r="T642" t="s">
        <v>57</v>
      </c>
      <c r="V642" t="s">
        <v>478</v>
      </c>
      <c r="W642" t="s">
        <v>1661</v>
      </c>
      <c r="X642" t="s">
        <v>1661</v>
      </c>
      <c r="AC642" s="13">
        <v>44834</v>
      </c>
      <c r="AD642" s="13">
        <v>44603</v>
      </c>
      <c r="AF642" t="s">
        <v>451</v>
      </c>
      <c r="AI642">
        <v>-178</v>
      </c>
      <c r="AL642" t="s">
        <v>2858</v>
      </c>
      <c r="AN642" t="s">
        <v>31</v>
      </c>
      <c r="AO642">
        <v>0</v>
      </c>
      <c r="AS642" t="s">
        <v>385</v>
      </c>
      <c r="AX642" t="s">
        <v>31</v>
      </c>
      <c r="AY642" t="s">
        <v>442</v>
      </c>
      <c r="AZ642" t="s">
        <v>1666</v>
      </c>
      <c r="BF642">
        <v>0</v>
      </c>
      <c r="BK642" t="s">
        <v>31</v>
      </c>
      <c r="BS642" t="s">
        <v>419</v>
      </c>
      <c r="BT642" t="s">
        <v>419</v>
      </c>
      <c r="CI642" t="s">
        <v>388</v>
      </c>
      <c r="CJ642" s="14">
        <v>45013</v>
      </c>
      <c r="CK642">
        <v>1</v>
      </c>
    </row>
    <row r="643" spans="1:89">
      <c r="A643" t="s">
        <v>1655</v>
      </c>
      <c r="B643" t="s">
        <v>374</v>
      </c>
      <c r="C643" t="s">
        <v>1656</v>
      </c>
      <c r="D643" t="s">
        <v>2865</v>
      </c>
      <c r="E643" t="s">
        <v>2866</v>
      </c>
      <c r="F643" s="13">
        <v>44617.461516203701</v>
      </c>
      <c r="G643" t="s">
        <v>2777</v>
      </c>
      <c r="H643" t="s">
        <v>2778</v>
      </c>
      <c r="I643" s="13">
        <v>45012.043935185182</v>
      </c>
      <c r="K643" t="s">
        <v>415</v>
      </c>
      <c r="M643" s="13">
        <v>44650</v>
      </c>
      <c r="R643">
        <v>100</v>
      </c>
      <c r="S643" t="s">
        <v>380</v>
      </c>
      <c r="T643" t="s">
        <v>57</v>
      </c>
      <c r="V643" t="s">
        <v>478</v>
      </c>
      <c r="W643" t="s">
        <v>1661</v>
      </c>
      <c r="X643" t="s">
        <v>1661</v>
      </c>
      <c r="AB643" t="s">
        <v>57</v>
      </c>
      <c r="AC643" s="13">
        <v>44650</v>
      </c>
      <c r="AD643" s="13">
        <v>44501</v>
      </c>
      <c r="AF643" t="s">
        <v>382</v>
      </c>
      <c r="AG643" t="s">
        <v>2867</v>
      </c>
      <c r="AI643">
        <v>-362</v>
      </c>
      <c r="AJ643" s="13">
        <v>44651</v>
      </c>
      <c r="AL643" t="s">
        <v>1670</v>
      </c>
      <c r="AN643" t="s">
        <v>31</v>
      </c>
      <c r="AO643">
        <v>0</v>
      </c>
      <c r="AR643" t="s">
        <v>2868</v>
      </c>
      <c r="AS643" t="s">
        <v>385</v>
      </c>
      <c r="AX643" t="s">
        <v>31</v>
      </c>
      <c r="AY643" t="s">
        <v>442</v>
      </c>
      <c r="AZ643" t="s">
        <v>2869</v>
      </c>
      <c r="BE643" t="s">
        <v>2870</v>
      </c>
      <c r="BF643">
        <v>0</v>
      </c>
      <c r="BK643" t="s">
        <v>31</v>
      </c>
      <c r="BS643" t="s">
        <v>1201</v>
      </c>
      <c r="BT643" t="s">
        <v>1202</v>
      </c>
      <c r="CI643" t="s">
        <v>388</v>
      </c>
      <c r="CJ643" s="14">
        <v>45013</v>
      </c>
      <c r="CK643">
        <v>1</v>
      </c>
    </row>
    <row r="644" spans="1:89">
      <c r="A644" t="s">
        <v>1655</v>
      </c>
      <c r="B644" t="s">
        <v>374</v>
      </c>
      <c r="C644" t="s">
        <v>1656</v>
      </c>
      <c r="D644" t="s">
        <v>2871</v>
      </c>
      <c r="E644" t="s">
        <v>2872</v>
      </c>
      <c r="F644" s="13">
        <v>44617.375555555554</v>
      </c>
      <c r="G644" t="s">
        <v>2777</v>
      </c>
      <c r="H644" t="s">
        <v>2778</v>
      </c>
      <c r="I644" s="13">
        <v>44617.375555555554</v>
      </c>
      <c r="K644" t="s">
        <v>412</v>
      </c>
      <c r="R644">
        <v>0</v>
      </c>
      <c r="S644" t="s">
        <v>380</v>
      </c>
      <c r="V644" t="s">
        <v>381</v>
      </c>
      <c r="W644" t="s">
        <v>1661</v>
      </c>
      <c r="X644" t="s">
        <v>1661</v>
      </c>
      <c r="AI644">
        <v>217</v>
      </c>
      <c r="AL644" t="s">
        <v>2873</v>
      </c>
      <c r="AN644" t="s">
        <v>31</v>
      </c>
      <c r="AO644">
        <v>0</v>
      </c>
      <c r="AZ644" t="s">
        <v>2874</v>
      </c>
      <c r="BF644">
        <v>0</v>
      </c>
      <c r="BK644" t="s">
        <v>31</v>
      </c>
      <c r="BS644" t="s">
        <v>412</v>
      </c>
      <c r="BT644" t="s">
        <v>412</v>
      </c>
      <c r="CI644" t="s">
        <v>388</v>
      </c>
      <c r="CJ644" s="14">
        <v>45013</v>
      </c>
      <c r="CK644">
        <v>1</v>
      </c>
    </row>
    <row r="645" spans="1:89">
      <c r="A645" t="s">
        <v>1655</v>
      </c>
      <c r="B645" t="s">
        <v>374</v>
      </c>
      <c r="C645" t="s">
        <v>1656</v>
      </c>
      <c r="D645" t="s">
        <v>2875</v>
      </c>
      <c r="E645" t="s">
        <v>2876</v>
      </c>
      <c r="F645" s="13">
        <v>44617.365335648145</v>
      </c>
      <c r="G645" t="s">
        <v>2777</v>
      </c>
      <c r="H645" t="s">
        <v>2778</v>
      </c>
      <c r="I645" s="13">
        <v>45012.043935185182</v>
      </c>
      <c r="K645" t="s">
        <v>415</v>
      </c>
      <c r="M645" s="13">
        <v>44834</v>
      </c>
      <c r="R645">
        <v>0</v>
      </c>
      <c r="S645" t="s">
        <v>380</v>
      </c>
      <c r="T645" t="s">
        <v>57</v>
      </c>
      <c r="V645" t="s">
        <v>478</v>
      </c>
      <c r="W645" t="s">
        <v>1661</v>
      </c>
      <c r="X645" t="s">
        <v>1661</v>
      </c>
      <c r="AC645" s="13">
        <v>44742</v>
      </c>
      <c r="AD645" s="13">
        <v>44286</v>
      </c>
      <c r="AF645" t="s">
        <v>451</v>
      </c>
      <c r="AI645">
        <v>-178</v>
      </c>
      <c r="AL645" t="s">
        <v>2858</v>
      </c>
      <c r="AN645" t="s">
        <v>31</v>
      </c>
      <c r="AO645">
        <v>0</v>
      </c>
      <c r="AS645" t="s">
        <v>385</v>
      </c>
      <c r="AX645" t="s">
        <v>31</v>
      </c>
      <c r="AY645" t="s">
        <v>442</v>
      </c>
      <c r="AZ645" t="s">
        <v>2877</v>
      </c>
      <c r="BE645" t="s">
        <v>2862</v>
      </c>
      <c r="BF645">
        <v>0</v>
      </c>
      <c r="BK645" t="s">
        <v>31</v>
      </c>
      <c r="BS645" t="s">
        <v>419</v>
      </c>
      <c r="BT645" t="s">
        <v>419</v>
      </c>
      <c r="CI645" t="s">
        <v>388</v>
      </c>
      <c r="CJ645" s="14">
        <v>45013</v>
      </c>
      <c r="CK645">
        <v>1</v>
      </c>
    </row>
    <row r="646" spans="1:89">
      <c r="A646" t="s">
        <v>2096</v>
      </c>
      <c r="B646" t="s">
        <v>374</v>
      </c>
      <c r="C646" t="s">
        <v>2097</v>
      </c>
      <c r="D646" t="s">
        <v>2878</v>
      </c>
      <c r="E646" t="s">
        <v>2879</v>
      </c>
      <c r="F646" s="13">
        <v>44617.175486111111</v>
      </c>
      <c r="G646" t="s">
        <v>2100</v>
      </c>
      <c r="H646" t="s">
        <v>2101</v>
      </c>
      <c r="I646" s="13">
        <v>45012.043935185182</v>
      </c>
      <c r="K646" t="s">
        <v>415</v>
      </c>
      <c r="M646" s="13">
        <v>44652</v>
      </c>
      <c r="R646">
        <v>0</v>
      </c>
      <c r="S646" t="s">
        <v>380</v>
      </c>
      <c r="T646" t="s">
        <v>57</v>
      </c>
      <c r="V646" t="s">
        <v>478</v>
      </c>
      <c r="W646" t="s">
        <v>2187</v>
      </c>
      <c r="X646" t="s">
        <v>2187</v>
      </c>
      <c r="AC646" s="13">
        <v>44652</v>
      </c>
      <c r="AD646" s="13">
        <v>44652</v>
      </c>
      <c r="AF646" t="s">
        <v>451</v>
      </c>
      <c r="AG646" t="s">
        <v>2880</v>
      </c>
      <c r="AI646">
        <v>-360</v>
      </c>
      <c r="AL646" t="s">
        <v>2881</v>
      </c>
      <c r="AN646" t="s">
        <v>31</v>
      </c>
      <c r="AO646">
        <v>0</v>
      </c>
      <c r="AS646" t="s">
        <v>707</v>
      </c>
      <c r="AX646" t="s">
        <v>57</v>
      </c>
      <c r="AY646" t="s">
        <v>386</v>
      </c>
      <c r="AZ646" t="s">
        <v>2882</v>
      </c>
      <c r="BE646" t="s">
        <v>2883</v>
      </c>
      <c r="BF646">
        <v>0</v>
      </c>
      <c r="BK646" t="s">
        <v>31</v>
      </c>
      <c r="BS646" t="s">
        <v>419</v>
      </c>
      <c r="BT646" t="s">
        <v>419</v>
      </c>
      <c r="CI646" t="s">
        <v>388</v>
      </c>
      <c r="CJ646" s="14">
        <v>45013</v>
      </c>
      <c r="CK646">
        <v>1</v>
      </c>
    </row>
    <row r="647" spans="1:89">
      <c r="A647" t="s">
        <v>2096</v>
      </c>
      <c r="B647" t="s">
        <v>374</v>
      </c>
      <c r="C647" t="s">
        <v>2097</v>
      </c>
      <c r="D647" t="s">
        <v>2884</v>
      </c>
      <c r="E647" t="s">
        <v>2885</v>
      </c>
      <c r="F647" s="13">
        <v>44616.942627314813</v>
      </c>
      <c r="G647" t="s">
        <v>2100</v>
      </c>
      <c r="H647" t="s">
        <v>2101</v>
      </c>
      <c r="I647" s="13">
        <v>45012.043935185182</v>
      </c>
      <c r="K647" t="s">
        <v>415</v>
      </c>
      <c r="M647" s="13">
        <v>44681</v>
      </c>
      <c r="R647">
        <v>0</v>
      </c>
      <c r="S647" t="s">
        <v>380</v>
      </c>
      <c r="T647" t="s">
        <v>57</v>
      </c>
      <c r="V647" t="s">
        <v>478</v>
      </c>
      <c r="W647" t="s">
        <v>2187</v>
      </c>
      <c r="X647" t="s">
        <v>2187</v>
      </c>
      <c r="AC647" s="13">
        <v>44681</v>
      </c>
      <c r="AD647" s="13">
        <v>44681</v>
      </c>
      <c r="AF647" t="s">
        <v>451</v>
      </c>
      <c r="AI647">
        <v>-331</v>
      </c>
      <c r="AL647" t="s">
        <v>2886</v>
      </c>
      <c r="AN647" t="s">
        <v>31</v>
      </c>
      <c r="AO647">
        <v>0</v>
      </c>
      <c r="AS647" t="s">
        <v>385</v>
      </c>
      <c r="AX647" t="s">
        <v>57</v>
      </c>
      <c r="AY647" t="s">
        <v>386</v>
      </c>
      <c r="AZ647" t="s">
        <v>2887</v>
      </c>
      <c r="BF647">
        <v>0</v>
      </c>
      <c r="BK647" t="s">
        <v>31</v>
      </c>
      <c r="BS647" t="s">
        <v>419</v>
      </c>
      <c r="BT647" t="s">
        <v>419</v>
      </c>
      <c r="CI647" t="s">
        <v>388</v>
      </c>
      <c r="CJ647" s="14">
        <v>45013</v>
      </c>
      <c r="CK647">
        <v>1</v>
      </c>
    </row>
    <row r="648" spans="1:89">
      <c r="A648" t="s">
        <v>2096</v>
      </c>
      <c r="B648" t="s">
        <v>374</v>
      </c>
      <c r="C648" t="s">
        <v>2097</v>
      </c>
      <c r="D648" t="s">
        <v>2888</v>
      </c>
      <c r="E648" t="s">
        <v>2889</v>
      </c>
      <c r="F648" s="13">
        <v>44616.702905092592</v>
      </c>
      <c r="G648" t="s">
        <v>2890</v>
      </c>
      <c r="H648" t="s">
        <v>2891</v>
      </c>
      <c r="I648" s="13">
        <v>45012.043923611112</v>
      </c>
      <c r="K648" t="s">
        <v>415</v>
      </c>
      <c r="M648" s="13">
        <v>44681</v>
      </c>
      <c r="R648">
        <v>0</v>
      </c>
      <c r="S648" t="s">
        <v>380</v>
      </c>
      <c r="T648" t="s">
        <v>57</v>
      </c>
      <c r="V648" t="s">
        <v>478</v>
      </c>
      <c r="W648" t="s">
        <v>2187</v>
      </c>
      <c r="X648" t="s">
        <v>2187</v>
      </c>
      <c r="AC648" s="13">
        <v>44681</v>
      </c>
      <c r="AD648" s="13">
        <v>44681</v>
      </c>
      <c r="AF648" t="s">
        <v>451</v>
      </c>
      <c r="AI648">
        <v>-331</v>
      </c>
      <c r="AL648" t="s">
        <v>2892</v>
      </c>
      <c r="AN648" t="s">
        <v>31</v>
      </c>
      <c r="AO648">
        <v>0</v>
      </c>
      <c r="AS648" t="s">
        <v>385</v>
      </c>
      <c r="AX648" t="s">
        <v>57</v>
      </c>
      <c r="AY648" t="s">
        <v>386</v>
      </c>
      <c r="AZ648" t="s">
        <v>2893</v>
      </c>
      <c r="BF648">
        <v>0</v>
      </c>
      <c r="BK648" t="s">
        <v>31</v>
      </c>
      <c r="BS648" t="s">
        <v>419</v>
      </c>
      <c r="BT648" t="s">
        <v>419</v>
      </c>
      <c r="CI648" t="s">
        <v>388</v>
      </c>
      <c r="CJ648" s="14">
        <v>45013</v>
      </c>
      <c r="CK648">
        <v>1</v>
      </c>
    </row>
    <row r="649" spans="1:89">
      <c r="A649" t="s">
        <v>2096</v>
      </c>
      <c r="B649" t="s">
        <v>374</v>
      </c>
      <c r="C649" t="s">
        <v>2097</v>
      </c>
      <c r="D649" t="s">
        <v>2894</v>
      </c>
      <c r="E649" t="s">
        <v>2895</v>
      </c>
      <c r="F649" s="13">
        <v>44616.699675925927</v>
      </c>
      <c r="G649" t="s">
        <v>2890</v>
      </c>
      <c r="H649" t="s">
        <v>2891</v>
      </c>
      <c r="I649" s="13">
        <v>45012.043923611112</v>
      </c>
      <c r="K649" t="s">
        <v>415</v>
      </c>
      <c r="M649" s="13">
        <v>44670</v>
      </c>
      <c r="R649">
        <v>0</v>
      </c>
      <c r="S649" t="s">
        <v>380</v>
      </c>
      <c r="T649" t="s">
        <v>57</v>
      </c>
      <c r="V649" t="s">
        <v>478</v>
      </c>
      <c r="W649" t="s">
        <v>2187</v>
      </c>
      <c r="X649" t="s">
        <v>2187</v>
      </c>
      <c r="AC649" s="13">
        <v>44670</v>
      </c>
      <c r="AD649" s="13">
        <v>44670</v>
      </c>
      <c r="AF649" t="s">
        <v>451</v>
      </c>
      <c r="AI649">
        <v>-342</v>
      </c>
      <c r="AL649" t="s">
        <v>2896</v>
      </c>
      <c r="AN649" t="s">
        <v>31</v>
      </c>
      <c r="AO649">
        <v>0</v>
      </c>
      <c r="AS649" t="s">
        <v>385</v>
      </c>
      <c r="AX649" t="s">
        <v>57</v>
      </c>
      <c r="AY649" t="s">
        <v>386</v>
      </c>
      <c r="AZ649" t="s">
        <v>2897</v>
      </c>
      <c r="BF649">
        <v>0</v>
      </c>
      <c r="BK649" t="s">
        <v>31</v>
      </c>
      <c r="BS649" t="s">
        <v>419</v>
      </c>
      <c r="BT649" t="s">
        <v>419</v>
      </c>
      <c r="CI649" t="s">
        <v>388</v>
      </c>
      <c r="CJ649" s="14">
        <v>45013</v>
      </c>
      <c r="CK649">
        <v>1</v>
      </c>
    </row>
    <row r="650" spans="1:89">
      <c r="A650" t="s">
        <v>2096</v>
      </c>
      <c r="B650" t="s">
        <v>374</v>
      </c>
      <c r="C650" t="s">
        <v>2097</v>
      </c>
      <c r="D650" t="s">
        <v>2898</v>
      </c>
      <c r="E650" t="s">
        <v>2885</v>
      </c>
      <c r="F650" s="13">
        <v>44616.621458333335</v>
      </c>
      <c r="G650" t="s">
        <v>2100</v>
      </c>
      <c r="H650" t="s">
        <v>2101</v>
      </c>
      <c r="I650" s="13">
        <v>44616.961493055554</v>
      </c>
      <c r="K650" t="s">
        <v>409</v>
      </c>
      <c r="R650">
        <v>0</v>
      </c>
      <c r="S650" t="s">
        <v>380</v>
      </c>
      <c r="T650" t="s">
        <v>57</v>
      </c>
      <c r="V650" t="s">
        <v>381</v>
      </c>
      <c r="W650" t="s">
        <v>2102</v>
      </c>
      <c r="X650" t="s">
        <v>2102</v>
      </c>
      <c r="AC650" s="13">
        <v>44681</v>
      </c>
      <c r="AD650" s="13">
        <v>44681</v>
      </c>
      <c r="AI650">
        <v>65</v>
      </c>
      <c r="AL650" t="s">
        <v>2886</v>
      </c>
      <c r="AN650" t="s">
        <v>31</v>
      </c>
      <c r="AO650">
        <v>0</v>
      </c>
      <c r="AS650" t="s">
        <v>385</v>
      </c>
      <c r="AX650" t="s">
        <v>57</v>
      </c>
      <c r="AY650" t="s">
        <v>386</v>
      </c>
      <c r="AZ650" t="s">
        <v>2899</v>
      </c>
      <c r="BF650">
        <v>0</v>
      </c>
      <c r="BK650" t="s">
        <v>31</v>
      </c>
      <c r="BS650" t="s">
        <v>409</v>
      </c>
      <c r="BT650" t="s">
        <v>409</v>
      </c>
      <c r="CI650" t="s">
        <v>388</v>
      </c>
      <c r="CJ650" s="14">
        <v>45013</v>
      </c>
      <c r="CK650">
        <v>1</v>
      </c>
    </row>
    <row r="651" spans="1:89">
      <c r="A651" t="s">
        <v>2096</v>
      </c>
      <c r="B651" t="s">
        <v>374</v>
      </c>
      <c r="C651" t="s">
        <v>2097</v>
      </c>
      <c r="D651" t="s">
        <v>2900</v>
      </c>
      <c r="E651" t="s">
        <v>2885</v>
      </c>
      <c r="F651" s="13">
        <v>44616.610451388886</v>
      </c>
      <c r="G651" t="s">
        <v>2100</v>
      </c>
      <c r="H651" t="s">
        <v>2101</v>
      </c>
      <c r="I651" s="13">
        <v>44616.624664351853</v>
      </c>
      <c r="K651" t="s">
        <v>409</v>
      </c>
      <c r="R651">
        <v>0</v>
      </c>
      <c r="S651" t="s">
        <v>380</v>
      </c>
      <c r="T651" t="s">
        <v>57</v>
      </c>
      <c r="V651" t="s">
        <v>381</v>
      </c>
      <c r="W651" t="s">
        <v>2187</v>
      </c>
      <c r="X651" t="s">
        <v>2187</v>
      </c>
      <c r="AC651" s="13">
        <v>44681</v>
      </c>
      <c r="AD651" s="13">
        <v>44681</v>
      </c>
      <c r="AI651">
        <v>65</v>
      </c>
      <c r="AL651" t="s">
        <v>2886</v>
      </c>
      <c r="AN651" t="s">
        <v>31</v>
      </c>
      <c r="AO651">
        <v>0</v>
      </c>
      <c r="AS651" t="s">
        <v>526</v>
      </c>
      <c r="AX651" t="s">
        <v>57</v>
      </c>
      <c r="AY651" t="s">
        <v>386</v>
      </c>
      <c r="AZ651" t="s">
        <v>2901</v>
      </c>
      <c r="BE651" t="s">
        <v>2902</v>
      </c>
      <c r="BF651">
        <v>0</v>
      </c>
      <c r="BK651" t="s">
        <v>31</v>
      </c>
      <c r="BS651" t="s">
        <v>409</v>
      </c>
      <c r="BT651" t="s">
        <v>409</v>
      </c>
      <c r="CI651" t="s">
        <v>388</v>
      </c>
      <c r="CJ651" s="14">
        <v>45013</v>
      </c>
      <c r="CK651">
        <v>1</v>
      </c>
    </row>
    <row r="652" spans="1:89">
      <c r="A652" t="s">
        <v>2096</v>
      </c>
      <c r="B652" t="s">
        <v>374</v>
      </c>
      <c r="C652" t="s">
        <v>2097</v>
      </c>
      <c r="D652" t="s">
        <v>2903</v>
      </c>
      <c r="E652" t="s">
        <v>2904</v>
      </c>
      <c r="F652" s="13">
        <v>44616.601666666669</v>
      </c>
      <c r="G652" t="s">
        <v>2100</v>
      </c>
      <c r="H652" t="s">
        <v>2101</v>
      </c>
      <c r="I652" s="13">
        <v>45012.043923611112</v>
      </c>
      <c r="K652" t="s">
        <v>415</v>
      </c>
      <c r="M652" s="13">
        <v>44804</v>
      </c>
      <c r="R652">
        <v>0</v>
      </c>
      <c r="S652" t="s">
        <v>380</v>
      </c>
      <c r="T652" t="s">
        <v>57</v>
      </c>
      <c r="V652" t="s">
        <v>478</v>
      </c>
      <c r="W652" t="s">
        <v>2187</v>
      </c>
      <c r="X652" t="s">
        <v>2187</v>
      </c>
      <c r="AC652" s="13">
        <v>44804</v>
      </c>
      <c r="AD652" s="13">
        <v>44804</v>
      </c>
      <c r="AF652" t="s">
        <v>451</v>
      </c>
      <c r="AI652">
        <v>-208</v>
      </c>
      <c r="AL652" t="s">
        <v>2905</v>
      </c>
      <c r="AN652" t="s">
        <v>31</v>
      </c>
      <c r="AO652">
        <v>0</v>
      </c>
      <c r="AS652" t="s">
        <v>385</v>
      </c>
      <c r="AX652" t="s">
        <v>57</v>
      </c>
      <c r="AY652" t="s">
        <v>386</v>
      </c>
      <c r="AZ652" t="s">
        <v>2906</v>
      </c>
      <c r="BE652" t="s">
        <v>2907</v>
      </c>
      <c r="BF652">
        <v>0</v>
      </c>
      <c r="BK652" t="s">
        <v>31</v>
      </c>
      <c r="BS652" t="s">
        <v>419</v>
      </c>
      <c r="BT652" t="s">
        <v>419</v>
      </c>
      <c r="CI652" t="s">
        <v>388</v>
      </c>
      <c r="CJ652" s="14">
        <v>45013</v>
      </c>
      <c r="CK652">
        <v>1</v>
      </c>
    </row>
    <row r="653" spans="1:89">
      <c r="A653" t="s">
        <v>2096</v>
      </c>
      <c r="B653" t="s">
        <v>374</v>
      </c>
      <c r="C653" t="s">
        <v>2097</v>
      </c>
      <c r="D653" t="s">
        <v>2908</v>
      </c>
      <c r="E653" t="s">
        <v>2909</v>
      </c>
      <c r="F653" s="13">
        <v>44616.578009259261</v>
      </c>
      <c r="G653" t="s">
        <v>2100</v>
      </c>
      <c r="H653" t="s">
        <v>2101</v>
      </c>
      <c r="I653" s="13">
        <v>45012.043912037036</v>
      </c>
      <c r="K653" t="s">
        <v>415</v>
      </c>
      <c r="M653" s="13">
        <v>44650</v>
      </c>
      <c r="R653">
        <v>0</v>
      </c>
      <c r="S653" t="s">
        <v>380</v>
      </c>
      <c r="T653" t="s">
        <v>57</v>
      </c>
      <c r="V653" t="s">
        <v>478</v>
      </c>
      <c r="W653" t="s">
        <v>2187</v>
      </c>
      <c r="X653" t="s">
        <v>2187</v>
      </c>
      <c r="AC653" s="13">
        <v>44650</v>
      </c>
      <c r="AD653" s="13">
        <v>44650</v>
      </c>
      <c r="AF653" t="s">
        <v>451</v>
      </c>
      <c r="AI653">
        <v>-362</v>
      </c>
      <c r="AL653" t="s">
        <v>2910</v>
      </c>
      <c r="AN653" t="s">
        <v>31</v>
      </c>
      <c r="AO653">
        <v>0</v>
      </c>
      <c r="AS653" t="s">
        <v>385</v>
      </c>
      <c r="AX653" t="s">
        <v>57</v>
      </c>
      <c r="AY653" t="s">
        <v>386</v>
      </c>
      <c r="AZ653" t="s">
        <v>2911</v>
      </c>
      <c r="BE653" t="s">
        <v>2912</v>
      </c>
      <c r="BF653">
        <v>0</v>
      </c>
      <c r="BK653" t="s">
        <v>31</v>
      </c>
      <c r="BS653" t="s">
        <v>419</v>
      </c>
      <c r="BT653" t="s">
        <v>419</v>
      </c>
      <c r="CI653" t="s">
        <v>388</v>
      </c>
      <c r="CJ653" s="14">
        <v>45013</v>
      </c>
      <c r="CK653">
        <v>1</v>
      </c>
    </row>
    <row r="654" spans="1:89">
      <c r="A654" t="s">
        <v>2096</v>
      </c>
      <c r="B654" t="s">
        <v>374</v>
      </c>
      <c r="C654" t="s">
        <v>2097</v>
      </c>
      <c r="D654" t="s">
        <v>2913</v>
      </c>
      <c r="E654" t="s">
        <v>2914</v>
      </c>
      <c r="F654" s="13">
        <v>44616.562928240739</v>
      </c>
      <c r="G654" t="s">
        <v>2100</v>
      </c>
      <c r="H654" t="s">
        <v>2101</v>
      </c>
      <c r="I654" s="13">
        <v>45012.043912037036</v>
      </c>
      <c r="K654" t="s">
        <v>415</v>
      </c>
      <c r="M654" s="13">
        <v>44681</v>
      </c>
      <c r="R654">
        <v>0</v>
      </c>
      <c r="S654" t="s">
        <v>380</v>
      </c>
      <c r="T654" t="s">
        <v>57</v>
      </c>
      <c r="V654" t="s">
        <v>478</v>
      </c>
      <c r="W654" t="s">
        <v>2187</v>
      </c>
      <c r="X654" t="s">
        <v>2187</v>
      </c>
      <c r="AC654" s="13">
        <v>44681</v>
      </c>
      <c r="AD654" s="13">
        <v>44681</v>
      </c>
      <c r="AF654" t="s">
        <v>451</v>
      </c>
      <c r="AI654">
        <v>-331</v>
      </c>
      <c r="AL654" t="s">
        <v>2915</v>
      </c>
      <c r="AN654" t="s">
        <v>31</v>
      </c>
      <c r="AO654">
        <v>0</v>
      </c>
      <c r="AS654" t="s">
        <v>392</v>
      </c>
      <c r="AX654" t="s">
        <v>57</v>
      </c>
      <c r="AY654" t="s">
        <v>386</v>
      </c>
      <c r="AZ654" t="s">
        <v>2916</v>
      </c>
      <c r="BE654" t="s">
        <v>2917</v>
      </c>
      <c r="BF654">
        <v>0</v>
      </c>
      <c r="BK654" t="s">
        <v>31</v>
      </c>
      <c r="BS654" t="s">
        <v>419</v>
      </c>
      <c r="BT654" t="s">
        <v>419</v>
      </c>
      <c r="CI654" t="s">
        <v>388</v>
      </c>
      <c r="CJ654" s="14">
        <v>45013</v>
      </c>
      <c r="CK654">
        <v>1</v>
      </c>
    </row>
    <row r="655" spans="1:89">
      <c r="A655" t="s">
        <v>2096</v>
      </c>
      <c r="B655" t="s">
        <v>374</v>
      </c>
      <c r="C655" t="s">
        <v>2097</v>
      </c>
      <c r="D655" t="s">
        <v>2918</v>
      </c>
      <c r="E655" t="s">
        <v>2919</v>
      </c>
      <c r="F655" s="13">
        <v>44616.48945601852</v>
      </c>
      <c r="G655" t="s">
        <v>2890</v>
      </c>
      <c r="H655" t="s">
        <v>2891</v>
      </c>
      <c r="I655" s="13">
        <v>45012.043912037036</v>
      </c>
      <c r="K655" t="s">
        <v>415</v>
      </c>
      <c r="M655" s="13">
        <v>44742</v>
      </c>
      <c r="R655">
        <v>0</v>
      </c>
      <c r="S655" t="s">
        <v>380</v>
      </c>
      <c r="T655" t="s">
        <v>57</v>
      </c>
      <c r="V655" t="s">
        <v>478</v>
      </c>
      <c r="W655" t="s">
        <v>2187</v>
      </c>
      <c r="X655" t="s">
        <v>2187</v>
      </c>
      <c r="AC655" s="13">
        <v>44742</v>
      </c>
      <c r="AD655" s="13">
        <v>44742</v>
      </c>
      <c r="AF655" t="s">
        <v>451</v>
      </c>
      <c r="AI655">
        <v>-270</v>
      </c>
      <c r="AL655" t="s">
        <v>2920</v>
      </c>
      <c r="AN655" t="s">
        <v>31</v>
      </c>
      <c r="AO655">
        <v>0</v>
      </c>
      <c r="AS655" t="s">
        <v>385</v>
      </c>
      <c r="AX655" t="s">
        <v>57</v>
      </c>
      <c r="AY655" t="s">
        <v>386</v>
      </c>
      <c r="AZ655" t="s">
        <v>2921</v>
      </c>
      <c r="BE655">
        <v>51</v>
      </c>
      <c r="BF655">
        <v>0</v>
      </c>
      <c r="BK655" t="s">
        <v>31</v>
      </c>
      <c r="BS655" t="s">
        <v>419</v>
      </c>
      <c r="BT655" t="s">
        <v>419</v>
      </c>
      <c r="CI655" t="s">
        <v>388</v>
      </c>
      <c r="CJ655" s="14">
        <v>45013</v>
      </c>
      <c r="CK655">
        <v>1</v>
      </c>
    </row>
    <row r="656" spans="1:89">
      <c r="A656" t="s">
        <v>1497</v>
      </c>
      <c r="B656" t="s">
        <v>374</v>
      </c>
      <c r="C656" t="s">
        <v>1498</v>
      </c>
      <c r="D656" t="s">
        <v>2922</v>
      </c>
      <c r="E656" t="s">
        <v>2923</v>
      </c>
      <c r="F656" s="13">
        <v>44616.414131944446</v>
      </c>
      <c r="G656" t="s">
        <v>1501</v>
      </c>
      <c r="H656" t="s">
        <v>1502</v>
      </c>
      <c r="I656" s="13">
        <v>44616.415370370371</v>
      </c>
      <c r="K656" t="s">
        <v>412</v>
      </c>
      <c r="R656">
        <v>0</v>
      </c>
      <c r="S656" t="s">
        <v>416</v>
      </c>
      <c r="T656" t="s">
        <v>57</v>
      </c>
      <c r="V656" t="s">
        <v>381</v>
      </c>
      <c r="W656" t="s">
        <v>2924</v>
      </c>
      <c r="X656" t="s">
        <v>2924</v>
      </c>
      <c r="AI656">
        <v>85</v>
      </c>
      <c r="AL656" t="s">
        <v>2925</v>
      </c>
      <c r="AN656" t="s">
        <v>31</v>
      </c>
      <c r="AO656">
        <v>0</v>
      </c>
      <c r="AS656" t="s">
        <v>392</v>
      </c>
      <c r="AX656" t="s">
        <v>57</v>
      </c>
      <c r="AY656" t="s">
        <v>442</v>
      </c>
      <c r="AZ656" t="s">
        <v>2926</v>
      </c>
      <c r="BF656">
        <v>0</v>
      </c>
      <c r="BK656" t="s">
        <v>31</v>
      </c>
      <c r="BS656" t="s">
        <v>412</v>
      </c>
      <c r="BT656" t="s">
        <v>412</v>
      </c>
      <c r="CI656" t="s">
        <v>388</v>
      </c>
      <c r="CJ656" s="14">
        <v>45013</v>
      </c>
      <c r="CK656">
        <v>1</v>
      </c>
    </row>
    <row r="657" spans="1:89">
      <c r="A657" t="s">
        <v>2927</v>
      </c>
      <c r="B657" t="s">
        <v>374</v>
      </c>
      <c r="C657" t="s">
        <v>2928</v>
      </c>
      <c r="D657" t="s">
        <v>2929</v>
      </c>
      <c r="E657" t="s">
        <v>2930</v>
      </c>
      <c r="F657" s="13">
        <v>44616.411134259259</v>
      </c>
      <c r="G657" t="s">
        <v>2931</v>
      </c>
      <c r="H657" t="s">
        <v>2932</v>
      </c>
      <c r="I657" s="13">
        <v>45012.043900462966</v>
      </c>
      <c r="K657" t="s">
        <v>415</v>
      </c>
      <c r="M657" s="13">
        <v>44620</v>
      </c>
      <c r="R657">
        <v>100</v>
      </c>
      <c r="S657" t="s">
        <v>380</v>
      </c>
      <c r="T657" t="s">
        <v>57</v>
      </c>
      <c r="V657" t="s">
        <v>478</v>
      </c>
      <c r="W657" t="s">
        <v>2933</v>
      </c>
      <c r="X657" t="s">
        <v>2933</v>
      </c>
      <c r="AB657" t="s">
        <v>57</v>
      </c>
      <c r="AF657" t="s">
        <v>382</v>
      </c>
      <c r="AG657" t="s">
        <v>2934</v>
      </c>
      <c r="AI657">
        <v>-392</v>
      </c>
      <c r="AJ657" s="13">
        <v>44651</v>
      </c>
      <c r="AL657" t="s">
        <v>2935</v>
      </c>
      <c r="AN657" t="s">
        <v>31</v>
      </c>
      <c r="AO657">
        <v>0</v>
      </c>
      <c r="AR657" t="s">
        <v>2936</v>
      </c>
      <c r="AS657" t="s">
        <v>385</v>
      </c>
      <c r="AX657" t="s">
        <v>31</v>
      </c>
      <c r="AY657" t="s">
        <v>386</v>
      </c>
      <c r="AZ657" t="s">
        <v>2937</v>
      </c>
      <c r="BC657" t="s">
        <v>480</v>
      </c>
      <c r="BD657" t="s">
        <v>2938</v>
      </c>
      <c r="BE657" t="s">
        <v>2939</v>
      </c>
      <c r="BF657">
        <v>0</v>
      </c>
      <c r="BK657" t="s">
        <v>31</v>
      </c>
      <c r="BS657" t="s">
        <v>2940</v>
      </c>
      <c r="BT657" t="s">
        <v>2941</v>
      </c>
      <c r="CI657" t="s">
        <v>388</v>
      </c>
      <c r="CJ657" s="14">
        <v>45013</v>
      </c>
      <c r="CK657">
        <v>1</v>
      </c>
    </row>
    <row r="658" spans="1:89">
      <c r="A658" t="s">
        <v>2927</v>
      </c>
      <c r="B658" t="s">
        <v>374</v>
      </c>
      <c r="C658" t="s">
        <v>2928</v>
      </c>
      <c r="D658" t="s">
        <v>2942</v>
      </c>
      <c r="E658" t="s">
        <v>2943</v>
      </c>
      <c r="F658" s="13">
        <v>44616.397766203707</v>
      </c>
      <c r="G658" t="s">
        <v>2931</v>
      </c>
      <c r="H658" t="s">
        <v>2932</v>
      </c>
      <c r="I658" s="13">
        <v>45012.043900462966</v>
      </c>
      <c r="K658" t="s">
        <v>415</v>
      </c>
      <c r="M658" s="13">
        <v>44681</v>
      </c>
      <c r="R658">
        <v>80</v>
      </c>
      <c r="S658" t="s">
        <v>416</v>
      </c>
      <c r="T658" t="s">
        <v>57</v>
      </c>
      <c r="V658" t="s">
        <v>478</v>
      </c>
      <c r="W658" t="s">
        <v>2944</v>
      </c>
      <c r="X658" t="s">
        <v>2944</v>
      </c>
      <c r="AF658" t="s">
        <v>451</v>
      </c>
      <c r="AG658" t="s">
        <v>2945</v>
      </c>
      <c r="AI658">
        <v>-331</v>
      </c>
      <c r="AL658" t="s">
        <v>2946</v>
      </c>
      <c r="AN658" t="s">
        <v>31</v>
      </c>
      <c r="AO658">
        <v>0</v>
      </c>
      <c r="AS658" t="s">
        <v>385</v>
      </c>
      <c r="AX658" t="s">
        <v>31</v>
      </c>
      <c r="AY658" t="s">
        <v>442</v>
      </c>
      <c r="AZ658" t="s">
        <v>2947</v>
      </c>
      <c r="BF658">
        <v>0</v>
      </c>
      <c r="BK658" t="s">
        <v>31</v>
      </c>
      <c r="BS658" t="s">
        <v>419</v>
      </c>
      <c r="BT658" t="s">
        <v>419</v>
      </c>
      <c r="CI658" t="s">
        <v>388</v>
      </c>
      <c r="CJ658" s="14">
        <v>45013</v>
      </c>
      <c r="CK658">
        <v>1</v>
      </c>
    </row>
    <row r="659" spans="1:89">
      <c r="A659" t="s">
        <v>2444</v>
      </c>
      <c r="B659" t="s">
        <v>374</v>
      </c>
      <c r="C659" t="s">
        <v>2445</v>
      </c>
      <c r="D659" t="s">
        <v>2948</v>
      </c>
      <c r="E659" t="s">
        <v>2949</v>
      </c>
      <c r="F659" s="13">
        <v>44616.393055555556</v>
      </c>
      <c r="G659" t="s">
        <v>1526</v>
      </c>
      <c r="H659" t="s">
        <v>1527</v>
      </c>
      <c r="I659" s="13">
        <v>44616.39403935185</v>
      </c>
      <c r="K659" t="s">
        <v>412</v>
      </c>
      <c r="R659">
        <v>0</v>
      </c>
      <c r="S659" t="s">
        <v>380</v>
      </c>
      <c r="T659" t="s">
        <v>57</v>
      </c>
      <c r="V659" t="s">
        <v>381</v>
      </c>
      <c r="W659" t="s">
        <v>2950</v>
      </c>
      <c r="X659" t="s">
        <v>2950</v>
      </c>
      <c r="AC659" s="13">
        <v>44666</v>
      </c>
      <c r="AD659" s="13">
        <v>44666</v>
      </c>
      <c r="AI659">
        <v>50</v>
      </c>
      <c r="AL659" t="s">
        <v>2951</v>
      </c>
      <c r="AN659" t="s">
        <v>31</v>
      </c>
      <c r="AO659">
        <v>0</v>
      </c>
      <c r="AS659" t="s">
        <v>648</v>
      </c>
      <c r="AX659" t="s">
        <v>31</v>
      </c>
      <c r="AY659" t="s">
        <v>386</v>
      </c>
      <c r="AZ659" t="s">
        <v>2952</v>
      </c>
      <c r="BF659">
        <v>0</v>
      </c>
      <c r="BK659" t="s">
        <v>31</v>
      </c>
      <c r="BS659" t="s">
        <v>412</v>
      </c>
      <c r="BT659" t="s">
        <v>412</v>
      </c>
      <c r="CI659" t="s">
        <v>388</v>
      </c>
      <c r="CJ659" s="14">
        <v>45013</v>
      </c>
      <c r="CK659">
        <v>1</v>
      </c>
    </row>
    <row r="660" spans="1:89">
      <c r="A660" t="s">
        <v>2096</v>
      </c>
      <c r="B660" t="s">
        <v>374</v>
      </c>
      <c r="C660" t="s">
        <v>2097</v>
      </c>
      <c r="D660" t="s">
        <v>2953</v>
      </c>
      <c r="E660" t="s">
        <v>2954</v>
      </c>
      <c r="F660" s="13">
        <v>44616.369745370372</v>
      </c>
      <c r="G660" t="s">
        <v>2890</v>
      </c>
      <c r="H660" t="s">
        <v>2891</v>
      </c>
      <c r="I660" s="13">
        <v>45012.043900462966</v>
      </c>
      <c r="K660" t="s">
        <v>415</v>
      </c>
      <c r="M660" s="13">
        <v>44727</v>
      </c>
      <c r="R660">
        <v>0</v>
      </c>
      <c r="S660" t="s">
        <v>380</v>
      </c>
      <c r="T660" t="s">
        <v>57</v>
      </c>
      <c r="V660" t="s">
        <v>478</v>
      </c>
      <c r="W660" t="s">
        <v>2955</v>
      </c>
      <c r="X660" t="s">
        <v>2955</v>
      </c>
      <c r="AC660" s="13">
        <v>44727</v>
      </c>
      <c r="AD660" s="13">
        <v>44727</v>
      </c>
      <c r="AF660" t="s">
        <v>451</v>
      </c>
      <c r="AI660">
        <v>-285</v>
      </c>
      <c r="AL660" t="s">
        <v>2956</v>
      </c>
      <c r="AN660" t="s">
        <v>31</v>
      </c>
      <c r="AO660">
        <v>0</v>
      </c>
      <c r="AS660" t="s">
        <v>385</v>
      </c>
      <c r="AX660" t="s">
        <v>57</v>
      </c>
      <c r="AY660" t="s">
        <v>386</v>
      </c>
      <c r="AZ660" t="s">
        <v>2957</v>
      </c>
      <c r="BE660" t="s">
        <v>2958</v>
      </c>
      <c r="BF660">
        <v>0</v>
      </c>
      <c r="BK660" t="s">
        <v>31</v>
      </c>
      <c r="BS660" t="s">
        <v>419</v>
      </c>
      <c r="BT660" t="s">
        <v>419</v>
      </c>
      <c r="CI660" t="s">
        <v>388</v>
      </c>
      <c r="CJ660" s="14">
        <v>45013</v>
      </c>
      <c r="CK660">
        <v>1</v>
      </c>
    </row>
    <row r="661" spans="1:89">
      <c r="A661" t="s">
        <v>2444</v>
      </c>
      <c r="B661" t="s">
        <v>374</v>
      </c>
      <c r="C661" t="s">
        <v>2445</v>
      </c>
      <c r="D661" t="s">
        <v>2959</v>
      </c>
      <c r="E661" t="s">
        <v>2960</v>
      </c>
      <c r="F661" s="13">
        <v>44616.349143518521</v>
      </c>
      <c r="G661" t="s">
        <v>1526</v>
      </c>
      <c r="H661" t="s">
        <v>1527</v>
      </c>
      <c r="I661" s="13">
        <v>44616.349733796298</v>
      </c>
      <c r="K661" t="s">
        <v>412</v>
      </c>
      <c r="R661">
        <v>0</v>
      </c>
      <c r="S661" t="s">
        <v>416</v>
      </c>
      <c r="T661" t="s">
        <v>57</v>
      </c>
      <c r="V661" t="s">
        <v>381</v>
      </c>
      <c r="W661" t="s">
        <v>2961</v>
      </c>
      <c r="X661" t="s">
        <v>2961</v>
      </c>
      <c r="AI661">
        <v>19</v>
      </c>
      <c r="AL661" t="s">
        <v>2962</v>
      </c>
      <c r="AN661" t="s">
        <v>31</v>
      </c>
      <c r="AO661">
        <v>0</v>
      </c>
      <c r="AS661" t="s">
        <v>538</v>
      </c>
      <c r="AX661" t="s">
        <v>31</v>
      </c>
      <c r="AY661" t="s">
        <v>442</v>
      </c>
      <c r="AZ661" t="s">
        <v>2963</v>
      </c>
      <c r="BF661">
        <v>0</v>
      </c>
      <c r="BK661" t="s">
        <v>31</v>
      </c>
      <c r="BS661" t="s">
        <v>412</v>
      </c>
      <c r="BT661" t="s">
        <v>412</v>
      </c>
      <c r="CI661" t="s">
        <v>388</v>
      </c>
      <c r="CJ661" s="14">
        <v>45013</v>
      </c>
      <c r="CK661">
        <v>1</v>
      </c>
    </row>
    <row r="662" spans="1:89">
      <c r="A662" t="s">
        <v>2444</v>
      </c>
      <c r="B662" t="s">
        <v>374</v>
      </c>
      <c r="C662" t="s">
        <v>2445</v>
      </c>
      <c r="D662" t="s">
        <v>2964</v>
      </c>
      <c r="E662" t="s">
        <v>2965</v>
      </c>
      <c r="F662" s="13">
        <v>44616.346770833334</v>
      </c>
      <c r="G662" t="s">
        <v>1526</v>
      </c>
      <c r="H662" t="s">
        <v>1527</v>
      </c>
      <c r="I662" s="13">
        <v>44616.34752314815</v>
      </c>
      <c r="K662" t="s">
        <v>412</v>
      </c>
      <c r="R662">
        <v>0</v>
      </c>
      <c r="S662" t="s">
        <v>380</v>
      </c>
      <c r="T662" t="s">
        <v>57</v>
      </c>
      <c r="V662" t="s">
        <v>381</v>
      </c>
      <c r="W662" t="s">
        <v>2961</v>
      </c>
      <c r="X662" t="s">
        <v>2961</v>
      </c>
      <c r="AI662">
        <v>110</v>
      </c>
      <c r="AL662" t="s">
        <v>2962</v>
      </c>
      <c r="AN662" t="s">
        <v>31</v>
      </c>
      <c r="AO662">
        <v>0</v>
      </c>
      <c r="AS662" t="s">
        <v>538</v>
      </c>
      <c r="AX662" t="s">
        <v>31</v>
      </c>
      <c r="AY662" t="s">
        <v>442</v>
      </c>
      <c r="AZ662" t="s">
        <v>2963</v>
      </c>
      <c r="BF662">
        <v>0</v>
      </c>
      <c r="BK662" t="s">
        <v>31</v>
      </c>
      <c r="BS662" t="s">
        <v>412</v>
      </c>
      <c r="BT662" t="s">
        <v>412</v>
      </c>
      <c r="CI662" t="s">
        <v>388</v>
      </c>
      <c r="CJ662" s="14">
        <v>45013</v>
      </c>
      <c r="CK662">
        <v>1</v>
      </c>
    </row>
    <row r="663" spans="1:89">
      <c r="A663" t="s">
        <v>2096</v>
      </c>
      <c r="B663" t="s">
        <v>374</v>
      </c>
      <c r="C663" t="s">
        <v>2097</v>
      </c>
      <c r="D663" t="s">
        <v>2966</v>
      </c>
      <c r="E663" t="s">
        <v>2967</v>
      </c>
      <c r="F663" s="13">
        <v>44616.334548611114</v>
      </c>
      <c r="G663" t="s">
        <v>2890</v>
      </c>
      <c r="H663" t="s">
        <v>2891</v>
      </c>
      <c r="I663" s="13">
        <v>44616.341724537036</v>
      </c>
      <c r="K663" t="s">
        <v>409</v>
      </c>
      <c r="R663">
        <v>0</v>
      </c>
      <c r="S663" t="s">
        <v>380</v>
      </c>
      <c r="T663" t="s">
        <v>57</v>
      </c>
      <c r="V663" t="s">
        <v>381</v>
      </c>
      <c r="W663" t="s">
        <v>2955</v>
      </c>
      <c r="X663" t="s">
        <v>2955</v>
      </c>
      <c r="AC663" s="13">
        <v>44727</v>
      </c>
      <c r="AD663" s="13">
        <v>44727</v>
      </c>
      <c r="AI663">
        <v>111</v>
      </c>
      <c r="AL663" t="s">
        <v>2968</v>
      </c>
      <c r="AN663" t="s">
        <v>31</v>
      </c>
      <c r="AO663">
        <v>0</v>
      </c>
      <c r="AS663" t="s">
        <v>385</v>
      </c>
      <c r="AX663" t="s">
        <v>57</v>
      </c>
      <c r="AY663" t="s">
        <v>386</v>
      </c>
      <c r="AZ663" t="s">
        <v>2957</v>
      </c>
      <c r="BE663" t="s">
        <v>2958</v>
      </c>
      <c r="BF663">
        <v>0</v>
      </c>
      <c r="BK663" t="s">
        <v>31</v>
      </c>
      <c r="BS663" t="s">
        <v>409</v>
      </c>
      <c r="BT663" t="s">
        <v>409</v>
      </c>
      <c r="CI663" t="s">
        <v>388</v>
      </c>
      <c r="CJ663" s="14">
        <v>45013</v>
      </c>
      <c r="CK663">
        <v>1</v>
      </c>
    </row>
    <row r="664" spans="1:89">
      <c r="A664" t="s">
        <v>2444</v>
      </c>
      <c r="B664" t="s">
        <v>374</v>
      </c>
      <c r="C664" t="s">
        <v>2445</v>
      </c>
      <c r="D664" t="s">
        <v>2969</v>
      </c>
      <c r="E664" t="s">
        <v>2970</v>
      </c>
      <c r="F664" s="13">
        <v>44616.318472222221</v>
      </c>
      <c r="G664" t="s">
        <v>1526</v>
      </c>
      <c r="H664" t="s">
        <v>1527</v>
      </c>
      <c r="I664" s="13">
        <v>44616.320509259262</v>
      </c>
      <c r="K664" t="s">
        <v>412</v>
      </c>
      <c r="R664">
        <v>0</v>
      </c>
      <c r="S664" t="s">
        <v>380</v>
      </c>
      <c r="T664" t="s">
        <v>57</v>
      </c>
      <c r="V664" t="s">
        <v>381</v>
      </c>
      <c r="W664" t="s">
        <v>2971</v>
      </c>
      <c r="X664" t="s">
        <v>2971</v>
      </c>
      <c r="AC664" s="13">
        <v>44643</v>
      </c>
      <c r="AD664" s="13">
        <v>44643</v>
      </c>
      <c r="AI664">
        <v>27</v>
      </c>
      <c r="AL664" t="s">
        <v>2972</v>
      </c>
      <c r="AN664" t="s">
        <v>31</v>
      </c>
      <c r="AO664">
        <v>0</v>
      </c>
      <c r="AS664" t="s">
        <v>538</v>
      </c>
      <c r="AX664" t="s">
        <v>31</v>
      </c>
      <c r="AY664" t="s">
        <v>442</v>
      </c>
      <c r="AZ664" t="s">
        <v>2973</v>
      </c>
      <c r="BE664" t="s">
        <v>2466</v>
      </c>
      <c r="BF664">
        <v>0</v>
      </c>
      <c r="BK664" t="s">
        <v>31</v>
      </c>
      <c r="BS664" t="s">
        <v>412</v>
      </c>
      <c r="BT664" t="s">
        <v>412</v>
      </c>
      <c r="CI664" t="s">
        <v>388</v>
      </c>
      <c r="CJ664" s="14">
        <v>45013</v>
      </c>
      <c r="CK664">
        <v>1</v>
      </c>
    </row>
    <row r="665" spans="1:89">
      <c r="A665" t="s">
        <v>2096</v>
      </c>
      <c r="B665" t="s">
        <v>374</v>
      </c>
      <c r="C665" t="s">
        <v>2097</v>
      </c>
      <c r="D665" t="s">
        <v>2974</v>
      </c>
      <c r="E665" t="s">
        <v>2975</v>
      </c>
      <c r="F665" s="13">
        <v>44616.217870370368</v>
      </c>
      <c r="G665" t="s">
        <v>2100</v>
      </c>
      <c r="H665" t="s">
        <v>2101</v>
      </c>
      <c r="I665" s="13">
        <v>45012.043900462966</v>
      </c>
      <c r="K665" t="s">
        <v>415</v>
      </c>
      <c r="M665" s="13">
        <v>44681</v>
      </c>
      <c r="R665">
        <v>0</v>
      </c>
      <c r="S665" t="s">
        <v>380</v>
      </c>
      <c r="T665" t="s">
        <v>57</v>
      </c>
      <c r="V665" t="s">
        <v>478</v>
      </c>
      <c r="W665" t="s">
        <v>2187</v>
      </c>
      <c r="X665" t="s">
        <v>2187</v>
      </c>
      <c r="AC665" s="13">
        <v>44681</v>
      </c>
      <c r="AD665" s="13">
        <v>44681</v>
      </c>
      <c r="AF665" t="s">
        <v>451</v>
      </c>
      <c r="AI665">
        <v>-331</v>
      </c>
      <c r="AL665" t="s">
        <v>2976</v>
      </c>
      <c r="AN665" t="s">
        <v>31</v>
      </c>
      <c r="AO665">
        <v>0</v>
      </c>
      <c r="AS665" t="s">
        <v>648</v>
      </c>
      <c r="AX665" t="s">
        <v>57</v>
      </c>
      <c r="AY665" t="s">
        <v>386</v>
      </c>
      <c r="AZ665" t="s">
        <v>2977</v>
      </c>
      <c r="BF665">
        <v>0</v>
      </c>
      <c r="BK665" t="s">
        <v>31</v>
      </c>
      <c r="BS665" t="s">
        <v>419</v>
      </c>
      <c r="BT665" t="s">
        <v>419</v>
      </c>
      <c r="CI665" t="s">
        <v>388</v>
      </c>
      <c r="CJ665" s="14">
        <v>45013</v>
      </c>
      <c r="CK665">
        <v>1</v>
      </c>
    </row>
    <row r="666" spans="1:89">
      <c r="A666" t="s">
        <v>1522</v>
      </c>
      <c r="B666" t="s">
        <v>374</v>
      </c>
      <c r="C666" t="s">
        <v>1523</v>
      </c>
      <c r="D666" t="s">
        <v>2978</v>
      </c>
      <c r="E666" t="s">
        <v>2979</v>
      </c>
      <c r="F666" s="13">
        <v>44615.913206018522</v>
      </c>
      <c r="G666" t="s">
        <v>1526</v>
      </c>
      <c r="H666" t="s">
        <v>1527</v>
      </c>
      <c r="I666" s="13">
        <v>44615.915023148147</v>
      </c>
      <c r="K666" t="s">
        <v>412</v>
      </c>
      <c r="R666">
        <v>0</v>
      </c>
      <c r="S666" t="s">
        <v>380</v>
      </c>
      <c r="T666" t="s">
        <v>57</v>
      </c>
      <c r="V666" t="s">
        <v>381</v>
      </c>
      <c r="W666" t="s">
        <v>2980</v>
      </c>
      <c r="X666" t="s">
        <v>2980</v>
      </c>
      <c r="AC666" s="13">
        <v>44697</v>
      </c>
      <c r="AD666" s="13">
        <v>44697</v>
      </c>
      <c r="AI666">
        <v>82</v>
      </c>
      <c r="AL666" t="s">
        <v>2981</v>
      </c>
      <c r="AN666" t="s">
        <v>31</v>
      </c>
      <c r="AO666">
        <v>0</v>
      </c>
      <c r="AS666" t="s">
        <v>385</v>
      </c>
      <c r="AX666" t="s">
        <v>31</v>
      </c>
      <c r="AY666" t="s">
        <v>442</v>
      </c>
      <c r="AZ666" t="s">
        <v>2982</v>
      </c>
      <c r="BF666">
        <v>0</v>
      </c>
      <c r="BK666" t="s">
        <v>31</v>
      </c>
      <c r="BS666" t="s">
        <v>412</v>
      </c>
      <c r="BT666" t="s">
        <v>412</v>
      </c>
      <c r="CI666" t="s">
        <v>388</v>
      </c>
      <c r="CJ666" s="14">
        <v>45013</v>
      </c>
      <c r="CK666">
        <v>1</v>
      </c>
    </row>
    <row r="667" spans="1:89">
      <c r="A667" t="s">
        <v>2927</v>
      </c>
      <c r="B667" t="s">
        <v>374</v>
      </c>
      <c r="C667" t="s">
        <v>2928</v>
      </c>
      <c r="D667" t="s">
        <v>2983</v>
      </c>
      <c r="E667" t="s">
        <v>2984</v>
      </c>
      <c r="F667" s="13">
        <v>44615.626435185186</v>
      </c>
      <c r="G667" t="s">
        <v>2985</v>
      </c>
      <c r="H667" t="s">
        <v>2986</v>
      </c>
      <c r="I667" s="13">
        <v>45012.043888888889</v>
      </c>
      <c r="K667" t="s">
        <v>415</v>
      </c>
      <c r="M667" s="13">
        <v>44925</v>
      </c>
      <c r="R667">
        <v>25</v>
      </c>
      <c r="S667" t="s">
        <v>380</v>
      </c>
      <c r="T667" t="s">
        <v>57</v>
      </c>
      <c r="V667" t="s">
        <v>478</v>
      </c>
      <c r="W667" t="s">
        <v>2987</v>
      </c>
      <c r="X667" t="s">
        <v>2987</v>
      </c>
      <c r="AF667" t="s">
        <v>451</v>
      </c>
      <c r="AG667" t="s">
        <v>2988</v>
      </c>
      <c r="AI667">
        <v>-87</v>
      </c>
      <c r="AL667" t="s">
        <v>2989</v>
      </c>
      <c r="AN667" t="s">
        <v>31</v>
      </c>
      <c r="AO667">
        <v>0</v>
      </c>
      <c r="AS667" t="s">
        <v>461</v>
      </c>
      <c r="AX667" t="s">
        <v>31</v>
      </c>
      <c r="AY667" t="s">
        <v>442</v>
      </c>
      <c r="AZ667" t="s">
        <v>2990</v>
      </c>
      <c r="BF667">
        <v>0</v>
      </c>
      <c r="BK667" t="s">
        <v>31</v>
      </c>
      <c r="BS667" t="s">
        <v>419</v>
      </c>
      <c r="BT667" t="s">
        <v>419</v>
      </c>
      <c r="CI667" t="s">
        <v>388</v>
      </c>
      <c r="CJ667" s="14">
        <v>45013</v>
      </c>
      <c r="CK667">
        <v>1</v>
      </c>
    </row>
    <row r="668" spans="1:89">
      <c r="A668" t="s">
        <v>2927</v>
      </c>
      <c r="B668" t="s">
        <v>374</v>
      </c>
      <c r="C668" t="s">
        <v>2928</v>
      </c>
      <c r="D668" t="s">
        <v>2991</v>
      </c>
      <c r="E668" t="s">
        <v>2992</v>
      </c>
      <c r="F668" s="13">
        <v>44615.615520833337</v>
      </c>
      <c r="G668" t="s">
        <v>2985</v>
      </c>
      <c r="H668" t="s">
        <v>2986</v>
      </c>
      <c r="I668" s="13">
        <v>45012.043888888889</v>
      </c>
      <c r="K668" t="s">
        <v>415</v>
      </c>
      <c r="M668" s="13">
        <v>44925</v>
      </c>
      <c r="R668">
        <v>10</v>
      </c>
      <c r="S668" t="s">
        <v>380</v>
      </c>
      <c r="T668" t="s">
        <v>57</v>
      </c>
      <c r="V668" t="s">
        <v>478</v>
      </c>
      <c r="W668" t="s">
        <v>2993</v>
      </c>
      <c r="X668" t="s">
        <v>2993</v>
      </c>
      <c r="AF668" t="s">
        <v>451</v>
      </c>
      <c r="AG668" t="s">
        <v>2994</v>
      </c>
      <c r="AI668">
        <v>-87</v>
      </c>
      <c r="AL668" t="s">
        <v>2995</v>
      </c>
      <c r="AN668" t="s">
        <v>31</v>
      </c>
      <c r="AO668">
        <v>0</v>
      </c>
      <c r="AS668" t="s">
        <v>392</v>
      </c>
      <c r="AX668" t="s">
        <v>31</v>
      </c>
      <c r="AY668" t="s">
        <v>442</v>
      </c>
      <c r="AZ668" t="s">
        <v>2996</v>
      </c>
      <c r="BF668">
        <v>0</v>
      </c>
      <c r="BK668" t="s">
        <v>31</v>
      </c>
      <c r="BS668" t="s">
        <v>419</v>
      </c>
      <c r="BT668" t="s">
        <v>419</v>
      </c>
      <c r="CI668" t="s">
        <v>388</v>
      </c>
      <c r="CJ668" s="14">
        <v>45013</v>
      </c>
      <c r="CK668">
        <v>1</v>
      </c>
    </row>
    <row r="669" spans="1:89">
      <c r="A669" t="s">
        <v>2096</v>
      </c>
      <c r="B669" t="s">
        <v>374</v>
      </c>
      <c r="C669" t="s">
        <v>2097</v>
      </c>
      <c r="D669" t="s">
        <v>2997</v>
      </c>
      <c r="E669" t="s">
        <v>2998</v>
      </c>
      <c r="F669" s="13">
        <v>44615.593402777777</v>
      </c>
      <c r="G669" t="s">
        <v>2890</v>
      </c>
      <c r="H669" t="s">
        <v>2891</v>
      </c>
      <c r="I669" s="13">
        <v>45012.043888888889</v>
      </c>
      <c r="K669" t="s">
        <v>415</v>
      </c>
      <c r="M669" s="13">
        <v>44681</v>
      </c>
      <c r="R669">
        <v>0</v>
      </c>
      <c r="S669" t="s">
        <v>380</v>
      </c>
      <c r="T669" t="s">
        <v>57</v>
      </c>
      <c r="V669" t="s">
        <v>478</v>
      </c>
      <c r="W669" t="s">
        <v>2187</v>
      </c>
      <c r="X669" t="s">
        <v>2187</v>
      </c>
      <c r="AC669" s="13">
        <v>44681</v>
      </c>
      <c r="AD669" s="13">
        <v>44681</v>
      </c>
      <c r="AF669" t="s">
        <v>451</v>
      </c>
      <c r="AI669">
        <v>-331</v>
      </c>
      <c r="AL669" t="s">
        <v>2999</v>
      </c>
      <c r="AN669" t="s">
        <v>31</v>
      </c>
      <c r="AO669">
        <v>0</v>
      </c>
      <c r="AS669" t="s">
        <v>385</v>
      </c>
      <c r="AX669" t="s">
        <v>57</v>
      </c>
      <c r="AY669" t="s">
        <v>386</v>
      </c>
      <c r="AZ669" t="s">
        <v>3000</v>
      </c>
      <c r="BE669">
        <v>55</v>
      </c>
      <c r="BF669">
        <v>0</v>
      </c>
      <c r="BK669" t="s">
        <v>31</v>
      </c>
      <c r="BS669" t="s">
        <v>419</v>
      </c>
      <c r="BT669" t="s">
        <v>419</v>
      </c>
      <c r="CI669" t="s">
        <v>388</v>
      </c>
      <c r="CJ669" s="14">
        <v>45013</v>
      </c>
      <c r="CK669">
        <v>1</v>
      </c>
    </row>
    <row r="670" spans="1:89">
      <c r="A670" t="s">
        <v>2927</v>
      </c>
      <c r="B670" t="s">
        <v>374</v>
      </c>
      <c r="C670" t="s">
        <v>2928</v>
      </c>
      <c r="D670" t="s">
        <v>3001</v>
      </c>
      <c r="E670" t="s">
        <v>3002</v>
      </c>
      <c r="F670" s="13">
        <v>44615.580185185187</v>
      </c>
      <c r="G670" t="s">
        <v>3003</v>
      </c>
      <c r="H670" t="s">
        <v>3004</v>
      </c>
      <c r="I670" s="13">
        <v>44959.443726851852</v>
      </c>
      <c r="K670" t="s">
        <v>379</v>
      </c>
      <c r="M670" s="13">
        <v>44895</v>
      </c>
      <c r="R670">
        <v>100</v>
      </c>
      <c r="S670" t="s">
        <v>380</v>
      </c>
      <c r="T670" t="s">
        <v>57</v>
      </c>
      <c r="V670" t="s">
        <v>478</v>
      </c>
      <c r="W670" t="s">
        <v>2326</v>
      </c>
      <c r="X670" t="s">
        <v>2326</v>
      </c>
      <c r="AF670" t="s">
        <v>382</v>
      </c>
      <c r="AG670" t="s">
        <v>3005</v>
      </c>
      <c r="AI670">
        <v>-64</v>
      </c>
      <c r="AJ670" s="13">
        <v>44959</v>
      </c>
      <c r="AL670" t="s">
        <v>3006</v>
      </c>
      <c r="AN670" t="s">
        <v>31</v>
      </c>
      <c r="AO670">
        <v>0</v>
      </c>
      <c r="AR670" t="s">
        <v>3007</v>
      </c>
      <c r="AS670" t="s">
        <v>385</v>
      </c>
      <c r="AX670" t="s">
        <v>31</v>
      </c>
      <c r="AY670" t="s">
        <v>442</v>
      </c>
      <c r="AZ670" t="s">
        <v>3008</v>
      </c>
      <c r="BF670">
        <v>0</v>
      </c>
      <c r="BK670" t="s">
        <v>31</v>
      </c>
      <c r="BS670" t="s">
        <v>379</v>
      </c>
      <c r="BT670" t="s">
        <v>379</v>
      </c>
      <c r="CI670" t="s">
        <v>388</v>
      </c>
      <c r="CJ670" s="14">
        <v>45013</v>
      </c>
      <c r="CK670">
        <v>1</v>
      </c>
    </row>
    <row r="671" spans="1:89">
      <c r="A671" t="s">
        <v>2927</v>
      </c>
      <c r="B671" t="s">
        <v>374</v>
      </c>
      <c r="C671" t="s">
        <v>2928</v>
      </c>
      <c r="D671" t="s">
        <v>3009</v>
      </c>
      <c r="E671" t="s">
        <v>3010</v>
      </c>
      <c r="F671" s="13">
        <v>44615.577152777776</v>
      </c>
      <c r="G671" t="s">
        <v>2985</v>
      </c>
      <c r="H671" t="s">
        <v>2986</v>
      </c>
      <c r="I671" s="13">
        <v>45012.043888888889</v>
      </c>
      <c r="K671" t="s">
        <v>415</v>
      </c>
      <c r="M671" s="13">
        <v>44712</v>
      </c>
      <c r="R671">
        <v>95</v>
      </c>
      <c r="S671" t="s">
        <v>380</v>
      </c>
      <c r="T671" t="s">
        <v>57</v>
      </c>
      <c r="V671" t="s">
        <v>478</v>
      </c>
      <c r="W671" t="s">
        <v>3011</v>
      </c>
      <c r="X671" t="s">
        <v>3011</v>
      </c>
      <c r="AF671" t="s">
        <v>451</v>
      </c>
      <c r="AG671" t="s">
        <v>3012</v>
      </c>
      <c r="AI671">
        <v>-300</v>
      </c>
      <c r="AL671" t="s">
        <v>3013</v>
      </c>
      <c r="AN671" t="s">
        <v>31</v>
      </c>
      <c r="AO671">
        <v>0</v>
      </c>
      <c r="AS671" t="s">
        <v>392</v>
      </c>
      <c r="AX671" t="s">
        <v>31</v>
      </c>
      <c r="AY671" t="s">
        <v>442</v>
      </c>
      <c r="AZ671" t="s">
        <v>3014</v>
      </c>
      <c r="BF671">
        <v>0</v>
      </c>
      <c r="BK671" t="s">
        <v>31</v>
      </c>
      <c r="BS671" t="s">
        <v>419</v>
      </c>
      <c r="BT671" t="s">
        <v>419</v>
      </c>
      <c r="CI671" t="s">
        <v>388</v>
      </c>
      <c r="CJ671" s="14">
        <v>45013</v>
      </c>
      <c r="CK671">
        <v>1</v>
      </c>
    </row>
    <row r="672" spans="1:89">
      <c r="A672" t="s">
        <v>2927</v>
      </c>
      <c r="B672" t="s">
        <v>374</v>
      </c>
      <c r="C672" t="s">
        <v>2928</v>
      </c>
      <c r="D672" t="s">
        <v>3015</v>
      </c>
      <c r="E672" t="s">
        <v>3016</v>
      </c>
      <c r="F672" s="13">
        <v>44615.568981481483</v>
      </c>
      <c r="G672" t="s">
        <v>2931</v>
      </c>
      <c r="H672" t="s">
        <v>2932</v>
      </c>
      <c r="I672" s="13">
        <v>45012.043877314813</v>
      </c>
      <c r="K672" t="s">
        <v>415</v>
      </c>
      <c r="M672" s="13">
        <v>44651</v>
      </c>
      <c r="R672">
        <v>80</v>
      </c>
      <c r="S672" t="s">
        <v>380</v>
      </c>
      <c r="T672" t="s">
        <v>57</v>
      </c>
      <c r="V672" t="s">
        <v>478</v>
      </c>
      <c r="W672" t="s">
        <v>3017</v>
      </c>
      <c r="X672" t="s">
        <v>3017</v>
      </c>
      <c r="AF672" t="s">
        <v>451</v>
      </c>
      <c r="AG672" t="s">
        <v>3018</v>
      </c>
      <c r="AI672">
        <v>-361</v>
      </c>
      <c r="AL672" t="s">
        <v>3019</v>
      </c>
      <c r="AN672" t="s">
        <v>31</v>
      </c>
      <c r="AO672">
        <v>0</v>
      </c>
      <c r="AS672" t="s">
        <v>385</v>
      </c>
      <c r="AX672" t="s">
        <v>31</v>
      </c>
      <c r="AY672" t="s">
        <v>386</v>
      </c>
      <c r="AZ672" t="s">
        <v>3020</v>
      </c>
      <c r="BF672">
        <v>0</v>
      </c>
      <c r="BK672" t="s">
        <v>31</v>
      </c>
      <c r="BS672" t="s">
        <v>419</v>
      </c>
      <c r="BT672" t="s">
        <v>419</v>
      </c>
      <c r="CI672" t="s">
        <v>388</v>
      </c>
      <c r="CJ672" s="14">
        <v>45013</v>
      </c>
      <c r="CK672">
        <v>1</v>
      </c>
    </row>
    <row r="673" spans="1:89">
      <c r="A673" t="s">
        <v>2927</v>
      </c>
      <c r="B673" t="s">
        <v>374</v>
      </c>
      <c r="C673" t="s">
        <v>2928</v>
      </c>
      <c r="D673" t="s">
        <v>3021</v>
      </c>
      <c r="E673" t="s">
        <v>3022</v>
      </c>
      <c r="F673" s="13">
        <v>44615.552349537036</v>
      </c>
      <c r="G673" t="s">
        <v>3003</v>
      </c>
      <c r="H673" t="s">
        <v>3004</v>
      </c>
      <c r="I673" s="13">
        <v>45012.043877314813</v>
      </c>
      <c r="K673" t="s">
        <v>415</v>
      </c>
      <c r="M673" s="13">
        <v>44713</v>
      </c>
      <c r="R673">
        <v>50</v>
      </c>
      <c r="S673" t="s">
        <v>380</v>
      </c>
      <c r="T673" t="s">
        <v>57</v>
      </c>
      <c r="V673" t="s">
        <v>478</v>
      </c>
      <c r="W673" t="s">
        <v>3023</v>
      </c>
      <c r="X673" t="s">
        <v>3023</v>
      </c>
      <c r="AF673" t="s">
        <v>451</v>
      </c>
      <c r="AG673" t="s">
        <v>3024</v>
      </c>
      <c r="AI673">
        <v>-299</v>
      </c>
      <c r="AL673" t="s">
        <v>3025</v>
      </c>
      <c r="AN673" t="s">
        <v>31</v>
      </c>
      <c r="AO673">
        <v>0</v>
      </c>
      <c r="AS673" t="s">
        <v>385</v>
      </c>
      <c r="AX673" t="s">
        <v>31</v>
      </c>
      <c r="AY673" t="s">
        <v>386</v>
      </c>
      <c r="AZ673" t="s">
        <v>3026</v>
      </c>
      <c r="BF673">
        <v>0</v>
      </c>
      <c r="BK673" t="s">
        <v>31</v>
      </c>
      <c r="BS673" t="s">
        <v>419</v>
      </c>
      <c r="BT673" t="s">
        <v>419</v>
      </c>
      <c r="CI673" t="s">
        <v>388</v>
      </c>
      <c r="CJ673" s="14">
        <v>45013</v>
      </c>
      <c r="CK673">
        <v>1</v>
      </c>
    </row>
    <row r="674" spans="1:89">
      <c r="A674" t="s">
        <v>2927</v>
      </c>
      <c r="B674" t="s">
        <v>374</v>
      </c>
      <c r="C674" t="s">
        <v>2928</v>
      </c>
      <c r="D674" t="s">
        <v>3027</v>
      </c>
      <c r="E674" t="s">
        <v>3028</v>
      </c>
      <c r="F674" s="13">
        <v>44615.552303240744</v>
      </c>
      <c r="G674" t="s">
        <v>2931</v>
      </c>
      <c r="H674" t="s">
        <v>2932</v>
      </c>
      <c r="I674" s="13">
        <v>45012.043877314813</v>
      </c>
      <c r="K674" t="s">
        <v>415</v>
      </c>
      <c r="M674" s="13">
        <v>44651</v>
      </c>
      <c r="R674">
        <v>80</v>
      </c>
      <c r="S674" t="s">
        <v>380</v>
      </c>
      <c r="T674" t="s">
        <v>57</v>
      </c>
      <c r="V674" t="s">
        <v>478</v>
      </c>
      <c r="W674" t="s">
        <v>3029</v>
      </c>
      <c r="X674" t="s">
        <v>3029</v>
      </c>
      <c r="AF674" t="s">
        <v>451</v>
      </c>
      <c r="AG674" t="s">
        <v>3030</v>
      </c>
      <c r="AI674">
        <v>-361</v>
      </c>
      <c r="AL674" t="s">
        <v>3031</v>
      </c>
      <c r="AN674" t="s">
        <v>31</v>
      </c>
      <c r="AO674">
        <v>0</v>
      </c>
      <c r="AS674" t="s">
        <v>385</v>
      </c>
      <c r="AX674" t="s">
        <v>31</v>
      </c>
      <c r="AY674" t="s">
        <v>386</v>
      </c>
      <c r="AZ674" t="s">
        <v>3032</v>
      </c>
      <c r="BE674" t="s">
        <v>3033</v>
      </c>
      <c r="BF674">
        <v>0</v>
      </c>
      <c r="BK674" t="s">
        <v>31</v>
      </c>
      <c r="BS674" t="s">
        <v>419</v>
      </c>
      <c r="BT674" t="s">
        <v>419</v>
      </c>
      <c r="CI674" t="s">
        <v>388</v>
      </c>
      <c r="CJ674" s="14">
        <v>45013</v>
      </c>
      <c r="CK674">
        <v>1</v>
      </c>
    </row>
    <row r="675" spans="1:89">
      <c r="A675" t="s">
        <v>1655</v>
      </c>
      <c r="B675" t="s">
        <v>374</v>
      </c>
      <c r="C675" t="s">
        <v>1656</v>
      </c>
      <c r="D675" t="s">
        <v>3034</v>
      </c>
      <c r="E675" t="s">
        <v>3035</v>
      </c>
      <c r="F675" s="13">
        <v>44615.488622685189</v>
      </c>
      <c r="G675" t="s">
        <v>2777</v>
      </c>
      <c r="H675" t="s">
        <v>2778</v>
      </c>
      <c r="I675" s="13">
        <v>45012.043865740743</v>
      </c>
      <c r="K675" t="s">
        <v>415</v>
      </c>
      <c r="M675" s="13">
        <v>44834</v>
      </c>
      <c r="R675">
        <v>0</v>
      </c>
      <c r="S675" t="s">
        <v>380</v>
      </c>
      <c r="T675" t="s">
        <v>57</v>
      </c>
      <c r="V675" t="s">
        <v>478</v>
      </c>
      <c r="W675" t="s">
        <v>2353</v>
      </c>
      <c r="X675" t="s">
        <v>2353</v>
      </c>
      <c r="AC675" s="13">
        <v>44925</v>
      </c>
      <c r="AD675" s="13">
        <v>44895</v>
      </c>
      <c r="AF675" t="s">
        <v>451</v>
      </c>
      <c r="AI675">
        <v>-178</v>
      </c>
      <c r="AL675" t="s">
        <v>2354</v>
      </c>
      <c r="AN675" t="s">
        <v>31</v>
      </c>
      <c r="AO675">
        <v>0</v>
      </c>
      <c r="AS675" t="s">
        <v>392</v>
      </c>
      <c r="AX675" t="s">
        <v>31</v>
      </c>
      <c r="AY675" t="s">
        <v>442</v>
      </c>
      <c r="AZ675" t="s">
        <v>3036</v>
      </c>
      <c r="BE675" t="s">
        <v>3037</v>
      </c>
      <c r="BF675">
        <v>0</v>
      </c>
      <c r="BK675" t="s">
        <v>31</v>
      </c>
      <c r="BS675" t="s">
        <v>419</v>
      </c>
      <c r="BT675" t="s">
        <v>419</v>
      </c>
      <c r="CI675" t="s">
        <v>388</v>
      </c>
      <c r="CJ675" s="14">
        <v>45013</v>
      </c>
      <c r="CK675">
        <v>1</v>
      </c>
    </row>
    <row r="676" spans="1:89">
      <c r="A676" t="s">
        <v>2927</v>
      </c>
      <c r="B676" t="s">
        <v>374</v>
      </c>
      <c r="C676" t="s">
        <v>2928</v>
      </c>
      <c r="D676" t="s">
        <v>3038</v>
      </c>
      <c r="E676" t="s">
        <v>3039</v>
      </c>
      <c r="F676" s="13">
        <v>44615.468900462962</v>
      </c>
      <c r="G676" t="s">
        <v>2931</v>
      </c>
      <c r="H676" t="s">
        <v>2932</v>
      </c>
      <c r="I676" s="13">
        <v>45012.043865740743</v>
      </c>
      <c r="K676" t="s">
        <v>415</v>
      </c>
      <c r="M676" s="13">
        <v>44651</v>
      </c>
      <c r="R676">
        <v>80</v>
      </c>
      <c r="S676" t="s">
        <v>380</v>
      </c>
      <c r="T676" t="s">
        <v>57</v>
      </c>
      <c r="V676" t="s">
        <v>478</v>
      </c>
      <c r="W676" t="s">
        <v>3029</v>
      </c>
      <c r="X676" t="s">
        <v>3029</v>
      </c>
      <c r="AF676" t="s">
        <v>451</v>
      </c>
      <c r="AG676" t="s">
        <v>3040</v>
      </c>
      <c r="AI676">
        <v>-361</v>
      </c>
      <c r="AL676" t="s">
        <v>3041</v>
      </c>
      <c r="AN676" t="s">
        <v>31</v>
      </c>
      <c r="AO676">
        <v>0</v>
      </c>
      <c r="AS676" t="s">
        <v>385</v>
      </c>
      <c r="AX676" t="s">
        <v>31</v>
      </c>
      <c r="AY676" t="s">
        <v>386</v>
      </c>
      <c r="AZ676" t="s">
        <v>3042</v>
      </c>
      <c r="BF676">
        <v>0</v>
      </c>
      <c r="BK676" t="s">
        <v>31</v>
      </c>
      <c r="BS676" t="s">
        <v>419</v>
      </c>
      <c r="BT676" t="s">
        <v>419</v>
      </c>
      <c r="CI676" t="s">
        <v>388</v>
      </c>
      <c r="CJ676" s="14">
        <v>45013</v>
      </c>
      <c r="CK676">
        <v>1</v>
      </c>
    </row>
    <row r="677" spans="1:89">
      <c r="A677" t="s">
        <v>2927</v>
      </c>
      <c r="B677" t="s">
        <v>374</v>
      </c>
      <c r="C677" t="s">
        <v>2928</v>
      </c>
      <c r="D677" t="s">
        <v>3043</v>
      </c>
      <c r="E677" t="s">
        <v>3044</v>
      </c>
      <c r="F677" s="13">
        <v>44615.440416666665</v>
      </c>
      <c r="G677" t="s">
        <v>3003</v>
      </c>
      <c r="H677" t="s">
        <v>3004</v>
      </c>
      <c r="I677" s="13">
        <v>45012.043865740743</v>
      </c>
      <c r="K677" t="s">
        <v>415</v>
      </c>
      <c r="M677" s="13">
        <v>44651</v>
      </c>
      <c r="R677">
        <v>90</v>
      </c>
      <c r="S677" t="s">
        <v>380</v>
      </c>
      <c r="T677" t="s">
        <v>57</v>
      </c>
      <c r="V677" t="s">
        <v>478</v>
      </c>
      <c r="W677" t="s">
        <v>3045</v>
      </c>
      <c r="X677" t="s">
        <v>3045</v>
      </c>
      <c r="AF677" t="s">
        <v>451</v>
      </c>
      <c r="AG677" t="s">
        <v>3046</v>
      </c>
      <c r="AI677">
        <v>-361</v>
      </c>
      <c r="AL677" t="s">
        <v>3047</v>
      </c>
      <c r="AN677" t="s">
        <v>31</v>
      </c>
      <c r="AO677">
        <v>0</v>
      </c>
      <c r="AS677" t="s">
        <v>385</v>
      </c>
      <c r="AX677" t="s">
        <v>31</v>
      </c>
      <c r="AY677" t="s">
        <v>386</v>
      </c>
      <c r="AZ677" t="s">
        <v>3048</v>
      </c>
      <c r="BF677">
        <v>0</v>
      </c>
      <c r="BK677" t="s">
        <v>31</v>
      </c>
      <c r="BS677" t="s">
        <v>419</v>
      </c>
      <c r="BT677" t="s">
        <v>419</v>
      </c>
      <c r="CI677" t="s">
        <v>388</v>
      </c>
      <c r="CJ677" s="14">
        <v>45013</v>
      </c>
      <c r="CK677">
        <v>1</v>
      </c>
    </row>
    <row r="678" spans="1:89">
      <c r="A678" t="s">
        <v>1655</v>
      </c>
      <c r="B678" t="s">
        <v>374</v>
      </c>
      <c r="C678" t="s">
        <v>1656</v>
      </c>
      <c r="D678" t="s">
        <v>3049</v>
      </c>
      <c r="E678" t="s">
        <v>3050</v>
      </c>
      <c r="F678" s="13">
        <v>44615.407557870371</v>
      </c>
      <c r="G678" t="s">
        <v>2777</v>
      </c>
      <c r="H678" t="s">
        <v>2778</v>
      </c>
      <c r="I678" s="13">
        <v>45012.043865740743</v>
      </c>
      <c r="K678" t="s">
        <v>415</v>
      </c>
      <c r="M678" s="13">
        <v>44774</v>
      </c>
      <c r="R678">
        <v>0</v>
      </c>
      <c r="S678" t="s">
        <v>380</v>
      </c>
      <c r="T678" t="s">
        <v>57</v>
      </c>
      <c r="V678" t="s">
        <v>478</v>
      </c>
      <c r="W678" t="s">
        <v>2353</v>
      </c>
      <c r="X678" t="s">
        <v>2353</v>
      </c>
      <c r="AC678" s="13">
        <v>44742</v>
      </c>
      <c r="AD678" s="13">
        <v>44071</v>
      </c>
      <c r="AF678" t="s">
        <v>451</v>
      </c>
      <c r="AI678">
        <v>-238</v>
      </c>
      <c r="AL678" t="s">
        <v>2354</v>
      </c>
      <c r="AN678" t="s">
        <v>31</v>
      </c>
      <c r="AO678">
        <v>0</v>
      </c>
      <c r="AS678" t="s">
        <v>392</v>
      </c>
      <c r="AX678" t="s">
        <v>31</v>
      </c>
      <c r="AY678" t="s">
        <v>386</v>
      </c>
      <c r="AZ678" t="s">
        <v>3051</v>
      </c>
      <c r="BE678" t="s">
        <v>1404</v>
      </c>
      <c r="BF678">
        <v>0</v>
      </c>
      <c r="BK678" t="s">
        <v>31</v>
      </c>
      <c r="BS678" t="s">
        <v>419</v>
      </c>
      <c r="BT678" t="s">
        <v>419</v>
      </c>
      <c r="CI678" t="s">
        <v>388</v>
      </c>
      <c r="CJ678" s="14">
        <v>45013</v>
      </c>
      <c r="CK678">
        <v>1</v>
      </c>
    </row>
    <row r="679" spans="1:89">
      <c r="A679" t="s">
        <v>1655</v>
      </c>
      <c r="B679" t="s">
        <v>374</v>
      </c>
      <c r="C679" t="s">
        <v>1656</v>
      </c>
      <c r="D679" t="s">
        <v>3052</v>
      </c>
      <c r="E679" t="s">
        <v>3053</v>
      </c>
      <c r="F679" s="13">
        <v>44615.392743055556</v>
      </c>
      <c r="G679" t="s">
        <v>2777</v>
      </c>
      <c r="H679" t="s">
        <v>2778</v>
      </c>
      <c r="I679" s="13">
        <v>44623.670370370368</v>
      </c>
      <c r="K679" t="s">
        <v>409</v>
      </c>
      <c r="R679">
        <v>0</v>
      </c>
      <c r="S679" t="s">
        <v>380</v>
      </c>
      <c r="V679" t="s">
        <v>381</v>
      </c>
      <c r="W679" t="s">
        <v>3054</v>
      </c>
      <c r="X679" t="s">
        <v>3054</v>
      </c>
      <c r="AI679">
        <v>36</v>
      </c>
      <c r="AL679" t="s">
        <v>3055</v>
      </c>
      <c r="AN679" t="s">
        <v>31</v>
      </c>
      <c r="AO679">
        <v>0</v>
      </c>
      <c r="AZ679" t="s">
        <v>3056</v>
      </c>
      <c r="BF679">
        <v>0</v>
      </c>
      <c r="BK679" t="s">
        <v>31</v>
      </c>
      <c r="BS679" t="s">
        <v>409</v>
      </c>
      <c r="BT679" t="s">
        <v>409</v>
      </c>
      <c r="CI679" t="s">
        <v>388</v>
      </c>
      <c r="CJ679" s="14">
        <v>45013</v>
      </c>
      <c r="CK679">
        <v>1</v>
      </c>
    </row>
    <row r="680" spans="1:89">
      <c r="A680" t="s">
        <v>2927</v>
      </c>
      <c r="B680" t="s">
        <v>374</v>
      </c>
      <c r="C680" t="s">
        <v>2928</v>
      </c>
      <c r="D680" t="s">
        <v>3057</v>
      </c>
      <c r="E680" t="s">
        <v>3058</v>
      </c>
      <c r="F680" s="13">
        <v>44615.391747685186</v>
      </c>
      <c r="G680" t="s">
        <v>3003</v>
      </c>
      <c r="H680" t="s">
        <v>3004</v>
      </c>
      <c r="I680" s="13">
        <v>45012.043854166666</v>
      </c>
      <c r="K680" t="s">
        <v>415</v>
      </c>
      <c r="M680" s="13">
        <v>44621</v>
      </c>
      <c r="R680">
        <v>80</v>
      </c>
      <c r="S680" t="s">
        <v>416</v>
      </c>
      <c r="T680" t="s">
        <v>57</v>
      </c>
      <c r="V680" t="s">
        <v>478</v>
      </c>
      <c r="W680" t="s">
        <v>3059</v>
      </c>
      <c r="X680" t="s">
        <v>3059</v>
      </c>
      <c r="Y680" t="s">
        <v>480</v>
      </c>
      <c r="AE680" t="s">
        <v>3060</v>
      </c>
      <c r="AF680" t="s">
        <v>451</v>
      </c>
      <c r="AG680" t="s">
        <v>3061</v>
      </c>
      <c r="AI680">
        <v>-391</v>
      </c>
      <c r="AL680" t="s">
        <v>3062</v>
      </c>
      <c r="AN680" t="s">
        <v>31</v>
      </c>
      <c r="AO680">
        <v>0</v>
      </c>
      <c r="AS680" t="s">
        <v>385</v>
      </c>
      <c r="AT680" t="s">
        <v>57</v>
      </c>
      <c r="AV680" s="13">
        <v>44681</v>
      </c>
      <c r="AX680" t="s">
        <v>31</v>
      </c>
      <c r="AY680" t="s">
        <v>442</v>
      </c>
      <c r="AZ680" t="s">
        <v>3063</v>
      </c>
      <c r="BF680">
        <v>0</v>
      </c>
      <c r="BK680" t="s">
        <v>31</v>
      </c>
      <c r="BS680" t="s">
        <v>484</v>
      </c>
      <c r="BT680" t="s">
        <v>484</v>
      </c>
      <c r="CI680" t="s">
        <v>388</v>
      </c>
      <c r="CJ680" s="14">
        <v>45013</v>
      </c>
      <c r="CK680">
        <v>1</v>
      </c>
    </row>
    <row r="681" spans="1:89">
      <c r="A681" t="s">
        <v>1655</v>
      </c>
      <c r="B681" t="s">
        <v>374</v>
      </c>
      <c r="C681" t="s">
        <v>1656</v>
      </c>
      <c r="D681" t="s">
        <v>3064</v>
      </c>
      <c r="E681" t="s">
        <v>3065</v>
      </c>
      <c r="F681" s="13">
        <v>44614.947708333333</v>
      </c>
      <c r="G681" t="s">
        <v>2777</v>
      </c>
      <c r="H681" t="s">
        <v>2778</v>
      </c>
      <c r="I681" s="13">
        <v>44623.670787037037</v>
      </c>
      <c r="K681" t="s">
        <v>409</v>
      </c>
      <c r="R681">
        <v>0</v>
      </c>
      <c r="S681" t="s">
        <v>380</v>
      </c>
      <c r="V681" t="s">
        <v>381</v>
      </c>
      <c r="W681" t="s">
        <v>3054</v>
      </c>
      <c r="X681" t="s">
        <v>3054</v>
      </c>
      <c r="AI681">
        <v>37</v>
      </c>
      <c r="AL681" t="s">
        <v>3066</v>
      </c>
      <c r="AN681" t="s">
        <v>31</v>
      </c>
      <c r="AO681">
        <v>0</v>
      </c>
      <c r="AZ681" t="s">
        <v>3067</v>
      </c>
      <c r="BF681">
        <v>0</v>
      </c>
      <c r="BK681" t="s">
        <v>31</v>
      </c>
      <c r="BS681" t="s">
        <v>409</v>
      </c>
      <c r="BT681" t="s">
        <v>409</v>
      </c>
      <c r="CI681" t="s">
        <v>388</v>
      </c>
      <c r="CJ681" s="14">
        <v>45013</v>
      </c>
      <c r="CK681">
        <v>1</v>
      </c>
    </row>
    <row r="682" spans="1:89">
      <c r="A682" t="s">
        <v>1655</v>
      </c>
      <c r="B682" t="s">
        <v>374</v>
      </c>
      <c r="C682" t="s">
        <v>1656</v>
      </c>
      <c r="D682" t="s">
        <v>3068</v>
      </c>
      <c r="E682" t="s">
        <v>3069</v>
      </c>
      <c r="F682" s="13">
        <v>44614.695208333331</v>
      </c>
      <c r="G682" t="s">
        <v>2777</v>
      </c>
      <c r="H682" t="s">
        <v>2778</v>
      </c>
      <c r="I682" s="13">
        <v>44622.506724537037</v>
      </c>
      <c r="K682" t="s">
        <v>379</v>
      </c>
      <c r="M682" s="13">
        <v>44620</v>
      </c>
      <c r="R682">
        <v>100</v>
      </c>
      <c r="S682" t="s">
        <v>380</v>
      </c>
      <c r="T682" t="s">
        <v>57</v>
      </c>
      <c r="V682" t="s">
        <v>478</v>
      </c>
      <c r="W682" t="s">
        <v>2787</v>
      </c>
      <c r="X682" t="s">
        <v>2787</v>
      </c>
      <c r="AC682" s="13">
        <v>44680</v>
      </c>
      <c r="AD682" s="13">
        <v>44651</v>
      </c>
      <c r="AF682" t="s">
        <v>382</v>
      </c>
      <c r="AG682" t="s">
        <v>3070</v>
      </c>
      <c r="AI682">
        <v>-2</v>
      </c>
      <c r="AJ682" s="13">
        <v>44621</v>
      </c>
      <c r="AL682" t="s">
        <v>2788</v>
      </c>
      <c r="AN682" t="s">
        <v>31</v>
      </c>
      <c r="AO682">
        <v>0</v>
      </c>
      <c r="AR682" t="s">
        <v>3071</v>
      </c>
      <c r="AS682" t="s">
        <v>648</v>
      </c>
      <c r="AX682" t="s">
        <v>31</v>
      </c>
      <c r="AY682" t="s">
        <v>442</v>
      </c>
      <c r="AZ682" t="s">
        <v>3072</v>
      </c>
      <c r="BE682" t="s">
        <v>1404</v>
      </c>
      <c r="BF682">
        <v>0</v>
      </c>
      <c r="BK682" t="s">
        <v>31</v>
      </c>
      <c r="BS682" t="s">
        <v>379</v>
      </c>
      <c r="BT682" t="s">
        <v>379</v>
      </c>
      <c r="CI682" t="s">
        <v>388</v>
      </c>
      <c r="CJ682" s="14">
        <v>45013</v>
      </c>
      <c r="CK682">
        <v>1</v>
      </c>
    </row>
    <row r="683" spans="1:89">
      <c r="A683" t="s">
        <v>2927</v>
      </c>
      <c r="B683" t="s">
        <v>374</v>
      </c>
      <c r="C683" t="s">
        <v>2928</v>
      </c>
      <c r="D683" t="s">
        <v>3073</v>
      </c>
      <c r="E683" t="s">
        <v>3074</v>
      </c>
      <c r="F683" s="13">
        <v>44614.525671296295</v>
      </c>
      <c r="G683" t="s">
        <v>3003</v>
      </c>
      <c r="H683" t="s">
        <v>3004</v>
      </c>
      <c r="I683" s="13">
        <v>45012.043854166666</v>
      </c>
      <c r="K683" t="s">
        <v>415</v>
      </c>
      <c r="M683" s="13">
        <v>44651</v>
      </c>
      <c r="R683">
        <v>70</v>
      </c>
      <c r="S683" t="s">
        <v>380</v>
      </c>
      <c r="T683" t="s">
        <v>57</v>
      </c>
      <c r="V683" t="s">
        <v>478</v>
      </c>
      <c r="W683" t="s">
        <v>3075</v>
      </c>
      <c r="X683" t="s">
        <v>3075</v>
      </c>
      <c r="Y683" t="s">
        <v>480</v>
      </c>
      <c r="AE683" t="s">
        <v>3076</v>
      </c>
      <c r="AF683" t="s">
        <v>451</v>
      </c>
      <c r="AG683" t="s">
        <v>3077</v>
      </c>
      <c r="AI683">
        <v>-361</v>
      </c>
      <c r="AL683" t="s">
        <v>3078</v>
      </c>
      <c r="AN683" t="s">
        <v>31</v>
      </c>
      <c r="AO683">
        <v>0</v>
      </c>
      <c r="AS683" t="s">
        <v>522</v>
      </c>
      <c r="AT683" t="s">
        <v>57</v>
      </c>
      <c r="AV683" s="13">
        <v>44652</v>
      </c>
      <c r="AX683" t="s">
        <v>31</v>
      </c>
      <c r="AY683" t="s">
        <v>442</v>
      </c>
      <c r="AZ683" t="s">
        <v>3079</v>
      </c>
      <c r="BF683">
        <v>0</v>
      </c>
      <c r="BK683" t="s">
        <v>31</v>
      </c>
      <c r="BS683" t="s">
        <v>484</v>
      </c>
      <c r="BT683" t="s">
        <v>484</v>
      </c>
      <c r="CI683" t="s">
        <v>388</v>
      </c>
      <c r="CJ683" s="14">
        <v>45013</v>
      </c>
      <c r="CK683">
        <v>1</v>
      </c>
    </row>
    <row r="684" spans="1:89">
      <c r="A684" t="s">
        <v>3080</v>
      </c>
      <c r="B684" t="s">
        <v>374</v>
      </c>
      <c r="C684" t="s">
        <v>3081</v>
      </c>
      <c r="D684" t="s">
        <v>3082</v>
      </c>
      <c r="E684" t="s">
        <v>3083</v>
      </c>
      <c r="F684" s="13">
        <v>44614.508622685185</v>
      </c>
      <c r="G684" t="s">
        <v>3084</v>
      </c>
      <c r="H684" t="s">
        <v>3085</v>
      </c>
      <c r="I684" s="13">
        <v>45012.043854166666</v>
      </c>
      <c r="K684" t="s">
        <v>415</v>
      </c>
      <c r="M684" s="13">
        <v>44770</v>
      </c>
      <c r="R684">
        <v>0</v>
      </c>
      <c r="S684" t="s">
        <v>380</v>
      </c>
      <c r="T684" t="s">
        <v>57</v>
      </c>
      <c r="V684" t="s">
        <v>478</v>
      </c>
      <c r="W684" t="s">
        <v>3085</v>
      </c>
      <c r="X684" t="s">
        <v>3085</v>
      </c>
      <c r="AC684" s="13">
        <v>44834</v>
      </c>
      <c r="AD684" s="13">
        <v>44593</v>
      </c>
      <c r="AF684" t="s">
        <v>451</v>
      </c>
      <c r="AI684">
        <v>-242</v>
      </c>
      <c r="AL684" t="s">
        <v>3086</v>
      </c>
      <c r="AN684" t="s">
        <v>31</v>
      </c>
      <c r="AO684">
        <v>0</v>
      </c>
      <c r="AS684" t="s">
        <v>385</v>
      </c>
      <c r="AX684" t="s">
        <v>31</v>
      </c>
      <c r="AY684" t="s">
        <v>386</v>
      </c>
      <c r="AZ684" t="s">
        <v>3087</v>
      </c>
      <c r="BF684">
        <v>0</v>
      </c>
      <c r="BK684" t="s">
        <v>31</v>
      </c>
      <c r="BS684" t="s">
        <v>419</v>
      </c>
      <c r="BT684" t="s">
        <v>419</v>
      </c>
      <c r="CI684" t="s">
        <v>388</v>
      </c>
      <c r="CJ684" s="14">
        <v>45013</v>
      </c>
      <c r="CK684">
        <v>1</v>
      </c>
    </row>
    <row r="685" spans="1:89">
      <c r="A685" t="s">
        <v>3088</v>
      </c>
      <c r="B685" t="s">
        <v>374</v>
      </c>
      <c r="C685" t="s">
        <v>3089</v>
      </c>
      <c r="D685" t="s">
        <v>3090</v>
      </c>
      <c r="E685" t="s">
        <v>3091</v>
      </c>
      <c r="F685" s="13">
        <v>44613.806342592594</v>
      </c>
      <c r="G685" t="s">
        <v>3092</v>
      </c>
      <c r="H685" t="s">
        <v>3093</v>
      </c>
      <c r="I685" s="13">
        <v>45012.043854166666</v>
      </c>
      <c r="K685" t="s">
        <v>415</v>
      </c>
      <c r="M685" s="13">
        <v>44742</v>
      </c>
      <c r="R685">
        <v>0</v>
      </c>
      <c r="S685" t="s">
        <v>380</v>
      </c>
      <c r="T685" t="s">
        <v>57</v>
      </c>
      <c r="V685" t="s">
        <v>478</v>
      </c>
      <c r="W685" t="s">
        <v>3094</v>
      </c>
      <c r="X685" t="s">
        <v>3094</v>
      </c>
      <c r="AC685" s="13">
        <v>44742</v>
      </c>
      <c r="AD685" s="13">
        <v>44742</v>
      </c>
      <c r="AF685" t="s">
        <v>451</v>
      </c>
      <c r="AI685">
        <v>-270</v>
      </c>
      <c r="AL685" t="s">
        <v>3095</v>
      </c>
      <c r="AN685" t="s">
        <v>31</v>
      </c>
      <c r="AO685">
        <v>0</v>
      </c>
      <c r="AS685" t="s">
        <v>392</v>
      </c>
      <c r="AX685" t="s">
        <v>57</v>
      </c>
      <c r="AY685" t="s">
        <v>442</v>
      </c>
      <c r="AZ685" t="s">
        <v>3096</v>
      </c>
      <c r="BF685">
        <v>0</v>
      </c>
      <c r="BK685" t="s">
        <v>31</v>
      </c>
      <c r="BS685" t="s">
        <v>419</v>
      </c>
      <c r="BT685" t="s">
        <v>419</v>
      </c>
      <c r="CI685" t="s">
        <v>388</v>
      </c>
      <c r="CJ685" s="14">
        <v>45013</v>
      </c>
      <c r="CK685">
        <v>1</v>
      </c>
    </row>
    <row r="686" spans="1:89">
      <c r="A686" t="s">
        <v>2927</v>
      </c>
      <c r="B686" t="s">
        <v>374</v>
      </c>
      <c r="C686" t="s">
        <v>2928</v>
      </c>
      <c r="D686" t="s">
        <v>3097</v>
      </c>
      <c r="E686" t="s">
        <v>3098</v>
      </c>
      <c r="F686" s="13">
        <v>44613.458090277774</v>
      </c>
      <c r="G686" t="s">
        <v>2985</v>
      </c>
      <c r="H686" t="s">
        <v>2986</v>
      </c>
      <c r="I686" s="13">
        <v>45012.043842592589</v>
      </c>
      <c r="K686" t="s">
        <v>415</v>
      </c>
      <c r="M686" s="13">
        <v>44651</v>
      </c>
      <c r="R686">
        <v>99</v>
      </c>
      <c r="S686" t="s">
        <v>380</v>
      </c>
      <c r="T686" t="s">
        <v>57</v>
      </c>
      <c r="V686" t="s">
        <v>478</v>
      </c>
      <c r="W686" t="s">
        <v>3099</v>
      </c>
      <c r="X686" t="s">
        <v>3099</v>
      </c>
      <c r="AF686" t="s">
        <v>451</v>
      </c>
      <c r="AG686" t="s">
        <v>3100</v>
      </c>
      <c r="AI686">
        <v>-361</v>
      </c>
      <c r="AL686" t="s">
        <v>3101</v>
      </c>
      <c r="AN686" t="s">
        <v>31</v>
      </c>
      <c r="AO686">
        <v>0</v>
      </c>
      <c r="AS686" t="s">
        <v>744</v>
      </c>
      <c r="AX686" t="s">
        <v>31</v>
      </c>
      <c r="AY686" t="s">
        <v>442</v>
      </c>
      <c r="AZ686" t="s">
        <v>3102</v>
      </c>
      <c r="BF686">
        <v>0</v>
      </c>
      <c r="BK686" t="s">
        <v>31</v>
      </c>
      <c r="BS686" t="s">
        <v>419</v>
      </c>
      <c r="BT686" t="s">
        <v>419</v>
      </c>
      <c r="CI686" t="s">
        <v>388</v>
      </c>
      <c r="CJ686" s="14">
        <v>45013</v>
      </c>
      <c r="CK686">
        <v>1</v>
      </c>
    </row>
    <row r="687" spans="1:89">
      <c r="A687" t="s">
        <v>3103</v>
      </c>
      <c r="B687" t="s">
        <v>374</v>
      </c>
      <c r="C687" t="s">
        <v>3104</v>
      </c>
      <c r="D687" t="s">
        <v>3105</v>
      </c>
      <c r="E687" t="s">
        <v>3106</v>
      </c>
      <c r="F687" s="13">
        <v>44613.408877314818</v>
      </c>
      <c r="G687" t="s">
        <v>3084</v>
      </c>
      <c r="H687" t="s">
        <v>3085</v>
      </c>
      <c r="I687" s="13">
        <v>44613.430902777778</v>
      </c>
      <c r="K687" t="s">
        <v>409</v>
      </c>
      <c r="R687">
        <v>0</v>
      </c>
      <c r="S687" t="s">
        <v>380</v>
      </c>
      <c r="T687" t="s">
        <v>57</v>
      </c>
      <c r="V687" t="s">
        <v>381</v>
      </c>
      <c r="W687" t="s">
        <v>3085</v>
      </c>
      <c r="X687" t="s">
        <v>3085</v>
      </c>
      <c r="AC687" s="13">
        <v>44742</v>
      </c>
      <c r="AD687" s="13">
        <v>44593</v>
      </c>
      <c r="AI687">
        <v>158</v>
      </c>
      <c r="AL687" t="s">
        <v>3107</v>
      </c>
      <c r="AN687" t="s">
        <v>31</v>
      </c>
      <c r="AO687">
        <v>0</v>
      </c>
      <c r="AS687" t="s">
        <v>385</v>
      </c>
      <c r="AX687" t="s">
        <v>57</v>
      </c>
      <c r="AY687" t="s">
        <v>386</v>
      </c>
      <c r="AZ687" t="s">
        <v>3108</v>
      </c>
      <c r="BF687">
        <v>0</v>
      </c>
      <c r="BK687" t="s">
        <v>31</v>
      </c>
      <c r="BS687" t="s">
        <v>409</v>
      </c>
      <c r="BT687" t="s">
        <v>409</v>
      </c>
      <c r="CI687" t="s">
        <v>388</v>
      </c>
      <c r="CJ687" s="14">
        <v>45013</v>
      </c>
      <c r="CK687">
        <v>1</v>
      </c>
    </row>
    <row r="688" spans="1:89">
      <c r="A688" t="s">
        <v>2310</v>
      </c>
      <c r="B688" t="s">
        <v>374</v>
      </c>
      <c r="C688" t="s">
        <v>607</v>
      </c>
      <c r="D688" t="s">
        <v>3109</v>
      </c>
      <c r="E688" t="s">
        <v>3110</v>
      </c>
      <c r="F688" s="13">
        <v>44610.891273148147</v>
      </c>
      <c r="G688" t="s">
        <v>2313</v>
      </c>
      <c r="H688" t="s">
        <v>2314</v>
      </c>
      <c r="I688" s="13">
        <v>44610.902951388889</v>
      </c>
      <c r="K688" t="s">
        <v>409</v>
      </c>
      <c r="R688">
        <v>0</v>
      </c>
      <c r="S688" t="s">
        <v>380</v>
      </c>
      <c r="T688" t="s">
        <v>57</v>
      </c>
      <c r="V688" t="s">
        <v>381</v>
      </c>
      <c r="W688" t="s">
        <v>3111</v>
      </c>
      <c r="X688" t="s">
        <v>3111</v>
      </c>
      <c r="AI688">
        <v>56</v>
      </c>
      <c r="AL688" t="s">
        <v>2316</v>
      </c>
      <c r="AN688" t="s">
        <v>31</v>
      </c>
      <c r="AO688">
        <v>0</v>
      </c>
      <c r="AS688" t="s">
        <v>744</v>
      </c>
      <c r="AX688" t="s">
        <v>31</v>
      </c>
      <c r="AY688" t="s">
        <v>386</v>
      </c>
      <c r="AZ688" t="s">
        <v>3112</v>
      </c>
      <c r="BF688">
        <v>0</v>
      </c>
      <c r="BK688" t="s">
        <v>31</v>
      </c>
      <c r="BS688" t="s">
        <v>409</v>
      </c>
      <c r="BT688" t="s">
        <v>409</v>
      </c>
      <c r="CI688" t="s">
        <v>388</v>
      </c>
      <c r="CJ688" s="14">
        <v>45013</v>
      </c>
      <c r="CK688">
        <v>1</v>
      </c>
    </row>
    <row r="689" spans="1:89">
      <c r="A689" t="s">
        <v>2565</v>
      </c>
      <c r="B689" t="s">
        <v>374</v>
      </c>
      <c r="C689" t="s">
        <v>2566</v>
      </c>
      <c r="D689" t="s">
        <v>3113</v>
      </c>
      <c r="E689" t="s">
        <v>3114</v>
      </c>
      <c r="F689" s="13">
        <v>44610.659467592595</v>
      </c>
      <c r="G689" t="s">
        <v>2149</v>
      </c>
      <c r="H689" t="s">
        <v>2150</v>
      </c>
      <c r="I689" s="13">
        <v>44617.565752314818</v>
      </c>
      <c r="K689" t="s">
        <v>409</v>
      </c>
      <c r="R689">
        <v>0</v>
      </c>
      <c r="S689" t="s">
        <v>380</v>
      </c>
      <c r="T689" t="s">
        <v>57</v>
      </c>
      <c r="V689" t="s">
        <v>381</v>
      </c>
      <c r="W689" t="s">
        <v>2844</v>
      </c>
      <c r="X689" t="s">
        <v>2844</v>
      </c>
      <c r="AC689" s="13">
        <v>44197</v>
      </c>
      <c r="AD689" s="13">
        <v>44197</v>
      </c>
      <c r="AI689">
        <v>34</v>
      </c>
      <c r="AL689" t="s">
        <v>2845</v>
      </c>
      <c r="AN689" t="s">
        <v>31</v>
      </c>
      <c r="AO689">
        <v>0</v>
      </c>
      <c r="AS689" t="s">
        <v>385</v>
      </c>
      <c r="AX689" t="s">
        <v>31</v>
      </c>
      <c r="AY689" t="s">
        <v>442</v>
      </c>
      <c r="AZ689" t="s">
        <v>2846</v>
      </c>
      <c r="BE689" t="s">
        <v>2847</v>
      </c>
      <c r="BF689">
        <v>0</v>
      </c>
      <c r="BK689" t="s">
        <v>31</v>
      </c>
      <c r="BS689" t="s">
        <v>409</v>
      </c>
      <c r="BT689" t="s">
        <v>409</v>
      </c>
      <c r="CI689" t="s">
        <v>388</v>
      </c>
      <c r="CJ689" s="14">
        <v>45013</v>
      </c>
      <c r="CK689">
        <v>1</v>
      </c>
    </row>
    <row r="690" spans="1:89">
      <c r="A690" t="s">
        <v>3115</v>
      </c>
      <c r="B690" t="s">
        <v>374</v>
      </c>
      <c r="C690" t="s">
        <v>3116</v>
      </c>
      <c r="D690" t="s">
        <v>3117</v>
      </c>
      <c r="E690" t="s">
        <v>3118</v>
      </c>
      <c r="F690" s="13">
        <v>44609.497789351852</v>
      </c>
      <c r="G690" t="s">
        <v>2079</v>
      </c>
      <c r="H690" t="s">
        <v>2080</v>
      </c>
      <c r="I690" s="13">
        <v>45012.043842592589</v>
      </c>
      <c r="K690" t="s">
        <v>415</v>
      </c>
      <c r="M690" s="13">
        <v>44651</v>
      </c>
      <c r="R690">
        <v>0</v>
      </c>
      <c r="S690" t="s">
        <v>380</v>
      </c>
      <c r="T690" t="s">
        <v>57</v>
      </c>
      <c r="V690" t="s">
        <v>478</v>
      </c>
      <c r="W690" t="s">
        <v>3119</v>
      </c>
      <c r="X690" t="s">
        <v>3119</v>
      </c>
      <c r="AC690" s="13">
        <v>44651</v>
      </c>
      <c r="AD690" s="13">
        <v>44651</v>
      </c>
      <c r="AF690" t="s">
        <v>451</v>
      </c>
      <c r="AI690">
        <v>-361</v>
      </c>
      <c r="AL690" t="s">
        <v>3120</v>
      </c>
      <c r="AN690" t="s">
        <v>31</v>
      </c>
      <c r="AO690">
        <v>0</v>
      </c>
      <c r="AS690" t="s">
        <v>385</v>
      </c>
      <c r="AX690" t="s">
        <v>57</v>
      </c>
      <c r="AY690" t="s">
        <v>442</v>
      </c>
      <c r="AZ690" t="s">
        <v>3121</v>
      </c>
      <c r="BF690">
        <v>0</v>
      </c>
      <c r="BK690" t="s">
        <v>31</v>
      </c>
      <c r="BS690" t="s">
        <v>419</v>
      </c>
      <c r="BT690" t="s">
        <v>419</v>
      </c>
      <c r="CI690" t="s">
        <v>388</v>
      </c>
      <c r="CJ690" s="14">
        <v>45013</v>
      </c>
      <c r="CK690">
        <v>1</v>
      </c>
    </row>
    <row r="691" spans="1:89">
      <c r="A691" t="s">
        <v>2089</v>
      </c>
      <c r="B691" t="s">
        <v>374</v>
      </c>
      <c r="C691" t="s">
        <v>2090</v>
      </c>
      <c r="D691" t="s">
        <v>3122</v>
      </c>
      <c r="E691" t="s">
        <v>3123</v>
      </c>
      <c r="F691" s="13">
        <v>44609.476782407408</v>
      </c>
      <c r="G691" t="s">
        <v>2079</v>
      </c>
      <c r="H691" t="s">
        <v>2080</v>
      </c>
      <c r="I691" s="13">
        <v>44643.403483796297</v>
      </c>
      <c r="K691" t="s">
        <v>379</v>
      </c>
      <c r="M691" s="13">
        <v>44651</v>
      </c>
      <c r="R691">
        <v>100</v>
      </c>
      <c r="S691" t="s">
        <v>380</v>
      </c>
      <c r="T691" t="s">
        <v>57</v>
      </c>
      <c r="V691" t="s">
        <v>381</v>
      </c>
      <c r="W691" t="s">
        <v>3124</v>
      </c>
      <c r="X691" t="s">
        <v>3124</v>
      </c>
      <c r="AC691" s="13">
        <v>44651</v>
      </c>
      <c r="AD691" s="13">
        <v>44651</v>
      </c>
      <c r="AF691" t="s">
        <v>382</v>
      </c>
      <c r="AG691" t="s">
        <v>3125</v>
      </c>
      <c r="AI691">
        <v>8</v>
      </c>
      <c r="AL691" t="s">
        <v>3126</v>
      </c>
      <c r="AN691" t="s">
        <v>31</v>
      </c>
      <c r="AO691">
        <v>0</v>
      </c>
      <c r="AS691" t="s">
        <v>385</v>
      </c>
      <c r="AX691" t="s">
        <v>57</v>
      </c>
      <c r="AY691" t="s">
        <v>442</v>
      </c>
      <c r="AZ691" t="s">
        <v>3127</v>
      </c>
      <c r="BE691" t="s">
        <v>1364</v>
      </c>
      <c r="BF691">
        <v>0</v>
      </c>
      <c r="BK691" t="s">
        <v>31</v>
      </c>
      <c r="BS691" t="s">
        <v>379</v>
      </c>
      <c r="BT691" t="s">
        <v>379</v>
      </c>
      <c r="CI691" t="s">
        <v>388</v>
      </c>
      <c r="CJ691" s="14">
        <v>45013</v>
      </c>
      <c r="CK691">
        <v>1</v>
      </c>
    </row>
    <row r="692" spans="1:89">
      <c r="A692" t="s">
        <v>2146</v>
      </c>
      <c r="B692" t="s">
        <v>374</v>
      </c>
      <c r="C692" t="s">
        <v>698</v>
      </c>
      <c r="D692" t="s">
        <v>3128</v>
      </c>
      <c r="E692" t="s">
        <v>3129</v>
      </c>
      <c r="F692" s="13">
        <v>44609.451342592591</v>
      </c>
      <c r="G692" t="s">
        <v>2149</v>
      </c>
      <c r="H692" t="s">
        <v>2150</v>
      </c>
      <c r="I692" s="13">
        <v>45012.043842592589</v>
      </c>
      <c r="K692" t="s">
        <v>415</v>
      </c>
      <c r="M692" s="13">
        <v>44749</v>
      </c>
      <c r="R692">
        <v>0</v>
      </c>
      <c r="S692" t="s">
        <v>380</v>
      </c>
      <c r="T692" t="s">
        <v>57</v>
      </c>
      <c r="V692" t="s">
        <v>478</v>
      </c>
      <c r="W692" t="s">
        <v>3130</v>
      </c>
      <c r="X692" t="s">
        <v>3130</v>
      </c>
      <c r="AC692" s="13">
        <v>44749</v>
      </c>
      <c r="AD692" s="13">
        <v>44200</v>
      </c>
      <c r="AF692" t="s">
        <v>451</v>
      </c>
      <c r="AI692">
        <v>-263</v>
      </c>
      <c r="AL692" t="s">
        <v>3131</v>
      </c>
      <c r="AN692" t="s">
        <v>31</v>
      </c>
      <c r="AO692">
        <v>0</v>
      </c>
      <c r="AS692" t="s">
        <v>526</v>
      </c>
      <c r="AX692" t="s">
        <v>31</v>
      </c>
      <c r="AY692" t="s">
        <v>442</v>
      </c>
      <c r="AZ692" t="s">
        <v>3132</v>
      </c>
      <c r="BE692" t="s">
        <v>3133</v>
      </c>
      <c r="BF692">
        <v>0</v>
      </c>
      <c r="BK692" t="s">
        <v>31</v>
      </c>
      <c r="BS692" t="s">
        <v>419</v>
      </c>
      <c r="BT692" t="s">
        <v>419</v>
      </c>
      <c r="CI692" t="s">
        <v>388</v>
      </c>
      <c r="CJ692" s="14">
        <v>45013</v>
      </c>
      <c r="CK692">
        <v>1</v>
      </c>
    </row>
    <row r="693" spans="1:89">
      <c r="A693" t="s">
        <v>2146</v>
      </c>
      <c r="B693" t="s">
        <v>374</v>
      </c>
      <c r="C693" t="s">
        <v>698</v>
      </c>
      <c r="D693" t="s">
        <v>3134</v>
      </c>
      <c r="E693" t="s">
        <v>3135</v>
      </c>
      <c r="F693" s="13">
        <v>44609.450162037036</v>
      </c>
      <c r="G693" t="s">
        <v>2149</v>
      </c>
      <c r="H693" t="s">
        <v>2150</v>
      </c>
      <c r="I693" s="13">
        <v>45012.04383101852</v>
      </c>
      <c r="K693" t="s">
        <v>415</v>
      </c>
      <c r="M693" s="13">
        <v>44658</v>
      </c>
      <c r="R693">
        <v>0</v>
      </c>
      <c r="S693" t="s">
        <v>380</v>
      </c>
      <c r="T693" t="s">
        <v>57</v>
      </c>
      <c r="V693" t="s">
        <v>478</v>
      </c>
      <c r="W693" t="s">
        <v>3130</v>
      </c>
      <c r="X693" t="s">
        <v>3130</v>
      </c>
      <c r="AF693" t="s">
        <v>451</v>
      </c>
      <c r="AI693">
        <v>-354</v>
      </c>
      <c r="AL693" t="s">
        <v>3131</v>
      </c>
      <c r="AN693" t="s">
        <v>31</v>
      </c>
      <c r="AO693">
        <v>0</v>
      </c>
      <c r="AS693" t="s">
        <v>392</v>
      </c>
      <c r="AX693" t="s">
        <v>31</v>
      </c>
      <c r="AY693" t="s">
        <v>442</v>
      </c>
      <c r="AZ693" t="s">
        <v>3136</v>
      </c>
      <c r="BE693" t="s">
        <v>3133</v>
      </c>
      <c r="BF693">
        <v>0</v>
      </c>
      <c r="BK693" t="s">
        <v>31</v>
      </c>
      <c r="BS693" t="s">
        <v>419</v>
      </c>
      <c r="BT693" t="s">
        <v>419</v>
      </c>
      <c r="CI693" t="s">
        <v>388</v>
      </c>
      <c r="CJ693" s="14">
        <v>45013</v>
      </c>
      <c r="CK693">
        <v>1</v>
      </c>
    </row>
    <row r="694" spans="1:89">
      <c r="A694" t="s">
        <v>2146</v>
      </c>
      <c r="B694" t="s">
        <v>374</v>
      </c>
      <c r="C694" t="s">
        <v>698</v>
      </c>
      <c r="D694" t="s">
        <v>3137</v>
      </c>
      <c r="E694" t="s">
        <v>3138</v>
      </c>
      <c r="F694" s="13">
        <v>44609.446956018517</v>
      </c>
      <c r="G694" t="s">
        <v>2149</v>
      </c>
      <c r="H694" t="s">
        <v>2150</v>
      </c>
      <c r="I694" s="13">
        <v>45012.04383101852</v>
      </c>
      <c r="K694" t="s">
        <v>415</v>
      </c>
      <c r="M694" s="13">
        <v>44625</v>
      </c>
      <c r="R694">
        <v>0</v>
      </c>
      <c r="S694" t="s">
        <v>380</v>
      </c>
      <c r="T694" t="s">
        <v>57</v>
      </c>
      <c r="V694" t="s">
        <v>478</v>
      </c>
      <c r="W694" t="s">
        <v>3130</v>
      </c>
      <c r="X694" t="s">
        <v>3130</v>
      </c>
      <c r="AC694" s="13">
        <v>44749</v>
      </c>
      <c r="AD694" s="13">
        <v>44200</v>
      </c>
      <c r="AF694" t="s">
        <v>451</v>
      </c>
      <c r="AI694">
        <v>-387</v>
      </c>
      <c r="AL694" t="s">
        <v>3131</v>
      </c>
      <c r="AN694" t="s">
        <v>31</v>
      </c>
      <c r="AO694">
        <v>0</v>
      </c>
      <c r="AS694" t="s">
        <v>522</v>
      </c>
      <c r="AX694" t="s">
        <v>31</v>
      </c>
      <c r="AY694" t="s">
        <v>442</v>
      </c>
      <c r="AZ694" t="s">
        <v>3139</v>
      </c>
      <c r="BE694" t="s">
        <v>3133</v>
      </c>
      <c r="BF694">
        <v>0</v>
      </c>
      <c r="BK694" t="s">
        <v>31</v>
      </c>
      <c r="BS694" t="s">
        <v>419</v>
      </c>
      <c r="BT694" t="s">
        <v>419</v>
      </c>
      <c r="CI694" t="s">
        <v>388</v>
      </c>
      <c r="CJ694" s="14">
        <v>45013</v>
      </c>
      <c r="CK694">
        <v>1</v>
      </c>
    </row>
    <row r="695" spans="1:89">
      <c r="A695" t="s">
        <v>1579</v>
      </c>
      <c r="B695" t="s">
        <v>374</v>
      </c>
      <c r="C695" t="s">
        <v>1580</v>
      </c>
      <c r="D695" t="s">
        <v>3140</v>
      </c>
      <c r="E695" t="s">
        <v>3141</v>
      </c>
      <c r="F695" s="13">
        <v>44609.432349537034</v>
      </c>
      <c r="G695" t="s">
        <v>1583</v>
      </c>
      <c r="H695" t="s">
        <v>1584</v>
      </c>
      <c r="I695" s="13">
        <v>45012.04383101852</v>
      </c>
      <c r="K695" t="s">
        <v>415</v>
      </c>
      <c r="M695" s="13">
        <v>44712</v>
      </c>
      <c r="R695">
        <v>0</v>
      </c>
      <c r="S695" t="s">
        <v>380</v>
      </c>
      <c r="T695" t="s">
        <v>57</v>
      </c>
      <c r="V695" t="s">
        <v>478</v>
      </c>
      <c r="W695" t="s">
        <v>3142</v>
      </c>
      <c r="X695" t="s">
        <v>3142</v>
      </c>
      <c r="AF695" t="s">
        <v>451</v>
      </c>
      <c r="AI695">
        <v>-300</v>
      </c>
      <c r="AL695" t="s">
        <v>3143</v>
      </c>
      <c r="AN695" t="s">
        <v>31</v>
      </c>
      <c r="AO695">
        <v>0</v>
      </c>
      <c r="AS695" t="s">
        <v>526</v>
      </c>
      <c r="AX695" t="s">
        <v>31</v>
      </c>
      <c r="AY695" t="s">
        <v>442</v>
      </c>
      <c r="AZ695" t="s">
        <v>3144</v>
      </c>
      <c r="BF695">
        <v>0</v>
      </c>
      <c r="BK695" t="s">
        <v>31</v>
      </c>
      <c r="BS695" t="s">
        <v>419</v>
      </c>
      <c r="BT695" t="s">
        <v>419</v>
      </c>
      <c r="CI695" t="s">
        <v>388</v>
      </c>
      <c r="CJ695" s="14">
        <v>45013</v>
      </c>
      <c r="CK695">
        <v>1</v>
      </c>
    </row>
    <row r="696" spans="1:89">
      <c r="A696" t="s">
        <v>1579</v>
      </c>
      <c r="B696" t="s">
        <v>374</v>
      </c>
      <c r="C696" t="s">
        <v>1580</v>
      </c>
      <c r="D696" t="s">
        <v>3145</v>
      </c>
      <c r="E696" t="s">
        <v>3146</v>
      </c>
      <c r="F696" s="13">
        <v>44609.410092592596</v>
      </c>
      <c r="G696" t="s">
        <v>1583</v>
      </c>
      <c r="H696" t="s">
        <v>1584</v>
      </c>
      <c r="I696" s="13">
        <v>45012.04383101852</v>
      </c>
      <c r="K696" t="s">
        <v>415</v>
      </c>
      <c r="M696" s="13">
        <v>44712</v>
      </c>
      <c r="R696">
        <v>0</v>
      </c>
      <c r="S696" t="s">
        <v>380</v>
      </c>
      <c r="T696" t="s">
        <v>57</v>
      </c>
      <c r="V696" t="s">
        <v>478</v>
      </c>
      <c r="W696" t="s">
        <v>3142</v>
      </c>
      <c r="X696" t="s">
        <v>3142</v>
      </c>
      <c r="AF696" t="s">
        <v>451</v>
      </c>
      <c r="AI696">
        <v>-300</v>
      </c>
      <c r="AL696" t="s">
        <v>3147</v>
      </c>
      <c r="AN696" t="s">
        <v>31</v>
      </c>
      <c r="AO696">
        <v>0</v>
      </c>
      <c r="AS696" t="s">
        <v>526</v>
      </c>
      <c r="AX696" t="s">
        <v>31</v>
      </c>
      <c r="AY696" t="s">
        <v>442</v>
      </c>
      <c r="AZ696" t="s">
        <v>3148</v>
      </c>
      <c r="BF696">
        <v>0</v>
      </c>
      <c r="BK696" t="s">
        <v>31</v>
      </c>
      <c r="BS696" t="s">
        <v>419</v>
      </c>
      <c r="BT696" t="s">
        <v>419</v>
      </c>
      <c r="CI696" t="s">
        <v>388</v>
      </c>
      <c r="CJ696" s="14">
        <v>45013</v>
      </c>
      <c r="CK696">
        <v>1</v>
      </c>
    </row>
    <row r="697" spans="1:89">
      <c r="A697" t="s">
        <v>1579</v>
      </c>
      <c r="B697" t="s">
        <v>374</v>
      </c>
      <c r="C697" t="s">
        <v>1580</v>
      </c>
      <c r="D697" t="s">
        <v>3149</v>
      </c>
      <c r="E697" t="s">
        <v>3150</v>
      </c>
      <c r="F697" s="13">
        <v>44609.380231481482</v>
      </c>
      <c r="G697" t="s">
        <v>1583</v>
      </c>
      <c r="H697" t="s">
        <v>1584</v>
      </c>
      <c r="I697" s="13">
        <v>45012.043819444443</v>
      </c>
      <c r="K697" t="s">
        <v>415</v>
      </c>
      <c r="M697" s="13">
        <v>44712</v>
      </c>
      <c r="R697">
        <v>0</v>
      </c>
      <c r="S697" t="s">
        <v>380</v>
      </c>
      <c r="T697" t="s">
        <v>57</v>
      </c>
      <c r="V697" t="s">
        <v>478</v>
      </c>
      <c r="W697" t="s">
        <v>3142</v>
      </c>
      <c r="X697" t="s">
        <v>3142</v>
      </c>
      <c r="AF697" t="s">
        <v>451</v>
      </c>
      <c r="AI697">
        <v>-300</v>
      </c>
      <c r="AL697" t="s">
        <v>3151</v>
      </c>
      <c r="AN697" t="s">
        <v>31</v>
      </c>
      <c r="AO697">
        <v>0</v>
      </c>
      <c r="AS697" t="s">
        <v>526</v>
      </c>
      <c r="AX697" t="s">
        <v>31</v>
      </c>
      <c r="AY697" t="s">
        <v>442</v>
      </c>
      <c r="AZ697" t="s">
        <v>3152</v>
      </c>
      <c r="BF697">
        <v>0</v>
      </c>
      <c r="BK697" t="s">
        <v>31</v>
      </c>
      <c r="BS697" t="s">
        <v>419</v>
      </c>
      <c r="BT697" t="s">
        <v>419</v>
      </c>
      <c r="CI697" t="s">
        <v>388</v>
      </c>
      <c r="CJ697" s="14">
        <v>45013</v>
      </c>
      <c r="CK697">
        <v>1</v>
      </c>
    </row>
    <row r="698" spans="1:89">
      <c r="A698" t="s">
        <v>2368</v>
      </c>
      <c r="B698" t="s">
        <v>374</v>
      </c>
      <c r="C698" t="s">
        <v>2369</v>
      </c>
      <c r="D698" t="s">
        <v>3153</v>
      </c>
      <c r="E698" t="s">
        <v>3154</v>
      </c>
      <c r="F698" s="13">
        <v>44607.621689814812</v>
      </c>
      <c r="G698" t="s">
        <v>3155</v>
      </c>
      <c r="H698" t="s">
        <v>3156</v>
      </c>
      <c r="I698" s="13">
        <v>45012.043819444443</v>
      </c>
      <c r="K698" t="s">
        <v>415</v>
      </c>
      <c r="M698" s="13">
        <v>44712</v>
      </c>
      <c r="R698">
        <v>70</v>
      </c>
      <c r="S698" t="s">
        <v>380</v>
      </c>
      <c r="T698" t="s">
        <v>57</v>
      </c>
      <c r="V698" t="s">
        <v>478</v>
      </c>
      <c r="W698" t="s">
        <v>2374</v>
      </c>
      <c r="X698" t="s">
        <v>2374</v>
      </c>
      <c r="AF698" t="s">
        <v>451</v>
      </c>
      <c r="AG698" t="s">
        <v>3157</v>
      </c>
      <c r="AI698">
        <v>-300</v>
      </c>
      <c r="AL698" t="s">
        <v>3158</v>
      </c>
      <c r="AN698" t="s">
        <v>31</v>
      </c>
      <c r="AO698">
        <v>0</v>
      </c>
      <c r="AS698" t="s">
        <v>385</v>
      </c>
      <c r="AX698" t="s">
        <v>31</v>
      </c>
      <c r="AY698" t="s">
        <v>442</v>
      </c>
      <c r="AZ698" t="s">
        <v>3159</v>
      </c>
      <c r="BF698">
        <v>0</v>
      </c>
      <c r="BK698" t="s">
        <v>31</v>
      </c>
      <c r="BS698" t="s">
        <v>419</v>
      </c>
      <c r="BT698" t="s">
        <v>419</v>
      </c>
      <c r="CI698" t="s">
        <v>388</v>
      </c>
      <c r="CJ698" s="14">
        <v>45013</v>
      </c>
      <c r="CK698">
        <v>1</v>
      </c>
    </row>
    <row r="699" spans="1:89">
      <c r="A699" t="s">
        <v>3160</v>
      </c>
      <c r="B699" t="s">
        <v>374</v>
      </c>
      <c r="C699" t="s">
        <v>3161</v>
      </c>
      <c r="D699" t="s">
        <v>3162</v>
      </c>
      <c r="E699" t="s">
        <v>3163</v>
      </c>
      <c r="F699" s="13">
        <v>44607.621504629627</v>
      </c>
      <c r="G699" t="s">
        <v>2985</v>
      </c>
      <c r="H699" t="s">
        <v>2986</v>
      </c>
      <c r="I699" s="13">
        <v>45012.043819444443</v>
      </c>
      <c r="K699" t="s">
        <v>415</v>
      </c>
      <c r="M699" s="13">
        <v>44659</v>
      </c>
      <c r="R699">
        <v>100</v>
      </c>
      <c r="S699" t="s">
        <v>380</v>
      </c>
      <c r="T699" t="s">
        <v>57</v>
      </c>
      <c r="V699" t="s">
        <v>478</v>
      </c>
      <c r="W699" t="s">
        <v>3164</v>
      </c>
      <c r="X699" t="s">
        <v>3164</v>
      </c>
      <c r="AB699" t="s">
        <v>31</v>
      </c>
      <c r="AF699" t="s">
        <v>382</v>
      </c>
      <c r="AG699" t="s">
        <v>3165</v>
      </c>
      <c r="AI699">
        <v>-353</v>
      </c>
      <c r="AL699" t="s">
        <v>3166</v>
      </c>
      <c r="AN699" t="s">
        <v>57</v>
      </c>
      <c r="AO699">
        <v>0</v>
      </c>
      <c r="AS699" t="s">
        <v>702</v>
      </c>
      <c r="AX699" t="s">
        <v>57</v>
      </c>
      <c r="AY699" t="s">
        <v>442</v>
      </c>
      <c r="AZ699" t="s">
        <v>3167</v>
      </c>
      <c r="BC699" t="s">
        <v>480</v>
      </c>
      <c r="BD699" t="s">
        <v>3168</v>
      </c>
      <c r="BF699">
        <v>0</v>
      </c>
      <c r="BK699" t="s">
        <v>31</v>
      </c>
      <c r="BS699" t="s">
        <v>2940</v>
      </c>
      <c r="BT699" t="s">
        <v>2941</v>
      </c>
      <c r="CI699" t="s">
        <v>388</v>
      </c>
      <c r="CJ699" s="14">
        <v>45013</v>
      </c>
      <c r="CK699">
        <v>1</v>
      </c>
    </row>
    <row r="700" spans="1:89">
      <c r="A700" t="s">
        <v>3160</v>
      </c>
      <c r="B700" t="s">
        <v>374</v>
      </c>
      <c r="C700" t="s">
        <v>3161</v>
      </c>
      <c r="D700" t="s">
        <v>3169</v>
      </c>
      <c r="E700" t="s">
        <v>3170</v>
      </c>
      <c r="F700" s="13">
        <v>44607.620069444441</v>
      </c>
      <c r="G700" t="s">
        <v>2985</v>
      </c>
      <c r="H700" t="s">
        <v>2986</v>
      </c>
      <c r="I700" s="13">
        <v>45012.043807870374</v>
      </c>
      <c r="K700" t="s">
        <v>415</v>
      </c>
      <c r="M700" s="13">
        <v>44628</v>
      </c>
      <c r="R700">
        <v>100</v>
      </c>
      <c r="S700" t="s">
        <v>380</v>
      </c>
      <c r="T700" t="s">
        <v>57</v>
      </c>
      <c r="V700" t="s">
        <v>478</v>
      </c>
      <c r="W700" t="s">
        <v>2993</v>
      </c>
      <c r="X700" t="s">
        <v>2993</v>
      </c>
      <c r="AB700" t="s">
        <v>31</v>
      </c>
      <c r="AF700" t="s">
        <v>382</v>
      </c>
      <c r="AG700" t="s">
        <v>3171</v>
      </c>
      <c r="AI700">
        <v>-384</v>
      </c>
      <c r="AJ700" s="13">
        <v>44631</v>
      </c>
      <c r="AL700" t="s">
        <v>3166</v>
      </c>
      <c r="AN700" t="s">
        <v>57</v>
      </c>
      <c r="AO700">
        <v>0</v>
      </c>
      <c r="AR700" t="s">
        <v>3172</v>
      </c>
      <c r="AS700" t="s">
        <v>702</v>
      </c>
      <c r="AX700" t="s">
        <v>57</v>
      </c>
      <c r="AY700" t="s">
        <v>442</v>
      </c>
      <c r="AZ700" t="s">
        <v>3173</v>
      </c>
      <c r="BC700" t="s">
        <v>480</v>
      </c>
      <c r="BD700" t="s">
        <v>3174</v>
      </c>
      <c r="BF700">
        <v>0</v>
      </c>
      <c r="BK700" t="s">
        <v>31</v>
      </c>
      <c r="BS700" t="s">
        <v>2940</v>
      </c>
      <c r="BT700" t="s">
        <v>2941</v>
      </c>
      <c r="CI700" t="s">
        <v>388</v>
      </c>
      <c r="CJ700" s="14">
        <v>45013</v>
      </c>
      <c r="CK700">
        <v>1</v>
      </c>
    </row>
    <row r="701" spans="1:89">
      <c r="A701" t="s">
        <v>3160</v>
      </c>
      <c r="B701" t="s">
        <v>374</v>
      </c>
      <c r="C701" t="s">
        <v>3161</v>
      </c>
      <c r="D701" t="s">
        <v>3175</v>
      </c>
      <c r="E701" t="s">
        <v>3176</v>
      </c>
      <c r="F701" s="13">
        <v>44607.618622685186</v>
      </c>
      <c r="G701" t="s">
        <v>2985</v>
      </c>
      <c r="H701" t="s">
        <v>2986</v>
      </c>
      <c r="I701" s="13">
        <v>45012.043807870374</v>
      </c>
      <c r="K701" t="s">
        <v>415</v>
      </c>
      <c r="M701" s="13">
        <v>44624</v>
      </c>
      <c r="R701">
        <v>100</v>
      </c>
      <c r="S701" t="s">
        <v>380</v>
      </c>
      <c r="T701" t="s">
        <v>57</v>
      </c>
      <c r="V701" t="s">
        <v>478</v>
      </c>
      <c r="W701" t="s">
        <v>3164</v>
      </c>
      <c r="X701" t="s">
        <v>3164</v>
      </c>
      <c r="AB701" t="s">
        <v>31</v>
      </c>
      <c r="AF701" t="s">
        <v>382</v>
      </c>
      <c r="AG701" t="s">
        <v>3177</v>
      </c>
      <c r="AI701">
        <v>-388</v>
      </c>
      <c r="AL701" t="s">
        <v>3166</v>
      </c>
      <c r="AN701" t="s">
        <v>57</v>
      </c>
      <c r="AO701">
        <v>0</v>
      </c>
      <c r="AS701" t="s">
        <v>702</v>
      </c>
      <c r="AX701" t="s">
        <v>57</v>
      </c>
      <c r="AY701" t="s">
        <v>442</v>
      </c>
      <c r="AZ701" t="s">
        <v>438</v>
      </c>
      <c r="BC701" t="s">
        <v>480</v>
      </c>
      <c r="BD701" t="s">
        <v>3178</v>
      </c>
      <c r="BF701">
        <v>0</v>
      </c>
      <c r="BK701" t="s">
        <v>31</v>
      </c>
      <c r="BS701" t="s">
        <v>2940</v>
      </c>
      <c r="BT701" t="s">
        <v>2941</v>
      </c>
      <c r="CI701" t="s">
        <v>388</v>
      </c>
      <c r="CJ701" s="14">
        <v>45013</v>
      </c>
      <c r="CK701">
        <v>1</v>
      </c>
    </row>
    <row r="702" spans="1:89">
      <c r="A702" t="s">
        <v>3160</v>
      </c>
      <c r="B702" t="s">
        <v>374</v>
      </c>
      <c r="C702" t="s">
        <v>3161</v>
      </c>
      <c r="D702" t="s">
        <v>3179</v>
      </c>
      <c r="E702" t="s">
        <v>3180</v>
      </c>
      <c r="F702" s="13">
        <v>44607.616979166669</v>
      </c>
      <c r="G702" t="s">
        <v>2985</v>
      </c>
      <c r="H702" t="s">
        <v>2986</v>
      </c>
      <c r="I702" s="13">
        <v>45012.043807870374</v>
      </c>
      <c r="K702" t="s">
        <v>415</v>
      </c>
      <c r="M702" s="13">
        <v>44607</v>
      </c>
      <c r="R702">
        <v>100</v>
      </c>
      <c r="S702" t="s">
        <v>380</v>
      </c>
      <c r="T702" t="s">
        <v>57</v>
      </c>
      <c r="V702" t="s">
        <v>478</v>
      </c>
      <c r="W702" t="s">
        <v>2993</v>
      </c>
      <c r="X702" t="s">
        <v>2993</v>
      </c>
      <c r="AB702" t="s">
        <v>31</v>
      </c>
      <c r="AF702" t="s">
        <v>382</v>
      </c>
      <c r="AG702" t="s">
        <v>3181</v>
      </c>
      <c r="AI702">
        <v>-405</v>
      </c>
      <c r="AJ702" s="13">
        <v>44620</v>
      </c>
      <c r="AL702" t="s">
        <v>3166</v>
      </c>
      <c r="AN702" t="s">
        <v>57</v>
      </c>
      <c r="AO702">
        <v>0</v>
      </c>
      <c r="AR702" t="s">
        <v>3182</v>
      </c>
      <c r="AS702" t="s">
        <v>392</v>
      </c>
      <c r="AX702" t="s">
        <v>57</v>
      </c>
      <c r="AY702" t="s">
        <v>442</v>
      </c>
      <c r="AZ702" t="s">
        <v>3183</v>
      </c>
      <c r="BC702" t="s">
        <v>480</v>
      </c>
      <c r="BD702" t="s">
        <v>3184</v>
      </c>
      <c r="BF702">
        <v>0</v>
      </c>
      <c r="BK702" t="s">
        <v>31</v>
      </c>
      <c r="BS702" t="s">
        <v>2940</v>
      </c>
      <c r="BT702" t="s">
        <v>2941</v>
      </c>
      <c r="CI702" t="s">
        <v>388</v>
      </c>
      <c r="CJ702" s="14">
        <v>45013</v>
      </c>
      <c r="CK702">
        <v>1</v>
      </c>
    </row>
    <row r="703" spans="1:89">
      <c r="A703" t="s">
        <v>3160</v>
      </c>
      <c r="B703" t="s">
        <v>374</v>
      </c>
      <c r="C703" t="s">
        <v>3161</v>
      </c>
      <c r="D703" t="s">
        <v>3185</v>
      </c>
      <c r="E703" t="s">
        <v>3186</v>
      </c>
      <c r="F703" s="13">
        <v>44607.614641203705</v>
      </c>
      <c r="G703" t="s">
        <v>2985</v>
      </c>
      <c r="H703" t="s">
        <v>2986</v>
      </c>
      <c r="I703" s="13">
        <v>45012.043796296297</v>
      </c>
      <c r="K703" t="s">
        <v>415</v>
      </c>
      <c r="M703" s="13">
        <v>44607</v>
      </c>
      <c r="R703">
        <v>100</v>
      </c>
      <c r="S703" t="s">
        <v>380</v>
      </c>
      <c r="T703" t="s">
        <v>57</v>
      </c>
      <c r="V703" t="s">
        <v>478</v>
      </c>
      <c r="W703" t="s">
        <v>2993</v>
      </c>
      <c r="X703" t="s">
        <v>2993</v>
      </c>
      <c r="AB703" t="s">
        <v>31</v>
      </c>
      <c r="AF703" t="s">
        <v>382</v>
      </c>
      <c r="AG703" t="s">
        <v>3187</v>
      </c>
      <c r="AI703">
        <v>-405</v>
      </c>
      <c r="AJ703" s="13">
        <v>44620</v>
      </c>
      <c r="AL703" t="s">
        <v>3166</v>
      </c>
      <c r="AN703" t="s">
        <v>57</v>
      </c>
      <c r="AO703">
        <v>0</v>
      </c>
      <c r="AR703" t="s">
        <v>3188</v>
      </c>
      <c r="AS703" t="s">
        <v>744</v>
      </c>
      <c r="AX703" t="s">
        <v>57</v>
      </c>
      <c r="AY703" t="s">
        <v>442</v>
      </c>
      <c r="AZ703" t="s">
        <v>3189</v>
      </c>
      <c r="BC703" t="s">
        <v>480</v>
      </c>
      <c r="BD703" t="s">
        <v>3190</v>
      </c>
      <c r="BF703">
        <v>0</v>
      </c>
      <c r="BK703" t="s">
        <v>31</v>
      </c>
      <c r="BS703" t="s">
        <v>2940</v>
      </c>
      <c r="BT703" t="s">
        <v>2941</v>
      </c>
      <c r="CI703" t="s">
        <v>388</v>
      </c>
      <c r="CJ703" s="14">
        <v>45013</v>
      </c>
      <c r="CK703">
        <v>1</v>
      </c>
    </row>
    <row r="704" spans="1:89">
      <c r="A704" t="s">
        <v>3191</v>
      </c>
      <c r="B704" t="s">
        <v>374</v>
      </c>
      <c r="C704" t="s">
        <v>3192</v>
      </c>
      <c r="D704" t="s">
        <v>3193</v>
      </c>
      <c r="E704" t="s">
        <v>3194</v>
      </c>
      <c r="F704" s="13">
        <v>44607.581435185188</v>
      </c>
      <c r="G704" t="s">
        <v>1472</v>
      </c>
      <c r="H704" t="s">
        <v>1473</v>
      </c>
      <c r="I704" s="13">
        <v>45012.043796296297</v>
      </c>
      <c r="K704" t="s">
        <v>415</v>
      </c>
      <c r="M704" s="13">
        <v>44755</v>
      </c>
      <c r="R704">
        <v>0</v>
      </c>
      <c r="S704" t="s">
        <v>380</v>
      </c>
      <c r="T704" t="s">
        <v>57</v>
      </c>
      <c r="V704" t="s">
        <v>478</v>
      </c>
      <c r="W704" t="s">
        <v>3195</v>
      </c>
      <c r="X704" t="s">
        <v>3195</v>
      </c>
      <c r="AC704" s="13">
        <v>44418</v>
      </c>
      <c r="AD704" s="13">
        <v>44326</v>
      </c>
      <c r="AF704" t="s">
        <v>451</v>
      </c>
      <c r="AI704">
        <v>-257</v>
      </c>
      <c r="AL704" t="s">
        <v>3196</v>
      </c>
      <c r="AN704" t="s">
        <v>31</v>
      </c>
      <c r="AO704">
        <v>0</v>
      </c>
      <c r="AS704" t="s">
        <v>702</v>
      </c>
      <c r="AX704" t="s">
        <v>31</v>
      </c>
      <c r="AY704" t="s">
        <v>442</v>
      </c>
      <c r="AZ704" t="s">
        <v>3197</v>
      </c>
      <c r="BF704">
        <v>0</v>
      </c>
      <c r="BK704" t="s">
        <v>31</v>
      </c>
      <c r="BS704" t="s">
        <v>419</v>
      </c>
      <c r="BT704" t="s">
        <v>419</v>
      </c>
      <c r="CI704" t="s">
        <v>388</v>
      </c>
      <c r="CJ704" s="14">
        <v>45013</v>
      </c>
      <c r="CK704">
        <v>1</v>
      </c>
    </row>
    <row r="705" spans="1:89">
      <c r="A705" t="s">
        <v>3198</v>
      </c>
      <c r="B705" t="s">
        <v>374</v>
      </c>
      <c r="C705" t="s">
        <v>3199</v>
      </c>
      <c r="D705" t="s">
        <v>3200</v>
      </c>
      <c r="E705" t="s">
        <v>3201</v>
      </c>
      <c r="F705" s="13">
        <v>44607.517060185186</v>
      </c>
      <c r="G705" t="s">
        <v>3202</v>
      </c>
      <c r="H705" t="s">
        <v>3203</v>
      </c>
      <c r="I705" s="13">
        <v>45012.043796296297</v>
      </c>
      <c r="K705" t="s">
        <v>415</v>
      </c>
      <c r="M705" s="13">
        <v>44681</v>
      </c>
      <c r="R705">
        <v>0</v>
      </c>
      <c r="S705" t="s">
        <v>416</v>
      </c>
      <c r="T705" t="s">
        <v>57</v>
      </c>
      <c r="V705" t="s">
        <v>478</v>
      </c>
      <c r="W705" t="s">
        <v>3204</v>
      </c>
      <c r="X705" t="s">
        <v>3204</v>
      </c>
      <c r="AC705" s="13">
        <v>44681</v>
      </c>
      <c r="AD705" s="13">
        <v>44681</v>
      </c>
      <c r="AF705" t="s">
        <v>451</v>
      </c>
      <c r="AI705">
        <v>-331</v>
      </c>
      <c r="AL705" t="s">
        <v>3205</v>
      </c>
      <c r="AN705" t="s">
        <v>31</v>
      </c>
      <c r="AO705">
        <v>0</v>
      </c>
      <c r="AS705" t="s">
        <v>526</v>
      </c>
      <c r="AX705" t="s">
        <v>57</v>
      </c>
      <c r="AY705" t="s">
        <v>386</v>
      </c>
      <c r="AZ705" t="s">
        <v>3206</v>
      </c>
      <c r="BF705">
        <v>0</v>
      </c>
      <c r="BK705" t="s">
        <v>31</v>
      </c>
      <c r="BS705" t="s">
        <v>419</v>
      </c>
      <c r="BT705" t="s">
        <v>419</v>
      </c>
      <c r="CI705" t="s">
        <v>388</v>
      </c>
      <c r="CJ705" s="14">
        <v>45013</v>
      </c>
      <c r="CK705">
        <v>1</v>
      </c>
    </row>
    <row r="706" spans="1:89">
      <c r="A706" t="s">
        <v>3198</v>
      </c>
      <c r="B706" t="s">
        <v>374</v>
      </c>
      <c r="C706" t="s">
        <v>3199</v>
      </c>
      <c r="D706" t="s">
        <v>3207</v>
      </c>
      <c r="E706" t="s">
        <v>3208</v>
      </c>
      <c r="F706" s="13">
        <v>44606.772013888891</v>
      </c>
      <c r="G706" t="s">
        <v>3202</v>
      </c>
      <c r="H706" t="s">
        <v>3203</v>
      </c>
      <c r="I706" s="13">
        <v>45012.04378472222</v>
      </c>
      <c r="K706" t="s">
        <v>415</v>
      </c>
      <c r="M706" s="13">
        <v>44651</v>
      </c>
      <c r="R706">
        <v>0</v>
      </c>
      <c r="S706" t="s">
        <v>380</v>
      </c>
      <c r="T706" t="s">
        <v>57</v>
      </c>
      <c r="V706" t="s">
        <v>478</v>
      </c>
      <c r="W706" t="s">
        <v>3209</v>
      </c>
      <c r="X706" t="s">
        <v>3209</v>
      </c>
      <c r="AC706" s="13">
        <v>44651</v>
      </c>
      <c r="AD706" s="13">
        <v>44651</v>
      </c>
      <c r="AF706" t="s">
        <v>451</v>
      </c>
      <c r="AG706" t="s">
        <v>3210</v>
      </c>
      <c r="AI706">
        <v>-361</v>
      </c>
      <c r="AL706" t="s">
        <v>3211</v>
      </c>
      <c r="AN706" t="s">
        <v>31</v>
      </c>
      <c r="AO706">
        <v>0</v>
      </c>
      <c r="AS706" t="s">
        <v>702</v>
      </c>
      <c r="AX706" t="s">
        <v>57</v>
      </c>
      <c r="AY706" t="s">
        <v>386</v>
      </c>
      <c r="AZ706" t="s">
        <v>3212</v>
      </c>
      <c r="BF706">
        <v>0</v>
      </c>
      <c r="BK706" t="s">
        <v>31</v>
      </c>
      <c r="BS706" t="s">
        <v>419</v>
      </c>
      <c r="BT706" t="s">
        <v>419</v>
      </c>
      <c r="CI706" t="s">
        <v>388</v>
      </c>
      <c r="CJ706" s="14">
        <v>45013</v>
      </c>
      <c r="CK706">
        <v>1</v>
      </c>
    </row>
    <row r="707" spans="1:89">
      <c r="A707" t="s">
        <v>3198</v>
      </c>
      <c r="B707" t="s">
        <v>374</v>
      </c>
      <c r="C707" t="s">
        <v>3199</v>
      </c>
      <c r="D707" t="s">
        <v>3213</v>
      </c>
      <c r="E707" t="s">
        <v>3214</v>
      </c>
      <c r="F707" s="13">
        <v>44606.702233796299</v>
      </c>
      <c r="G707" t="s">
        <v>3202</v>
      </c>
      <c r="H707" t="s">
        <v>3203</v>
      </c>
      <c r="I707" s="13">
        <v>45012.04378472222</v>
      </c>
      <c r="K707" t="s">
        <v>415</v>
      </c>
      <c r="M707" s="13">
        <v>44651</v>
      </c>
      <c r="R707">
        <v>0</v>
      </c>
      <c r="S707" t="s">
        <v>380</v>
      </c>
      <c r="T707" t="s">
        <v>57</v>
      </c>
      <c r="V707" t="s">
        <v>478</v>
      </c>
      <c r="W707" t="s">
        <v>3215</v>
      </c>
      <c r="X707" t="s">
        <v>3215</v>
      </c>
      <c r="AC707" s="13">
        <v>44651</v>
      </c>
      <c r="AD707" s="13">
        <v>44651</v>
      </c>
      <c r="AF707" t="s">
        <v>451</v>
      </c>
      <c r="AG707" t="s">
        <v>3216</v>
      </c>
      <c r="AI707">
        <v>-361</v>
      </c>
      <c r="AL707" t="s">
        <v>3217</v>
      </c>
      <c r="AN707" t="s">
        <v>31</v>
      </c>
      <c r="AO707">
        <v>0</v>
      </c>
      <c r="AS707" t="s">
        <v>538</v>
      </c>
      <c r="AX707" t="s">
        <v>57</v>
      </c>
      <c r="AY707" t="s">
        <v>386</v>
      </c>
      <c r="AZ707" t="s">
        <v>3218</v>
      </c>
      <c r="BF707">
        <v>0</v>
      </c>
      <c r="BK707" t="s">
        <v>31</v>
      </c>
      <c r="BS707" t="s">
        <v>419</v>
      </c>
      <c r="BT707" t="s">
        <v>419</v>
      </c>
      <c r="CI707" t="s">
        <v>388</v>
      </c>
      <c r="CJ707" s="14">
        <v>45013</v>
      </c>
      <c r="CK707">
        <v>1</v>
      </c>
    </row>
    <row r="708" spans="1:89">
      <c r="A708" t="s">
        <v>1579</v>
      </c>
      <c r="B708" t="s">
        <v>374</v>
      </c>
      <c r="C708" t="s">
        <v>1580</v>
      </c>
      <c r="D708" t="s">
        <v>3219</v>
      </c>
      <c r="E708" t="s">
        <v>3220</v>
      </c>
      <c r="F708" s="13">
        <v>44606.692835648151</v>
      </c>
      <c r="G708" t="s">
        <v>1583</v>
      </c>
      <c r="H708" t="s">
        <v>1584</v>
      </c>
      <c r="I708" s="13">
        <v>45012.04378472222</v>
      </c>
      <c r="K708" t="s">
        <v>415</v>
      </c>
      <c r="M708" s="13">
        <v>44712</v>
      </c>
      <c r="R708">
        <v>0</v>
      </c>
      <c r="S708" t="s">
        <v>380</v>
      </c>
      <c r="T708" t="s">
        <v>57</v>
      </c>
      <c r="V708" t="s">
        <v>478</v>
      </c>
      <c r="W708" t="s">
        <v>3142</v>
      </c>
      <c r="X708" t="s">
        <v>3142</v>
      </c>
      <c r="AF708" t="s">
        <v>451</v>
      </c>
      <c r="AI708">
        <v>-300</v>
      </c>
      <c r="AL708" t="s">
        <v>3221</v>
      </c>
      <c r="AN708" t="s">
        <v>31</v>
      </c>
      <c r="AO708">
        <v>0</v>
      </c>
      <c r="AS708" t="s">
        <v>526</v>
      </c>
      <c r="AX708" t="s">
        <v>31</v>
      </c>
      <c r="AY708" t="s">
        <v>442</v>
      </c>
      <c r="AZ708" t="s">
        <v>3222</v>
      </c>
      <c r="BF708">
        <v>0</v>
      </c>
      <c r="BK708" t="s">
        <v>31</v>
      </c>
      <c r="BS708" t="s">
        <v>419</v>
      </c>
      <c r="BT708" t="s">
        <v>419</v>
      </c>
      <c r="CI708" t="s">
        <v>388</v>
      </c>
      <c r="CJ708" s="14">
        <v>45013</v>
      </c>
      <c r="CK708">
        <v>1</v>
      </c>
    </row>
    <row r="709" spans="1:89">
      <c r="A709" t="s">
        <v>3198</v>
      </c>
      <c r="B709" t="s">
        <v>374</v>
      </c>
      <c r="C709" t="s">
        <v>3199</v>
      </c>
      <c r="D709" t="s">
        <v>3223</v>
      </c>
      <c r="E709" t="s">
        <v>3224</v>
      </c>
      <c r="F709" s="13">
        <v>44606.676724537036</v>
      </c>
      <c r="G709" t="s">
        <v>3202</v>
      </c>
      <c r="H709" t="s">
        <v>3203</v>
      </c>
      <c r="I709" s="13">
        <v>45012.04378472222</v>
      </c>
      <c r="K709" t="s">
        <v>415</v>
      </c>
      <c r="M709" s="13">
        <v>44651</v>
      </c>
      <c r="R709">
        <v>50</v>
      </c>
      <c r="S709" t="s">
        <v>380</v>
      </c>
      <c r="T709" t="s">
        <v>57</v>
      </c>
      <c r="V709" t="s">
        <v>478</v>
      </c>
      <c r="W709" t="s">
        <v>3209</v>
      </c>
      <c r="X709" t="s">
        <v>3209</v>
      </c>
      <c r="AC709" s="13">
        <v>44651</v>
      </c>
      <c r="AD709" s="13">
        <v>44651</v>
      </c>
      <c r="AF709" t="s">
        <v>451</v>
      </c>
      <c r="AG709" t="s">
        <v>3225</v>
      </c>
      <c r="AI709">
        <v>-361</v>
      </c>
      <c r="AL709" t="s">
        <v>3226</v>
      </c>
      <c r="AN709" t="s">
        <v>57</v>
      </c>
      <c r="AO709">
        <v>0</v>
      </c>
      <c r="AS709" t="s">
        <v>461</v>
      </c>
      <c r="AX709" t="s">
        <v>57</v>
      </c>
      <c r="AY709" t="s">
        <v>386</v>
      </c>
      <c r="AZ709" t="s">
        <v>3227</v>
      </c>
      <c r="BF709">
        <v>0</v>
      </c>
      <c r="BK709" t="s">
        <v>31</v>
      </c>
      <c r="BS709" t="s">
        <v>419</v>
      </c>
      <c r="BT709" t="s">
        <v>419</v>
      </c>
      <c r="CI709" t="s">
        <v>388</v>
      </c>
      <c r="CJ709" s="14">
        <v>45013</v>
      </c>
      <c r="CK709">
        <v>1</v>
      </c>
    </row>
    <row r="710" spans="1:89">
      <c r="A710" t="s">
        <v>2368</v>
      </c>
      <c r="B710" t="s">
        <v>374</v>
      </c>
      <c r="C710" t="s">
        <v>2369</v>
      </c>
      <c r="D710" t="s">
        <v>3228</v>
      </c>
      <c r="E710" t="s">
        <v>3229</v>
      </c>
      <c r="F710" s="13">
        <v>44606.51221064815</v>
      </c>
      <c r="G710" t="s">
        <v>3155</v>
      </c>
      <c r="H710" t="s">
        <v>3156</v>
      </c>
      <c r="I710" s="13">
        <v>45012.043773148151</v>
      </c>
      <c r="K710" t="s">
        <v>415</v>
      </c>
      <c r="M710" s="13">
        <v>44651</v>
      </c>
      <c r="R710">
        <v>40</v>
      </c>
      <c r="S710" t="s">
        <v>380</v>
      </c>
      <c r="T710" t="s">
        <v>57</v>
      </c>
      <c r="V710" t="s">
        <v>478</v>
      </c>
      <c r="W710" t="s">
        <v>2374</v>
      </c>
      <c r="X710" t="s">
        <v>2374</v>
      </c>
      <c r="AF710" t="s">
        <v>451</v>
      </c>
      <c r="AG710" t="s">
        <v>3230</v>
      </c>
      <c r="AH710" t="s">
        <v>57</v>
      </c>
      <c r="AI710">
        <v>-271</v>
      </c>
      <c r="AL710" t="s">
        <v>3231</v>
      </c>
      <c r="AN710" t="s">
        <v>31</v>
      </c>
      <c r="AO710">
        <v>1</v>
      </c>
      <c r="AS710" t="s">
        <v>730</v>
      </c>
      <c r="AX710" t="s">
        <v>31</v>
      </c>
      <c r="AY710" t="s">
        <v>442</v>
      </c>
      <c r="AZ710" t="s">
        <v>3232</v>
      </c>
      <c r="BF710">
        <v>0</v>
      </c>
      <c r="BK710" t="s">
        <v>31</v>
      </c>
      <c r="BS710" t="s">
        <v>419</v>
      </c>
      <c r="BT710" t="s">
        <v>3233</v>
      </c>
      <c r="CI710" t="s">
        <v>388</v>
      </c>
      <c r="CJ710" s="14">
        <v>45013</v>
      </c>
      <c r="CK710">
        <v>1</v>
      </c>
    </row>
    <row r="711" spans="1:89">
      <c r="A711" t="s">
        <v>3198</v>
      </c>
      <c r="B711" t="s">
        <v>374</v>
      </c>
      <c r="C711" t="s">
        <v>3199</v>
      </c>
      <c r="D711" t="s">
        <v>3234</v>
      </c>
      <c r="E711" t="s">
        <v>3235</v>
      </c>
      <c r="F711" s="13">
        <v>44606.471655092595</v>
      </c>
      <c r="G711" t="s">
        <v>3202</v>
      </c>
      <c r="H711" t="s">
        <v>3203</v>
      </c>
      <c r="I711" s="13">
        <v>45012.043773148151</v>
      </c>
      <c r="K711" t="s">
        <v>415</v>
      </c>
      <c r="M711" s="13">
        <v>44651</v>
      </c>
      <c r="R711">
        <v>50</v>
      </c>
      <c r="S711" t="s">
        <v>380</v>
      </c>
      <c r="T711" t="s">
        <v>57</v>
      </c>
      <c r="V711" t="s">
        <v>478</v>
      </c>
      <c r="W711" t="s">
        <v>3209</v>
      </c>
      <c r="X711" t="s">
        <v>3209</v>
      </c>
      <c r="AC711" s="13">
        <v>44651</v>
      </c>
      <c r="AD711" s="13">
        <v>44651</v>
      </c>
      <c r="AF711" t="s">
        <v>451</v>
      </c>
      <c r="AG711" t="s">
        <v>3225</v>
      </c>
      <c r="AI711">
        <v>-361</v>
      </c>
      <c r="AL711" t="s">
        <v>3236</v>
      </c>
      <c r="AN711" t="s">
        <v>57</v>
      </c>
      <c r="AO711">
        <v>0</v>
      </c>
      <c r="AS711" t="s">
        <v>461</v>
      </c>
      <c r="AX711" t="s">
        <v>57</v>
      </c>
      <c r="AY711" t="s">
        <v>386</v>
      </c>
      <c r="AZ711" t="s">
        <v>3237</v>
      </c>
      <c r="BF711">
        <v>0</v>
      </c>
      <c r="BK711" t="s">
        <v>31</v>
      </c>
      <c r="BS711" t="s">
        <v>419</v>
      </c>
      <c r="BT711" t="s">
        <v>419</v>
      </c>
      <c r="CI711" t="s">
        <v>388</v>
      </c>
      <c r="CJ711" s="14">
        <v>45013</v>
      </c>
      <c r="CK711">
        <v>1</v>
      </c>
    </row>
    <row r="712" spans="1:89">
      <c r="A712" t="s">
        <v>3198</v>
      </c>
      <c r="B712" t="s">
        <v>374</v>
      </c>
      <c r="C712" t="s">
        <v>3199</v>
      </c>
      <c r="D712" t="s">
        <v>3238</v>
      </c>
      <c r="E712" t="s">
        <v>3239</v>
      </c>
      <c r="F712" s="13">
        <v>44606.396562499998</v>
      </c>
      <c r="G712" t="s">
        <v>3202</v>
      </c>
      <c r="H712" t="s">
        <v>3203</v>
      </c>
      <c r="I712" s="13">
        <v>45012.043773148151</v>
      </c>
      <c r="K712" t="s">
        <v>415</v>
      </c>
      <c r="M712" s="13">
        <v>44651</v>
      </c>
      <c r="R712">
        <v>0</v>
      </c>
      <c r="S712" t="s">
        <v>380</v>
      </c>
      <c r="T712" t="s">
        <v>57</v>
      </c>
      <c r="V712" t="s">
        <v>478</v>
      </c>
      <c r="W712" t="s">
        <v>3209</v>
      </c>
      <c r="X712" t="s">
        <v>3209</v>
      </c>
      <c r="AC712" s="13">
        <v>44651</v>
      </c>
      <c r="AD712" s="13">
        <v>44651</v>
      </c>
      <c r="AF712" t="s">
        <v>451</v>
      </c>
      <c r="AG712" t="s">
        <v>3210</v>
      </c>
      <c r="AI712">
        <v>-361</v>
      </c>
      <c r="AL712" t="s">
        <v>3240</v>
      </c>
      <c r="AN712" t="s">
        <v>57</v>
      </c>
      <c r="AO712">
        <v>0</v>
      </c>
      <c r="AS712" t="s">
        <v>392</v>
      </c>
      <c r="AX712" t="s">
        <v>57</v>
      </c>
      <c r="AY712" t="s">
        <v>386</v>
      </c>
      <c r="AZ712" t="s">
        <v>3241</v>
      </c>
      <c r="BF712">
        <v>0</v>
      </c>
      <c r="BK712" t="s">
        <v>31</v>
      </c>
      <c r="BS712" t="s">
        <v>419</v>
      </c>
      <c r="BT712" t="s">
        <v>419</v>
      </c>
      <c r="CI712" t="s">
        <v>388</v>
      </c>
      <c r="CJ712" s="14">
        <v>45013</v>
      </c>
      <c r="CK712">
        <v>1</v>
      </c>
    </row>
    <row r="713" spans="1:89">
      <c r="A713" t="s">
        <v>3088</v>
      </c>
      <c r="B713" t="s">
        <v>374</v>
      </c>
      <c r="C713" t="s">
        <v>3089</v>
      </c>
      <c r="D713" t="s">
        <v>3242</v>
      </c>
      <c r="E713" t="s">
        <v>3243</v>
      </c>
      <c r="F713" s="13">
        <v>44604.950104166666</v>
      </c>
      <c r="G713" t="s">
        <v>3092</v>
      </c>
      <c r="H713" t="s">
        <v>3093</v>
      </c>
      <c r="I713" s="13">
        <v>44620.642569444448</v>
      </c>
      <c r="K713" t="s">
        <v>409</v>
      </c>
      <c r="R713">
        <v>0</v>
      </c>
      <c r="S713" t="s">
        <v>416</v>
      </c>
      <c r="T713" t="s">
        <v>57</v>
      </c>
      <c r="V713" t="s">
        <v>381</v>
      </c>
      <c r="W713" t="s">
        <v>3244</v>
      </c>
      <c r="X713" t="s">
        <v>3244</v>
      </c>
      <c r="AC713" s="13">
        <v>44834</v>
      </c>
      <c r="AD713" s="13">
        <v>44742</v>
      </c>
      <c r="AI713">
        <v>503</v>
      </c>
      <c r="AL713" t="s">
        <v>3245</v>
      </c>
      <c r="AN713" t="s">
        <v>31</v>
      </c>
      <c r="AO713">
        <v>0</v>
      </c>
      <c r="AS713" t="s">
        <v>392</v>
      </c>
      <c r="AX713" t="s">
        <v>31</v>
      </c>
      <c r="AY713" t="s">
        <v>442</v>
      </c>
      <c r="AZ713" t="s">
        <v>3246</v>
      </c>
      <c r="BF713">
        <v>0</v>
      </c>
      <c r="BK713" t="s">
        <v>31</v>
      </c>
      <c r="BS713" t="s">
        <v>409</v>
      </c>
      <c r="BT713" t="s">
        <v>409</v>
      </c>
      <c r="CI713" t="s">
        <v>388</v>
      </c>
      <c r="CJ713" s="14">
        <v>45013</v>
      </c>
      <c r="CK713">
        <v>1</v>
      </c>
    </row>
    <row r="714" spans="1:89">
      <c r="A714" t="s">
        <v>3088</v>
      </c>
      <c r="B714" t="s">
        <v>374</v>
      </c>
      <c r="C714" t="s">
        <v>3089</v>
      </c>
      <c r="D714" t="s">
        <v>3247</v>
      </c>
      <c r="E714" t="s">
        <v>3248</v>
      </c>
      <c r="F714" s="13">
        <v>44604.892106481479</v>
      </c>
      <c r="G714" t="s">
        <v>3092</v>
      </c>
      <c r="H714" t="s">
        <v>3093</v>
      </c>
      <c r="I714" s="13">
        <v>45012.043773148151</v>
      </c>
      <c r="K714" t="s">
        <v>415</v>
      </c>
      <c r="M714" s="13">
        <v>44651</v>
      </c>
      <c r="R714">
        <v>30</v>
      </c>
      <c r="S714" t="s">
        <v>380</v>
      </c>
      <c r="T714" t="s">
        <v>57</v>
      </c>
      <c r="V714" t="s">
        <v>478</v>
      </c>
      <c r="W714" t="s">
        <v>3249</v>
      </c>
      <c r="X714" t="s">
        <v>3249</v>
      </c>
      <c r="AC714" s="13">
        <v>44651</v>
      </c>
      <c r="AD714" s="13">
        <v>44651</v>
      </c>
      <c r="AF714" t="s">
        <v>451</v>
      </c>
      <c r="AG714" t="s">
        <v>3250</v>
      </c>
      <c r="AI714">
        <v>-361</v>
      </c>
      <c r="AL714" t="s">
        <v>3251</v>
      </c>
      <c r="AN714" t="s">
        <v>31</v>
      </c>
      <c r="AO714">
        <v>0</v>
      </c>
      <c r="AS714" t="s">
        <v>392</v>
      </c>
      <c r="AX714" t="s">
        <v>31</v>
      </c>
      <c r="AY714" t="s">
        <v>386</v>
      </c>
      <c r="AZ714" t="s">
        <v>3252</v>
      </c>
      <c r="BF714">
        <v>0</v>
      </c>
      <c r="BK714" t="s">
        <v>31</v>
      </c>
      <c r="BS714" t="s">
        <v>419</v>
      </c>
      <c r="BT714" t="s">
        <v>419</v>
      </c>
      <c r="CI714" t="s">
        <v>388</v>
      </c>
      <c r="CJ714" s="14">
        <v>45013</v>
      </c>
      <c r="CK714">
        <v>1</v>
      </c>
    </row>
    <row r="715" spans="1:89">
      <c r="A715" t="s">
        <v>3088</v>
      </c>
      <c r="B715" t="s">
        <v>374</v>
      </c>
      <c r="C715" t="s">
        <v>3089</v>
      </c>
      <c r="D715" t="s">
        <v>3253</v>
      </c>
      <c r="E715" t="s">
        <v>3254</v>
      </c>
      <c r="F715" s="13">
        <v>44603.497627314813</v>
      </c>
      <c r="G715" t="s">
        <v>3092</v>
      </c>
      <c r="H715" t="s">
        <v>3093</v>
      </c>
      <c r="I715" s="13">
        <v>45012.043761574074</v>
      </c>
      <c r="K715" t="s">
        <v>415</v>
      </c>
      <c r="M715" s="13">
        <v>44651</v>
      </c>
      <c r="R715">
        <v>0</v>
      </c>
      <c r="S715" t="s">
        <v>380</v>
      </c>
      <c r="T715" t="s">
        <v>57</v>
      </c>
      <c r="V715" t="s">
        <v>478</v>
      </c>
      <c r="W715" t="s">
        <v>3255</v>
      </c>
      <c r="X715" t="s">
        <v>3255</v>
      </c>
      <c r="AF715" t="s">
        <v>451</v>
      </c>
      <c r="AG715" t="s">
        <v>451</v>
      </c>
      <c r="AI715">
        <v>-361</v>
      </c>
      <c r="AL715" t="s">
        <v>3256</v>
      </c>
      <c r="AN715" t="s">
        <v>31</v>
      </c>
      <c r="AO715">
        <v>0</v>
      </c>
      <c r="AS715" t="s">
        <v>392</v>
      </c>
      <c r="AX715" t="s">
        <v>31</v>
      </c>
      <c r="AY715" t="s">
        <v>442</v>
      </c>
      <c r="AZ715" t="s">
        <v>3257</v>
      </c>
      <c r="BF715">
        <v>0</v>
      </c>
      <c r="BK715" t="s">
        <v>31</v>
      </c>
      <c r="BS715" t="s">
        <v>419</v>
      </c>
      <c r="BT715" t="s">
        <v>419</v>
      </c>
      <c r="CI715" t="s">
        <v>388</v>
      </c>
      <c r="CJ715" s="14">
        <v>45013</v>
      </c>
      <c r="CK715">
        <v>1</v>
      </c>
    </row>
    <row r="716" spans="1:89">
      <c r="A716" t="s">
        <v>3258</v>
      </c>
      <c r="B716" t="s">
        <v>374</v>
      </c>
      <c r="C716" t="s">
        <v>3259</v>
      </c>
      <c r="D716" t="s">
        <v>3260</v>
      </c>
      <c r="E716" t="s">
        <v>3261</v>
      </c>
      <c r="F716" s="13">
        <v>44603.412349537037</v>
      </c>
      <c r="G716" t="s">
        <v>3262</v>
      </c>
      <c r="H716" t="s">
        <v>3263</v>
      </c>
      <c r="I716" s="13">
        <v>44603.412986111114</v>
      </c>
      <c r="K716" t="s">
        <v>412</v>
      </c>
      <c r="R716">
        <v>0</v>
      </c>
      <c r="S716" t="s">
        <v>380</v>
      </c>
      <c r="T716" t="s">
        <v>57</v>
      </c>
      <c r="V716" t="s">
        <v>381</v>
      </c>
      <c r="W716" t="s">
        <v>3264</v>
      </c>
      <c r="X716" t="s">
        <v>3264</v>
      </c>
      <c r="AI716">
        <v>17</v>
      </c>
      <c r="AL716" t="s">
        <v>3265</v>
      </c>
      <c r="AN716" t="s">
        <v>31</v>
      </c>
      <c r="AO716">
        <v>0</v>
      </c>
      <c r="AS716" t="s">
        <v>538</v>
      </c>
      <c r="AU716" t="s">
        <v>57</v>
      </c>
      <c r="AX716" t="s">
        <v>31</v>
      </c>
      <c r="AY716" t="s">
        <v>442</v>
      </c>
      <c r="AZ716" t="s">
        <v>3266</v>
      </c>
      <c r="BF716">
        <v>0</v>
      </c>
      <c r="BK716" t="s">
        <v>31</v>
      </c>
      <c r="BS716" t="s">
        <v>412</v>
      </c>
      <c r="BT716" t="s">
        <v>412</v>
      </c>
      <c r="CI716" t="s">
        <v>388</v>
      </c>
      <c r="CJ716" s="14">
        <v>45013</v>
      </c>
      <c r="CK716">
        <v>1</v>
      </c>
    </row>
    <row r="717" spans="1:89">
      <c r="A717" t="s">
        <v>2797</v>
      </c>
      <c r="B717" t="s">
        <v>374</v>
      </c>
      <c r="C717" t="s">
        <v>2798</v>
      </c>
      <c r="D717" t="s">
        <v>3267</v>
      </c>
      <c r="E717" t="s">
        <v>3268</v>
      </c>
      <c r="F717" s="13">
        <v>44602.737974537034</v>
      </c>
      <c r="G717" t="s">
        <v>3269</v>
      </c>
      <c r="H717" t="s">
        <v>3270</v>
      </c>
      <c r="I717" s="13">
        <v>45012.043761574074</v>
      </c>
      <c r="K717" t="s">
        <v>415</v>
      </c>
      <c r="M717" s="13">
        <v>44651</v>
      </c>
      <c r="R717">
        <v>0</v>
      </c>
      <c r="S717" t="s">
        <v>416</v>
      </c>
      <c r="T717" t="s">
        <v>57</v>
      </c>
      <c r="V717" t="s">
        <v>478</v>
      </c>
      <c r="W717" t="s">
        <v>3271</v>
      </c>
      <c r="X717" t="s">
        <v>3271</v>
      </c>
      <c r="Y717" t="s">
        <v>480</v>
      </c>
      <c r="AC717" s="13">
        <v>44561</v>
      </c>
      <c r="AD717" s="13">
        <v>44561</v>
      </c>
      <c r="AF717" t="s">
        <v>451</v>
      </c>
      <c r="AG717" t="s">
        <v>3272</v>
      </c>
      <c r="AI717">
        <v>-361</v>
      </c>
      <c r="AL717" t="s">
        <v>3273</v>
      </c>
      <c r="AN717" t="s">
        <v>31</v>
      </c>
      <c r="AO717">
        <v>0</v>
      </c>
      <c r="AS717" t="s">
        <v>385</v>
      </c>
      <c r="AT717" t="s">
        <v>31</v>
      </c>
      <c r="AX717" t="s">
        <v>31</v>
      </c>
      <c r="AY717" t="s">
        <v>386</v>
      </c>
      <c r="AZ717" t="s">
        <v>3274</v>
      </c>
      <c r="BF717">
        <v>0</v>
      </c>
      <c r="BK717" t="s">
        <v>31</v>
      </c>
      <c r="BS717" t="s">
        <v>484</v>
      </c>
      <c r="BT717" t="s">
        <v>484</v>
      </c>
      <c r="CI717" t="s">
        <v>388</v>
      </c>
      <c r="CJ717" s="14">
        <v>45013</v>
      </c>
      <c r="CK717">
        <v>1</v>
      </c>
    </row>
    <row r="718" spans="1:89">
      <c r="A718" t="s">
        <v>2797</v>
      </c>
      <c r="B718" t="s">
        <v>374</v>
      </c>
      <c r="C718" t="s">
        <v>2798</v>
      </c>
      <c r="D718" t="s">
        <v>3275</v>
      </c>
      <c r="E718" t="s">
        <v>3276</v>
      </c>
      <c r="F718" s="13">
        <v>44602.663553240738</v>
      </c>
      <c r="G718" t="s">
        <v>3269</v>
      </c>
      <c r="H718" t="s">
        <v>3270</v>
      </c>
      <c r="I718" s="13">
        <v>45012.043761574074</v>
      </c>
      <c r="K718" t="s">
        <v>415</v>
      </c>
      <c r="M718" s="13">
        <v>44651</v>
      </c>
      <c r="R718">
        <v>0</v>
      </c>
      <c r="S718" t="s">
        <v>380</v>
      </c>
      <c r="T718" t="s">
        <v>57</v>
      </c>
      <c r="V718" t="s">
        <v>478</v>
      </c>
      <c r="W718" t="s">
        <v>3271</v>
      </c>
      <c r="X718" t="s">
        <v>3271</v>
      </c>
      <c r="AC718" s="13">
        <v>44561</v>
      </c>
      <c r="AD718" s="13">
        <v>44561</v>
      </c>
      <c r="AF718" t="s">
        <v>451</v>
      </c>
      <c r="AI718">
        <v>-361</v>
      </c>
      <c r="AL718" t="s">
        <v>3277</v>
      </c>
      <c r="AN718" t="s">
        <v>31</v>
      </c>
      <c r="AO718">
        <v>0</v>
      </c>
      <c r="AS718" t="s">
        <v>730</v>
      </c>
      <c r="AX718" t="s">
        <v>31</v>
      </c>
      <c r="AY718" t="s">
        <v>386</v>
      </c>
      <c r="AZ718" t="s">
        <v>3278</v>
      </c>
      <c r="BF718">
        <v>0</v>
      </c>
      <c r="BK718" t="s">
        <v>31</v>
      </c>
      <c r="BS718" t="s">
        <v>419</v>
      </c>
      <c r="BT718" t="s">
        <v>419</v>
      </c>
      <c r="CI718" t="s">
        <v>388</v>
      </c>
      <c r="CJ718" s="14">
        <v>45013</v>
      </c>
      <c r="CK718">
        <v>1</v>
      </c>
    </row>
    <row r="719" spans="1:89">
      <c r="A719" t="s">
        <v>2797</v>
      </c>
      <c r="B719" t="s">
        <v>374</v>
      </c>
      <c r="C719" t="s">
        <v>2798</v>
      </c>
      <c r="D719" t="s">
        <v>3279</v>
      </c>
      <c r="E719" t="s">
        <v>3280</v>
      </c>
      <c r="F719" s="13">
        <v>44602.649826388886</v>
      </c>
      <c r="G719" t="s">
        <v>3269</v>
      </c>
      <c r="H719" t="s">
        <v>3270</v>
      </c>
      <c r="I719" s="13">
        <v>45012.043749999997</v>
      </c>
      <c r="K719" t="s">
        <v>415</v>
      </c>
      <c r="M719" s="13">
        <v>44651</v>
      </c>
      <c r="R719">
        <v>0</v>
      </c>
      <c r="S719" t="s">
        <v>380</v>
      </c>
      <c r="T719" t="s">
        <v>57</v>
      </c>
      <c r="V719" t="s">
        <v>478</v>
      </c>
      <c r="W719" t="s">
        <v>2828</v>
      </c>
      <c r="X719" t="s">
        <v>2828</v>
      </c>
      <c r="AC719" s="13">
        <v>44561</v>
      </c>
      <c r="AD719" s="13">
        <v>44561</v>
      </c>
      <c r="AF719" t="s">
        <v>451</v>
      </c>
      <c r="AI719">
        <v>-361</v>
      </c>
      <c r="AL719" t="s">
        <v>3281</v>
      </c>
      <c r="AN719" t="s">
        <v>31</v>
      </c>
      <c r="AO719">
        <v>0</v>
      </c>
      <c r="AS719" t="s">
        <v>385</v>
      </c>
      <c r="AX719" t="s">
        <v>31</v>
      </c>
      <c r="AY719" t="s">
        <v>442</v>
      </c>
      <c r="AZ719" t="s">
        <v>3282</v>
      </c>
      <c r="BF719">
        <v>0</v>
      </c>
      <c r="BK719" t="s">
        <v>31</v>
      </c>
      <c r="BS719" t="s">
        <v>419</v>
      </c>
      <c r="BT719" t="s">
        <v>419</v>
      </c>
      <c r="CI719" t="s">
        <v>388</v>
      </c>
      <c r="CJ719" s="14">
        <v>45013</v>
      </c>
      <c r="CK719">
        <v>1</v>
      </c>
    </row>
    <row r="720" spans="1:89">
      <c r="A720" t="s">
        <v>2797</v>
      </c>
      <c r="B720" t="s">
        <v>374</v>
      </c>
      <c r="C720" t="s">
        <v>2798</v>
      </c>
      <c r="D720" t="s">
        <v>3283</v>
      </c>
      <c r="E720" t="s">
        <v>3284</v>
      </c>
      <c r="F720" s="13">
        <v>44602.637650462966</v>
      </c>
      <c r="G720" t="s">
        <v>3269</v>
      </c>
      <c r="H720" t="s">
        <v>3270</v>
      </c>
      <c r="I720" s="13">
        <v>45012.043749999997</v>
      </c>
      <c r="K720" t="s">
        <v>415</v>
      </c>
      <c r="M720" s="13">
        <v>44651</v>
      </c>
      <c r="R720">
        <v>0</v>
      </c>
      <c r="S720" t="s">
        <v>380</v>
      </c>
      <c r="T720" t="s">
        <v>57</v>
      </c>
      <c r="V720" t="s">
        <v>478</v>
      </c>
      <c r="W720" t="s">
        <v>2828</v>
      </c>
      <c r="X720" t="s">
        <v>2828</v>
      </c>
      <c r="AC720" s="13">
        <v>44561</v>
      </c>
      <c r="AD720" s="13">
        <v>44561</v>
      </c>
      <c r="AF720" t="s">
        <v>451</v>
      </c>
      <c r="AI720">
        <v>-361</v>
      </c>
      <c r="AL720" t="s">
        <v>3285</v>
      </c>
      <c r="AN720" t="s">
        <v>31</v>
      </c>
      <c r="AO720">
        <v>0</v>
      </c>
      <c r="AS720" t="s">
        <v>730</v>
      </c>
      <c r="AX720" t="s">
        <v>31</v>
      </c>
      <c r="AY720" t="s">
        <v>386</v>
      </c>
      <c r="AZ720" t="s">
        <v>3286</v>
      </c>
      <c r="BF720">
        <v>0</v>
      </c>
      <c r="BK720" t="s">
        <v>31</v>
      </c>
      <c r="BS720" t="s">
        <v>419</v>
      </c>
      <c r="BT720" t="s">
        <v>419</v>
      </c>
      <c r="CI720" t="s">
        <v>388</v>
      </c>
      <c r="CJ720" s="14">
        <v>45013</v>
      </c>
      <c r="CK720">
        <v>1</v>
      </c>
    </row>
    <row r="721" spans="1:89">
      <c r="A721" t="s">
        <v>2797</v>
      </c>
      <c r="B721" t="s">
        <v>374</v>
      </c>
      <c r="C721" t="s">
        <v>2798</v>
      </c>
      <c r="D721" t="s">
        <v>3287</v>
      </c>
      <c r="E721" t="s">
        <v>3288</v>
      </c>
      <c r="F721" s="13">
        <v>44602.590196759258</v>
      </c>
      <c r="G721" t="s">
        <v>3289</v>
      </c>
      <c r="H721" t="s">
        <v>3290</v>
      </c>
      <c r="I721" s="13">
        <v>45012.043749999997</v>
      </c>
      <c r="K721" t="s">
        <v>415</v>
      </c>
      <c r="M721" s="13">
        <v>44651</v>
      </c>
      <c r="R721">
        <v>0</v>
      </c>
      <c r="S721" t="s">
        <v>380</v>
      </c>
      <c r="T721" t="s">
        <v>57</v>
      </c>
      <c r="V721" t="s">
        <v>478</v>
      </c>
      <c r="W721" t="s">
        <v>3271</v>
      </c>
      <c r="X721" t="s">
        <v>3271</v>
      </c>
      <c r="AC721" s="13">
        <v>44561</v>
      </c>
      <c r="AD721" s="13">
        <v>44561</v>
      </c>
      <c r="AF721" t="s">
        <v>451</v>
      </c>
      <c r="AI721">
        <v>-361</v>
      </c>
      <c r="AL721" t="s">
        <v>3291</v>
      </c>
      <c r="AN721" t="s">
        <v>31</v>
      </c>
      <c r="AO721">
        <v>0</v>
      </c>
      <c r="AS721" t="s">
        <v>730</v>
      </c>
      <c r="AX721" t="s">
        <v>31</v>
      </c>
      <c r="AY721" t="s">
        <v>386</v>
      </c>
      <c r="AZ721" t="s">
        <v>3292</v>
      </c>
      <c r="BF721">
        <v>0</v>
      </c>
      <c r="BK721" t="s">
        <v>31</v>
      </c>
      <c r="BS721" t="s">
        <v>419</v>
      </c>
      <c r="BT721" t="s">
        <v>419</v>
      </c>
      <c r="CI721" t="s">
        <v>388</v>
      </c>
      <c r="CJ721" s="14">
        <v>45013</v>
      </c>
      <c r="CK721">
        <v>1</v>
      </c>
    </row>
    <row r="722" spans="1:89">
      <c r="A722" t="s">
        <v>2797</v>
      </c>
      <c r="B722" t="s">
        <v>374</v>
      </c>
      <c r="C722" t="s">
        <v>2798</v>
      </c>
      <c r="D722" t="s">
        <v>3293</v>
      </c>
      <c r="E722" t="s">
        <v>3294</v>
      </c>
      <c r="F722" s="13">
        <v>44602.577986111108</v>
      </c>
      <c r="G722" t="s">
        <v>3289</v>
      </c>
      <c r="H722" t="s">
        <v>3290</v>
      </c>
      <c r="I722" s="13">
        <v>45012.043749999997</v>
      </c>
      <c r="K722" t="s">
        <v>415</v>
      </c>
      <c r="M722" s="13">
        <v>44651</v>
      </c>
      <c r="R722">
        <v>0</v>
      </c>
      <c r="S722" t="s">
        <v>380</v>
      </c>
      <c r="T722" t="s">
        <v>57</v>
      </c>
      <c r="V722" t="s">
        <v>478</v>
      </c>
      <c r="W722" t="s">
        <v>3271</v>
      </c>
      <c r="X722" t="s">
        <v>3271</v>
      </c>
      <c r="AC722" s="13">
        <v>44561</v>
      </c>
      <c r="AD722" s="13">
        <v>44561</v>
      </c>
      <c r="AF722" t="s">
        <v>451</v>
      </c>
      <c r="AI722">
        <v>-361</v>
      </c>
      <c r="AL722" t="s">
        <v>3295</v>
      </c>
      <c r="AN722" t="s">
        <v>31</v>
      </c>
      <c r="AO722">
        <v>0</v>
      </c>
      <c r="AS722" t="s">
        <v>702</v>
      </c>
      <c r="AX722" t="s">
        <v>31</v>
      </c>
      <c r="AY722" t="s">
        <v>386</v>
      </c>
      <c r="AZ722" t="s">
        <v>3296</v>
      </c>
      <c r="BF722">
        <v>0</v>
      </c>
      <c r="BK722" t="s">
        <v>31</v>
      </c>
      <c r="BS722" t="s">
        <v>419</v>
      </c>
      <c r="BT722" t="s">
        <v>419</v>
      </c>
      <c r="CI722" t="s">
        <v>388</v>
      </c>
      <c r="CJ722" s="14">
        <v>45013</v>
      </c>
      <c r="CK722">
        <v>1</v>
      </c>
    </row>
    <row r="723" spans="1:89">
      <c r="A723" t="s">
        <v>2797</v>
      </c>
      <c r="B723" t="s">
        <v>374</v>
      </c>
      <c r="C723" t="s">
        <v>2798</v>
      </c>
      <c r="D723" t="s">
        <v>3297</v>
      </c>
      <c r="E723" t="s">
        <v>3298</v>
      </c>
      <c r="F723" s="13">
        <v>44602.567696759259</v>
      </c>
      <c r="G723" t="s">
        <v>3269</v>
      </c>
      <c r="H723" t="s">
        <v>3270</v>
      </c>
      <c r="I723" s="13">
        <v>44602.740231481483</v>
      </c>
      <c r="K723" t="s">
        <v>409</v>
      </c>
      <c r="R723">
        <v>0</v>
      </c>
      <c r="S723" t="s">
        <v>416</v>
      </c>
      <c r="T723" t="s">
        <v>57</v>
      </c>
      <c r="V723" t="s">
        <v>381</v>
      </c>
      <c r="W723" t="s">
        <v>3271</v>
      </c>
      <c r="X723" t="s">
        <v>3271</v>
      </c>
      <c r="AC723" s="13">
        <v>44561</v>
      </c>
      <c r="AD723" s="13">
        <v>44561</v>
      </c>
      <c r="AI723">
        <v>49</v>
      </c>
      <c r="AL723" t="s">
        <v>3299</v>
      </c>
      <c r="AN723" t="s">
        <v>31</v>
      </c>
      <c r="AO723">
        <v>0</v>
      </c>
      <c r="AS723" t="s">
        <v>730</v>
      </c>
      <c r="AX723" t="s">
        <v>31</v>
      </c>
      <c r="AY723" t="s">
        <v>386</v>
      </c>
      <c r="AZ723" t="s">
        <v>3274</v>
      </c>
      <c r="BF723">
        <v>0</v>
      </c>
      <c r="BK723" t="s">
        <v>31</v>
      </c>
      <c r="BS723" t="s">
        <v>409</v>
      </c>
      <c r="BT723" t="s">
        <v>409</v>
      </c>
      <c r="CI723" t="s">
        <v>388</v>
      </c>
      <c r="CJ723" s="14">
        <v>45013</v>
      </c>
      <c r="CK723">
        <v>1</v>
      </c>
    </row>
    <row r="724" spans="1:89">
      <c r="A724" t="s">
        <v>2797</v>
      </c>
      <c r="B724" t="s">
        <v>374</v>
      </c>
      <c r="C724" t="s">
        <v>2798</v>
      </c>
      <c r="D724" t="s">
        <v>3300</v>
      </c>
      <c r="E724" t="s">
        <v>3301</v>
      </c>
      <c r="F724" s="13">
        <v>44602.562256944446</v>
      </c>
      <c r="G724" t="s">
        <v>3289</v>
      </c>
      <c r="H724" t="s">
        <v>3290</v>
      </c>
      <c r="I724" s="13">
        <v>45012.043738425928</v>
      </c>
      <c r="K724" t="s">
        <v>415</v>
      </c>
      <c r="M724" s="13">
        <v>44651</v>
      </c>
      <c r="R724">
        <v>0</v>
      </c>
      <c r="S724" t="s">
        <v>380</v>
      </c>
      <c r="T724" t="s">
        <v>57</v>
      </c>
      <c r="V724" t="s">
        <v>478</v>
      </c>
      <c r="W724" t="s">
        <v>3271</v>
      </c>
      <c r="X724" t="s">
        <v>3271</v>
      </c>
      <c r="AC724" s="13">
        <v>44561</v>
      </c>
      <c r="AD724" s="13">
        <v>44561</v>
      </c>
      <c r="AF724" t="s">
        <v>451</v>
      </c>
      <c r="AI724">
        <v>-361</v>
      </c>
      <c r="AL724" t="s">
        <v>3302</v>
      </c>
      <c r="AN724" t="s">
        <v>31</v>
      </c>
      <c r="AO724">
        <v>0</v>
      </c>
      <c r="AS724" t="s">
        <v>730</v>
      </c>
      <c r="AX724" t="s">
        <v>31</v>
      </c>
      <c r="AY724" t="s">
        <v>386</v>
      </c>
      <c r="AZ724" t="s">
        <v>3303</v>
      </c>
      <c r="BF724">
        <v>0</v>
      </c>
      <c r="BK724" t="s">
        <v>31</v>
      </c>
      <c r="BS724" t="s">
        <v>419</v>
      </c>
      <c r="BT724" t="s">
        <v>419</v>
      </c>
      <c r="CI724" t="s">
        <v>388</v>
      </c>
      <c r="CJ724" s="14">
        <v>45013</v>
      </c>
      <c r="CK724">
        <v>1</v>
      </c>
    </row>
    <row r="725" spans="1:89">
      <c r="A725" t="s">
        <v>2797</v>
      </c>
      <c r="B725" t="s">
        <v>374</v>
      </c>
      <c r="C725" t="s">
        <v>2798</v>
      </c>
      <c r="D725" t="s">
        <v>3304</v>
      </c>
      <c r="E725" t="s">
        <v>3305</v>
      </c>
      <c r="F725" s="13">
        <v>44602.553194444445</v>
      </c>
      <c r="G725" t="s">
        <v>3269</v>
      </c>
      <c r="H725" t="s">
        <v>3270</v>
      </c>
      <c r="I725" s="13">
        <v>45012.043738425928</v>
      </c>
      <c r="K725" t="s">
        <v>415</v>
      </c>
      <c r="M725" s="13">
        <v>44651</v>
      </c>
      <c r="R725">
        <v>0</v>
      </c>
      <c r="S725" t="s">
        <v>380</v>
      </c>
      <c r="T725" t="s">
        <v>57</v>
      </c>
      <c r="V725" t="s">
        <v>478</v>
      </c>
      <c r="W725" t="s">
        <v>3306</v>
      </c>
      <c r="X725" t="s">
        <v>3306</v>
      </c>
      <c r="AC725" s="13">
        <v>44561</v>
      </c>
      <c r="AD725" s="13">
        <v>44561</v>
      </c>
      <c r="AF725" t="s">
        <v>451</v>
      </c>
      <c r="AI725">
        <v>-361</v>
      </c>
      <c r="AL725" t="s">
        <v>3307</v>
      </c>
      <c r="AN725" t="s">
        <v>31</v>
      </c>
      <c r="AO725">
        <v>0</v>
      </c>
      <c r="AS725" t="s">
        <v>730</v>
      </c>
      <c r="AX725" t="s">
        <v>31</v>
      </c>
      <c r="AY725" t="s">
        <v>386</v>
      </c>
      <c r="AZ725" t="s">
        <v>3308</v>
      </c>
      <c r="BF725">
        <v>0</v>
      </c>
      <c r="BK725" t="s">
        <v>31</v>
      </c>
      <c r="BS725" t="s">
        <v>419</v>
      </c>
      <c r="BT725" t="s">
        <v>419</v>
      </c>
      <c r="CI725" t="s">
        <v>388</v>
      </c>
      <c r="CJ725" s="14">
        <v>45013</v>
      </c>
      <c r="CK725">
        <v>1</v>
      </c>
    </row>
    <row r="726" spans="1:89">
      <c r="A726" t="s">
        <v>2797</v>
      </c>
      <c r="B726" t="s">
        <v>374</v>
      </c>
      <c r="C726" t="s">
        <v>2798</v>
      </c>
      <c r="D726" t="s">
        <v>3309</v>
      </c>
      <c r="E726" t="s">
        <v>3310</v>
      </c>
      <c r="F726" s="13">
        <v>44602.55060185185</v>
      </c>
      <c r="G726" t="s">
        <v>3289</v>
      </c>
      <c r="H726" t="s">
        <v>3290</v>
      </c>
      <c r="I726" s="13">
        <v>45012.043738425928</v>
      </c>
      <c r="K726" t="s">
        <v>415</v>
      </c>
      <c r="M726" s="13">
        <v>44651</v>
      </c>
      <c r="R726">
        <v>0</v>
      </c>
      <c r="S726" t="s">
        <v>380</v>
      </c>
      <c r="T726" t="s">
        <v>57</v>
      </c>
      <c r="V726" t="s">
        <v>478</v>
      </c>
      <c r="W726" t="s">
        <v>3271</v>
      </c>
      <c r="X726" t="s">
        <v>3271</v>
      </c>
      <c r="AC726" s="13">
        <v>44561</v>
      </c>
      <c r="AD726" s="13">
        <v>44561</v>
      </c>
      <c r="AF726" t="s">
        <v>451</v>
      </c>
      <c r="AI726">
        <v>-361</v>
      </c>
      <c r="AL726" t="s">
        <v>3311</v>
      </c>
      <c r="AN726" t="s">
        <v>31</v>
      </c>
      <c r="AO726">
        <v>0</v>
      </c>
      <c r="AS726" t="s">
        <v>702</v>
      </c>
      <c r="AX726" t="s">
        <v>57</v>
      </c>
      <c r="AY726" t="s">
        <v>386</v>
      </c>
      <c r="AZ726" t="s">
        <v>3278</v>
      </c>
      <c r="BF726">
        <v>0</v>
      </c>
      <c r="BK726" t="s">
        <v>31</v>
      </c>
      <c r="BS726" t="s">
        <v>419</v>
      </c>
      <c r="BT726" t="s">
        <v>419</v>
      </c>
      <c r="CI726" t="s">
        <v>388</v>
      </c>
      <c r="CJ726" s="14">
        <v>45013</v>
      </c>
      <c r="CK726">
        <v>1</v>
      </c>
    </row>
    <row r="727" spans="1:89">
      <c r="A727" t="s">
        <v>2797</v>
      </c>
      <c r="B727" t="s">
        <v>374</v>
      </c>
      <c r="C727" t="s">
        <v>2798</v>
      </c>
      <c r="D727" t="s">
        <v>3312</v>
      </c>
      <c r="E727" t="s">
        <v>3313</v>
      </c>
      <c r="F727" s="13">
        <v>44602.534166666665</v>
      </c>
      <c r="G727" t="s">
        <v>3289</v>
      </c>
      <c r="H727" t="s">
        <v>3290</v>
      </c>
      <c r="I727" s="13">
        <v>45012.043738425928</v>
      </c>
      <c r="K727" t="s">
        <v>415</v>
      </c>
      <c r="M727" s="13">
        <v>44651</v>
      </c>
      <c r="R727">
        <v>0</v>
      </c>
      <c r="S727" t="s">
        <v>380</v>
      </c>
      <c r="T727" t="s">
        <v>57</v>
      </c>
      <c r="V727" t="s">
        <v>478</v>
      </c>
      <c r="W727" t="s">
        <v>3271</v>
      </c>
      <c r="X727" t="s">
        <v>3271</v>
      </c>
      <c r="AC727" s="13">
        <v>44561</v>
      </c>
      <c r="AD727" s="13">
        <v>44561</v>
      </c>
      <c r="AF727" t="s">
        <v>451</v>
      </c>
      <c r="AI727">
        <v>-361</v>
      </c>
      <c r="AL727" t="s">
        <v>3314</v>
      </c>
      <c r="AN727" t="s">
        <v>31</v>
      </c>
      <c r="AO727">
        <v>0</v>
      </c>
      <c r="AS727" t="s">
        <v>730</v>
      </c>
      <c r="AX727" t="s">
        <v>31</v>
      </c>
      <c r="AY727" t="s">
        <v>386</v>
      </c>
      <c r="AZ727" t="s">
        <v>3315</v>
      </c>
      <c r="BF727">
        <v>0</v>
      </c>
      <c r="BK727" t="s">
        <v>31</v>
      </c>
      <c r="BS727" t="s">
        <v>419</v>
      </c>
      <c r="BT727" t="s">
        <v>419</v>
      </c>
      <c r="CI727" t="s">
        <v>388</v>
      </c>
      <c r="CJ727" s="14">
        <v>45013</v>
      </c>
      <c r="CK727">
        <v>1</v>
      </c>
    </row>
    <row r="728" spans="1:89">
      <c r="A728" t="s">
        <v>2797</v>
      </c>
      <c r="B728" t="s">
        <v>374</v>
      </c>
      <c r="C728" t="s">
        <v>2798</v>
      </c>
      <c r="D728" t="s">
        <v>3316</v>
      </c>
      <c r="E728" t="s">
        <v>3313</v>
      </c>
      <c r="F728" s="13">
        <v>44602.499560185184</v>
      </c>
      <c r="G728" t="s">
        <v>3289</v>
      </c>
      <c r="H728" t="s">
        <v>3290</v>
      </c>
      <c r="I728" s="13">
        <v>45012.043726851851</v>
      </c>
      <c r="K728" t="s">
        <v>415</v>
      </c>
      <c r="M728" s="13">
        <v>44651</v>
      </c>
      <c r="R728">
        <v>0</v>
      </c>
      <c r="S728" t="s">
        <v>380</v>
      </c>
      <c r="T728" t="s">
        <v>57</v>
      </c>
      <c r="V728" t="s">
        <v>478</v>
      </c>
      <c r="W728" t="s">
        <v>3271</v>
      </c>
      <c r="X728" t="s">
        <v>3271</v>
      </c>
      <c r="AC728" s="13">
        <v>44561</v>
      </c>
      <c r="AD728" s="13">
        <v>44561</v>
      </c>
      <c r="AF728" t="s">
        <v>451</v>
      </c>
      <c r="AI728">
        <v>-361</v>
      </c>
      <c r="AL728" t="s">
        <v>3317</v>
      </c>
      <c r="AN728" t="s">
        <v>31</v>
      </c>
      <c r="AO728">
        <v>0</v>
      </c>
      <c r="AS728" t="s">
        <v>730</v>
      </c>
      <c r="AX728" t="s">
        <v>31</v>
      </c>
      <c r="AY728" t="s">
        <v>386</v>
      </c>
      <c r="AZ728" t="s">
        <v>3318</v>
      </c>
      <c r="BF728">
        <v>0</v>
      </c>
      <c r="BK728" t="s">
        <v>31</v>
      </c>
      <c r="BS728" t="s">
        <v>419</v>
      </c>
      <c r="BT728" t="s">
        <v>419</v>
      </c>
      <c r="CI728" t="s">
        <v>388</v>
      </c>
      <c r="CJ728" s="14">
        <v>45013</v>
      </c>
      <c r="CK728">
        <v>1</v>
      </c>
    </row>
    <row r="729" spans="1:89">
      <c r="A729" t="s">
        <v>2797</v>
      </c>
      <c r="B729" t="s">
        <v>374</v>
      </c>
      <c r="C729" t="s">
        <v>2798</v>
      </c>
      <c r="D729" t="s">
        <v>3319</v>
      </c>
      <c r="E729" t="s">
        <v>3320</v>
      </c>
      <c r="F729" s="13">
        <v>44602.482789351852</v>
      </c>
      <c r="G729" t="s">
        <v>3269</v>
      </c>
      <c r="H729" t="s">
        <v>3270</v>
      </c>
      <c r="I729" s="13">
        <v>45012.043726851851</v>
      </c>
      <c r="K729" t="s">
        <v>415</v>
      </c>
      <c r="M729" s="13">
        <v>44651</v>
      </c>
      <c r="R729">
        <v>0</v>
      </c>
      <c r="S729" t="s">
        <v>380</v>
      </c>
      <c r="T729" t="s">
        <v>57</v>
      </c>
      <c r="V729" t="s">
        <v>478</v>
      </c>
      <c r="W729" t="s">
        <v>3306</v>
      </c>
      <c r="X729" t="s">
        <v>3306</v>
      </c>
      <c r="AC729" s="13">
        <v>44561</v>
      </c>
      <c r="AD729" s="13">
        <v>44561</v>
      </c>
      <c r="AF729" t="s">
        <v>451</v>
      </c>
      <c r="AI729">
        <v>-361</v>
      </c>
      <c r="AL729" t="s">
        <v>3321</v>
      </c>
      <c r="AN729" t="s">
        <v>31</v>
      </c>
      <c r="AO729">
        <v>0</v>
      </c>
      <c r="AS729" t="s">
        <v>730</v>
      </c>
      <c r="AX729" t="s">
        <v>31</v>
      </c>
      <c r="AY729" t="s">
        <v>386</v>
      </c>
      <c r="AZ729" t="s">
        <v>2819</v>
      </c>
      <c r="BF729">
        <v>0</v>
      </c>
      <c r="BK729" t="s">
        <v>31</v>
      </c>
      <c r="BS729" t="s">
        <v>419</v>
      </c>
      <c r="BT729" t="s">
        <v>419</v>
      </c>
      <c r="CI729" t="s">
        <v>388</v>
      </c>
      <c r="CJ729" s="14">
        <v>45013</v>
      </c>
      <c r="CK729">
        <v>1</v>
      </c>
    </row>
    <row r="730" spans="1:89">
      <c r="A730" t="s">
        <v>2797</v>
      </c>
      <c r="B730" t="s">
        <v>374</v>
      </c>
      <c r="C730" t="s">
        <v>2798</v>
      </c>
      <c r="D730" t="s">
        <v>3322</v>
      </c>
      <c r="E730" t="s">
        <v>2812</v>
      </c>
      <c r="F730" s="13">
        <v>44602.404409722221</v>
      </c>
      <c r="G730" t="s">
        <v>2801</v>
      </c>
      <c r="H730" t="s">
        <v>2802</v>
      </c>
      <c r="I730" s="13">
        <v>44617.662986111114</v>
      </c>
      <c r="K730" t="s">
        <v>409</v>
      </c>
      <c r="R730">
        <v>0</v>
      </c>
      <c r="S730" t="s">
        <v>416</v>
      </c>
      <c r="T730" t="s">
        <v>57</v>
      </c>
      <c r="V730" t="s">
        <v>381</v>
      </c>
      <c r="W730" t="s">
        <v>2828</v>
      </c>
      <c r="X730" t="s">
        <v>2828</v>
      </c>
      <c r="AC730" s="13">
        <v>44561</v>
      </c>
      <c r="AD730" s="13">
        <v>44561</v>
      </c>
      <c r="AI730">
        <v>49</v>
      </c>
      <c r="AL730" t="s">
        <v>3323</v>
      </c>
      <c r="AN730" t="s">
        <v>31</v>
      </c>
      <c r="AO730">
        <v>0</v>
      </c>
      <c r="AS730" t="s">
        <v>385</v>
      </c>
      <c r="AX730" t="s">
        <v>31</v>
      </c>
      <c r="AY730" t="s">
        <v>442</v>
      </c>
      <c r="AZ730" t="s">
        <v>2814</v>
      </c>
      <c r="BF730">
        <v>0</v>
      </c>
      <c r="BK730" t="s">
        <v>31</v>
      </c>
      <c r="BS730" t="s">
        <v>409</v>
      </c>
      <c r="BT730" t="s">
        <v>409</v>
      </c>
      <c r="CI730" t="s">
        <v>388</v>
      </c>
      <c r="CJ730" s="14">
        <v>45013</v>
      </c>
      <c r="CK730">
        <v>1</v>
      </c>
    </row>
    <row r="731" spans="1:89">
      <c r="A731" t="s">
        <v>3191</v>
      </c>
      <c r="B731" t="s">
        <v>374</v>
      </c>
      <c r="C731" t="s">
        <v>3192</v>
      </c>
      <c r="D731" t="s">
        <v>3324</v>
      </c>
      <c r="E731" t="s">
        <v>3325</v>
      </c>
      <c r="F731" s="13">
        <v>44602.388935185183</v>
      </c>
      <c r="G731" t="s">
        <v>1472</v>
      </c>
      <c r="H731" t="s">
        <v>1473</v>
      </c>
      <c r="I731" s="13">
        <v>44608.540983796294</v>
      </c>
      <c r="K731" t="s">
        <v>379</v>
      </c>
      <c r="M731" s="13">
        <v>44628</v>
      </c>
      <c r="R731">
        <v>100</v>
      </c>
      <c r="S731" t="s">
        <v>416</v>
      </c>
      <c r="T731" t="s">
        <v>57</v>
      </c>
      <c r="V731" t="s">
        <v>381</v>
      </c>
      <c r="W731" t="s">
        <v>3195</v>
      </c>
      <c r="X731" t="s">
        <v>3195</v>
      </c>
      <c r="AC731" s="13">
        <v>44418</v>
      </c>
      <c r="AD731" s="13">
        <v>44326</v>
      </c>
      <c r="AF731" t="s">
        <v>382</v>
      </c>
      <c r="AG731" t="s">
        <v>3326</v>
      </c>
      <c r="AI731">
        <v>20</v>
      </c>
      <c r="AL731" t="s">
        <v>3196</v>
      </c>
      <c r="AM731">
        <v>1</v>
      </c>
      <c r="AN731" t="s">
        <v>31</v>
      </c>
      <c r="AO731">
        <v>0</v>
      </c>
      <c r="AS731" t="s">
        <v>702</v>
      </c>
      <c r="AX731" t="s">
        <v>31</v>
      </c>
      <c r="AY731" t="s">
        <v>442</v>
      </c>
      <c r="AZ731" t="s">
        <v>3327</v>
      </c>
      <c r="BE731" t="s">
        <v>3328</v>
      </c>
      <c r="BF731">
        <v>0</v>
      </c>
      <c r="BK731" t="s">
        <v>31</v>
      </c>
      <c r="BS731" t="s">
        <v>379</v>
      </c>
      <c r="BT731" t="s">
        <v>379</v>
      </c>
      <c r="CI731" t="s">
        <v>388</v>
      </c>
      <c r="CJ731" s="14">
        <v>45013</v>
      </c>
      <c r="CK731">
        <v>1</v>
      </c>
    </row>
    <row r="732" spans="1:89">
      <c r="A732" t="s">
        <v>2797</v>
      </c>
      <c r="B732" t="s">
        <v>374</v>
      </c>
      <c r="C732" t="s">
        <v>2798</v>
      </c>
      <c r="D732" t="s">
        <v>3329</v>
      </c>
      <c r="E732" t="s">
        <v>2816</v>
      </c>
      <c r="F732" s="13">
        <v>44601.818622685183</v>
      </c>
      <c r="G732" t="s">
        <v>2801</v>
      </c>
      <c r="H732" t="s">
        <v>2802</v>
      </c>
      <c r="I732" s="13">
        <v>44617.662800925929</v>
      </c>
      <c r="K732" t="s">
        <v>409</v>
      </c>
      <c r="R732">
        <v>0</v>
      </c>
      <c r="S732" t="s">
        <v>416</v>
      </c>
      <c r="T732" t="s">
        <v>57</v>
      </c>
      <c r="V732" t="s">
        <v>381</v>
      </c>
      <c r="W732" t="s">
        <v>3271</v>
      </c>
      <c r="X732" t="s">
        <v>3271</v>
      </c>
      <c r="AC732" s="13">
        <v>44561</v>
      </c>
      <c r="AD732" s="13">
        <v>44561</v>
      </c>
      <c r="AI732">
        <v>50</v>
      </c>
      <c r="AL732" t="s">
        <v>3330</v>
      </c>
      <c r="AN732" t="s">
        <v>31</v>
      </c>
      <c r="AO732">
        <v>0</v>
      </c>
      <c r="AS732" t="s">
        <v>385</v>
      </c>
      <c r="AX732" t="s">
        <v>31</v>
      </c>
      <c r="AY732" t="s">
        <v>442</v>
      </c>
      <c r="AZ732" t="s">
        <v>2819</v>
      </c>
      <c r="BF732">
        <v>0</v>
      </c>
      <c r="BK732" t="s">
        <v>31</v>
      </c>
      <c r="BS732" t="s">
        <v>409</v>
      </c>
      <c r="BT732" t="s">
        <v>409</v>
      </c>
      <c r="CI732" t="s">
        <v>388</v>
      </c>
      <c r="CJ732" s="14">
        <v>45013</v>
      </c>
      <c r="CK732">
        <v>1</v>
      </c>
    </row>
    <row r="733" spans="1:89">
      <c r="A733" t="s">
        <v>2797</v>
      </c>
      <c r="B733" t="s">
        <v>374</v>
      </c>
      <c r="C733" t="s">
        <v>2798</v>
      </c>
      <c r="D733" t="s">
        <v>3331</v>
      </c>
      <c r="E733" t="s">
        <v>2827</v>
      </c>
      <c r="F733" s="13">
        <v>44601.802094907405</v>
      </c>
      <c r="G733" t="s">
        <v>2801</v>
      </c>
      <c r="H733" t="s">
        <v>2802</v>
      </c>
      <c r="I733" s="13">
        <v>44617.662557870368</v>
      </c>
      <c r="K733" t="s">
        <v>409</v>
      </c>
      <c r="R733">
        <v>0</v>
      </c>
      <c r="S733" t="s">
        <v>416</v>
      </c>
      <c r="T733" t="s">
        <v>57</v>
      </c>
      <c r="V733" t="s">
        <v>381</v>
      </c>
      <c r="W733" t="s">
        <v>2828</v>
      </c>
      <c r="X733" t="s">
        <v>2828</v>
      </c>
      <c r="AC733" s="13">
        <v>44561</v>
      </c>
      <c r="AD733" s="13">
        <v>44561</v>
      </c>
      <c r="AI733">
        <v>50</v>
      </c>
      <c r="AL733" t="s">
        <v>3332</v>
      </c>
      <c r="AN733" t="s">
        <v>31</v>
      </c>
      <c r="AO733">
        <v>0</v>
      </c>
      <c r="AS733" t="s">
        <v>526</v>
      </c>
      <c r="AX733" t="s">
        <v>31</v>
      </c>
      <c r="AY733" t="s">
        <v>442</v>
      </c>
      <c r="AZ733" t="s">
        <v>2830</v>
      </c>
      <c r="BF733">
        <v>0</v>
      </c>
      <c r="BK733" t="s">
        <v>31</v>
      </c>
      <c r="BS733" t="s">
        <v>409</v>
      </c>
      <c r="BT733" t="s">
        <v>409</v>
      </c>
      <c r="CI733" t="s">
        <v>388</v>
      </c>
      <c r="CJ733" s="14">
        <v>45013</v>
      </c>
      <c r="CK733">
        <v>1</v>
      </c>
    </row>
    <row r="734" spans="1:89">
      <c r="A734" t="s">
        <v>3258</v>
      </c>
      <c r="B734" t="s">
        <v>374</v>
      </c>
      <c r="C734" t="s">
        <v>3259</v>
      </c>
      <c r="D734" t="s">
        <v>3333</v>
      </c>
      <c r="E734" t="s">
        <v>3334</v>
      </c>
      <c r="F734" s="13">
        <v>44601.778796296298</v>
      </c>
      <c r="G734" t="s">
        <v>3262</v>
      </c>
      <c r="H734" t="s">
        <v>3263</v>
      </c>
      <c r="I734" s="13">
        <v>45012.043726851851</v>
      </c>
      <c r="K734" t="s">
        <v>415</v>
      </c>
      <c r="M734" s="13">
        <v>45138</v>
      </c>
      <c r="R734">
        <v>0</v>
      </c>
      <c r="S734" t="s">
        <v>380</v>
      </c>
      <c r="T734" t="s">
        <v>57</v>
      </c>
      <c r="V734" t="s">
        <v>381</v>
      </c>
      <c r="W734" t="s">
        <v>3335</v>
      </c>
      <c r="X734" t="s">
        <v>3335</v>
      </c>
      <c r="AF734" t="s">
        <v>451</v>
      </c>
      <c r="AI734">
        <v>126</v>
      </c>
      <c r="AL734" t="s">
        <v>3336</v>
      </c>
      <c r="AN734" t="s">
        <v>31</v>
      </c>
      <c r="AO734">
        <v>0</v>
      </c>
      <c r="AS734" t="s">
        <v>538</v>
      </c>
      <c r="AX734" t="s">
        <v>31</v>
      </c>
      <c r="AY734" t="s">
        <v>442</v>
      </c>
      <c r="AZ734" t="s">
        <v>3337</v>
      </c>
      <c r="BF734">
        <v>0</v>
      </c>
      <c r="BK734" t="s">
        <v>31</v>
      </c>
      <c r="BS734" t="s">
        <v>419</v>
      </c>
      <c r="BT734" t="s">
        <v>419</v>
      </c>
      <c r="CI734" t="s">
        <v>388</v>
      </c>
      <c r="CJ734" s="14">
        <v>45013</v>
      </c>
      <c r="CK734">
        <v>1</v>
      </c>
    </row>
    <row r="735" spans="1:89">
      <c r="A735" t="s">
        <v>2797</v>
      </c>
      <c r="B735" t="s">
        <v>374</v>
      </c>
      <c r="C735" t="s">
        <v>2798</v>
      </c>
      <c r="D735" t="s">
        <v>3338</v>
      </c>
      <c r="E735" t="s">
        <v>2807</v>
      </c>
      <c r="F735" s="13">
        <v>44601.725578703707</v>
      </c>
      <c r="G735" t="s">
        <v>2801</v>
      </c>
      <c r="H735" t="s">
        <v>2802</v>
      </c>
      <c r="I735" s="13">
        <v>44617.662372685183</v>
      </c>
      <c r="K735" t="s">
        <v>409</v>
      </c>
      <c r="R735">
        <v>0</v>
      </c>
      <c r="S735" t="s">
        <v>416</v>
      </c>
      <c r="T735" t="s">
        <v>57</v>
      </c>
      <c r="V735" t="s">
        <v>381</v>
      </c>
      <c r="W735" t="s">
        <v>2828</v>
      </c>
      <c r="X735" t="s">
        <v>2828</v>
      </c>
      <c r="AC735" s="13">
        <v>44561</v>
      </c>
      <c r="AD735" s="13">
        <v>44561</v>
      </c>
      <c r="AI735">
        <v>50</v>
      </c>
      <c r="AL735" t="s">
        <v>3339</v>
      </c>
      <c r="AN735" t="s">
        <v>31</v>
      </c>
      <c r="AO735">
        <v>0</v>
      </c>
      <c r="AS735" t="s">
        <v>385</v>
      </c>
      <c r="AX735" t="s">
        <v>31</v>
      </c>
      <c r="AY735" t="s">
        <v>442</v>
      </c>
      <c r="AZ735" t="s">
        <v>2810</v>
      </c>
      <c r="BF735">
        <v>0</v>
      </c>
      <c r="BK735" t="s">
        <v>31</v>
      </c>
      <c r="BS735" t="s">
        <v>409</v>
      </c>
      <c r="BT735" t="s">
        <v>409</v>
      </c>
      <c r="CI735" t="s">
        <v>388</v>
      </c>
      <c r="CJ735" s="14">
        <v>45013</v>
      </c>
      <c r="CK735">
        <v>1</v>
      </c>
    </row>
    <row r="736" spans="1:89">
      <c r="A736" t="s">
        <v>2797</v>
      </c>
      <c r="B736" t="s">
        <v>374</v>
      </c>
      <c r="C736" t="s">
        <v>2798</v>
      </c>
      <c r="D736" t="s">
        <v>3340</v>
      </c>
      <c r="E736" t="s">
        <v>2800</v>
      </c>
      <c r="F736" s="13">
        <v>44601.692164351851</v>
      </c>
      <c r="G736" t="s">
        <v>2801</v>
      </c>
      <c r="H736" t="s">
        <v>2802</v>
      </c>
      <c r="I736" s="13">
        <v>44617.662141203706</v>
      </c>
      <c r="K736" t="s">
        <v>409</v>
      </c>
      <c r="R736">
        <v>0</v>
      </c>
      <c r="S736" t="s">
        <v>416</v>
      </c>
      <c r="V736" t="s">
        <v>381</v>
      </c>
      <c r="W736" t="s">
        <v>2828</v>
      </c>
      <c r="X736" t="s">
        <v>2828</v>
      </c>
      <c r="AI736">
        <v>50</v>
      </c>
      <c r="AL736" t="s">
        <v>3341</v>
      </c>
      <c r="AN736" t="s">
        <v>31</v>
      </c>
      <c r="AO736">
        <v>0</v>
      </c>
      <c r="AZ736" t="s">
        <v>2805</v>
      </c>
      <c r="BF736">
        <v>0</v>
      </c>
      <c r="BK736" t="s">
        <v>31</v>
      </c>
      <c r="BS736" t="s">
        <v>409</v>
      </c>
      <c r="BT736" t="s">
        <v>409</v>
      </c>
      <c r="CI736" t="s">
        <v>388</v>
      </c>
      <c r="CJ736" s="14">
        <v>45013</v>
      </c>
      <c r="CK736">
        <v>1</v>
      </c>
    </row>
    <row r="737" spans="1:89">
      <c r="A737" t="s">
        <v>2797</v>
      </c>
      <c r="B737" t="s">
        <v>374</v>
      </c>
      <c r="C737" t="s">
        <v>2798</v>
      </c>
      <c r="D737" t="s">
        <v>3342</v>
      </c>
      <c r="E737" t="s">
        <v>2832</v>
      </c>
      <c r="F737" s="13">
        <v>44601.633240740739</v>
      </c>
      <c r="G737" t="s">
        <v>2801</v>
      </c>
      <c r="H737" t="s">
        <v>2802</v>
      </c>
      <c r="I737" s="13">
        <v>44617.661782407406</v>
      </c>
      <c r="K737" t="s">
        <v>409</v>
      </c>
      <c r="R737">
        <v>0</v>
      </c>
      <c r="S737" t="s">
        <v>380</v>
      </c>
      <c r="V737" t="s">
        <v>381</v>
      </c>
      <c r="W737" t="s">
        <v>2828</v>
      </c>
      <c r="X737" t="s">
        <v>2828</v>
      </c>
      <c r="AI737">
        <v>50</v>
      </c>
      <c r="AL737" t="s">
        <v>3343</v>
      </c>
      <c r="AN737" t="s">
        <v>31</v>
      </c>
      <c r="AO737">
        <v>0</v>
      </c>
      <c r="AZ737" t="s">
        <v>2834</v>
      </c>
      <c r="BF737">
        <v>0</v>
      </c>
      <c r="BK737" t="s">
        <v>31</v>
      </c>
      <c r="BS737" t="s">
        <v>409</v>
      </c>
      <c r="BT737" t="s">
        <v>409</v>
      </c>
      <c r="CI737" t="s">
        <v>388</v>
      </c>
      <c r="CJ737" s="14">
        <v>45013</v>
      </c>
      <c r="CK737">
        <v>1</v>
      </c>
    </row>
    <row r="738" spans="1:89">
      <c r="A738" t="s">
        <v>2797</v>
      </c>
      <c r="B738" t="s">
        <v>374</v>
      </c>
      <c r="C738" t="s">
        <v>2798</v>
      </c>
      <c r="D738" t="s">
        <v>3344</v>
      </c>
      <c r="E738" t="s">
        <v>3345</v>
      </c>
      <c r="F738" s="13">
        <v>44601.477152777778</v>
      </c>
      <c r="G738" t="s">
        <v>3346</v>
      </c>
      <c r="H738" t="s">
        <v>3347</v>
      </c>
      <c r="I738" s="13">
        <v>45012.043715277781</v>
      </c>
      <c r="K738" t="s">
        <v>415</v>
      </c>
      <c r="M738" s="13">
        <v>44651</v>
      </c>
      <c r="R738">
        <v>0</v>
      </c>
      <c r="S738" t="s">
        <v>380</v>
      </c>
      <c r="T738" t="s">
        <v>57</v>
      </c>
      <c r="V738" t="s">
        <v>478</v>
      </c>
      <c r="W738" t="s">
        <v>2808</v>
      </c>
      <c r="X738" t="s">
        <v>2808</v>
      </c>
      <c r="AC738" s="13">
        <v>44651</v>
      </c>
      <c r="AD738" s="13">
        <v>44592</v>
      </c>
      <c r="AF738" t="s">
        <v>451</v>
      </c>
      <c r="AI738">
        <v>-361</v>
      </c>
      <c r="AL738" t="s">
        <v>3348</v>
      </c>
      <c r="AN738" t="s">
        <v>31</v>
      </c>
      <c r="AO738">
        <v>0</v>
      </c>
      <c r="AS738" t="s">
        <v>538</v>
      </c>
      <c r="AX738" t="s">
        <v>57</v>
      </c>
      <c r="AY738" t="s">
        <v>386</v>
      </c>
      <c r="AZ738" t="s">
        <v>3349</v>
      </c>
      <c r="BF738">
        <v>0</v>
      </c>
      <c r="BK738" t="s">
        <v>31</v>
      </c>
      <c r="BS738" t="s">
        <v>419</v>
      </c>
      <c r="BT738" t="s">
        <v>419</v>
      </c>
      <c r="CI738" t="s">
        <v>388</v>
      </c>
      <c r="CJ738" s="14">
        <v>45013</v>
      </c>
      <c r="CK738">
        <v>1</v>
      </c>
    </row>
    <row r="739" spans="1:89">
      <c r="A739" t="s">
        <v>2797</v>
      </c>
      <c r="B739" t="s">
        <v>374</v>
      </c>
      <c r="C739" t="s">
        <v>2798</v>
      </c>
      <c r="D739" t="s">
        <v>3350</v>
      </c>
      <c r="E739" t="s">
        <v>3351</v>
      </c>
      <c r="F739" s="13">
        <v>44601.463576388887</v>
      </c>
      <c r="G739" t="s">
        <v>3346</v>
      </c>
      <c r="H739" t="s">
        <v>3347</v>
      </c>
      <c r="I739" s="13">
        <v>45012.043715277781</v>
      </c>
      <c r="K739" t="s">
        <v>415</v>
      </c>
      <c r="M739" s="13">
        <v>44651</v>
      </c>
      <c r="R739">
        <v>0</v>
      </c>
      <c r="S739" t="s">
        <v>380</v>
      </c>
      <c r="T739" t="s">
        <v>57</v>
      </c>
      <c r="V739" t="s">
        <v>478</v>
      </c>
      <c r="W739" t="s">
        <v>2817</v>
      </c>
      <c r="X739" t="s">
        <v>2817</v>
      </c>
      <c r="AC739" s="13">
        <v>44651</v>
      </c>
      <c r="AD739" s="13">
        <v>44592</v>
      </c>
      <c r="AF739" t="s">
        <v>451</v>
      </c>
      <c r="AI739">
        <v>-361</v>
      </c>
      <c r="AL739" t="s">
        <v>3352</v>
      </c>
      <c r="AN739" t="s">
        <v>31</v>
      </c>
      <c r="AO739">
        <v>0</v>
      </c>
      <c r="AS739" t="s">
        <v>385</v>
      </c>
      <c r="AX739" t="s">
        <v>57</v>
      </c>
      <c r="AY739" t="s">
        <v>386</v>
      </c>
      <c r="AZ739" t="s">
        <v>3353</v>
      </c>
      <c r="BF739">
        <v>0</v>
      </c>
      <c r="BK739" t="s">
        <v>31</v>
      </c>
      <c r="BS739" t="s">
        <v>419</v>
      </c>
      <c r="BT739" t="s">
        <v>419</v>
      </c>
      <c r="CI739" t="s">
        <v>388</v>
      </c>
      <c r="CJ739" s="14">
        <v>45013</v>
      </c>
      <c r="CK739">
        <v>1</v>
      </c>
    </row>
    <row r="740" spans="1:89">
      <c r="A740" t="s">
        <v>2797</v>
      </c>
      <c r="B740" t="s">
        <v>374</v>
      </c>
      <c r="C740" t="s">
        <v>2798</v>
      </c>
      <c r="D740" t="s">
        <v>3354</v>
      </c>
      <c r="E740" t="s">
        <v>3355</v>
      </c>
      <c r="F740" s="13">
        <v>44601.438483796293</v>
      </c>
      <c r="G740" t="s">
        <v>3346</v>
      </c>
      <c r="H740" t="s">
        <v>3347</v>
      </c>
      <c r="I740" s="13">
        <v>45012.043715277781</v>
      </c>
      <c r="K740" t="s">
        <v>415</v>
      </c>
      <c r="M740" s="13">
        <v>44651</v>
      </c>
      <c r="R740">
        <v>0</v>
      </c>
      <c r="S740" t="s">
        <v>380</v>
      </c>
      <c r="T740" t="s">
        <v>57</v>
      </c>
      <c r="V740" t="s">
        <v>478</v>
      </c>
      <c r="W740" t="s">
        <v>3356</v>
      </c>
      <c r="X740" t="s">
        <v>3356</v>
      </c>
      <c r="AC740" s="13">
        <v>44651</v>
      </c>
      <c r="AD740" s="13">
        <v>44592</v>
      </c>
      <c r="AF740" t="s">
        <v>451</v>
      </c>
      <c r="AI740">
        <v>-361</v>
      </c>
      <c r="AL740" t="s">
        <v>3357</v>
      </c>
      <c r="AN740" t="s">
        <v>31</v>
      </c>
      <c r="AO740">
        <v>0</v>
      </c>
      <c r="AS740" t="s">
        <v>385</v>
      </c>
      <c r="AX740" t="s">
        <v>57</v>
      </c>
      <c r="AY740" t="s">
        <v>386</v>
      </c>
      <c r="AZ740" t="s">
        <v>3358</v>
      </c>
      <c r="BF740">
        <v>0</v>
      </c>
      <c r="BK740" t="s">
        <v>31</v>
      </c>
      <c r="BS740" t="s">
        <v>419</v>
      </c>
      <c r="BT740" t="s">
        <v>419</v>
      </c>
      <c r="CI740" t="s">
        <v>388</v>
      </c>
      <c r="CJ740" s="14">
        <v>45013</v>
      </c>
      <c r="CK740">
        <v>1</v>
      </c>
    </row>
    <row r="741" spans="1:89">
      <c r="A741" t="s">
        <v>1559</v>
      </c>
      <c r="B741" t="s">
        <v>374</v>
      </c>
      <c r="C741" t="s">
        <v>1560</v>
      </c>
      <c r="D741" t="s">
        <v>3359</v>
      </c>
      <c r="E741" t="s">
        <v>3360</v>
      </c>
      <c r="F741" s="13">
        <v>44600.690810185188</v>
      </c>
      <c r="G741" t="s">
        <v>1563</v>
      </c>
      <c r="H741" t="s">
        <v>1564</v>
      </c>
      <c r="I741" s="13">
        <v>45012.043715277781</v>
      </c>
      <c r="K741" t="s">
        <v>415</v>
      </c>
      <c r="M741" s="13">
        <v>44651</v>
      </c>
      <c r="R741">
        <v>90</v>
      </c>
      <c r="S741" t="s">
        <v>416</v>
      </c>
      <c r="T741" t="s">
        <v>57</v>
      </c>
      <c r="V741" t="s">
        <v>478</v>
      </c>
      <c r="W741" t="s">
        <v>1573</v>
      </c>
      <c r="X741" t="s">
        <v>1573</v>
      </c>
      <c r="AF741" t="s">
        <v>451</v>
      </c>
      <c r="AG741" t="s">
        <v>3361</v>
      </c>
      <c r="AI741">
        <v>-361</v>
      </c>
      <c r="AL741" t="s">
        <v>1566</v>
      </c>
      <c r="AN741" t="s">
        <v>31</v>
      </c>
      <c r="AO741">
        <v>0</v>
      </c>
      <c r="AS741" t="s">
        <v>526</v>
      </c>
      <c r="AX741" t="s">
        <v>31</v>
      </c>
      <c r="AY741" t="s">
        <v>442</v>
      </c>
      <c r="AZ741" t="s">
        <v>1570</v>
      </c>
      <c r="BF741">
        <v>0</v>
      </c>
      <c r="BK741" t="s">
        <v>31</v>
      </c>
      <c r="BS741" t="s">
        <v>419</v>
      </c>
      <c r="BT741" t="s">
        <v>419</v>
      </c>
      <c r="CI741" t="s">
        <v>388</v>
      </c>
      <c r="CJ741" s="14">
        <v>45013</v>
      </c>
      <c r="CK741">
        <v>1</v>
      </c>
    </row>
    <row r="742" spans="1:89">
      <c r="A742" t="s">
        <v>1559</v>
      </c>
      <c r="B742" t="s">
        <v>374</v>
      </c>
      <c r="C742" t="s">
        <v>1560</v>
      </c>
      <c r="D742" t="s">
        <v>3362</v>
      </c>
      <c r="E742" t="s">
        <v>3363</v>
      </c>
      <c r="F742" s="13">
        <v>44600.681909722225</v>
      </c>
      <c r="G742" t="s">
        <v>1563</v>
      </c>
      <c r="H742" t="s">
        <v>1564</v>
      </c>
      <c r="I742" s="13">
        <v>45012.043703703705</v>
      </c>
      <c r="K742" t="s">
        <v>415</v>
      </c>
      <c r="M742" s="13">
        <v>44651</v>
      </c>
      <c r="R742">
        <v>80</v>
      </c>
      <c r="S742" t="s">
        <v>416</v>
      </c>
      <c r="T742" t="s">
        <v>57</v>
      </c>
      <c r="V742" t="s">
        <v>478</v>
      </c>
      <c r="W742" t="s">
        <v>1573</v>
      </c>
      <c r="X742" t="s">
        <v>1573</v>
      </c>
      <c r="AF742" t="s">
        <v>451</v>
      </c>
      <c r="AG742" t="s">
        <v>3364</v>
      </c>
      <c r="AI742">
        <v>-361</v>
      </c>
      <c r="AL742" t="s">
        <v>3365</v>
      </c>
      <c r="AN742" t="s">
        <v>31</v>
      </c>
      <c r="AO742">
        <v>0</v>
      </c>
      <c r="AS742" t="s">
        <v>385</v>
      </c>
      <c r="AX742" t="s">
        <v>31</v>
      </c>
      <c r="AY742" t="s">
        <v>386</v>
      </c>
      <c r="AZ742" t="s">
        <v>3366</v>
      </c>
      <c r="BF742">
        <v>0</v>
      </c>
      <c r="BK742" t="s">
        <v>31</v>
      </c>
      <c r="BS742" t="s">
        <v>419</v>
      </c>
      <c r="BT742" t="s">
        <v>419</v>
      </c>
      <c r="CI742" t="s">
        <v>388</v>
      </c>
      <c r="CJ742" s="14">
        <v>45013</v>
      </c>
      <c r="CK742">
        <v>1</v>
      </c>
    </row>
    <row r="743" spans="1:89">
      <c r="A743" t="s">
        <v>1559</v>
      </c>
      <c r="B743" t="s">
        <v>374</v>
      </c>
      <c r="C743" t="s">
        <v>1560</v>
      </c>
      <c r="D743" t="s">
        <v>3367</v>
      </c>
      <c r="E743" t="s">
        <v>3368</v>
      </c>
      <c r="F743" s="13">
        <v>44600.676886574074</v>
      </c>
      <c r="G743" t="s">
        <v>1563</v>
      </c>
      <c r="H743" t="s">
        <v>1564</v>
      </c>
      <c r="I743" s="13">
        <v>44833.685474537036</v>
      </c>
      <c r="K743" t="s">
        <v>409</v>
      </c>
      <c r="R743">
        <v>0</v>
      </c>
      <c r="S743" t="s">
        <v>380</v>
      </c>
      <c r="T743" t="s">
        <v>57</v>
      </c>
      <c r="V743" t="s">
        <v>381</v>
      </c>
      <c r="W743" t="s">
        <v>1573</v>
      </c>
      <c r="X743" t="s">
        <v>1573</v>
      </c>
      <c r="AI743">
        <v>51</v>
      </c>
      <c r="AL743" t="s">
        <v>3365</v>
      </c>
      <c r="AN743" t="s">
        <v>31</v>
      </c>
      <c r="AO743">
        <v>0</v>
      </c>
      <c r="AS743" t="s">
        <v>385</v>
      </c>
      <c r="AX743" t="s">
        <v>31</v>
      </c>
      <c r="AY743" t="s">
        <v>386</v>
      </c>
      <c r="AZ743" t="s">
        <v>3366</v>
      </c>
      <c r="BF743">
        <v>0</v>
      </c>
      <c r="BK743" t="s">
        <v>31</v>
      </c>
      <c r="BS743" t="s">
        <v>409</v>
      </c>
      <c r="BT743" t="s">
        <v>409</v>
      </c>
      <c r="CI743" t="s">
        <v>388</v>
      </c>
      <c r="CJ743" s="14">
        <v>45013</v>
      </c>
      <c r="CK743">
        <v>1</v>
      </c>
    </row>
    <row r="744" spans="1:89">
      <c r="A744" t="s">
        <v>3191</v>
      </c>
      <c r="B744" t="s">
        <v>374</v>
      </c>
      <c r="C744" t="s">
        <v>3192</v>
      </c>
      <c r="D744" t="s">
        <v>3369</v>
      </c>
      <c r="E744" t="s">
        <v>3194</v>
      </c>
      <c r="F744" s="13">
        <v>44600.554120370369</v>
      </c>
      <c r="G744" t="s">
        <v>1472</v>
      </c>
      <c r="H744" t="s">
        <v>1473</v>
      </c>
      <c r="I744" s="13">
        <v>44607.615613425929</v>
      </c>
      <c r="K744" t="s">
        <v>379</v>
      </c>
      <c r="M744" s="13">
        <v>44755</v>
      </c>
      <c r="R744">
        <v>100</v>
      </c>
      <c r="S744" t="s">
        <v>380</v>
      </c>
      <c r="T744" t="s">
        <v>57</v>
      </c>
      <c r="V744" t="s">
        <v>381</v>
      </c>
      <c r="W744" t="s">
        <v>3195</v>
      </c>
      <c r="X744" t="s">
        <v>3195</v>
      </c>
      <c r="AC744" s="13">
        <v>44792</v>
      </c>
      <c r="AD744" s="13">
        <v>44657</v>
      </c>
      <c r="AF744" t="s">
        <v>382</v>
      </c>
      <c r="AG744" t="s">
        <v>3370</v>
      </c>
      <c r="AI744">
        <v>148</v>
      </c>
      <c r="AL744" t="s">
        <v>3196</v>
      </c>
      <c r="AN744" t="s">
        <v>31</v>
      </c>
      <c r="AO744">
        <v>0</v>
      </c>
      <c r="AS744" t="s">
        <v>385</v>
      </c>
      <c r="AX744" t="s">
        <v>57</v>
      </c>
      <c r="AY744" t="s">
        <v>386</v>
      </c>
      <c r="AZ744" t="s">
        <v>3197</v>
      </c>
      <c r="BF744">
        <v>0</v>
      </c>
      <c r="BK744" t="s">
        <v>31</v>
      </c>
      <c r="BS744" t="s">
        <v>379</v>
      </c>
      <c r="BT744" t="s">
        <v>379</v>
      </c>
      <c r="CI744" t="s">
        <v>388</v>
      </c>
      <c r="CJ744" s="14">
        <v>45013</v>
      </c>
      <c r="CK744">
        <v>1</v>
      </c>
    </row>
    <row r="745" spans="1:89">
      <c r="A745" t="s">
        <v>1415</v>
      </c>
      <c r="B745" t="s">
        <v>374</v>
      </c>
      <c r="C745" t="s">
        <v>1416</v>
      </c>
      <c r="D745" t="s">
        <v>3371</v>
      </c>
      <c r="E745" t="s">
        <v>3372</v>
      </c>
      <c r="F745" s="13">
        <v>44600.48033564815</v>
      </c>
      <c r="G745" t="s">
        <v>1418</v>
      </c>
      <c r="H745" t="s">
        <v>1419</v>
      </c>
      <c r="I745" s="13">
        <v>45012.043703703705</v>
      </c>
      <c r="K745" t="s">
        <v>415</v>
      </c>
      <c r="M745" s="13">
        <v>44926</v>
      </c>
      <c r="R745">
        <v>0</v>
      </c>
      <c r="S745" t="s">
        <v>380</v>
      </c>
      <c r="T745" t="s">
        <v>57</v>
      </c>
      <c r="V745" t="s">
        <v>478</v>
      </c>
      <c r="W745" t="s">
        <v>3373</v>
      </c>
      <c r="X745" t="s">
        <v>3373</v>
      </c>
      <c r="AF745" t="s">
        <v>451</v>
      </c>
      <c r="AI745">
        <v>-86</v>
      </c>
      <c r="AL745" t="s">
        <v>3374</v>
      </c>
      <c r="AN745" t="s">
        <v>31</v>
      </c>
      <c r="AO745">
        <v>0</v>
      </c>
      <c r="AS745" t="s">
        <v>526</v>
      </c>
      <c r="AX745" t="s">
        <v>31</v>
      </c>
      <c r="AY745" t="s">
        <v>442</v>
      </c>
      <c r="AZ745" t="s">
        <v>3375</v>
      </c>
      <c r="BF745">
        <v>0</v>
      </c>
      <c r="BK745" t="s">
        <v>31</v>
      </c>
      <c r="BS745" t="s">
        <v>419</v>
      </c>
      <c r="BT745" t="s">
        <v>419</v>
      </c>
      <c r="CI745" t="s">
        <v>388</v>
      </c>
      <c r="CJ745" s="14">
        <v>45013</v>
      </c>
      <c r="CK745">
        <v>1</v>
      </c>
    </row>
    <row r="746" spans="1:89">
      <c r="A746" t="s">
        <v>3376</v>
      </c>
      <c r="B746" t="s">
        <v>374</v>
      </c>
      <c r="C746" t="s">
        <v>3377</v>
      </c>
      <c r="D746" t="s">
        <v>3378</v>
      </c>
      <c r="E746" t="s">
        <v>3379</v>
      </c>
      <c r="F746" s="13">
        <v>44600.476365740738</v>
      </c>
      <c r="G746" t="s">
        <v>3380</v>
      </c>
      <c r="H746" t="s">
        <v>3381</v>
      </c>
      <c r="I746" s="13">
        <v>44972.532002314816</v>
      </c>
      <c r="K746" t="s">
        <v>379</v>
      </c>
      <c r="M746" s="13">
        <v>44600</v>
      </c>
      <c r="R746">
        <v>100</v>
      </c>
      <c r="S746" t="s">
        <v>380</v>
      </c>
      <c r="T746" t="s">
        <v>57</v>
      </c>
      <c r="V746" t="s">
        <v>381</v>
      </c>
      <c r="W746" t="s">
        <v>3381</v>
      </c>
      <c r="X746" t="s">
        <v>3381</v>
      </c>
      <c r="AF746" t="s">
        <v>382</v>
      </c>
      <c r="AG746" t="s">
        <v>3382</v>
      </c>
      <c r="AI746">
        <v>0</v>
      </c>
      <c r="AL746" t="s">
        <v>3383</v>
      </c>
      <c r="AN746" t="s">
        <v>31</v>
      </c>
      <c r="AO746">
        <v>0</v>
      </c>
      <c r="AS746" t="s">
        <v>538</v>
      </c>
      <c r="AX746" t="s">
        <v>31</v>
      </c>
      <c r="AY746" t="s">
        <v>386</v>
      </c>
      <c r="AZ746" t="s">
        <v>3384</v>
      </c>
      <c r="BF746">
        <v>0</v>
      </c>
      <c r="BK746" t="s">
        <v>31</v>
      </c>
      <c r="BS746" t="s">
        <v>379</v>
      </c>
      <c r="BT746" t="s">
        <v>379</v>
      </c>
      <c r="CI746" t="s">
        <v>388</v>
      </c>
      <c r="CJ746" s="14">
        <v>45013</v>
      </c>
      <c r="CK746">
        <v>1</v>
      </c>
    </row>
    <row r="747" spans="1:89">
      <c r="A747" t="s">
        <v>1415</v>
      </c>
      <c r="B747" t="s">
        <v>374</v>
      </c>
      <c r="C747" t="s">
        <v>1416</v>
      </c>
      <c r="D747" t="s">
        <v>3385</v>
      </c>
      <c r="E747" t="s">
        <v>3386</v>
      </c>
      <c r="F747" s="13">
        <v>44600.443043981482</v>
      </c>
      <c r="G747" t="s">
        <v>1418</v>
      </c>
      <c r="H747" t="s">
        <v>1419</v>
      </c>
      <c r="I747" s="13">
        <v>44620.686620370368</v>
      </c>
      <c r="K747" t="s">
        <v>379</v>
      </c>
      <c r="M747" s="13">
        <v>44651</v>
      </c>
      <c r="R747">
        <v>100</v>
      </c>
      <c r="S747" t="s">
        <v>380</v>
      </c>
      <c r="T747" t="s">
        <v>57</v>
      </c>
      <c r="V747" t="s">
        <v>381</v>
      </c>
      <c r="W747" t="s">
        <v>3387</v>
      </c>
      <c r="X747" t="s">
        <v>3387</v>
      </c>
      <c r="AF747" t="s">
        <v>382</v>
      </c>
      <c r="AG747" t="s">
        <v>3388</v>
      </c>
      <c r="AI747">
        <v>31</v>
      </c>
      <c r="AL747" t="s">
        <v>3389</v>
      </c>
      <c r="AN747" t="s">
        <v>31</v>
      </c>
      <c r="AO747">
        <v>0</v>
      </c>
      <c r="AS747" t="s">
        <v>385</v>
      </c>
      <c r="AX747" t="s">
        <v>31</v>
      </c>
      <c r="AY747" t="s">
        <v>386</v>
      </c>
      <c r="AZ747" t="s">
        <v>3390</v>
      </c>
      <c r="BF747">
        <v>0</v>
      </c>
      <c r="BK747" t="s">
        <v>31</v>
      </c>
      <c r="BS747" t="s">
        <v>379</v>
      </c>
      <c r="BT747" t="s">
        <v>379</v>
      </c>
      <c r="CI747" t="s">
        <v>388</v>
      </c>
      <c r="CJ747" s="14">
        <v>45013</v>
      </c>
      <c r="CK747">
        <v>1</v>
      </c>
    </row>
    <row r="748" spans="1:89">
      <c r="A748" t="s">
        <v>1415</v>
      </c>
      <c r="B748" t="s">
        <v>374</v>
      </c>
      <c r="C748" t="s">
        <v>1416</v>
      </c>
      <c r="D748" t="s">
        <v>3391</v>
      </c>
      <c r="E748" t="s">
        <v>1628</v>
      </c>
      <c r="F748" s="13">
        <v>44600.429201388892</v>
      </c>
      <c r="G748" t="s">
        <v>1418</v>
      </c>
      <c r="H748" t="s">
        <v>1419</v>
      </c>
      <c r="I748" s="13">
        <v>44600.433298611111</v>
      </c>
      <c r="K748" t="s">
        <v>379</v>
      </c>
      <c r="M748" s="13">
        <v>44620</v>
      </c>
      <c r="R748">
        <v>100</v>
      </c>
      <c r="S748" t="s">
        <v>380</v>
      </c>
      <c r="T748" t="s">
        <v>57</v>
      </c>
      <c r="V748" t="s">
        <v>381</v>
      </c>
      <c r="W748" t="s">
        <v>3392</v>
      </c>
      <c r="X748" t="s">
        <v>3392</v>
      </c>
      <c r="AF748" t="s">
        <v>382</v>
      </c>
      <c r="AG748" t="s">
        <v>3382</v>
      </c>
      <c r="AI748">
        <v>20</v>
      </c>
      <c r="AL748" t="s">
        <v>3393</v>
      </c>
      <c r="AN748" t="s">
        <v>31</v>
      </c>
      <c r="AO748">
        <v>0</v>
      </c>
      <c r="AS748" t="s">
        <v>392</v>
      </c>
      <c r="AX748" t="s">
        <v>31</v>
      </c>
      <c r="AY748" t="s">
        <v>386</v>
      </c>
      <c r="AZ748" t="s">
        <v>1632</v>
      </c>
      <c r="BF748">
        <v>0</v>
      </c>
      <c r="BK748" t="s">
        <v>31</v>
      </c>
      <c r="BS748" t="s">
        <v>379</v>
      </c>
      <c r="BT748" t="s">
        <v>379</v>
      </c>
      <c r="CI748" t="s">
        <v>388</v>
      </c>
      <c r="CJ748" s="14">
        <v>45013</v>
      </c>
      <c r="CK748">
        <v>1</v>
      </c>
    </row>
    <row r="749" spans="1:89">
      <c r="A749" t="s">
        <v>2797</v>
      </c>
      <c r="B749" t="s">
        <v>374</v>
      </c>
      <c r="C749" t="s">
        <v>2798</v>
      </c>
      <c r="D749" t="s">
        <v>3394</v>
      </c>
      <c r="E749" t="s">
        <v>3395</v>
      </c>
      <c r="F749" s="13">
        <v>44600.399872685186</v>
      </c>
      <c r="G749" t="s">
        <v>3396</v>
      </c>
      <c r="H749" t="s">
        <v>3397</v>
      </c>
      <c r="I749" s="13">
        <v>45012.043703703705</v>
      </c>
      <c r="K749" t="s">
        <v>415</v>
      </c>
      <c r="M749" s="13">
        <v>44651</v>
      </c>
      <c r="R749">
        <v>0</v>
      </c>
      <c r="S749" t="s">
        <v>380</v>
      </c>
      <c r="T749" t="s">
        <v>57</v>
      </c>
      <c r="V749" t="s">
        <v>478</v>
      </c>
      <c r="W749" t="s">
        <v>2828</v>
      </c>
      <c r="X749" t="s">
        <v>2828</v>
      </c>
      <c r="AC749" s="13">
        <v>44561</v>
      </c>
      <c r="AD749" s="13">
        <v>44561</v>
      </c>
      <c r="AF749" t="s">
        <v>451</v>
      </c>
      <c r="AG749" t="s">
        <v>3250</v>
      </c>
      <c r="AI749">
        <v>-361</v>
      </c>
      <c r="AL749" t="s">
        <v>3398</v>
      </c>
      <c r="AN749" t="s">
        <v>31</v>
      </c>
      <c r="AO749">
        <v>0</v>
      </c>
      <c r="AS749" t="s">
        <v>538</v>
      </c>
      <c r="AX749" t="s">
        <v>31</v>
      </c>
      <c r="AY749" t="s">
        <v>386</v>
      </c>
      <c r="AZ749" t="s">
        <v>3399</v>
      </c>
      <c r="BF749">
        <v>0</v>
      </c>
      <c r="BK749" t="s">
        <v>31</v>
      </c>
      <c r="BS749" t="s">
        <v>419</v>
      </c>
      <c r="BT749" t="s">
        <v>419</v>
      </c>
      <c r="CI749" t="s">
        <v>388</v>
      </c>
      <c r="CJ749" s="14">
        <v>45013</v>
      </c>
      <c r="CK749">
        <v>1</v>
      </c>
    </row>
    <row r="750" spans="1:89">
      <c r="A750" t="s">
        <v>2797</v>
      </c>
      <c r="B750" t="s">
        <v>374</v>
      </c>
      <c r="C750" t="s">
        <v>2798</v>
      </c>
      <c r="D750" t="s">
        <v>3400</v>
      </c>
      <c r="E750" t="s">
        <v>3401</v>
      </c>
      <c r="F750" s="13">
        <v>44600.387615740743</v>
      </c>
      <c r="G750" t="s">
        <v>3396</v>
      </c>
      <c r="H750" t="s">
        <v>3397</v>
      </c>
      <c r="I750" s="13">
        <v>45012.043703703705</v>
      </c>
      <c r="K750" t="s">
        <v>415</v>
      </c>
      <c r="M750" s="13">
        <v>44651</v>
      </c>
      <c r="R750">
        <v>0</v>
      </c>
      <c r="S750" t="s">
        <v>380</v>
      </c>
      <c r="T750" t="s">
        <v>57</v>
      </c>
      <c r="V750" t="s">
        <v>478</v>
      </c>
      <c r="W750" t="s">
        <v>2828</v>
      </c>
      <c r="X750" t="s">
        <v>2828</v>
      </c>
      <c r="AC750" s="13">
        <v>44561</v>
      </c>
      <c r="AD750" s="13">
        <v>44561</v>
      </c>
      <c r="AF750" t="s">
        <v>451</v>
      </c>
      <c r="AI750">
        <v>-361</v>
      </c>
      <c r="AL750" t="s">
        <v>3402</v>
      </c>
      <c r="AN750" t="s">
        <v>31</v>
      </c>
      <c r="AO750">
        <v>0</v>
      </c>
      <c r="AS750" t="s">
        <v>538</v>
      </c>
      <c r="AX750" t="s">
        <v>31</v>
      </c>
      <c r="AY750" t="s">
        <v>386</v>
      </c>
      <c r="AZ750" t="s">
        <v>3403</v>
      </c>
      <c r="BF750">
        <v>0</v>
      </c>
      <c r="BK750" t="s">
        <v>31</v>
      </c>
      <c r="BS750" t="s">
        <v>419</v>
      </c>
      <c r="BT750" t="s">
        <v>419</v>
      </c>
      <c r="CI750" t="s">
        <v>388</v>
      </c>
      <c r="CJ750" s="14">
        <v>45013</v>
      </c>
      <c r="CK750">
        <v>1</v>
      </c>
    </row>
    <row r="751" spans="1:89">
      <c r="A751" t="s">
        <v>2797</v>
      </c>
      <c r="B751" t="s">
        <v>374</v>
      </c>
      <c r="C751" t="s">
        <v>2798</v>
      </c>
      <c r="D751" t="s">
        <v>3404</v>
      </c>
      <c r="E751" t="s">
        <v>3405</v>
      </c>
      <c r="F751" s="13">
        <v>44599.851678240739</v>
      </c>
      <c r="G751" t="s">
        <v>3396</v>
      </c>
      <c r="H751" t="s">
        <v>3397</v>
      </c>
      <c r="I751" s="13">
        <v>44637.833645833336</v>
      </c>
      <c r="K751" t="s">
        <v>379</v>
      </c>
      <c r="M751" s="13">
        <v>44651</v>
      </c>
      <c r="R751">
        <v>100</v>
      </c>
      <c r="S751" t="s">
        <v>380</v>
      </c>
      <c r="T751" t="s">
        <v>57</v>
      </c>
      <c r="V751" t="s">
        <v>381</v>
      </c>
      <c r="W751" t="s">
        <v>3406</v>
      </c>
      <c r="X751" t="s">
        <v>3406</v>
      </c>
      <c r="AC751" s="13">
        <v>44561</v>
      </c>
      <c r="AD751" s="13">
        <v>44561</v>
      </c>
      <c r="AF751" t="s">
        <v>382</v>
      </c>
      <c r="AG751" t="s">
        <v>1387</v>
      </c>
      <c r="AI751">
        <v>14</v>
      </c>
      <c r="AL751" t="s">
        <v>3407</v>
      </c>
      <c r="AN751" t="s">
        <v>31</v>
      </c>
      <c r="AO751">
        <v>0</v>
      </c>
      <c r="AS751" t="s">
        <v>538</v>
      </c>
      <c r="AX751" t="s">
        <v>31</v>
      </c>
      <c r="AY751" t="s">
        <v>386</v>
      </c>
      <c r="AZ751" t="s">
        <v>3408</v>
      </c>
      <c r="BF751">
        <v>0</v>
      </c>
      <c r="BK751" t="s">
        <v>31</v>
      </c>
      <c r="BS751" t="s">
        <v>379</v>
      </c>
      <c r="BT751" t="s">
        <v>379</v>
      </c>
      <c r="CI751" t="s">
        <v>388</v>
      </c>
      <c r="CJ751" s="14">
        <v>45013</v>
      </c>
      <c r="CK751">
        <v>1</v>
      </c>
    </row>
    <row r="752" spans="1:89">
      <c r="A752" t="s">
        <v>2797</v>
      </c>
      <c r="B752" t="s">
        <v>374</v>
      </c>
      <c r="C752" t="s">
        <v>2798</v>
      </c>
      <c r="D752" t="s">
        <v>3409</v>
      </c>
      <c r="E752" t="s">
        <v>3410</v>
      </c>
      <c r="F752" s="13">
        <v>44599.717141203706</v>
      </c>
      <c r="G752" t="s">
        <v>3396</v>
      </c>
      <c r="H752" t="s">
        <v>3397</v>
      </c>
      <c r="I752" s="13">
        <v>45012.043692129628</v>
      </c>
      <c r="K752" t="s">
        <v>415</v>
      </c>
      <c r="M752" s="13">
        <v>44651</v>
      </c>
      <c r="R752">
        <v>0</v>
      </c>
      <c r="S752" t="s">
        <v>380</v>
      </c>
      <c r="T752" t="s">
        <v>57</v>
      </c>
      <c r="V752" t="s">
        <v>478</v>
      </c>
      <c r="W752" t="s">
        <v>2828</v>
      </c>
      <c r="X752" t="s">
        <v>2828</v>
      </c>
      <c r="AC752" s="13">
        <v>44561</v>
      </c>
      <c r="AD752" s="13">
        <v>44561</v>
      </c>
      <c r="AF752" t="s">
        <v>451</v>
      </c>
      <c r="AI752">
        <v>-361</v>
      </c>
      <c r="AL752" t="s">
        <v>3411</v>
      </c>
      <c r="AN752" t="s">
        <v>31</v>
      </c>
      <c r="AO752">
        <v>0</v>
      </c>
      <c r="AS752" t="s">
        <v>730</v>
      </c>
      <c r="AX752" t="s">
        <v>31</v>
      </c>
      <c r="AY752" t="s">
        <v>386</v>
      </c>
      <c r="AZ752" t="s">
        <v>3412</v>
      </c>
      <c r="BF752">
        <v>0</v>
      </c>
      <c r="BK752" t="s">
        <v>31</v>
      </c>
      <c r="BS752" t="s">
        <v>419</v>
      </c>
      <c r="BT752" t="s">
        <v>419</v>
      </c>
      <c r="CI752" t="s">
        <v>388</v>
      </c>
      <c r="CJ752" s="14">
        <v>45013</v>
      </c>
      <c r="CK752">
        <v>1</v>
      </c>
    </row>
    <row r="753" spans="1:89">
      <c r="A753" t="s">
        <v>2797</v>
      </c>
      <c r="B753" t="s">
        <v>374</v>
      </c>
      <c r="C753" t="s">
        <v>2798</v>
      </c>
      <c r="D753" t="s">
        <v>3413</v>
      </c>
      <c r="E753" t="s">
        <v>3414</v>
      </c>
      <c r="F753" s="13">
        <v>44599.528090277781</v>
      </c>
      <c r="G753" t="s">
        <v>3396</v>
      </c>
      <c r="H753" t="s">
        <v>3397</v>
      </c>
      <c r="I753" s="13">
        <v>45012.043692129628</v>
      </c>
      <c r="K753" t="s">
        <v>415</v>
      </c>
      <c r="M753" s="13">
        <v>44651</v>
      </c>
      <c r="R753">
        <v>0</v>
      </c>
      <c r="S753" t="s">
        <v>380</v>
      </c>
      <c r="T753" t="s">
        <v>57</v>
      </c>
      <c r="V753" t="s">
        <v>478</v>
      </c>
      <c r="W753" t="s">
        <v>2828</v>
      </c>
      <c r="X753" t="s">
        <v>2828</v>
      </c>
      <c r="AC753" s="13">
        <v>44651</v>
      </c>
      <c r="AD753" s="13">
        <v>44651</v>
      </c>
      <c r="AF753" t="s">
        <v>451</v>
      </c>
      <c r="AG753" t="s">
        <v>3415</v>
      </c>
      <c r="AI753">
        <v>-361</v>
      </c>
      <c r="AL753" t="s">
        <v>3416</v>
      </c>
      <c r="AN753" t="s">
        <v>31</v>
      </c>
      <c r="AO753">
        <v>0</v>
      </c>
      <c r="AS753" t="s">
        <v>385</v>
      </c>
      <c r="AX753" t="s">
        <v>31</v>
      </c>
      <c r="AY753" t="s">
        <v>386</v>
      </c>
      <c r="AZ753" t="s">
        <v>3417</v>
      </c>
      <c r="BF753">
        <v>0</v>
      </c>
      <c r="BK753" t="s">
        <v>31</v>
      </c>
      <c r="BS753" t="s">
        <v>419</v>
      </c>
      <c r="BT753" t="s">
        <v>419</v>
      </c>
      <c r="CI753" t="s">
        <v>388</v>
      </c>
      <c r="CJ753" s="14">
        <v>45013</v>
      </c>
      <c r="CK753">
        <v>1</v>
      </c>
    </row>
    <row r="754" spans="1:89">
      <c r="A754" t="s">
        <v>454</v>
      </c>
      <c r="B754" t="s">
        <v>374</v>
      </c>
      <c r="C754" t="s">
        <v>455</v>
      </c>
      <c r="D754" t="s">
        <v>3418</v>
      </c>
      <c r="E754" t="s">
        <v>3419</v>
      </c>
      <c r="F754" s="13">
        <v>44596.673472222225</v>
      </c>
      <c r="G754" t="s">
        <v>2399</v>
      </c>
      <c r="H754" t="s">
        <v>2400</v>
      </c>
      <c r="I754" s="13">
        <v>44635.499062499999</v>
      </c>
      <c r="K754" t="s">
        <v>379</v>
      </c>
      <c r="M754" s="13">
        <v>44620</v>
      </c>
      <c r="R754">
        <v>100</v>
      </c>
      <c r="S754" t="s">
        <v>416</v>
      </c>
      <c r="T754" t="s">
        <v>57</v>
      </c>
      <c r="V754" t="s">
        <v>478</v>
      </c>
      <c r="W754" t="s">
        <v>2401</v>
      </c>
      <c r="X754" t="s">
        <v>2401</v>
      </c>
      <c r="AF754" t="s">
        <v>382</v>
      </c>
      <c r="AG754" t="s">
        <v>3420</v>
      </c>
      <c r="AI754">
        <v>-15</v>
      </c>
      <c r="AL754" t="s">
        <v>2402</v>
      </c>
      <c r="AM754">
        <v>1</v>
      </c>
      <c r="AN754" t="s">
        <v>31</v>
      </c>
      <c r="AO754">
        <v>0</v>
      </c>
      <c r="AS754" t="s">
        <v>385</v>
      </c>
      <c r="AX754" t="s">
        <v>57</v>
      </c>
      <c r="AY754" t="s">
        <v>386</v>
      </c>
      <c r="AZ754" t="s">
        <v>3421</v>
      </c>
      <c r="BE754" t="s">
        <v>3422</v>
      </c>
      <c r="BF754">
        <v>0</v>
      </c>
      <c r="BK754" t="s">
        <v>31</v>
      </c>
      <c r="BS754" t="s">
        <v>379</v>
      </c>
      <c r="BT754" t="s">
        <v>379</v>
      </c>
      <c r="CI754" t="s">
        <v>388</v>
      </c>
      <c r="CJ754" s="14">
        <v>45013</v>
      </c>
      <c r="CK754">
        <v>1</v>
      </c>
    </row>
    <row r="755" spans="1:89">
      <c r="A755" t="s">
        <v>454</v>
      </c>
      <c r="B755" t="s">
        <v>374</v>
      </c>
      <c r="C755" t="s">
        <v>455</v>
      </c>
      <c r="D755" t="s">
        <v>3423</v>
      </c>
      <c r="E755" t="s">
        <v>3424</v>
      </c>
      <c r="F755" s="13">
        <v>44596.660891203705</v>
      </c>
      <c r="G755" t="s">
        <v>2399</v>
      </c>
      <c r="H755" t="s">
        <v>2400</v>
      </c>
      <c r="I755" s="13">
        <v>44635.498391203706</v>
      </c>
      <c r="K755" t="s">
        <v>379</v>
      </c>
      <c r="M755" s="13">
        <v>44620</v>
      </c>
      <c r="R755">
        <v>100</v>
      </c>
      <c r="S755" t="s">
        <v>416</v>
      </c>
      <c r="T755" t="s">
        <v>57</v>
      </c>
      <c r="V755" t="s">
        <v>478</v>
      </c>
      <c r="W755" t="s">
        <v>2401</v>
      </c>
      <c r="X755" t="s">
        <v>2401</v>
      </c>
      <c r="AF755" t="s">
        <v>382</v>
      </c>
      <c r="AG755" t="s">
        <v>3425</v>
      </c>
      <c r="AI755">
        <v>-15</v>
      </c>
      <c r="AL755" t="s">
        <v>2407</v>
      </c>
      <c r="AM755">
        <v>1</v>
      </c>
      <c r="AN755" t="s">
        <v>31</v>
      </c>
      <c r="AO755">
        <v>0</v>
      </c>
      <c r="AS755" t="s">
        <v>385</v>
      </c>
      <c r="AX755" t="s">
        <v>57</v>
      </c>
      <c r="AY755" t="s">
        <v>442</v>
      </c>
      <c r="AZ755" t="s">
        <v>3426</v>
      </c>
      <c r="BF755">
        <v>0</v>
      </c>
      <c r="BK755" t="s">
        <v>31</v>
      </c>
      <c r="BS755" t="s">
        <v>379</v>
      </c>
      <c r="BT755" t="s">
        <v>379</v>
      </c>
      <c r="CI755" t="s">
        <v>388</v>
      </c>
      <c r="CJ755" s="14">
        <v>45013</v>
      </c>
      <c r="CK755">
        <v>1</v>
      </c>
    </row>
    <row r="756" spans="1:89">
      <c r="A756" t="s">
        <v>454</v>
      </c>
      <c r="B756" t="s">
        <v>374</v>
      </c>
      <c r="C756" t="s">
        <v>455</v>
      </c>
      <c r="D756" t="s">
        <v>3427</v>
      </c>
      <c r="E756" t="s">
        <v>3428</v>
      </c>
      <c r="F756" s="13">
        <v>44596.634814814817</v>
      </c>
      <c r="G756" t="s">
        <v>2399</v>
      </c>
      <c r="H756" t="s">
        <v>2400</v>
      </c>
      <c r="I756" s="13">
        <v>44635.497800925928</v>
      </c>
      <c r="K756" t="s">
        <v>379</v>
      </c>
      <c r="M756" s="13">
        <v>44620</v>
      </c>
      <c r="R756">
        <v>100</v>
      </c>
      <c r="S756" t="s">
        <v>416</v>
      </c>
      <c r="T756" t="s">
        <v>57</v>
      </c>
      <c r="V756" t="s">
        <v>478</v>
      </c>
      <c r="W756" t="s">
        <v>2401</v>
      </c>
      <c r="X756" t="s">
        <v>2401</v>
      </c>
      <c r="AF756" t="s">
        <v>382</v>
      </c>
      <c r="AG756" t="s">
        <v>3429</v>
      </c>
      <c r="AI756">
        <v>-15</v>
      </c>
      <c r="AL756" t="s">
        <v>2412</v>
      </c>
      <c r="AM756">
        <v>1</v>
      </c>
      <c r="AN756" t="s">
        <v>31</v>
      </c>
      <c r="AO756">
        <v>0</v>
      </c>
      <c r="AS756" t="s">
        <v>385</v>
      </c>
      <c r="AX756" t="s">
        <v>57</v>
      </c>
      <c r="AY756" t="s">
        <v>442</v>
      </c>
      <c r="AZ756" t="s">
        <v>3430</v>
      </c>
      <c r="BE756" t="s">
        <v>2414</v>
      </c>
      <c r="BF756">
        <v>0</v>
      </c>
      <c r="BK756" t="s">
        <v>31</v>
      </c>
      <c r="BS756" t="s">
        <v>379</v>
      </c>
      <c r="BT756" t="s">
        <v>379</v>
      </c>
      <c r="CI756" t="s">
        <v>388</v>
      </c>
      <c r="CJ756" s="14">
        <v>45013</v>
      </c>
      <c r="CK756">
        <v>1</v>
      </c>
    </row>
    <row r="757" spans="1:89">
      <c r="A757" t="s">
        <v>454</v>
      </c>
      <c r="B757" t="s">
        <v>374</v>
      </c>
      <c r="C757" t="s">
        <v>455</v>
      </c>
      <c r="D757" t="s">
        <v>3431</v>
      </c>
      <c r="E757" t="s">
        <v>3432</v>
      </c>
      <c r="F757" s="13">
        <v>44596.491365740738</v>
      </c>
      <c r="G757" t="s">
        <v>2399</v>
      </c>
      <c r="H757" t="s">
        <v>2400</v>
      </c>
      <c r="I757" s="13">
        <v>44635.496354166666</v>
      </c>
      <c r="K757" t="s">
        <v>379</v>
      </c>
      <c r="M757" s="13">
        <v>44620</v>
      </c>
      <c r="R757">
        <v>100</v>
      </c>
      <c r="S757" t="s">
        <v>416</v>
      </c>
      <c r="T757" t="s">
        <v>57</v>
      </c>
      <c r="V757" t="s">
        <v>478</v>
      </c>
      <c r="W757" t="s">
        <v>2417</v>
      </c>
      <c r="X757" t="s">
        <v>2417</v>
      </c>
      <c r="AF757" t="s">
        <v>382</v>
      </c>
      <c r="AG757" t="s">
        <v>3433</v>
      </c>
      <c r="AI757">
        <v>-15</v>
      </c>
      <c r="AL757" t="s">
        <v>2418</v>
      </c>
      <c r="AM757">
        <v>1</v>
      </c>
      <c r="AN757" t="s">
        <v>31</v>
      </c>
      <c r="AO757">
        <v>0</v>
      </c>
      <c r="AS757" t="s">
        <v>385</v>
      </c>
      <c r="AX757" t="s">
        <v>57</v>
      </c>
      <c r="AY757" t="s">
        <v>442</v>
      </c>
      <c r="AZ757" t="s">
        <v>3434</v>
      </c>
      <c r="BE757" t="s">
        <v>2420</v>
      </c>
      <c r="BF757">
        <v>0</v>
      </c>
      <c r="BK757" t="s">
        <v>31</v>
      </c>
      <c r="BS757" t="s">
        <v>379</v>
      </c>
      <c r="BT757" t="s">
        <v>379</v>
      </c>
      <c r="CI757" t="s">
        <v>388</v>
      </c>
      <c r="CJ757" s="14">
        <v>45013</v>
      </c>
      <c r="CK757">
        <v>1</v>
      </c>
    </row>
    <row r="758" spans="1:89">
      <c r="A758" t="s">
        <v>454</v>
      </c>
      <c r="B758" t="s">
        <v>374</v>
      </c>
      <c r="C758" t="s">
        <v>455</v>
      </c>
      <c r="D758" t="s">
        <v>3435</v>
      </c>
      <c r="E758" t="s">
        <v>3436</v>
      </c>
      <c r="F758" s="13">
        <v>44596.472245370373</v>
      </c>
      <c r="G758" t="s">
        <v>2399</v>
      </c>
      <c r="H758" t="s">
        <v>2400</v>
      </c>
      <c r="I758" s="13">
        <v>44635.495439814818</v>
      </c>
      <c r="K758" t="s">
        <v>379</v>
      </c>
      <c r="M758" s="13">
        <v>44620</v>
      </c>
      <c r="R758">
        <v>100</v>
      </c>
      <c r="S758" t="s">
        <v>416</v>
      </c>
      <c r="T758" t="s">
        <v>57</v>
      </c>
      <c r="V758" t="s">
        <v>478</v>
      </c>
      <c r="W758" t="s">
        <v>2417</v>
      </c>
      <c r="X758" t="s">
        <v>2417</v>
      </c>
      <c r="AF758" t="s">
        <v>382</v>
      </c>
      <c r="AG758" t="s">
        <v>3437</v>
      </c>
      <c r="AI758">
        <v>-15</v>
      </c>
      <c r="AL758" t="s">
        <v>2434</v>
      </c>
      <c r="AM758">
        <v>1</v>
      </c>
      <c r="AN758" t="s">
        <v>31</v>
      </c>
      <c r="AO758">
        <v>0</v>
      </c>
      <c r="AS758" t="s">
        <v>385</v>
      </c>
      <c r="AX758" t="s">
        <v>57</v>
      </c>
      <c r="AY758" t="s">
        <v>442</v>
      </c>
      <c r="AZ758" t="s">
        <v>3438</v>
      </c>
      <c r="BF758">
        <v>0</v>
      </c>
      <c r="BK758" t="s">
        <v>31</v>
      </c>
      <c r="BS758" t="s">
        <v>379</v>
      </c>
      <c r="BT758" t="s">
        <v>379</v>
      </c>
      <c r="CI758" t="s">
        <v>388</v>
      </c>
      <c r="CJ758" s="14">
        <v>45013</v>
      </c>
      <c r="CK758">
        <v>1</v>
      </c>
    </row>
    <row r="759" spans="1:89">
      <c r="A759" t="s">
        <v>454</v>
      </c>
      <c r="B759" t="s">
        <v>374</v>
      </c>
      <c r="C759" t="s">
        <v>455</v>
      </c>
      <c r="D759" t="s">
        <v>3439</v>
      </c>
      <c r="E759" t="s">
        <v>3440</v>
      </c>
      <c r="F759" s="13">
        <v>44596.432037037041</v>
      </c>
      <c r="G759" t="s">
        <v>2399</v>
      </c>
      <c r="H759" t="s">
        <v>2400</v>
      </c>
      <c r="I759" s="13">
        <v>44635.867037037038</v>
      </c>
      <c r="K759" t="s">
        <v>379</v>
      </c>
      <c r="M759" s="13">
        <v>44620</v>
      </c>
      <c r="R759">
        <v>100</v>
      </c>
      <c r="S759" t="s">
        <v>416</v>
      </c>
      <c r="T759" t="s">
        <v>57</v>
      </c>
      <c r="V759" t="s">
        <v>478</v>
      </c>
      <c r="W759" t="s">
        <v>2417</v>
      </c>
      <c r="X759" t="s">
        <v>2417</v>
      </c>
      <c r="AF759" t="s">
        <v>382</v>
      </c>
      <c r="AG759" t="s">
        <v>3441</v>
      </c>
      <c r="AI759">
        <v>-15</v>
      </c>
      <c r="AL759" t="s">
        <v>2476</v>
      </c>
      <c r="AM759">
        <v>1</v>
      </c>
      <c r="AN759" t="s">
        <v>31</v>
      </c>
      <c r="AO759">
        <v>0</v>
      </c>
      <c r="AS759" t="s">
        <v>385</v>
      </c>
      <c r="AX759" t="s">
        <v>57</v>
      </c>
      <c r="AY759" t="s">
        <v>442</v>
      </c>
      <c r="AZ759" t="s">
        <v>3442</v>
      </c>
      <c r="BF759">
        <v>0</v>
      </c>
      <c r="BK759" t="s">
        <v>31</v>
      </c>
      <c r="BS759" t="s">
        <v>379</v>
      </c>
      <c r="BT759" t="s">
        <v>379</v>
      </c>
      <c r="CI759" t="s">
        <v>388</v>
      </c>
      <c r="CJ759" s="14">
        <v>45013</v>
      </c>
      <c r="CK759">
        <v>1</v>
      </c>
    </row>
    <row r="760" spans="1:89">
      <c r="A760" t="s">
        <v>454</v>
      </c>
      <c r="B760" t="s">
        <v>374</v>
      </c>
      <c r="C760" t="s">
        <v>455</v>
      </c>
      <c r="D760" t="s">
        <v>3443</v>
      </c>
      <c r="E760" t="s">
        <v>3444</v>
      </c>
      <c r="F760" s="13">
        <v>44596.399224537039</v>
      </c>
      <c r="G760" t="s">
        <v>2399</v>
      </c>
      <c r="H760" t="s">
        <v>2400</v>
      </c>
      <c r="I760" s="13">
        <v>44635.490023148152</v>
      </c>
      <c r="K760" t="s">
        <v>379</v>
      </c>
      <c r="M760" s="13">
        <v>44620</v>
      </c>
      <c r="R760">
        <v>100</v>
      </c>
      <c r="S760" t="s">
        <v>416</v>
      </c>
      <c r="T760" t="s">
        <v>57</v>
      </c>
      <c r="V760" t="s">
        <v>478</v>
      </c>
      <c r="W760" t="s">
        <v>2417</v>
      </c>
      <c r="X760" t="s">
        <v>2417</v>
      </c>
      <c r="AF760" t="s">
        <v>382</v>
      </c>
      <c r="AG760" t="s">
        <v>3445</v>
      </c>
      <c r="AI760">
        <v>-15</v>
      </c>
      <c r="AL760" t="s">
        <v>2532</v>
      </c>
      <c r="AM760">
        <v>1</v>
      </c>
      <c r="AN760" t="s">
        <v>31</v>
      </c>
      <c r="AO760">
        <v>0</v>
      </c>
      <c r="AS760" t="s">
        <v>385</v>
      </c>
      <c r="AX760" t="s">
        <v>57</v>
      </c>
      <c r="AY760" t="s">
        <v>442</v>
      </c>
      <c r="AZ760" t="s">
        <v>3438</v>
      </c>
      <c r="BF760">
        <v>0</v>
      </c>
      <c r="BK760" t="s">
        <v>31</v>
      </c>
      <c r="BS760" t="s">
        <v>379</v>
      </c>
      <c r="BT760" t="s">
        <v>379</v>
      </c>
      <c r="CI760" t="s">
        <v>388</v>
      </c>
      <c r="CJ760" s="14">
        <v>45013</v>
      </c>
      <c r="CK760">
        <v>1</v>
      </c>
    </row>
    <row r="761" spans="1:89">
      <c r="A761" t="s">
        <v>454</v>
      </c>
      <c r="B761" t="s">
        <v>374</v>
      </c>
      <c r="C761" t="s">
        <v>455</v>
      </c>
      <c r="D761" t="s">
        <v>3446</v>
      </c>
      <c r="E761" t="s">
        <v>3447</v>
      </c>
      <c r="F761" s="13">
        <v>44595.73369212963</v>
      </c>
      <c r="G761" t="s">
        <v>2399</v>
      </c>
      <c r="H761" t="s">
        <v>2400</v>
      </c>
      <c r="I761" s="13">
        <v>44635.48883101852</v>
      </c>
      <c r="K761" t="s">
        <v>379</v>
      </c>
      <c r="M761" s="13">
        <v>44620</v>
      </c>
      <c r="R761">
        <v>100</v>
      </c>
      <c r="S761" t="s">
        <v>416</v>
      </c>
      <c r="T761" t="s">
        <v>57</v>
      </c>
      <c r="V761" t="s">
        <v>478</v>
      </c>
      <c r="W761" t="s">
        <v>2417</v>
      </c>
      <c r="X761" t="s">
        <v>2417</v>
      </c>
      <c r="AF761" t="s">
        <v>382</v>
      </c>
      <c r="AG761" t="s">
        <v>3448</v>
      </c>
      <c r="AI761">
        <v>-15</v>
      </c>
      <c r="AL761" t="s">
        <v>2595</v>
      </c>
      <c r="AM761">
        <v>1</v>
      </c>
      <c r="AN761" t="s">
        <v>31</v>
      </c>
      <c r="AO761">
        <v>0</v>
      </c>
      <c r="AS761" t="s">
        <v>392</v>
      </c>
      <c r="AX761" t="s">
        <v>57</v>
      </c>
      <c r="AY761" t="s">
        <v>442</v>
      </c>
      <c r="AZ761" t="s">
        <v>3449</v>
      </c>
      <c r="BF761">
        <v>0</v>
      </c>
      <c r="BK761" t="s">
        <v>31</v>
      </c>
      <c r="BS761" t="s">
        <v>379</v>
      </c>
      <c r="BT761" t="s">
        <v>379</v>
      </c>
      <c r="CI761" t="s">
        <v>388</v>
      </c>
      <c r="CJ761" s="14">
        <v>45013</v>
      </c>
      <c r="CK761">
        <v>1</v>
      </c>
    </row>
    <row r="762" spans="1:89">
      <c r="A762" t="s">
        <v>454</v>
      </c>
      <c r="B762" t="s">
        <v>374</v>
      </c>
      <c r="C762" t="s">
        <v>455</v>
      </c>
      <c r="D762" t="s">
        <v>3450</v>
      </c>
      <c r="E762" t="s">
        <v>3451</v>
      </c>
      <c r="F762" s="13">
        <v>44595.729166666664</v>
      </c>
      <c r="G762" t="s">
        <v>2399</v>
      </c>
      <c r="H762" t="s">
        <v>2400</v>
      </c>
      <c r="I762" s="13">
        <v>44624.468576388892</v>
      </c>
      <c r="K762" t="s">
        <v>379</v>
      </c>
      <c r="M762" s="13">
        <v>44620</v>
      </c>
      <c r="R762">
        <v>100</v>
      </c>
      <c r="S762" t="s">
        <v>416</v>
      </c>
      <c r="T762" t="s">
        <v>57</v>
      </c>
      <c r="V762" t="s">
        <v>478</v>
      </c>
      <c r="W762" t="s">
        <v>2417</v>
      </c>
      <c r="X762" t="s">
        <v>2417</v>
      </c>
      <c r="AF762" t="s">
        <v>382</v>
      </c>
      <c r="AG762" t="s">
        <v>3452</v>
      </c>
      <c r="AI762">
        <v>-4</v>
      </c>
      <c r="AL762" t="s">
        <v>2558</v>
      </c>
      <c r="AM762">
        <v>1</v>
      </c>
      <c r="AN762" t="s">
        <v>31</v>
      </c>
      <c r="AO762">
        <v>0</v>
      </c>
      <c r="AS762" t="s">
        <v>385</v>
      </c>
      <c r="AX762" t="s">
        <v>57</v>
      </c>
      <c r="AY762" t="s">
        <v>442</v>
      </c>
      <c r="AZ762" t="s">
        <v>3453</v>
      </c>
      <c r="BF762">
        <v>0</v>
      </c>
      <c r="BK762" t="s">
        <v>31</v>
      </c>
      <c r="BS762" t="s">
        <v>379</v>
      </c>
      <c r="BT762" t="s">
        <v>379</v>
      </c>
      <c r="CI762" t="s">
        <v>388</v>
      </c>
      <c r="CJ762" s="14">
        <v>45013</v>
      </c>
      <c r="CK762">
        <v>1</v>
      </c>
    </row>
    <row r="763" spans="1:89">
      <c r="A763" t="s">
        <v>454</v>
      </c>
      <c r="B763" t="s">
        <v>374</v>
      </c>
      <c r="C763" t="s">
        <v>455</v>
      </c>
      <c r="D763" t="s">
        <v>3454</v>
      </c>
      <c r="E763" t="s">
        <v>3455</v>
      </c>
      <c r="F763" s="13">
        <v>44595.601770833331</v>
      </c>
      <c r="G763" t="s">
        <v>1264</v>
      </c>
      <c r="H763" t="s">
        <v>1265</v>
      </c>
      <c r="I763" s="13">
        <v>44620.69295138889</v>
      </c>
      <c r="K763" t="s">
        <v>409</v>
      </c>
      <c r="R763">
        <v>0</v>
      </c>
      <c r="S763" t="s">
        <v>380</v>
      </c>
      <c r="T763" t="s">
        <v>57</v>
      </c>
      <c r="V763" t="s">
        <v>381</v>
      </c>
      <c r="W763" t="s">
        <v>3456</v>
      </c>
      <c r="X763" t="s">
        <v>3456</v>
      </c>
      <c r="AC763" s="13">
        <v>44620</v>
      </c>
      <c r="AD763" s="13">
        <v>44620</v>
      </c>
      <c r="AI763">
        <v>25</v>
      </c>
      <c r="AL763" t="s">
        <v>2463</v>
      </c>
      <c r="AN763" t="s">
        <v>31</v>
      </c>
      <c r="AO763">
        <v>0</v>
      </c>
      <c r="AS763" t="s">
        <v>385</v>
      </c>
      <c r="AX763" t="s">
        <v>57</v>
      </c>
      <c r="AY763" t="s">
        <v>386</v>
      </c>
      <c r="AZ763" t="s">
        <v>3457</v>
      </c>
      <c r="BE763" t="s">
        <v>3458</v>
      </c>
      <c r="BF763">
        <v>0</v>
      </c>
      <c r="BK763" t="s">
        <v>31</v>
      </c>
      <c r="BS763" t="s">
        <v>409</v>
      </c>
      <c r="BT763" t="s">
        <v>409</v>
      </c>
      <c r="CI763" t="s">
        <v>388</v>
      </c>
      <c r="CJ763" s="14">
        <v>45013</v>
      </c>
      <c r="CK763">
        <v>1</v>
      </c>
    </row>
    <row r="764" spans="1:89">
      <c r="A764" t="s">
        <v>454</v>
      </c>
      <c r="B764" t="s">
        <v>374</v>
      </c>
      <c r="C764" t="s">
        <v>455</v>
      </c>
      <c r="D764" t="s">
        <v>3459</v>
      </c>
      <c r="E764" t="s">
        <v>3460</v>
      </c>
      <c r="F764" s="13">
        <v>44595.594456018516</v>
      </c>
      <c r="G764" t="s">
        <v>1264</v>
      </c>
      <c r="H764" t="s">
        <v>1265</v>
      </c>
      <c r="I764" s="13">
        <v>45012.043692129628</v>
      </c>
      <c r="K764" t="s">
        <v>415</v>
      </c>
      <c r="M764" s="13">
        <v>44727</v>
      </c>
      <c r="R764">
        <v>0</v>
      </c>
      <c r="S764" t="s">
        <v>380</v>
      </c>
      <c r="T764" t="s">
        <v>57</v>
      </c>
      <c r="V764" t="s">
        <v>478</v>
      </c>
      <c r="W764" t="s">
        <v>2306</v>
      </c>
      <c r="X764" t="s">
        <v>2306</v>
      </c>
      <c r="AF764" t="s">
        <v>451</v>
      </c>
      <c r="AI764">
        <v>-285</v>
      </c>
      <c r="AL764" t="s">
        <v>3461</v>
      </c>
      <c r="AN764" t="s">
        <v>31</v>
      </c>
      <c r="AO764">
        <v>0</v>
      </c>
      <c r="AS764" t="s">
        <v>392</v>
      </c>
      <c r="AX764" t="s">
        <v>57</v>
      </c>
      <c r="AY764" t="s">
        <v>442</v>
      </c>
      <c r="AZ764" t="s">
        <v>3462</v>
      </c>
      <c r="BE764" t="s">
        <v>3463</v>
      </c>
      <c r="BF764">
        <v>0</v>
      </c>
      <c r="BK764" t="s">
        <v>31</v>
      </c>
      <c r="BS764" t="s">
        <v>419</v>
      </c>
      <c r="BT764" t="s">
        <v>419</v>
      </c>
      <c r="CI764" t="s">
        <v>388</v>
      </c>
      <c r="CJ764" s="14">
        <v>45013</v>
      </c>
      <c r="CK764">
        <v>1</v>
      </c>
    </row>
    <row r="765" spans="1:89">
      <c r="A765" t="s">
        <v>454</v>
      </c>
      <c r="B765" t="s">
        <v>374</v>
      </c>
      <c r="C765" t="s">
        <v>455</v>
      </c>
      <c r="D765" t="s">
        <v>3464</v>
      </c>
      <c r="E765" t="s">
        <v>3465</v>
      </c>
      <c r="F765" s="13">
        <v>44595.564745370371</v>
      </c>
      <c r="G765" t="s">
        <v>1264</v>
      </c>
      <c r="H765" t="s">
        <v>1265</v>
      </c>
      <c r="I765" s="13">
        <v>45012.043680555558</v>
      </c>
      <c r="K765" t="s">
        <v>415</v>
      </c>
      <c r="M765" s="13">
        <v>44666</v>
      </c>
      <c r="R765">
        <v>0</v>
      </c>
      <c r="S765" t="s">
        <v>380</v>
      </c>
      <c r="T765" t="s">
        <v>57</v>
      </c>
      <c r="V765" t="s">
        <v>478</v>
      </c>
      <c r="W765" t="s">
        <v>2306</v>
      </c>
      <c r="X765" t="s">
        <v>2306</v>
      </c>
      <c r="AC765" s="13">
        <v>44666</v>
      </c>
      <c r="AD765" s="13">
        <v>44666</v>
      </c>
      <c r="AF765" t="s">
        <v>451</v>
      </c>
      <c r="AI765">
        <v>-346</v>
      </c>
      <c r="AL765" t="s">
        <v>3466</v>
      </c>
      <c r="AN765" t="s">
        <v>57</v>
      </c>
      <c r="AO765">
        <v>0</v>
      </c>
      <c r="AS765" t="s">
        <v>526</v>
      </c>
      <c r="AX765" t="s">
        <v>57</v>
      </c>
      <c r="AY765" t="s">
        <v>442</v>
      </c>
      <c r="AZ765" t="s">
        <v>3467</v>
      </c>
      <c r="BE765" t="s">
        <v>3468</v>
      </c>
      <c r="BF765">
        <v>0</v>
      </c>
      <c r="BK765" t="s">
        <v>31</v>
      </c>
      <c r="BS765" t="s">
        <v>419</v>
      </c>
      <c r="BT765" t="s">
        <v>419</v>
      </c>
      <c r="CI765" t="s">
        <v>388</v>
      </c>
      <c r="CJ765" s="14">
        <v>45013</v>
      </c>
      <c r="CK765">
        <v>1</v>
      </c>
    </row>
    <row r="766" spans="1:89">
      <c r="A766" t="s">
        <v>454</v>
      </c>
      <c r="B766" t="s">
        <v>374</v>
      </c>
      <c r="C766" t="s">
        <v>455</v>
      </c>
      <c r="D766" t="s">
        <v>3469</v>
      </c>
      <c r="E766" t="s">
        <v>3470</v>
      </c>
      <c r="F766" s="13">
        <v>44595.532986111109</v>
      </c>
      <c r="G766" t="s">
        <v>1264</v>
      </c>
      <c r="H766" t="s">
        <v>1265</v>
      </c>
      <c r="I766" s="13">
        <v>44624.473298611112</v>
      </c>
      <c r="K766" t="s">
        <v>379</v>
      </c>
      <c r="M766" s="13">
        <v>44621</v>
      </c>
      <c r="R766">
        <v>100</v>
      </c>
      <c r="S766" t="s">
        <v>416</v>
      </c>
      <c r="T766" t="s">
        <v>57</v>
      </c>
      <c r="V766" t="s">
        <v>478</v>
      </c>
      <c r="W766" t="s">
        <v>2306</v>
      </c>
      <c r="X766" t="s">
        <v>2306</v>
      </c>
      <c r="AF766" t="s">
        <v>382</v>
      </c>
      <c r="AG766" t="s">
        <v>3471</v>
      </c>
      <c r="AI766">
        <v>-3</v>
      </c>
      <c r="AL766" t="s">
        <v>2307</v>
      </c>
      <c r="AM766">
        <v>1</v>
      </c>
      <c r="AN766" t="s">
        <v>31</v>
      </c>
      <c r="AO766">
        <v>0</v>
      </c>
      <c r="AS766" t="s">
        <v>392</v>
      </c>
      <c r="AX766" t="s">
        <v>57</v>
      </c>
      <c r="AY766" t="s">
        <v>386</v>
      </c>
      <c r="AZ766" t="s">
        <v>3472</v>
      </c>
      <c r="BE766" t="s">
        <v>3473</v>
      </c>
      <c r="BF766">
        <v>0</v>
      </c>
      <c r="BK766" t="s">
        <v>31</v>
      </c>
      <c r="BS766" t="s">
        <v>379</v>
      </c>
      <c r="BT766" t="s">
        <v>379</v>
      </c>
      <c r="CI766" t="s">
        <v>388</v>
      </c>
      <c r="CJ766" s="14">
        <v>45013</v>
      </c>
      <c r="CK766">
        <v>1</v>
      </c>
    </row>
    <row r="767" spans="1:89">
      <c r="A767" t="s">
        <v>3474</v>
      </c>
      <c r="B767" t="s">
        <v>374</v>
      </c>
      <c r="C767" t="s">
        <v>3475</v>
      </c>
      <c r="D767" t="s">
        <v>3476</v>
      </c>
      <c r="E767" t="s">
        <v>3477</v>
      </c>
      <c r="F767" s="13">
        <v>44594.652569444443</v>
      </c>
      <c r="G767" t="s">
        <v>2506</v>
      </c>
      <c r="H767" t="s">
        <v>2507</v>
      </c>
      <c r="I767" s="13">
        <v>44624.521481481483</v>
      </c>
      <c r="K767" t="s">
        <v>379</v>
      </c>
      <c r="M767" s="13">
        <v>44651</v>
      </c>
      <c r="R767">
        <v>100</v>
      </c>
      <c r="S767" t="s">
        <v>380</v>
      </c>
      <c r="T767" t="s">
        <v>57</v>
      </c>
      <c r="V767" t="s">
        <v>381</v>
      </c>
      <c r="W767" t="s">
        <v>3478</v>
      </c>
      <c r="X767" t="s">
        <v>3478</v>
      </c>
      <c r="AF767" t="s">
        <v>382</v>
      </c>
      <c r="AG767" t="s">
        <v>3479</v>
      </c>
      <c r="AI767">
        <v>27</v>
      </c>
      <c r="AL767" t="s">
        <v>3480</v>
      </c>
      <c r="AN767" t="s">
        <v>31</v>
      </c>
      <c r="AO767">
        <v>0</v>
      </c>
      <c r="AS767" t="s">
        <v>648</v>
      </c>
      <c r="AX767" t="s">
        <v>57</v>
      </c>
      <c r="AY767" t="s">
        <v>386</v>
      </c>
      <c r="AZ767" t="s">
        <v>3481</v>
      </c>
      <c r="BF767">
        <v>0</v>
      </c>
      <c r="BK767" t="s">
        <v>31</v>
      </c>
      <c r="BS767" t="s">
        <v>379</v>
      </c>
      <c r="BT767" t="s">
        <v>379</v>
      </c>
      <c r="CI767" t="s">
        <v>388</v>
      </c>
      <c r="CJ767" s="14">
        <v>45013</v>
      </c>
      <c r="CK767">
        <v>1</v>
      </c>
    </row>
    <row r="768" spans="1:89">
      <c r="A768" t="s">
        <v>3482</v>
      </c>
      <c r="B768" t="s">
        <v>374</v>
      </c>
      <c r="C768" t="s">
        <v>3483</v>
      </c>
      <c r="D768" t="s">
        <v>3484</v>
      </c>
      <c r="E768" t="s">
        <v>3485</v>
      </c>
      <c r="F768" s="13">
        <v>44593.627511574072</v>
      </c>
      <c r="G768" t="s">
        <v>3486</v>
      </c>
      <c r="H768" t="s">
        <v>3487</v>
      </c>
      <c r="I768" s="13">
        <v>45012.043680555558</v>
      </c>
      <c r="K768" t="s">
        <v>415</v>
      </c>
      <c r="M768" s="13">
        <v>44658</v>
      </c>
      <c r="R768">
        <v>0</v>
      </c>
      <c r="S768" t="s">
        <v>380</v>
      </c>
      <c r="T768" t="s">
        <v>57</v>
      </c>
      <c r="V768" t="s">
        <v>478</v>
      </c>
      <c r="W768" t="s">
        <v>3488</v>
      </c>
      <c r="X768" t="s">
        <v>3488</v>
      </c>
      <c r="AF768" t="s">
        <v>451</v>
      </c>
      <c r="AG768" t="s">
        <v>3489</v>
      </c>
      <c r="AI768">
        <v>-354</v>
      </c>
      <c r="AL768" t="s">
        <v>3490</v>
      </c>
      <c r="AN768" t="s">
        <v>31</v>
      </c>
      <c r="AO768">
        <v>0</v>
      </c>
      <c r="AS768" t="s">
        <v>385</v>
      </c>
      <c r="AX768" t="s">
        <v>31</v>
      </c>
      <c r="AY768" t="s">
        <v>442</v>
      </c>
      <c r="AZ768" t="s">
        <v>3491</v>
      </c>
      <c r="BE768" t="s">
        <v>3492</v>
      </c>
      <c r="BF768">
        <v>0</v>
      </c>
      <c r="BK768" t="s">
        <v>31</v>
      </c>
      <c r="BS768" t="s">
        <v>419</v>
      </c>
      <c r="BT768" t="s">
        <v>419</v>
      </c>
      <c r="CI768" t="s">
        <v>388</v>
      </c>
      <c r="CJ768" s="14">
        <v>45013</v>
      </c>
      <c r="CK768">
        <v>1</v>
      </c>
    </row>
    <row r="769" spans="1:89">
      <c r="A769" t="s">
        <v>2075</v>
      </c>
      <c r="B769" t="s">
        <v>374</v>
      </c>
      <c r="C769" t="s">
        <v>2076</v>
      </c>
      <c r="D769" t="s">
        <v>3493</v>
      </c>
      <c r="E769" t="s">
        <v>3494</v>
      </c>
      <c r="F769" s="13">
        <v>44593.508912037039</v>
      </c>
      <c r="G769" t="s">
        <v>2079</v>
      </c>
      <c r="H769" t="s">
        <v>2080</v>
      </c>
      <c r="I769" s="13">
        <v>44645.339571759258</v>
      </c>
      <c r="K769" t="s">
        <v>379</v>
      </c>
      <c r="M769" s="13">
        <v>44620</v>
      </c>
      <c r="R769">
        <v>100</v>
      </c>
      <c r="S769" t="s">
        <v>416</v>
      </c>
      <c r="T769" t="s">
        <v>57</v>
      </c>
      <c r="V769" t="s">
        <v>478</v>
      </c>
      <c r="W769" t="s">
        <v>3495</v>
      </c>
      <c r="X769" t="s">
        <v>3495</v>
      </c>
      <c r="AF769" t="s">
        <v>382</v>
      </c>
      <c r="AG769" t="s">
        <v>3496</v>
      </c>
      <c r="AI769">
        <v>-25</v>
      </c>
      <c r="AJ769" s="13">
        <v>44673</v>
      </c>
      <c r="AL769" t="s">
        <v>2082</v>
      </c>
      <c r="AM769">
        <v>1</v>
      </c>
      <c r="AN769" t="s">
        <v>31</v>
      </c>
      <c r="AO769">
        <v>0</v>
      </c>
      <c r="AR769" t="s">
        <v>3497</v>
      </c>
      <c r="AS769" t="s">
        <v>385</v>
      </c>
      <c r="AX769" t="s">
        <v>57</v>
      </c>
      <c r="AY769" t="s">
        <v>386</v>
      </c>
      <c r="AZ769" t="s">
        <v>3498</v>
      </c>
      <c r="BF769">
        <v>0</v>
      </c>
      <c r="BK769" t="s">
        <v>31</v>
      </c>
      <c r="BS769" t="s">
        <v>379</v>
      </c>
      <c r="BT769" t="s">
        <v>379</v>
      </c>
      <c r="CI769" t="s">
        <v>388</v>
      </c>
      <c r="CJ769" s="14">
        <v>45013</v>
      </c>
      <c r="CK769">
        <v>1</v>
      </c>
    </row>
    <row r="770" spans="1:89">
      <c r="A770" t="s">
        <v>2089</v>
      </c>
      <c r="B770" t="s">
        <v>374</v>
      </c>
      <c r="C770" t="s">
        <v>2090</v>
      </c>
      <c r="D770" t="s">
        <v>3499</v>
      </c>
      <c r="E770" t="s">
        <v>3500</v>
      </c>
      <c r="F770" s="13">
        <v>44593.432650462964</v>
      </c>
      <c r="G770" t="s">
        <v>2079</v>
      </c>
      <c r="H770" t="s">
        <v>2080</v>
      </c>
      <c r="I770" s="13">
        <v>44645.338842592595</v>
      </c>
      <c r="K770" t="s">
        <v>379</v>
      </c>
      <c r="M770" s="13">
        <v>44620</v>
      </c>
      <c r="R770">
        <v>100</v>
      </c>
      <c r="S770" t="s">
        <v>416</v>
      </c>
      <c r="T770" t="s">
        <v>57</v>
      </c>
      <c r="V770" t="s">
        <v>478</v>
      </c>
      <c r="W770" t="s">
        <v>3501</v>
      </c>
      <c r="X770" t="s">
        <v>3501</v>
      </c>
      <c r="AF770" t="s">
        <v>382</v>
      </c>
      <c r="AG770" t="s">
        <v>3502</v>
      </c>
      <c r="AI770">
        <v>-25</v>
      </c>
      <c r="AL770" t="s">
        <v>2094</v>
      </c>
      <c r="AM770">
        <v>1</v>
      </c>
      <c r="AN770" t="s">
        <v>31</v>
      </c>
      <c r="AO770">
        <v>0</v>
      </c>
      <c r="AS770" t="s">
        <v>522</v>
      </c>
      <c r="AX770" t="s">
        <v>57</v>
      </c>
      <c r="AY770" t="s">
        <v>386</v>
      </c>
      <c r="AZ770" t="s">
        <v>3503</v>
      </c>
      <c r="BF770">
        <v>0</v>
      </c>
      <c r="BK770" t="s">
        <v>31</v>
      </c>
      <c r="BS770" t="s">
        <v>379</v>
      </c>
      <c r="BT770" t="s">
        <v>379</v>
      </c>
      <c r="CI770" t="s">
        <v>388</v>
      </c>
      <c r="CJ770" s="14">
        <v>45013</v>
      </c>
      <c r="CK770">
        <v>1</v>
      </c>
    </row>
    <row r="771" spans="1:89">
      <c r="A771" t="s">
        <v>3504</v>
      </c>
      <c r="B771" t="s">
        <v>374</v>
      </c>
      <c r="C771" t="s">
        <v>3505</v>
      </c>
      <c r="D771" t="s">
        <v>3506</v>
      </c>
      <c r="E771" t="s">
        <v>3507</v>
      </c>
      <c r="F771" s="13">
        <v>44592.727453703701</v>
      </c>
      <c r="G771" t="s">
        <v>2271</v>
      </c>
      <c r="H771" t="s">
        <v>2272</v>
      </c>
      <c r="I771" s="13">
        <v>45012.043680555558</v>
      </c>
      <c r="K771" t="s">
        <v>415</v>
      </c>
      <c r="M771" s="13">
        <v>44680</v>
      </c>
      <c r="R771">
        <v>0</v>
      </c>
      <c r="S771" t="s">
        <v>380</v>
      </c>
      <c r="T771" t="s">
        <v>57</v>
      </c>
      <c r="V771" t="s">
        <v>478</v>
      </c>
      <c r="W771" t="s">
        <v>3508</v>
      </c>
      <c r="X771" t="s">
        <v>3508</v>
      </c>
      <c r="AF771" t="s">
        <v>451</v>
      </c>
      <c r="AI771">
        <v>-332</v>
      </c>
      <c r="AL771" t="s">
        <v>3509</v>
      </c>
      <c r="AN771" t="s">
        <v>31</v>
      </c>
      <c r="AO771">
        <v>0</v>
      </c>
      <c r="AS771" t="s">
        <v>702</v>
      </c>
      <c r="AX771" t="s">
        <v>31</v>
      </c>
      <c r="AY771" t="s">
        <v>386</v>
      </c>
      <c r="AZ771" t="s">
        <v>3510</v>
      </c>
      <c r="BF771">
        <v>0</v>
      </c>
      <c r="BK771" t="s">
        <v>31</v>
      </c>
      <c r="BS771" t="s">
        <v>419</v>
      </c>
      <c r="BT771" t="s">
        <v>419</v>
      </c>
      <c r="CI771" t="s">
        <v>388</v>
      </c>
      <c r="CJ771" s="14">
        <v>45013</v>
      </c>
      <c r="CK771">
        <v>1</v>
      </c>
    </row>
    <row r="772" spans="1:89">
      <c r="A772" t="s">
        <v>2368</v>
      </c>
      <c r="B772" t="s">
        <v>374</v>
      </c>
      <c r="C772" t="s">
        <v>2369</v>
      </c>
      <c r="D772" t="s">
        <v>3511</v>
      </c>
      <c r="E772" t="s">
        <v>3512</v>
      </c>
      <c r="F772" s="13">
        <v>44592.681157407409</v>
      </c>
      <c r="G772" t="s">
        <v>3155</v>
      </c>
      <c r="H772" t="s">
        <v>3156</v>
      </c>
      <c r="I772" s="13">
        <v>45012.043680555558</v>
      </c>
      <c r="K772" t="s">
        <v>415</v>
      </c>
      <c r="M772" s="13">
        <v>44680</v>
      </c>
      <c r="R772">
        <v>70</v>
      </c>
      <c r="S772" t="s">
        <v>380</v>
      </c>
      <c r="T772" t="s">
        <v>57</v>
      </c>
      <c r="V772" t="s">
        <v>478</v>
      </c>
      <c r="W772" t="s">
        <v>3513</v>
      </c>
      <c r="X772" t="s">
        <v>3513</v>
      </c>
      <c r="AE772" t="s">
        <v>3514</v>
      </c>
      <c r="AF772" t="s">
        <v>451</v>
      </c>
      <c r="AG772" t="s">
        <v>3515</v>
      </c>
      <c r="AI772">
        <v>-332</v>
      </c>
      <c r="AL772" t="s">
        <v>3516</v>
      </c>
      <c r="AN772" t="s">
        <v>31</v>
      </c>
      <c r="AO772">
        <v>0</v>
      </c>
      <c r="AS772" t="s">
        <v>538</v>
      </c>
      <c r="AX772" t="s">
        <v>31</v>
      </c>
      <c r="AY772" t="s">
        <v>442</v>
      </c>
      <c r="AZ772" t="s">
        <v>3517</v>
      </c>
      <c r="BF772">
        <v>0</v>
      </c>
      <c r="BK772" t="s">
        <v>31</v>
      </c>
      <c r="BS772" t="s">
        <v>419</v>
      </c>
      <c r="BT772" t="s">
        <v>419</v>
      </c>
      <c r="CI772" t="s">
        <v>388</v>
      </c>
      <c r="CJ772" s="14">
        <v>45013</v>
      </c>
      <c r="CK772">
        <v>1</v>
      </c>
    </row>
    <row r="773" spans="1:89">
      <c r="A773" t="s">
        <v>2227</v>
      </c>
      <c r="B773" t="s">
        <v>374</v>
      </c>
      <c r="C773" t="s">
        <v>2228</v>
      </c>
      <c r="D773" t="s">
        <v>3518</v>
      </c>
      <c r="E773" t="s">
        <v>3519</v>
      </c>
      <c r="F773" s="13">
        <v>44589.319340277776</v>
      </c>
      <c r="G773" t="s">
        <v>2231</v>
      </c>
      <c r="H773" t="s">
        <v>2232</v>
      </c>
      <c r="I773" s="13">
        <v>44972.596226851849</v>
      </c>
      <c r="K773" t="s">
        <v>379</v>
      </c>
      <c r="M773" s="13">
        <v>44620</v>
      </c>
      <c r="R773">
        <v>100</v>
      </c>
      <c r="S773" t="s">
        <v>380</v>
      </c>
      <c r="T773" t="s">
        <v>57</v>
      </c>
      <c r="V773" t="s">
        <v>381</v>
      </c>
      <c r="W773" t="s">
        <v>3520</v>
      </c>
      <c r="X773" t="s">
        <v>3520</v>
      </c>
      <c r="AF773" t="s">
        <v>382</v>
      </c>
      <c r="AG773" t="s">
        <v>3519</v>
      </c>
      <c r="AI773">
        <v>28</v>
      </c>
      <c r="AL773" t="s">
        <v>3521</v>
      </c>
      <c r="AN773" t="s">
        <v>31</v>
      </c>
      <c r="AO773">
        <v>0</v>
      </c>
      <c r="AS773" t="s">
        <v>385</v>
      </c>
      <c r="AX773" t="s">
        <v>31</v>
      </c>
      <c r="AY773" t="s">
        <v>442</v>
      </c>
      <c r="AZ773" t="s">
        <v>3522</v>
      </c>
      <c r="BF773">
        <v>0</v>
      </c>
      <c r="BK773" t="s">
        <v>31</v>
      </c>
      <c r="BS773" t="s">
        <v>379</v>
      </c>
      <c r="BT773" t="s">
        <v>379</v>
      </c>
      <c r="CI773" t="s">
        <v>388</v>
      </c>
      <c r="CJ773" s="14">
        <v>45013</v>
      </c>
      <c r="CK773">
        <v>1</v>
      </c>
    </row>
    <row r="774" spans="1:89">
      <c r="A774" t="s">
        <v>2227</v>
      </c>
      <c r="B774" t="s">
        <v>374</v>
      </c>
      <c r="C774" t="s">
        <v>2228</v>
      </c>
      <c r="D774" t="s">
        <v>3523</v>
      </c>
      <c r="E774" t="s">
        <v>3524</v>
      </c>
      <c r="F774" s="13">
        <v>44589.313692129632</v>
      </c>
      <c r="G774" t="s">
        <v>2231</v>
      </c>
      <c r="H774" t="s">
        <v>2232</v>
      </c>
      <c r="I774" s="13">
        <v>44972.596226851849</v>
      </c>
      <c r="K774" t="s">
        <v>409</v>
      </c>
      <c r="R774">
        <v>0</v>
      </c>
      <c r="S774" t="s">
        <v>380</v>
      </c>
      <c r="T774" t="s">
        <v>57</v>
      </c>
      <c r="V774" t="s">
        <v>381</v>
      </c>
      <c r="W774" t="s">
        <v>2233</v>
      </c>
      <c r="X774" t="s">
        <v>2233</v>
      </c>
      <c r="AI774">
        <v>31</v>
      </c>
      <c r="AL774" t="s">
        <v>3521</v>
      </c>
      <c r="AN774" t="s">
        <v>31</v>
      </c>
      <c r="AO774">
        <v>0</v>
      </c>
      <c r="AS774" t="s">
        <v>385</v>
      </c>
      <c r="AX774" t="s">
        <v>31</v>
      </c>
      <c r="AY774" t="s">
        <v>442</v>
      </c>
      <c r="AZ774" t="s">
        <v>3525</v>
      </c>
      <c r="BF774">
        <v>0</v>
      </c>
      <c r="BK774" t="s">
        <v>31</v>
      </c>
      <c r="BS774" t="s">
        <v>409</v>
      </c>
      <c r="BT774" t="s">
        <v>409</v>
      </c>
      <c r="CI774" t="s">
        <v>388</v>
      </c>
      <c r="CJ774" s="14">
        <v>45013</v>
      </c>
      <c r="CK774">
        <v>1</v>
      </c>
    </row>
    <row r="775" spans="1:89">
      <c r="A775" t="s">
        <v>2227</v>
      </c>
      <c r="B775" t="s">
        <v>374</v>
      </c>
      <c r="C775" t="s">
        <v>2228</v>
      </c>
      <c r="D775" t="s">
        <v>3526</v>
      </c>
      <c r="E775" t="s">
        <v>3527</v>
      </c>
      <c r="F775" s="13">
        <v>44588.675081018519</v>
      </c>
      <c r="G775" t="s">
        <v>2231</v>
      </c>
      <c r="H775" t="s">
        <v>2232</v>
      </c>
      <c r="I775" s="13">
        <v>44972.596226851849</v>
      </c>
      <c r="K775" t="s">
        <v>379</v>
      </c>
      <c r="M775" s="13">
        <v>44589</v>
      </c>
      <c r="R775">
        <v>100</v>
      </c>
      <c r="S775" t="s">
        <v>380</v>
      </c>
      <c r="T775" t="s">
        <v>57</v>
      </c>
      <c r="V775" t="s">
        <v>478</v>
      </c>
      <c r="W775" t="s">
        <v>3528</v>
      </c>
      <c r="X775" t="s">
        <v>3528</v>
      </c>
      <c r="AF775" t="s">
        <v>382</v>
      </c>
      <c r="AG775" t="s">
        <v>3529</v>
      </c>
      <c r="AI775">
        <v>-13</v>
      </c>
      <c r="AJ775" s="13">
        <v>44602</v>
      </c>
      <c r="AL775" t="s">
        <v>3530</v>
      </c>
      <c r="AN775" t="s">
        <v>31</v>
      </c>
      <c r="AO775">
        <v>0</v>
      </c>
      <c r="AR775" t="s">
        <v>3531</v>
      </c>
      <c r="AS775" t="s">
        <v>392</v>
      </c>
      <c r="AX775" t="s">
        <v>31</v>
      </c>
      <c r="AY775" t="s">
        <v>442</v>
      </c>
      <c r="AZ775" t="s">
        <v>3532</v>
      </c>
      <c r="BF775">
        <v>0</v>
      </c>
      <c r="BK775" t="s">
        <v>31</v>
      </c>
      <c r="BS775" t="s">
        <v>379</v>
      </c>
      <c r="BT775" t="s">
        <v>379</v>
      </c>
      <c r="CI775" t="s">
        <v>388</v>
      </c>
      <c r="CJ775" s="14">
        <v>45013</v>
      </c>
      <c r="CK775">
        <v>1</v>
      </c>
    </row>
    <row r="776" spans="1:89">
      <c r="A776" t="s">
        <v>673</v>
      </c>
      <c r="B776" t="s">
        <v>374</v>
      </c>
      <c r="C776" t="s">
        <v>674</v>
      </c>
      <c r="D776" t="s">
        <v>3533</v>
      </c>
      <c r="E776" t="s">
        <v>3534</v>
      </c>
      <c r="F776" s="13">
        <v>44588.51185185185</v>
      </c>
      <c r="G776" t="s">
        <v>3535</v>
      </c>
      <c r="H776" t="s">
        <v>3536</v>
      </c>
      <c r="I776" s="13">
        <v>44588.563263888886</v>
      </c>
      <c r="K776" t="s">
        <v>379</v>
      </c>
      <c r="M776" s="13">
        <v>44593</v>
      </c>
      <c r="R776">
        <v>100</v>
      </c>
      <c r="S776" t="s">
        <v>380</v>
      </c>
      <c r="T776" t="s">
        <v>57</v>
      </c>
      <c r="V776" t="s">
        <v>381</v>
      </c>
      <c r="W776" t="s">
        <v>3537</v>
      </c>
      <c r="X776" t="s">
        <v>3537</v>
      </c>
      <c r="AC776" s="13">
        <v>44593</v>
      </c>
      <c r="AD776" s="13">
        <v>44593</v>
      </c>
      <c r="AF776" t="s">
        <v>382</v>
      </c>
      <c r="AG776" t="s">
        <v>3538</v>
      </c>
      <c r="AI776">
        <v>5</v>
      </c>
      <c r="AL776" t="s">
        <v>3539</v>
      </c>
      <c r="AN776" t="s">
        <v>31</v>
      </c>
      <c r="AO776">
        <v>0</v>
      </c>
      <c r="AS776" t="s">
        <v>385</v>
      </c>
      <c r="AX776" t="s">
        <v>31</v>
      </c>
      <c r="AY776" t="s">
        <v>442</v>
      </c>
      <c r="AZ776" t="s">
        <v>3540</v>
      </c>
      <c r="BF776">
        <v>0</v>
      </c>
      <c r="BK776" t="s">
        <v>31</v>
      </c>
      <c r="BS776" t="s">
        <v>379</v>
      </c>
      <c r="BT776" t="s">
        <v>379</v>
      </c>
      <c r="CI776" t="s">
        <v>388</v>
      </c>
      <c r="CJ776" s="14">
        <v>45013</v>
      </c>
      <c r="CK776">
        <v>1</v>
      </c>
    </row>
    <row r="777" spans="1:89">
      <c r="A777" t="s">
        <v>3541</v>
      </c>
      <c r="B777" t="s">
        <v>374</v>
      </c>
      <c r="C777" t="s">
        <v>3542</v>
      </c>
      <c r="D777" t="s">
        <v>3543</v>
      </c>
      <c r="E777" t="s">
        <v>3544</v>
      </c>
      <c r="F777" s="13">
        <v>44587.414942129632</v>
      </c>
      <c r="G777" t="s">
        <v>3346</v>
      </c>
      <c r="H777" t="s">
        <v>3347</v>
      </c>
      <c r="I777" s="13">
        <v>44610.689918981479</v>
      </c>
      <c r="K777" t="s">
        <v>379</v>
      </c>
      <c r="M777" s="13">
        <v>44592</v>
      </c>
      <c r="R777">
        <v>100</v>
      </c>
      <c r="S777" t="s">
        <v>380</v>
      </c>
      <c r="T777" t="s">
        <v>57</v>
      </c>
      <c r="V777" t="s">
        <v>381</v>
      </c>
      <c r="W777" t="s">
        <v>2817</v>
      </c>
      <c r="X777" t="s">
        <v>2817</v>
      </c>
      <c r="AF777" t="s">
        <v>382</v>
      </c>
      <c r="AG777" t="s">
        <v>1387</v>
      </c>
      <c r="AI777">
        <v>0</v>
      </c>
      <c r="AK777" t="s">
        <v>480</v>
      </c>
      <c r="AL777" t="s">
        <v>3545</v>
      </c>
      <c r="AN777" t="s">
        <v>31</v>
      </c>
      <c r="AO777">
        <v>0</v>
      </c>
      <c r="AS777" t="s">
        <v>730</v>
      </c>
      <c r="AX777" t="s">
        <v>57</v>
      </c>
      <c r="AY777" t="s">
        <v>386</v>
      </c>
      <c r="AZ777" t="s">
        <v>3546</v>
      </c>
      <c r="BF777">
        <v>0</v>
      </c>
      <c r="BK777" t="s">
        <v>31</v>
      </c>
      <c r="BS777" t="s">
        <v>379</v>
      </c>
      <c r="BT777" t="s">
        <v>379</v>
      </c>
      <c r="CI777" t="s">
        <v>388</v>
      </c>
      <c r="CJ777" s="14">
        <v>45013</v>
      </c>
      <c r="CK777">
        <v>1</v>
      </c>
    </row>
    <row r="778" spans="1:89">
      <c r="A778" t="s">
        <v>1415</v>
      </c>
      <c r="B778" t="s">
        <v>374</v>
      </c>
      <c r="C778" t="s">
        <v>1416</v>
      </c>
      <c r="D778" t="s">
        <v>3547</v>
      </c>
      <c r="E778" t="s">
        <v>3548</v>
      </c>
      <c r="F778" s="13">
        <v>44585.422210648147</v>
      </c>
      <c r="G778" t="s">
        <v>1418</v>
      </c>
      <c r="H778" t="s">
        <v>1419</v>
      </c>
      <c r="I778" s="13">
        <v>45012.043668981481</v>
      </c>
      <c r="K778" t="s">
        <v>415</v>
      </c>
      <c r="M778" s="13">
        <v>44742</v>
      </c>
      <c r="R778">
        <v>0</v>
      </c>
      <c r="S778" t="s">
        <v>380</v>
      </c>
      <c r="T778" t="s">
        <v>57</v>
      </c>
      <c r="V778" t="s">
        <v>478</v>
      </c>
      <c r="W778" t="s">
        <v>3549</v>
      </c>
      <c r="X778" t="s">
        <v>3549</v>
      </c>
      <c r="AF778" t="s">
        <v>451</v>
      </c>
      <c r="AI778">
        <v>-270</v>
      </c>
      <c r="AL778" t="s">
        <v>3550</v>
      </c>
      <c r="AN778" t="s">
        <v>31</v>
      </c>
      <c r="AO778">
        <v>0</v>
      </c>
      <c r="AS778" t="s">
        <v>385</v>
      </c>
      <c r="AX778" t="s">
        <v>31</v>
      </c>
      <c r="AY778" t="s">
        <v>442</v>
      </c>
      <c r="AZ778" t="s">
        <v>3551</v>
      </c>
      <c r="BF778">
        <v>0</v>
      </c>
      <c r="BK778" t="s">
        <v>31</v>
      </c>
      <c r="BS778" t="s">
        <v>419</v>
      </c>
      <c r="BT778" t="s">
        <v>419</v>
      </c>
      <c r="CI778" t="s">
        <v>388</v>
      </c>
      <c r="CJ778" s="14">
        <v>45013</v>
      </c>
      <c r="CK778">
        <v>1</v>
      </c>
    </row>
    <row r="779" spans="1:89">
      <c r="A779" t="s">
        <v>3552</v>
      </c>
      <c r="B779" t="s">
        <v>374</v>
      </c>
      <c r="C779" t="s">
        <v>3553</v>
      </c>
      <c r="D779" t="s">
        <v>3554</v>
      </c>
      <c r="E779" t="s">
        <v>3555</v>
      </c>
      <c r="F779" s="13">
        <v>44585.318055555559</v>
      </c>
      <c r="G779" t="s">
        <v>377</v>
      </c>
      <c r="H779" t="s">
        <v>378</v>
      </c>
      <c r="I779" s="13">
        <v>44585.325486111113</v>
      </c>
      <c r="K779" t="s">
        <v>409</v>
      </c>
      <c r="R779">
        <v>0</v>
      </c>
      <c r="S779" t="s">
        <v>380</v>
      </c>
      <c r="T779" t="s">
        <v>57</v>
      </c>
      <c r="V779" t="s">
        <v>381</v>
      </c>
      <c r="W779" t="s">
        <v>3556</v>
      </c>
      <c r="X779" t="s">
        <v>3556</v>
      </c>
      <c r="AI779">
        <v>7</v>
      </c>
      <c r="AL779" t="s">
        <v>3557</v>
      </c>
      <c r="AN779" t="s">
        <v>31</v>
      </c>
      <c r="AO779">
        <v>0</v>
      </c>
      <c r="AS779" t="s">
        <v>730</v>
      </c>
      <c r="AX779" t="s">
        <v>57</v>
      </c>
      <c r="AY779" t="s">
        <v>386</v>
      </c>
      <c r="AZ779" t="s">
        <v>3558</v>
      </c>
      <c r="BF779">
        <v>0</v>
      </c>
      <c r="BK779" t="s">
        <v>31</v>
      </c>
      <c r="BS779" t="s">
        <v>409</v>
      </c>
      <c r="BT779" t="s">
        <v>409</v>
      </c>
      <c r="CI779" t="s">
        <v>388</v>
      </c>
      <c r="CJ779" s="14">
        <v>45013</v>
      </c>
      <c r="CK779">
        <v>1</v>
      </c>
    </row>
    <row r="780" spans="1:89">
      <c r="A780" t="s">
        <v>2267</v>
      </c>
      <c r="B780" t="s">
        <v>374</v>
      </c>
      <c r="C780" t="s">
        <v>2268</v>
      </c>
      <c r="D780" t="s">
        <v>3559</v>
      </c>
      <c r="E780" t="s">
        <v>3560</v>
      </c>
      <c r="F780" s="13">
        <v>44571.72</v>
      </c>
      <c r="G780" t="s">
        <v>2271</v>
      </c>
      <c r="H780" t="s">
        <v>2272</v>
      </c>
      <c r="I780" s="13">
        <v>45012.043668981481</v>
      </c>
      <c r="K780" t="s">
        <v>415</v>
      </c>
      <c r="M780" s="13">
        <v>44631</v>
      </c>
      <c r="R780">
        <v>0</v>
      </c>
      <c r="S780" t="s">
        <v>416</v>
      </c>
      <c r="T780" t="s">
        <v>57</v>
      </c>
      <c r="V780" t="s">
        <v>478</v>
      </c>
      <c r="W780" t="s">
        <v>3561</v>
      </c>
      <c r="X780" t="s">
        <v>3561</v>
      </c>
      <c r="AF780" t="s">
        <v>451</v>
      </c>
      <c r="AI780">
        <v>-381</v>
      </c>
      <c r="AL780" t="s">
        <v>3562</v>
      </c>
      <c r="AN780" t="s">
        <v>31</v>
      </c>
      <c r="AO780">
        <v>0</v>
      </c>
      <c r="AS780" t="s">
        <v>385</v>
      </c>
      <c r="AX780" t="s">
        <v>31</v>
      </c>
      <c r="AY780" t="s">
        <v>386</v>
      </c>
      <c r="AZ780" t="s">
        <v>3563</v>
      </c>
      <c r="BF780">
        <v>0</v>
      </c>
      <c r="BK780" t="s">
        <v>31</v>
      </c>
      <c r="BS780" t="s">
        <v>419</v>
      </c>
      <c r="BT780" t="s">
        <v>419</v>
      </c>
      <c r="CI780" t="s">
        <v>388</v>
      </c>
      <c r="CJ780" s="14">
        <v>45013</v>
      </c>
      <c r="CK780">
        <v>1</v>
      </c>
    </row>
    <row r="781" spans="1:89">
      <c r="A781" t="s">
        <v>454</v>
      </c>
      <c r="B781" t="s">
        <v>374</v>
      </c>
      <c r="C781" t="s">
        <v>455</v>
      </c>
      <c r="D781" t="s">
        <v>3564</v>
      </c>
      <c r="E781" t="s">
        <v>3565</v>
      </c>
      <c r="F781" s="13">
        <v>44559.565185185187</v>
      </c>
      <c r="G781" t="s">
        <v>1264</v>
      </c>
      <c r="H781" t="s">
        <v>1265</v>
      </c>
      <c r="I781" s="13">
        <v>44624.44866898148</v>
      </c>
      <c r="K781" t="s">
        <v>379</v>
      </c>
      <c r="M781" s="13">
        <v>44620</v>
      </c>
      <c r="R781">
        <v>100</v>
      </c>
      <c r="S781" t="s">
        <v>416</v>
      </c>
      <c r="T781" t="s">
        <v>57</v>
      </c>
      <c r="V781" t="s">
        <v>478</v>
      </c>
      <c r="W781" t="s">
        <v>2306</v>
      </c>
      <c r="X781" t="s">
        <v>2306</v>
      </c>
      <c r="AF781" t="s">
        <v>382</v>
      </c>
      <c r="AG781" t="s">
        <v>3566</v>
      </c>
      <c r="AI781">
        <v>-4</v>
      </c>
      <c r="AL781" t="s">
        <v>2389</v>
      </c>
      <c r="AM781">
        <v>1</v>
      </c>
      <c r="AN781" t="s">
        <v>31</v>
      </c>
      <c r="AO781">
        <v>0</v>
      </c>
      <c r="AS781" t="s">
        <v>385</v>
      </c>
      <c r="AX781" t="s">
        <v>57</v>
      </c>
      <c r="AY781" t="s">
        <v>442</v>
      </c>
      <c r="AZ781" t="s">
        <v>3567</v>
      </c>
      <c r="BE781" t="s">
        <v>2391</v>
      </c>
      <c r="BF781">
        <v>0</v>
      </c>
      <c r="BK781" t="s">
        <v>31</v>
      </c>
      <c r="BS781" t="s">
        <v>379</v>
      </c>
      <c r="BT781" t="s">
        <v>379</v>
      </c>
      <c r="CI781" t="s">
        <v>388</v>
      </c>
      <c r="CJ781" s="14">
        <v>45013</v>
      </c>
      <c r="CK781">
        <v>1</v>
      </c>
    </row>
    <row r="782" spans="1:89">
      <c r="A782" t="s">
        <v>454</v>
      </c>
      <c r="B782" t="s">
        <v>374</v>
      </c>
      <c r="C782" t="s">
        <v>455</v>
      </c>
      <c r="D782" t="s">
        <v>3568</v>
      </c>
      <c r="E782" t="s">
        <v>3569</v>
      </c>
      <c r="F782" s="13">
        <v>44559.564780092594</v>
      </c>
      <c r="G782" t="s">
        <v>3570</v>
      </c>
      <c r="H782" t="s">
        <v>3571</v>
      </c>
      <c r="I782" s="13">
        <v>44624.454050925924</v>
      </c>
      <c r="K782" t="s">
        <v>379</v>
      </c>
      <c r="M782" s="13">
        <v>44620</v>
      </c>
      <c r="R782">
        <v>100</v>
      </c>
      <c r="S782" t="s">
        <v>416</v>
      </c>
      <c r="T782" t="s">
        <v>57</v>
      </c>
      <c r="V782" t="s">
        <v>478</v>
      </c>
      <c r="W782" t="s">
        <v>2306</v>
      </c>
      <c r="X782" t="s">
        <v>2306</v>
      </c>
      <c r="AF782" t="s">
        <v>382</v>
      </c>
      <c r="AG782" t="s">
        <v>3572</v>
      </c>
      <c r="AI782">
        <v>-4</v>
      </c>
      <c r="AL782" t="s">
        <v>2394</v>
      </c>
      <c r="AM782">
        <v>1</v>
      </c>
      <c r="AN782" t="s">
        <v>31</v>
      </c>
      <c r="AO782">
        <v>0</v>
      </c>
      <c r="AS782" t="s">
        <v>385</v>
      </c>
      <c r="AX782" t="s">
        <v>57</v>
      </c>
      <c r="AY782" t="s">
        <v>386</v>
      </c>
      <c r="AZ782" t="s">
        <v>3573</v>
      </c>
      <c r="BE782" t="s">
        <v>2396</v>
      </c>
      <c r="BF782">
        <v>0</v>
      </c>
      <c r="BK782" t="s">
        <v>31</v>
      </c>
      <c r="BS782" t="s">
        <v>379</v>
      </c>
      <c r="BT782" t="s">
        <v>379</v>
      </c>
      <c r="CI782" t="s">
        <v>388</v>
      </c>
      <c r="CJ782" s="14">
        <v>45013</v>
      </c>
      <c r="CK782">
        <v>1</v>
      </c>
    </row>
    <row r="783" spans="1:89">
      <c r="A783" t="s">
        <v>3574</v>
      </c>
      <c r="B783" t="s">
        <v>374</v>
      </c>
      <c r="C783" t="s">
        <v>3575</v>
      </c>
      <c r="D783" t="s">
        <v>3576</v>
      </c>
      <c r="E783" t="s">
        <v>3577</v>
      </c>
      <c r="F783" s="13">
        <v>44559.560624999998</v>
      </c>
      <c r="G783" t="s">
        <v>1264</v>
      </c>
      <c r="H783" t="s">
        <v>1265</v>
      </c>
      <c r="I783" s="13">
        <v>45012.043668981481</v>
      </c>
      <c r="K783" t="s">
        <v>415</v>
      </c>
      <c r="M783" s="13">
        <v>44742</v>
      </c>
      <c r="R783">
        <v>0</v>
      </c>
      <c r="S783" t="s">
        <v>380</v>
      </c>
      <c r="T783" t="s">
        <v>57</v>
      </c>
      <c r="V783" t="s">
        <v>478</v>
      </c>
      <c r="W783" t="s">
        <v>3578</v>
      </c>
      <c r="X783" t="s">
        <v>3578</v>
      </c>
      <c r="AF783" t="s">
        <v>451</v>
      </c>
      <c r="AI783">
        <v>-270</v>
      </c>
      <c r="AL783" t="s">
        <v>3579</v>
      </c>
      <c r="AN783" t="s">
        <v>31</v>
      </c>
      <c r="AO783">
        <v>0</v>
      </c>
      <c r="AS783" t="s">
        <v>385</v>
      </c>
      <c r="AX783" t="s">
        <v>57</v>
      </c>
      <c r="AY783" t="s">
        <v>442</v>
      </c>
      <c r="AZ783" t="s">
        <v>1460</v>
      </c>
      <c r="BE783" t="s">
        <v>3580</v>
      </c>
      <c r="BF783">
        <v>0</v>
      </c>
      <c r="BK783" t="s">
        <v>31</v>
      </c>
      <c r="BS783" t="s">
        <v>419</v>
      </c>
      <c r="BT783" t="s">
        <v>419</v>
      </c>
      <c r="CI783" t="s">
        <v>388</v>
      </c>
      <c r="CJ783" s="14">
        <v>45013</v>
      </c>
      <c r="CK783">
        <v>1</v>
      </c>
    </row>
    <row r="784" spans="1:89">
      <c r="A784" t="s">
        <v>454</v>
      </c>
      <c r="B784" t="s">
        <v>374</v>
      </c>
      <c r="C784" t="s">
        <v>455</v>
      </c>
      <c r="D784" t="s">
        <v>3581</v>
      </c>
      <c r="E784" t="s">
        <v>3582</v>
      </c>
      <c r="F784" s="13">
        <v>44559.55505787037</v>
      </c>
      <c r="G784" t="s">
        <v>1264</v>
      </c>
      <c r="H784" t="s">
        <v>1265</v>
      </c>
      <c r="I784" s="13">
        <v>45012.043668981481</v>
      </c>
      <c r="K784" t="s">
        <v>415</v>
      </c>
      <c r="M784" s="13">
        <v>44910</v>
      </c>
      <c r="R784">
        <v>0</v>
      </c>
      <c r="S784" t="s">
        <v>380</v>
      </c>
      <c r="T784" t="s">
        <v>57</v>
      </c>
      <c r="V784" t="s">
        <v>478</v>
      </c>
      <c r="W784" t="s">
        <v>2306</v>
      </c>
      <c r="X784" t="s">
        <v>2306</v>
      </c>
      <c r="AF784" t="s">
        <v>451</v>
      </c>
      <c r="AI784">
        <v>-102</v>
      </c>
      <c r="AL784" t="s">
        <v>3583</v>
      </c>
      <c r="AN784" t="s">
        <v>31</v>
      </c>
      <c r="AO784">
        <v>0</v>
      </c>
      <c r="AS784" t="s">
        <v>385</v>
      </c>
      <c r="AX784" t="s">
        <v>57</v>
      </c>
      <c r="AY784" t="s">
        <v>442</v>
      </c>
      <c r="AZ784" t="s">
        <v>3584</v>
      </c>
      <c r="BE784" t="s">
        <v>3585</v>
      </c>
      <c r="BF784">
        <v>0</v>
      </c>
      <c r="BK784" t="s">
        <v>31</v>
      </c>
      <c r="BS784" t="s">
        <v>419</v>
      </c>
      <c r="BT784" t="s">
        <v>419</v>
      </c>
      <c r="CI784" t="s">
        <v>388</v>
      </c>
      <c r="CJ784" s="14">
        <v>45013</v>
      </c>
      <c r="CK784">
        <v>1</v>
      </c>
    </row>
    <row r="785" spans="1:89">
      <c r="A785" t="s">
        <v>3574</v>
      </c>
      <c r="B785" t="s">
        <v>374</v>
      </c>
      <c r="C785" t="s">
        <v>3575</v>
      </c>
      <c r="D785" t="s">
        <v>3586</v>
      </c>
      <c r="E785" t="s">
        <v>3587</v>
      </c>
      <c r="F785" s="13">
        <v>44559.549722222226</v>
      </c>
      <c r="G785" t="s">
        <v>1264</v>
      </c>
      <c r="H785" t="s">
        <v>1265</v>
      </c>
      <c r="I785" s="13">
        <v>45012.043657407405</v>
      </c>
      <c r="K785" t="s">
        <v>415</v>
      </c>
      <c r="M785" s="13">
        <v>44804</v>
      </c>
      <c r="R785">
        <v>0</v>
      </c>
      <c r="S785" t="s">
        <v>380</v>
      </c>
      <c r="T785" t="s">
        <v>57</v>
      </c>
      <c r="V785" t="s">
        <v>478</v>
      </c>
      <c r="W785" t="s">
        <v>3578</v>
      </c>
      <c r="X785" t="s">
        <v>3578</v>
      </c>
      <c r="AF785" t="s">
        <v>451</v>
      </c>
      <c r="AI785">
        <v>-208</v>
      </c>
      <c r="AL785" t="s">
        <v>3588</v>
      </c>
      <c r="AN785" t="s">
        <v>31</v>
      </c>
      <c r="AO785">
        <v>0</v>
      </c>
      <c r="AS785" t="s">
        <v>385</v>
      </c>
      <c r="AX785" t="s">
        <v>57</v>
      </c>
      <c r="AY785" t="s">
        <v>386</v>
      </c>
      <c r="AZ785" t="s">
        <v>3589</v>
      </c>
      <c r="BE785" t="s">
        <v>3590</v>
      </c>
      <c r="BF785">
        <v>0</v>
      </c>
      <c r="BK785" t="s">
        <v>31</v>
      </c>
      <c r="BS785" t="s">
        <v>419</v>
      </c>
      <c r="BT785" t="s">
        <v>419</v>
      </c>
      <c r="CI785" t="s">
        <v>388</v>
      </c>
      <c r="CJ785" s="14">
        <v>45013</v>
      </c>
      <c r="CK785">
        <v>1</v>
      </c>
    </row>
    <row r="786" spans="1:89">
      <c r="A786" t="s">
        <v>3591</v>
      </c>
      <c r="B786" t="s">
        <v>374</v>
      </c>
      <c r="C786" t="s">
        <v>3592</v>
      </c>
      <c r="D786" t="s">
        <v>3593</v>
      </c>
      <c r="E786" t="s">
        <v>3594</v>
      </c>
      <c r="F786" s="13">
        <v>44559.504583333335</v>
      </c>
      <c r="G786" t="s">
        <v>3570</v>
      </c>
      <c r="H786" t="s">
        <v>3571</v>
      </c>
      <c r="I786" s="13">
        <v>45012.043657407405</v>
      </c>
      <c r="K786" t="s">
        <v>415</v>
      </c>
      <c r="M786" s="13">
        <v>44680</v>
      </c>
      <c r="R786">
        <v>0</v>
      </c>
      <c r="S786" t="s">
        <v>380</v>
      </c>
      <c r="T786" t="s">
        <v>57</v>
      </c>
      <c r="V786" t="s">
        <v>478</v>
      </c>
      <c r="W786" t="s">
        <v>3595</v>
      </c>
      <c r="X786" t="s">
        <v>3595</v>
      </c>
      <c r="AF786" t="s">
        <v>451</v>
      </c>
      <c r="AI786">
        <v>-332</v>
      </c>
      <c r="AL786" t="s">
        <v>3596</v>
      </c>
      <c r="AN786" t="s">
        <v>31</v>
      </c>
      <c r="AO786">
        <v>0</v>
      </c>
      <c r="AS786" t="s">
        <v>385</v>
      </c>
      <c r="AX786" t="s">
        <v>57</v>
      </c>
      <c r="AY786" t="s">
        <v>442</v>
      </c>
      <c r="AZ786" t="s">
        <v>3597</v>
      </c>
      <c r="BE786" t="s">
        <v>3598</v>
      </c>
      <c r="BF786">
        <v>0</v>
      </c>
      <c r="BK786" t="s">
        <v>31</v>
      </c>
      <c r="BS786" t="s">
        <v>419</v>
      </c>
      <c r="BT786" t="s">
        <v>419</v>
      </c>
      <c r="CI786" t="s">
        <v>388</v>
      </c>
      <c r="CJ786" s="14">
        <v>45013</v>
      </c>
      <c r="CK786">
        <v>1</v>
      </c>
    </row>
    <row r="787" spans="1:89">
      <c r="A787" t="s">
        <v>454</v>
      </c>
      <c r="B787" t="s">
        <v>374</v>
      </c>
      <c r="C787" t="s">
        <v>455</v>
      </c>
      <c r="D787" t="s">
        <v>3599</v>
      </c>
      <c r="E787" t="s">
        <v>3600</v>
      </c>
      <c r="F787" s="13">
        <v>44559.495370370372</v>
      </c>
      <c r="G787" t="s">
        <v>3570</v>
      </c>
      <c r="H787" t="s">
        <v>3571</v>
      </c>
      <c r="I787" s="13">
        <v>45012.043657407405</v>
      </c>
      <c r="K787" t="s">
        <v>415</v>
      </c>
      <c r="M787" s="13">
        <v>44651</v>
      </c>
      <c r="R787">
        <v>0</v>
      </c>
      <c r="S787" t="s">
        <v>380</v>
      </c>
      <c r="T787" t="s">
        <v>57</v>
      </c>
      <c r="V787" t="s">
        <v>478</v>
      </c>
      <c r="W787" t="s">
        <v>2306</v>
      </c>
      <c r="X787" t="s">
        <v>2306</v>
      </c>
      <c r="AF787" t="s">
        <v>451</v>
      </c>
      <c r="AI787">
        <v>-361</v>
      </c>
      <c r="AL787" t="s">
        <v>3601</v>
      </c>
      <c r="AN787" t="s">
        <v>31</v>
      </c>
      <c r="AO787">
        <v>0</v>
      </c>
      <c r="AS787" t="s">
        <v>385</v>
      </c>
      <c r="AX787" t="s">
        <v>57</v>
      </c>
      <c r="AY787" t="s">
        <v>442</v>
      </c>
      <c r="AZ787" t="s">
        <v>3602</v>
      </c>
      <c r="BE787" t="s">
        <v>3603</v>
      </c>
      <c r="BF787">
        <v>0</v>
      </c>
      <c r="BK787" t="s">
        <v>31</v>
      </c>
      <c r="BS787" t="s">
        <v>419</v>
      </c>
      <c r="BT787" t="s">
        <v>419</v>
      </c>
      <c r="CI787" t="s">
        <v>388</v>
      </c>
      <c r="CJ787" s="14">
        <v>45013</v>
      </c>
      <c r="CK787">
        <v>1</v>
      </c>
    </row>
    <row r="788" spans="1:89">
      <c r="A788" t="s">
        <v>454</v>
      </c>
      <c r="B788" t="s">
        <v>374</v>
      </c>
      <c r="C788" t="s">
        <v>455</v>
      </c>
      <c r="D788" t="s">
        <v>3604</v>
      </c>
      <c r="E788" t="s">
        <v>3605</v>
      </c>
      <c r="F788" s="13">
        <v>44558.728958333333</v>
      </c>
      <c r="G788" t="s">
        <v>3570</v>
      </c>
      <c r="H788" t="s">
        <v>3571</v>
      </c>
      <c r="I788" s="13">
        <v>45012.043657407405</v>
      </c>
      <c r="K788" t="s">
        <v>415</v>
      </c>
      <c r="M788" s="13">
        <v>44651</v>
      </c>
      <c r="R788">
        <v>0</v>
      </c>
      <c r="S788" t="s">
        <v>416</v>
      </c>
      <c r="T788" t="s">
        <v>57</v>
      </c>
      <c r="V788" t="s">
        <v>478</v>
      </c>
      <c r="W788" t="s">
        <v>3606</v>
      </c>
      <c r="X788" t="s">
        <v>3606</v>
      </c>
      <c r="AF788" t="s">
        <v>451</v>
      </c>
      <c r="AI788">
        <v>-361</v>
      </c>
      <c r="AL788" t="s">
        <v>3607</v>
      </c>
      <c r="AN788" t="s">
        <v>31</v>
      </c>
      <c r="AO788">
        <v>0</v>
      </c>
      <c r="AS788" t="s">
        <v>385</v>
      </c>
      <c r="AX788" t="s">
        <v>57</v>
      </c>
      <c r="AY788" t="s">
        <v>386</v>
      </c>
      <c r="AZ788" t="s">
        <v>3608</v>
      </c>
      <c r="BE788" t="s">
        <v>3609</v>
      </c>
      <c r="BF788">
        <v>0</v>
      </c>
      <c r="BK788" t="s">
        <v>31</v>
      </c>
      <c r="BS788" t="s">
        <v>419</v>
      </c>
      <c r="BT788" t="s">
        <v>419</v>
      </c>
      <c r="CI788" t="s">
        <v>388</v>
      </c>
      <c r="CJ788" s="14">
        <v>45013</v>
      </c>
      <c r="CK788">
        <v>1</v>
      </c>
    </row>
    <row r="789" spans="1:89">
      <c r="A789" t="s">
        <v>454</v>
      </c>
      <c r="B789" t="s">
        <v>374</v>
      </c>
      <c r="C789" t="s">
        <v>455</v>
      </c>
      <c r="D789" t="s">
        <v>3610</v>
      </c>
      <c r="E789" t="s">
        <v>3611</v>
      </c>
      <c r="F789" s="13">
        <v>44558.691643518519</v>
      </c>
      <c r="G789" t="s">
        <v>3570</v>
      </c>
      <c r="H789" t="s">
        <v>3571</v>
      </c>
      <c r="I789" s="13">
        <v>45012.043645833335</v>
      </c>
      <c r="K789" t="s">
        <v>415</v>
      </c>
      <c r="M789" s="13">
        <v>44645</v>
      </c>
      <c r="R789">
        <v>100</v>
      </c>
      <c r="S789" t="s">
        <v>380</v>
      </c>
      <c r="T789" t="s">
        <v>57</v>
      </c>
      <c r="V789" t="s">
        <v>478</v>
      </c>
      <c r="W789" t="s">
        <v>2306</v>
      </c>
      <c r="X789" t="s">
        <v>2306</v>
      </c>
      <c r="AB789" t="s">
        <v>57</v>
      </c>
      <c r="AF789" t="s">
        <v>382</v>
      </c>
      <c r="AG789" t="s">
        <v>3612</v>
      </c>
      <c r="AI789">
        <v>-367</v>
      </c>
      <c r="AL789" t="s">
        <v>3613</v>
      </c>
      <c r="AN789" t="s">
        <v>57</v>
      </c>
      <c r="AO789">
        <v>0</v>
      </c>
      <c r="AS789" t="s">
        <v>385</v>
      </c>
      <c r="AX789" t="s">
        <v>57</v>
      </c>
      <c r="AY789" t="s">
        <v>386</v>
      </c>
      <c r="AZ789" t="s">
        <v>3614</v>
      </c>
      <c r="BE789" t="s">
        <v>3615</v>
      </c>
      <c r="BF789">
        <v>0</v>
      </c>
      <c r="BK789" t="s">
        <v>31</v>
      </c>
      <c r="BS789" t="s">
        <v>1201</v>
      </c>
      <c r="BT789" t="s">
        <v>1202</v>
      </c>
      <c r="CI789" t="s">
        <v>388</v>
      </c>
      <c r="CJ789" s="14">
        <v>45013</v>
      </c>
      <c r="CK789">
        <v>1</v>
      </c>
    </row>
    <row r="790" spans="1:89">
      <c r="A790" t="s">
        <v>454</v>
      </c>
      <c r="B790" t="s">
        <v>374</v>
      </c>
      <c r="C790" t="s">
        <v>455</v>
      </c>
      <c r="D790" t="s">
        <v>3616</v>
      </c>
      <c r="E790" t="s">
        <v>3617</v>
      </c>
      <c r="F790" s="13">
        <v>44558.680104166669</v>
      </c>
      <c r="G790" t="s">
        <v>1264</v>
      </c>
      <c r="H790" t="s">
        <v>1265</v>
      </c>
      <c r="I790" s="13">
        <v>45012.043645833335</v>
      </c>
      <c r="K790" t="s">
        <v>415</v>
      </c>
      <c r="M790" s="13">
        <v>45107</v>
      </c>
      <c r="R790">
        <v>0</v>
      </c>
      <c r="S790" t="s">
        <v>380</v>
      </c>
      <c r="T790" t="s">
        <v>57</v>
      </c>
      <c r="V790" t="s">
        <v>381</v>
      </c>
      <c r="W790" t="s">
        <v>3255</v>
      </c>
      <c r="X790" t="s">
        <v>3255</v>
      </c>
      <c r="AF790" t="s">
        <v>451</v>
      </c>
      <c r="AI790">
        <v>95</v>
      </c>
      <c r="AL790" t="s">
        <v>3618</v>
      </c>
      <c r="AN790" t="s">
        <v>31</v>
      </c>
      <c r="AO790">
        <v>0</v>
      </c>
      <c r="AS790" t="s">
        <v>522</v>
      </c>
      <c r="AX790" t="s">
        <v>57</v>
      </c>
      <c r="AY790" t="s">
        <v>386</v>
      </c>
      <c r="AZ790" t="s">
        <v>3619</v>
      </c>
      <c r="BE790" t="s">
        <v>3620</v>
      </c>
      <c r="BF790">
        <v>0</v>
      </c>
      <c r="BK790" t="s">
        <v>31</v>
      </c>
      <c r="BS790" t="s">
        <v>419</v>
      </c>
      <c r="BT790" t="s">
        <v>419</v>
      </c>
      <c r="CI790" t="s">
        <v>388</v>
      </c>
      <c r="CJ790" s="14">
        <v>45013</v>
      </c>
      <c r="CK790">
        <v>1</v>
      </c>
    </row>
    <row r="791" spans="1:89">
      <c r="A791" t="s">
        <v>454</v>
      </c>
      <c r="B791" t="s">
        <v>374</v>
      </c>
      <c r="C791" t="s">
        <v>455</v>
      </c>
      <c r="D791" t="s">
        <v>3621</v>
      </c>
      <c r="E791" t="s">
        <v>3622</v>
      </c>
      <c r="F791" s="13">
        <v>44558.639861111114</v>
      </c>
      <c r="G791" t="s">
        <v>1264</v>
      </c>
      <c r="H791" t="s">
        <v>1265</v>
      </c>
      <c r="I791" s="13">
        <v>45012.043645833335</v>
      </c>
      <c r="K791" t="s">
        <v>415</v>
      </c>
      <c r="M791" s="13">
        <v>44757</v>
      </c>
      <c r="R791">
        <v>0</v>
      </c>
      <c r="S791" t="s">
        <v>380</v>
      </c>
      <c r="T791" t="s">
        <v>57</v>
      </c>
      <c r="V791" t="s">
        <v>478</v>
      </c>
      <c r="W791" t="s">
        <v>2306</v>
      </c>
      <c r="X791" t="s">
        <v>2306</v>
      </c>
      <c r="AF791" t="s">
        <v>451</v>
      </c>
      <c r="AI791">
        <v>-255</v>
      </c>
      <c r="AL791" t="s">
        <v>3623</v>
      </c>
      <c r="AN791" t="s">
        <v>31</v>
      </c>
      <c r="AO791">
        <v>0</v>
      </c>
      <c r="AS791" t="s">
        <v>385</v>
      </c>
      <c r="AX791" t="s">
        <v>57</v>
      </c>
      <c r="AY791" t="s">
        <v>386</v>
      </c>
      <c r="AZ791" t="s">
        <v>3624</v>
      </c>
      <c r="BF791">
        <v>0</v>
      </c>
      <c r="BK791" t="s">
        <v>31</v>
      </c>
      <c r="BS791" t="s">
        <v>419</v>
      </c>
      <c r="BT791" t="s">
        <v>419</v>
      </c>
      <c r="CI791" t="s">
        <v>388</v>
      </c>
      <c r="CJ791" s="14">
        <v>45013</v>
      </c>
      <c r="CK791">
        <v>1</v>
      </c>
    </row>
    <row r="792" spans="1:89">
      <c r="A792" t="s">
        <v>454</v>
      </c>
      <c r="B792" t="s">
        <v>374</v>
      </c>
      <c r="C792" t="s">
        <v>455</v>
      </c>
      <c r="D792" t="s">
        <v>3625</v>
      </c>
      <c r="E792" t="s">
        <v>3626</v>
      </c>
      <c r="F792" s="13">
        <v>44558.563657407409</v>
      </c>
      <c r="G792" t="s">
        <v>1264</v>
      </c>
      <c r="H792" t="s">
        <v>1265</v>
      </c>
      <c r="I792" s="13">
        <v>44616.442569444444</v>
      </c>
      <c r="K792" t="s">
        <v>379</v>
      </c>
      <c r="M792" s="13">
        <v>44615</v>
      </c>
      <c r="R792">
        <v>100</v>
      </c>
      <c r="S792" t="s">
        <v>380</v>
      </c>
      <c r="T792" t="s">
        <v>57</v>
      </c>
      <c r="V792" t="s">
        <v>478</v>
      </c>
      <c r="W792" t="s">
        <v>3627</v>
      </c>
      <c r="X792" t="s">
        <v>3627</v>
      </c>
      <c r="AF792" t="s">
        <v>382</v>
      </c>
      <c r="AG792" t="s">
        <v>3628</v>
      </c>
      <c r="AI792">
        <v>-1</v>
      </c>
      <c r="AJ792" s="13">
        <v>44616</v>
      </c>
      <c r="AL792" t="s">
        <v>3629</v>
      </c>
      <c r="AN792" t="s">
        <v>31</v>
      </c>
      <c r="AO792">
        <v>0</v>
      </c>
      <c r="AR792" t="s">
        <v>3630</v>
      </c>
      <c r="AS792" t="s">
        <v>385</v>
      </c>
      <c r="AX792" t="s">
        <v>57</v>
      </c>
      <c r="AY792" t="s">
        <v>386</v>
      </c>
      <c r="AZ792" t="s">
        <v>3631</v>
      </c>
      <c r="BE792" t="s">
        <v>3632</v>
      </c>
      <c r="BF792">
        <v>0</v>
      </c>
      <c r="BK792" t="s">
        <v>31</v>
      </c>
      <c r="BS792" t="s">
        <v>379</v>
      </c>
      <c r="BT792" t="s">
        <v>379</v>
      </c>
      <c r="CI792" t="s">
        <v>388</v>
      </c>
      <c r="CJ792" s="14">
        <v>45013</v>
      </c>
      <c r="CK792">
        <v>1</v>
      </c>
    </row>
    <row r="793" spans="1:89">
      <c r="A793" t="s">
        <v>454</v>
      </c>
      <c r="B793" t="s">
        <v>374</v>
      </c>
      <c r="C793" t="s">
        <v>455</v>
      </c>
      <c r="D793" t="s">
        <v>3633</v>
      </c>
      <c r="E793" t="s">
        <v>3634</v>
      </c>
      <c r="F793" s="13">
        <v>44558.563611111109</v>
      </c>
      <c r="G793" t="s">
        <v>3570</v>
      </c>
      <c r="H793" t="s">
        <v>3571</v>
      </c>
      <c r="I793" s="13">
        <v>45012.043634259258</v>
      </c>
      <c r="K793" t="s">
        <v>415</v>
      </c>
      <c r="M793" s="13">
        <v>44615</v>
      </c>
      <c r="R793">
        <v>100</v>
      </c>
      <c r="S793" t="s">
        <v>380</v>
      </c>
      <c r="T793" t="s">
        <v>57</v>
      </c>
      <c r="V793" t="s">
        <v>478</v>
      </c>
      <c r="W793" t="s">
        <v>3627</v>
      </c>
      <c r="X793" t="s">
        <v>3627</v>
      </c>
      <c r="AF793" t="s">
        <v>382</v>
      </c>
      <c r="AG793" t="s">
        <v>3635</v>
      </c>
      <c r="AI793">
        <v>-397</v>
      </c>
      <c r="AL793" t="s">
        <v>3636</v>
      </c>
      <c r="AN793" t="s">
        <v>31</v>
      </c>
      <c r="AO793">
        <v>0</v>
      </c>
      <c r="AS793" t="s">
        <v>385</v>
      </c>
      <c r="AX793" t="s">
        <v>57</v>
      </c>
      <c r="AY793" t="s">
        <v>386</v>
      </c>
      <c r="AZ793" t="s">
        <v>3637</v>
      </c>
      <c r="BE793" t="s">
        <v>3638</v>
      </c>
      <c r="BF793">
        <v>0</v>
      </c>
      <c r="BK793" t="s">
        <v>31</v>
      </c>
      <c r="BS793" t="s">
        <v>622</v>
      </c>
      <c r="BT793" t="s">
        <v>419</v>
      </c>
      <c r="CI793" t="s">
        <v>388</v>
      </c>
      <c r="CJ793" s="14">
        <v>45013</v>
      </c>
      <c r="CK793">
        <v>1</v>
      </c>
    </row>
    <row r="794" spans="1:89">
      <c r="A794" t="s">
        <v>454</v>
      </c>
      <c r="B794" t="s">
        <v>374</v>
      </c>
      <c r="C794" t="s">
        <v>455</v>
      </c>
      <c r="D794" t="s">
        <v>3639</v>
      </c>
      <c r="E794" t="s">
        <v>3640</v>
      </c>
      <c r="F794" s="13">
        <v>44558.466145833336</v>
      </c>
      <c r="G794" t="s">
        <v>3570</v>
      </c>
      <c r="H794" t="s">
        <v>3571</v>
      </c>
      <c r="I794" s="13">
        <v>45012.043634259258</v>
      </c>
      <c r="K794" t="s">
        <v>415</v>
      </c>
      <c r="M794" s="13">
        <v>44792</v>
      </c>
      <c r="R794">
        <v>0</v>
      </c>
      <c r="S794" t="s">
        <v>380</v>
      </c>
      <c r="T794" t="s">
        <v>57</v>
      </c>
      <c r="V794" t="s">
        <v>478</v>
      </c>
      <c r="W794" t="s">
        <v>2306</v>
      </c>
      <c r="X794" t="s">
        <v>2306</v>
      </c>
      <c r="AF794" t="s">
        <v>451</v>
      </c>
      <c r="AI794">
        <v>-220</v>
      </c>
      <c r="AL794" t="s">
        <v>3641</v>
      </c>
      <c r="AN794" t="s">
        <v>31</v>
      </c>
      <c r="AO794">
        <v>0</v>
      </c>
      <c r="AS794" t="s">
        <v>385</v>
      </c>
      <c r="AX794" t="s">
        <v>57</v>
      </c>
      <c r="AY794" t="s">
        <v>386</v>
      </c>
      <c r="AZ794" t="s">
        <v>3642</v>
      </c>
      <c r="BE794" t="s">
        <v>3643</v>
      </c>
      <c r="BF794">
        <v>0</v>
      </c>
      <c r="BK794" t="s">
        <v>31</v>
      </c>
      <c r="BS794" t="s">
        <v>419</v>
      </c>
      <c r="BT794" t="s">
        <v>419</v>
      </c>
      <c r="CI794" t="s">
        <v>388</v>
      </c>
      <c r="CJ794" s="14">
        <v>45013</v>
      </c>
      <c r="CK794">
        <v>1</v>
      </c>
    </row>
    <row r="795" spans="1:89">
      <c r="A795" t="s">
        <v>454</v>
      </c>
      <c r="B795" t="s">
        <v>374</v>
      </c>
      <c r="C795" t="s">
        <v>455</v>
      </c>
      <c r="D795" t="s">
        <v>3644</v>
      </c>
      <c r="E795" t="s">
        <v>3645</v>
      </c>
      <c r="F795" s="13">
        <v>44558.397546296299</v>
      </c>
      <c r="G795" t="s">
        <v>3570</v>
      </c>
      <c r="H795" t="s">
        <v>3571</v>
      </c>
      <c r="I795" s="13">
        <v>45012.043634259258</v>
      </c>
      <c r="K795" t="s">
        <v>415</v>
      </c>
      <c r="M795" s="13">
        <v>44558</v>
      </c>
      <c r="R795">
        <v>0</v>
      </c>
      <c r="S795" t="s">
        <v>416</v>
      </c>
      <c r="T795" t="s">
        <v>57</v>
      </c>
      <c r="V795" t="s">
        <v>478</v>
      </c>
      <c r="W795" t="s">
        <v>2306</v>
      </c>
      <c r="X795" t="s">
        <v>2306</v>
      </c>
      <c r="AF795" t="s">
        <v>451</v>
      </c>
      <c r="AI795">
        <v>-454</v>
      </c>
      <c r="AL795" t="s">
        <v>3646</v>
      </c>
      <c r="AN795" t="s">
        <v>31</v>
      </c>
      <c r="AO795">
        <v>0</v>
      </c>
      <c r="AS795" t="s">
        <v>385</v>
      </c>
      <c r="AX795" t="s">
        <v>57</v>
      </c>
      <c r="AY795" t="s">
        <v>442</v>
      </c>
      <c r="AZ795" t="s">
        <v>3647</v>
      </c>
      <c r="BE795" t="s">
        <v>3648</v>
      </c>
      <c r="BF795">
        <v>0</v>
      </c>
      <c r="BK795" t="s">
        <v>31</v>
      </c>
      <c r="BS795" t="s">
        <v>419</v>
      </c>
      <c r="BT795" t="s">
        <v>419</v>
      </c>
      <c r="CI795" t="s">
        <v>388</v>
      </c>
      <c r="CJ795" s="14">
        <v>45013</v>
      </c>
      <c r="CK795">
        <v>1</v>
      </c>
    </row>
    <row r="796" spans="1:89">
      <c r="A796" t="s">
        <v>454</v>
      </c>
      <c r="B796" t="s">
        <v>374</v>
      </c>
      <c r="C796" t="s">
        <v>455</v>
      </c>
      <c r="D796" t="s">
        <v>3649</v>
      </c>
      <c r="E796" t="s">
        <v>3650</v>
      </c>
      <c r="F796" s="13">
        <v>44553.51085648148</v>
      </c>
      <c r="G796" t="s">
        <v>3570</v>
      </c>
      <c r="H796" t="s">
        <v>3571</v>
      </c>
      <c r="I796" s="13">
        <v>45012.043622685182</v>
      </c>
      <c r="K796" t="s">
        <v>415</v>
      </c>
      <c r="M796" s="13">
        <v>44651</v>
      </c>
      <c r="R796">
        <v>0</v>
      </c>
      <c r="S796" t="s">
        <v>380</v>
      </c>
      <c r="T796" t="s">
        <v>57</v>
      </c>
      <c r="V796" t="s">
        <v>478</v>
      </c>
      <c r="W796" t="s">
        <v>3651</v>
      </c>
      <c r="X796" t="s">
        <v>3651</v>
      </c>
      <c r="AF796" t="s">
        <v>451</v>
      </c>
      <c r="AI796">
        <v>-361</v>
      </c>
      <c r="AL796" t="s">
        <v>3652</v>
      </c>
      <c r="AN796" t="s">
        <v>31</v>
      </c>
      <c r="AO796">
        <v>0</v>
      </c>
      <c r="AS796" t="s">
        <v>538</v>
      </c>
      <c r="AX796" t="s">
        <v>31</v>
      </c>
      <c r="AY796" t="s">
        <v>386</v>
      </c>
      <c r="AZ796" t="s">
        <v>3653</v>
      </c>
      <c r="BE796" t="s">
        <v>3654</v>
      </c>
      <c r="BF796">
        <v>0</v>
      </c>
      <c r="BK796" t="s">
        <v>31</v>
      </c>
      <c r="BS796" t="s">
        <v>419</v>
      </c>
      <c r="BT796" t="s">
        <v>419</v>
      </c>
      <c r="CI796" t="s">
        <v>388</v>
      </c>
      <c r="CJ796" s="14">
        <v>45013</v>
      </c>
      <c r="CK796">
        <v>1</v>
      </c>
    </row>
    <row r="797" spans="1:89">
      <c r="A797" t="s">
        <v>3258</v>
      </c>
      <c r="B797" t="s">
        <v>374</v>
      </c>
      <c r="C797" t="s">
        <v>3259</v>
      </c>
      <c r="D797" t="s">
        <v>3655</v>
      </c>
      <c r="E797" t="s">
        <v>3334</v>
      </c>
      <c r="F797" s="13">
        <v>44552.562476851854</v>
      </c>
      <c r="G797" t="s">
        <v>3262</v>
      </c>
      <c r="H797" t="s">
        <v>3263</v>
      </c>
      <c r="I797" s="13">
        <v>45012.043622685182</v>
      </c>
      <c r="K797" t="s">
        <v>415</v>
      </c>
      <c r="M797" s="13">
        <v>44608</v>
      </c>
      <c r="R797">
        <v>100</v>
      </c>
      <c r="S797" t="s">
        <v>416</v>
      </c>
      <c r="T797" t="s">
        <v>57</v>
      </c>
      <c r="V797" t="s">
        <v>478</v>
      </c>
      <c r="W797" t="s">
        <v>3264</v>
      </c>
      <c r="X797" t="s">
        <v>3264</v>
      </c>
      <c r="AF797" t="s">
        <v>382</v>
      </c>
      <c r="AG797" t="s">
        <v>3656</v>
      </c>
      <c r="AI797">
        <v>-404</v>
      </c>
      <c r="AL797" t="s">
        <v>3265</v>
      </c>
      <c r="AM797">
        <v>1</v>
      </c>
      <c r="AN797" t="s">
        <v>31</v>
      </c>
      <c r="AO797">
        <v>0</v>
      </c>
      <c r="AS797" t="s">
        <v>538</v>
      </c>
      <c r="AU797" t="s">
        <v>57</v>
      </c>
      <c r="AX797" t="s">
        <v>31</v>
      </c>
      <c r="AY797" t="s">
        <v>442</v>
      </c>
      <c r="AZ797" t="s">
        <v>3657</v>
      </c>
      <c r="BF797">
        <v>0</v>
      </c>
      <c r="BK797" t="s">
        <v>31</v>
      </c>
      <c r="BS797" t="s">
        <v>418</v>
      </c>
      <c r="BT797" t="s">
        <v>419</v>
      </c>
      <c r="CI797" t="s">
        <v>388</v>
      </c>
      <c r="CJ797" s="14">
        <v>45013</v>
      </c>
      <c r="CK797">
        <v>1</v>
      </c>
    </row>
    <row r="798" spans="1:89">
      <c r="A798" t="s">
        <v>3658</v>
      </c>
      <c r="B798" t="s">
        <v>374</v>
      </c>
      <c r="C798" t="s">
        <v>3659</v>
      </c>
      <c r="D798" t="s">
        <v>3660</v>
      </c>
      <c r="E798" t="s">
        <v>3534</v>
      </c>
      <c r="F798" s="13">
        <v>44550.647627314815</v>
      </c>
      <c r="G798" t="s">
        <v>3535</v>
      </c>
      <c r="H798" t="s">
        <v>3536</v>
      </c>
      <c r="I798" s="13">
        <v>44550.655023148145</v>
      </c>
      <c r="K798" t="s">
        <v>409</v>
      </c>
      <c r="R798">
        <v>0</v>
      </c>
      <c r="S798" t="s">
        <v>380</v>
      </c>
      <c r="V798" t="s">
        <v>381</v>
      </c>
      <c r="W798" t="s">
        <v>3661</v>
      </c>
      <c r="X798" t="s">
        <v>3661</v>
      </c>
      <c r="AI798">
        <v>1</v>
      </c>
      <c r="AL798" t="s">
        <v>3662</v>
      </c>
      <c r="AN798" t="s">
        <v>31</v>
      </c>
      <c r="AO798">
        <v>0</v>
      </c>
      <c r="AZ798" t="s">
        <v>3663</v>
      </c>
      <c r="BF798">
        <v>0</v>
      </c>
      <c r="BK798" t="s">
        <v>31</v>
      </c>
      <c r="BS798" t="s">
        <v>409</v>
      </c>
      <c r="BT798" t="s">
        <v>409</v>
      </c>
      <c r="CI798" t="s">
        <v>388</v>
      </c>
      <c r="CJ798" s="14">
        <v>45013</v>
      </c>
      <c r="CK798">
        <v>1</v>
      </c>
    </row>
    <row r="799" spans="1:89">
      <c r="A799" t="s">
        <v>435</v>
      </c>
      <c r="B799" t="s">
        <v>374</v>
      </c>
      <c r="C799" t="s">
        <v>436</v>
      </c>
      <c r="D799" t="s">
        <v>3664</v>
      </c>
      <c r="E799" t="s">
        <v>3665</v>
      </c>
      <c r="F799" s="13">
        <v>44547.485127314816</v>
      </c>
      <c r="G799" t="s">
        <v>3666</v>
      </c>
      <c r="H799" t="s">
        <v>3667</v>
      </c>
      <c r="I799" s="13">
        <v>44547.485659722224</v>
      </c>
      <c r="K799" t="s">
        <v>412</v>
      </c>
      <c r="R799">
        <v>0</v>
      </c>
      <c r="S799" t="s">
        <v>416</v>
      </c>
      <c r="T799" t="s">
        <v>57</v>
      </c>
      <c r="V799" t="s">
        <v>381</v>
      </c>
      <c r="W799" t="s">
        <v>3668</v>
      </c>
      <c r="X799" t="s">
        <v>3668</v>
      </c>
      <c r="AI799">
        <v>0</v>
      </c>
      <c r="AL799" t="s">
        <v>3669</v>
      </c>
      <c r="AN799" t="s">
        <v>31</v>
      </c>
      <c r="AO799">
        <v>0</v>
      </c>
      <c r="AS799" t="s">
        <v>526</v>
      </c>
      <c r="AX799" t="s">
        <v>57</v>
      </c>
      <c r="AY799" t="s">
        <v>442</v>
      </c>
      <c r="AZ799" t="s">
        <v>3670</v>
      </c>
      <c r="BF799">
        <v>0</v>
      </c>
      <c r="BK799" t="s">
        <v>31</v>
      </c>
      <c r="BS799" t="s">
        <v>412</v>
      </c>
      <c r="BT799" t="s">
        <v>412</v>
      </c>
      <c r="CI799" t="s">
        <v>388</v>
      </c>
      <c r="CJ799" s="14">
        <v>45013</v>
      </c>
      <c r="CK799">
        <v>1</v>
      </c>
    </row>
    <row r="800" spans="1:89">
      <c r="A800" t="s">
        <v>2927</v>
      </c>
      <c r="B800" t="s">
        <v>374</v>
      </c>
      <c r="C800" t="s">
        <v>2928</v>
      </c>
      <c r="D800" t="s">
        <v>3671</v>
      </c>
      <c r="E800" t="s">
        <v>3672</v>
      </c>
      <c r="F800" s="13">
        <v>44545.600243055553</v>
      </c>
      <c r="G800" t="s">
        <v>3535</v>
      </c>
      <c r="H800" t="s">
        <v>3536</v>
      </c>
      <c r="I800" s="13">
        <v>44581.439618055556</v>
      </c>
      <c r="K800" t="s">
        <v>379</v>
      </c>
      <c r="M800" s="13">
        <v>44546</v>
      </c>
      <c r="R800">
        <v>100</v>
      </c>
      <c r="S800" t="s">
        <v>380</v>
      </c>
      <c r="T800" t="s">
        <v>57</v>
      </c>
      <c r="V800" t="s">
        <v>478</v>
      </c>
      <c r="W800" t="s">
        <v>3673</v>
      </c>
      <c r="X800" t="s">
        <v>3673</v>
      </c>
      <c r="AF800" t="s">
        <v>382</v>
      </c>
      <c r="AG800" t="s">
        <v>3674</v>
      </c>
      <c r="AI800">
        <v>-35</v>
      </c>
      <c r="AJ800" s="13">
        <v>44599</v>
      </c>
      <c r="AL800" t="s">
        <v>3675</v>
      </c>
      <c r="AN800" t="s">
        <v>31</v>
      </c>
      <c r="AO800">
        <v>0</v>
      </c>
      <c r="AR800" t="s">
        <v>3676</v>
      </c>
      <c r="AS800" t="s">
        <v>385</v>
      </c>
      <c r="AX800" t="s">
        <v>31</v>
      </c>
      <c r="AY800" t="s">
        <v>386</v>
      </c>
      <c r="AZ800" t="s">
        <v>3677</v>
      </c>
      <c r="BF800">
        <v>0</v>
      </c>
      <c r="BK800" t="s">
        <v>31</v>
      </c>
      <c r="BS800" t="s">
        <v>379</v>
      </c>
      <c r="BT800" t="s">
        <v>379</v>
      </c>
      <c r="CI800" t="s">
        <v>388</v>
      </c>
      <c r="CJ800" s="14">
        <v>45013</v>
      </c>
      <c r="CK800">
        <v>1</v>
      </c>
    </row>
    <row r="801" spans="1:89">
      <c r="A801" t="s">
        <v>1675</v>
      </c>
      <c r="B801" t="s">
        <v>374</v>
      </c>
      <c r="C801" t="s">
        <v>1676</v>
      </c>
      <c r="D801" t="s">
        <v>3678</v>
      </c>
      <c r="E801" t="s">
        <v>3665</v>
      </c>
      <c r="F801" s="13">
        <v>44545.435243055559</v>
      </c>
      <c r="G801" t="s">
        <v>3666</v>
      </c>
      <c r="H801" t="s">
        <v>3667</v>
      </c>
      <c r="I801" s="13">
        <v>44545.436145833337</v>
      </c>
      <c r="K801" t="s">
        <v>409</v>
      </c>
      <c r="R801">
        <v>0</v>
      </c>
      <c r="S801" t="s">
        <v>380</v>
      </c>
      <c r="T801" t="s">
        <v>57</v>
      </c>
      <c r="V801" t="s">
        <v>381</v>
      </c>
      <c r="W801" t="s">
        <v>3679</v>
      </c>
      <c r="X801" t="s">
        <v>3679</v>
      </c>
      <c r="AI801">
        <v>2</v>
      </c>
      <c r="AL801" t="s">
        <v>3680</v>
      </c>
      <c r="AN801" t="s">
        <v>31</v>
      </c>
      <c r="AO801">
        <v>0</v>
      </c>
      <c r="AS801" t="s">
        <v>392</v>
      </c>
      <c r="AX801" t="s">
        <v>31</v>
      </c>
      <c r="AY801" t="s">
        <v>442</v>
      </c>
      <c r="AZ801" t="s">
        <v>3681</v>
      </c>
      <c r="BF801">
        <v>0</v>
      </c>
      <c r="BK801" t="s">
        <v>31</v>
      </c>
      <c r="BS801" t="s">
        <v>409</v>
      </c>
      <c r="BT801" t="s">
        <v>409</v>
      </c>
      <c r="CI801" t="s">
        <v>388</v>
      </c>
      <c r="CJ801" s="14">
        <v>45013</v>
      </c>
      <c r="CK801">
        <v>1</v>
      </c>
    </row>
    <row r="802" spans="1:89">
      <c r="A802" t="s">
        <v>1579</v>
      </c>
      <c r="B802" t="s">
        <v>374</v>
      </c>
      <c r="C802" t="s">
        <v>1580</v>
      </c>
      <c r="D802" t="s">
        <v>3682</v>
      </c>
      <c r="E802" t="s">
        <v>3683</v>
      </c>
      <c r="F802" s="13">
        <v>44544.647905092592</v>
      </c>
      <c r="G802" t="s">
        <v>2271</v>
      </c>
      <c r="H802" t="s">
        <v>2272</v>
      </c>
      <c r="I802" s="13">
        <v>44586.725057870368</v>
      </c>
      <c r="K802" t="s">
        <v>379</v>
      </c>
      <c r="M802" s="13">
        <v>44560</v>
      </c>
      <c r="R802">
        <v>100</v>
      </c>
      <c r="S802" t="s">
        <v>380</v>
      </c>
      <c r="T802" t="s">
        <v>57</v>
      </c>
      <c r="V802" t="s">
        <v>478</v>
      </c>
      <c r="W802" t="s">
        <v>3684</v>
      </c>
      <c r="X802" t="s">
        <v>3684</v>
      </c>
      <c r="AC802" s="13">
        <v>44561</v>
      </c>
      <c r="AD802" s="13">
        <v>44561</v>
      </c>
      <c r="AF802" t="s">
        <v>382</v>
      </c>
      <c r="AG802" t="s">
        <v>3685</v>
      </c>
      <c r="AI802">
        <v>-26</v>
      </c>
      <c r="AJ802" s="13">
        <v>44586</v>
      </c>
      <c r="AL802" t="s">
        <v>3686</v>
      </c>
      <c r="AN802" t="s">
        <v>31</v>
      </c>
      <c r="AO802">
        <v>0</v>
      </c>
      <c r="AR802" t="s">
        <v>3687</v>
      </c>
      <c r="AS802" t="s">
        <v>526</v>
      </c>
      <c r="AX802" t="s">
        <v>31</v>
      </c>
      <c r="AY802" t="s">
        <v>386</v>
      </c>
      <c r="AZ802" t="s">
        <v>3688</v>
      </c>
      <c r="BF802">
        <v>0</v>
      </c>
      <c r="BK802" t="s">
        <v>31</v>
      </c>
      <c r="BS802" t="s">
        <v>379</v>
      </c>
      <c r="BT802" t="s">
        <v>379</v>
      </c>
      <c r="CI802" t="s">
        <v>388</v>
      </c>
      <c r="CJ802" s="14">
        <v>45013</v>
      </c>
      <c r="CK802">
        <v>1</v>
      </c>
    </row>
    <row r="803" spans="1:89">
      <c r="A803" t="s">
        <v>3504</v>
      </c>
      <c r="B803" t="s">
        <v>374</v>
      </c>
      <c r="C803" t="s">
        <v>3505</v>
      </c>
      <c r="D803" t="s">
        <v>3689</v>
      </c>
      <c r="E803" t="s">
        <v>3690</v>
      </c>
      <c r="F803" s="13">
        <v>44530.854363425926</v>
      </c>
      <c r="G803" t="s">
        <v>2271</v>
      </c>
      <c r="H803" t="s">
        <v>2272</v>
      </c>
      <c r="I803" s="13">
        <v>44715.502106481479</v>
      </c>
      <c r="K803" t="s">
        <v>379</v>
      </c>
      <c r="M803" s="13">
        <v>44592</v>
      </c>
      <c r="R803">
        <v>100</v>
      </c>
      <c r="S803" t="s">
        <v>416</v>
      </c>
      <c r="T803" t="s">
        <v>57</v>
      </c>
      <c r="V803" t="s">
        <v>478</v>
      </c>
      <c r="W803" t="s">
        <v>3691</v>
      </c>
      <c r="X803" t="s">
        <v>3691</v>
      </c>
      <c r="AF803" t="s">
        <v>382</v>
      </c>
      <c r="AG803" t="s">
        <v>3692</v>
      </c>
      <c r="AI803">
        <v>-1</v>
      </c>
      <c r="AL803" t="s">
        <v>3509</v>
      </c>
      <c r="AM803">
        <v>1</v>
      </c>
      <c r="AN803" t="s">
        <v>31</v>
      </c>
      <c r="AO803">
        <v>0</v>
      </c>
      <c r="AS803" t="s">
        <v>526</v>
      </c>
      <c r="AX803" t="s">
        <v>31</v>
      </c>
      <c r="AY803" t="s">
        <v>386</v>
      </c>
      <c r="AZ803" t="s">
        <v>3693</v>
      </c>
      <c r="BF803">
        <v>0</v>
      </c>
      <c r="BK803" t="s">
        <v>31</v>
      </c>
      <c r="BS803" t="s">
        <v>379</v>
      </c>
      <c r="BT803" t="s">
        <v>379</v>
      </c>
      <c r="CI803" t="s">
        <v>388</v>
      </c>
      <c r="CJ803" s="14">
        <v>45013</v>
      </c>
      <c r="CK803">
        <v>1</v>
      </c>
    </row>
    <row r="804" spans="1:89">
      <c r="A804" t="s">
        <v>3504</v>
      </c>
      <c r="B804" t="s">
        <v>374</v>
      </c>
      <c r="C804" t="s">
        <v>3505</v>
      </c>
      <c r="D804" t="s">
        <v>3694</v>
      </c>
      <c r="E804" t="s">
        <v>3695</v>
      </c>
      <c r="F804" s="13">
        <v>44530.571886574071</v>
      </c>
      <c r="G804" t="s">
        <v>2271</v>
      </c>
      <c r="H804" t="s">
        <v>2272</v>
      </c>
      <c r="I804" s="13">
        <v>45012.043622685182</v>
      </c>
      <c r="K804" t="s">
        <v>415</v>
      </c>
      <c r="M804" s="13">
        <v>44645</v>
      </c>
      <c r="R804">
        <v>0</v>
      </c>
      <c r="S804" t="s">
        <v>416</v>
      </c>
      <c r="T804" t="s">
        <v>57</v>
      </c>
      <c r="V804" t="s">
        <v>478</v>
      </c>
      <c r="W804" t="s">
        <v>3696</v>
      </c>
      <c r="X804" t="s">
        <v>3696</v>
      </c>
      <c r="AF804" t="s">
        <v>451</v>
      </c>
      <c r="AI804">
        <v>-367</v>
      </c>
      <c r="AL804" t="s">
        <v>3697</v>
      </c>
      <c r="AN804" t="s">
        <v>31</v>
      </c>
      <c r="AO804">
        <v>0</v>
      </c>
      <c r="AS804" t="s">
        <v>526</v>
      </c>
      <c r="AX804" t="s">
        <v>31</v>
      </c>
      <c r="AY804" t="s">
        <v>386</v>
      </c>
      <c r="AZ804" t="s">
        <v>3698</v>
      </c>
      <c r="BF804">
        <v>0</v>
      </c>
      <c r="BK804" t="s">
        <v>31</v>
      </c>
      <c r="BS804" t="s">
        <v>419</v>
      </c>
      <c r="BT804" t="s">
        <v>419</v>
      </c>
      <c r="CI804" t="s">
        <v>388</v>
      </c>
      <c r="CJ804" s="14">
        <v>45013</v>
      </c>
      <c r="CK804">
        <v>1</v>
      </c>
    </row>
    <row r="805" spans="1:89">
      <c r="A805" t="s">
        <v>3504</v>
      </c>
      <c r="B805" t="s">
        <v>374</v>
      </c>
      <c r="C805" t="s">
        <v>3505</v>
      </c>
      <c r="D805" t="s">
        <v>3699</v>
      </c>
      <c r="E805" t="s">
        <v>3700</v>
      </c>
      <c r="F805" s="13">
        <v>44530.560115740744</v>
      </c>
      <c r="G805" t="s">
        <v>2271</v>
      </c>
      <c r="H805" t="s">
        <v>2272</v>
      </c>
      <c r="I805" s="13">
        <v>44715.502106481479</v>
      </c>
      <c r="K805" t="s">
        <v>379</v>
      </c>
      <c r="M805" s="13">
        <v>44592</v>
      </c>
      <c r="R805">
        <v>100</v>
      </c>
      <c r="S805" t="s">
        <v>380</v>
      </c>
      <c r="T805" t="s">
        <v>57</v>
      </c>
      <c r="V805" t="s">
        <v>381</v>
      </c>
      <c r="W805" t="s">
        <v>3701</v>
      </c>
      <c r="X805" t="s">
        <v>3701</v>
      </c>
      <c r="AF805" t="s">
        <v>382</v>
      </c>
      <c r="AG805" t="s">
        <v>3702</v>
      </c>
      <c r="AI805">
        <v>6</v>
      </c>
      <c r="AK805" t="s">
        <v>480</v>
      </c>
      <c r="AL805" t="s">
        <v>3703</v>
      </c>
      <c r="AN805" t="s">
        <v>31</v>
      </c>
      <c r="AO805">
        <v>0</v>
      </c>
      <c r="AS805" t="s">
        <v>392</v>
      </c>
      <c r="AX805" t="s">
        <v>31</v>
      </c>
      <c r="AY805" t="s">
        <v>442</v>
      </c>
      <c r="AZ805" t="s">
        <v>3704</v>
      </c>
      <c r="BF805">
        <v>0</v>
      </c>
      <c r="BK805" t="s">
        <v>31</v>
      </c>
      <c r="BS805" t="s">
        <v>379</v>
      </c>
      <c r="BT805" t="s">
        <v>379</v>
      </c>
      <c r="CI805" t="s">
        <v>388</v>
      </c>
      <c r="CJ805" s="14">
        <v>45013</v>
      </c>
      <c r="CK805">
        <v>1</v>
      </c>
    </row>
    <row r="806" spans="1:89">
      <c r="A806" t="s">
        <v>2164</v>
      </c>
      <c r="B806" t="s">
        <v>374</v>
      </c>
      <c r="C806" t="s">
        <v>2165</v>
      </c>
      <c r="D806" t="s">
        <v>3705</v>
      </c>
      <c r="E806" t="s">
        <v>3706</v>
      </c>
      <c r="F806" s="13">
        <v>44530.541377314818</v>
      </c>
      <c r="G806" t="s">
        <v>2271</v>
      </c>
      <c r="H806" t="s">
        <v>2272</v>
      </c>
      <c r="I806" s="13">
        <v>45012.043622685182</v>
      </c>
      <c r="K806" t="s">
        <v>415</v>
      </c>
      <c r="M806" s="13">
        <v>44533</v>
      </c>
      <c r="R806">
        <v>100</v>
      </c>
      <c r="S806" t="s">
        <v>416</v>
      </c>
      <c r="T806" t="s">
        <v>57</v>
      </c>
      <c r="V806" t="s">
        <v>478</v>
      </c>
      <c r="W806" t="s">
        <v>3707</v>
      </c>
      <c r="X806" t="s">
        <v>3707</v>
      </c>
      <c r="AF806" t="s">
        <v>382</v>
      </c>
      <c r="AG806" t="s">
        <v>3708</v>
      </c>
      <c r="AI806">
        <v>-479</v>
      </c>
      <c r="AJ806" s="13">
        <v>44587</v>
      </c>
      <c r="AL806" t="s">
        <v>3709</v>
      </c>
      <c r="AN806" t="s">
        <v>31</v>
      </c>
      <c r="AO806">
        <v>0</v>
      </c>
      <c r="AR806" t="s">
        <v>3710</v>
      </c>
      <c r="AS806" t="s">
        <v>392</v>
      </c>
      <c r="AX806" t="s">
        <v>31</v>
      </c>
      <c r="AY806" t="s">
        <v>386</v>
      </c>
      <c r="AZ806" t="s">
        <v>3711</v>
      </c>
      <c r="BF806">
        <v>0</v>
      </c>
      <c r="BK806" t="s">
        <v>31</v>
      </c>
      <c r="BS806" t="s">
        <v>419</v>
      </c>
      <c r="BT806" t="s">
        <v>419</v>
      </c>
      <c r="CI806" t="s">
        <v>388</v>
      </c>
      <c r="CJ806" s="14">
        <v>45013</v>
      </c>
      <c r="CK806">
        <v>1</v>
      </c>
    </row>
    <row r="807" spans="1:89">
      <c r="A807" t="s">
        <v>1415</v>
      </c>
      <c r="B807" t="s">
        <v>374</v>
      </c>
      <c r="C807" t="s">
        <v>1416</v>
      </c>
      <c r="D807" t="s">
        <v>3712</v>
      </c>
      <c r="E807" t="s">
        <v>3713</v>
      </c>
      <c r="F807" s="13">
        <v>44529.648229166669</v>
      </c>
      <c r="G807" t="s">
        <v>1418</v>
      </c>
      <c r="H807" t="s">
        <v>1419</v>
      </c>
      <c r="I807" s="13">
        <v>45012.043611111112</v>
      </c>
      <c r="K807" t="s">
        <v>415</v>
      </c>
      <c r="M807" s="13">
        <v>44681</v>
      </c>
      <c r="R807">
        <v>0</v>
      </c>
      <c r="S807" t="s">
        <v>380</v>
      </c>
      <c r="T807" t="s">
        <v>57</v>
      </c>
      <c r="V807" t="s">
        <v>478</v>
      </c>
      <c r="W807" t="s">
        <v>3714</v>
      </c>
      <c r="X807" t="s">
        <v>3714</v>
      </c>
      <c r="AF807" t="s">
        <v>451</v>
      </c>
      <c r="AI807">
        <v>-331</v>
      </c>
      <c r="AL807" t="s">
        <v>3715</v>
      </c>
      <c r="AN807" t="s">
        <v>31</v>
      </c>
      <c r="AO807">
        <v>0</v>
      </c>
      <c r="AS807" t="s">
        <v>385</v>
      </c>
      <c r="AX807" t="s">
        <v>31</v>
      </c>
      <c r="AY807" t="s">
        <v>442</v>
      </c>
      <c r="AZ807" t="s">
        <v>3716</v>
      </c>
      <c r="BF807">
        <v>0</v>
      </c>
      <c r="BK807" t="s">
        <v>31</v>
      </c>
      <c r="BS807" t="s">
        <v>419</v>
      </c>
      <c r="BT807" t="s">
        <v>419</v>
      </c>
      <c r="CI807" t="s">
        <v>388</v>
      </c>
      <c r="CJ807" s="14">
        <v>45013</v>
      </c>
      <c r="CK807">
        <v>1</v>
      </c>
    </row>
    <row r="808" spans="1:89">
      <c r="A808" t="s">
        <v>1415</v>
      </c>
      <c r="B808" t="s">
        <v>374</v>
      </c>
      <c r="C808" t="s">
        <v>1416</v>
      </c>
      <c r="D808" t="s">
        <v>3717</v>
      </c>
      <c r="E808" t="s">
        <v>3718</v>
      </c>
      <c r="F808" s="13">
        <v>44529.623252314814</v>
      </c>
      <c r="G808" t="s">
        <v>1418</v>
      </c>
      <c r="H808" t="s">
        <v>1419</v>
      </c>
      <c r="I808" s="13">
        <v>45012.043611111112</v>
      </c>
      <c r="K808" t="s">
        <v>415</v>
      </c>
      <c r="M808" s="13">
        <v>44742</v>
      </c>
      <c r="R808">
        <v>100</v>
      </c>
      <c r="S808" t="s">
        <v>380</v>
      </c>
      <c r="T808" t="s">
        <v>57</v>
      </c>
      <c r="V808" t="s">
        <v>478</v>
      </c>
      <c r="W808" t="s">
        <v>3719</v>
      </c>
      <c r="X808" t="s">
        <v>3719</v>
      </c>
      <c r="AF808" t="s">
        <v>382</v>
      </c>
      <c r="AG808" t="s">
        <v>3720</v>
      </c>
      <c r="AI808">
        <v>-270</v>
      </c>
      <c r="AL808" t="s">
        <v>3721</v>
      </c>
      <c r="AN808" t="s">
        <v>31</v>
      </c>
      <c r="AO808">
        <v>0</v>
      </c>
      <c r="AS808" t="s">
        <v>385</v>
      </c>
      <c r="AX808" t="s">
        <v>31</v>
      </c>
      <c r="AY808" t="s">
        <v>442</v>
      </c>
      <c r="AZ808" t="s">
        <v>3722</v>
      </c>
      <c r="BF808">
        <v>0</v>
      </c>
      <c r="BK808" t="s">
        <v>31</v>
      </c>
      <c r="BS808" t="s">
        <v>622</v>
      </c>
      <c r="BT808" t="s">
        <v>419</v>
      </c>
      <c r="CI808" t="s">
        <v>388</v>
      </c>
      <c r="CJ808" s="14">
        <v>45013</v>
      </c>
      <c r="CK808">
        <v>1</v>
      </c>
    </row>
    <row r="809" spans="1:89">
      <c r="A809" t="s">
        <v>1415</v>
      </c>
      <c r="B809" t="s">
        <v>374</v>
      </c>
      <c r="C809" t="s">
        <v>1416</v>
      </c>
      <c r="D809" t="s">
        <v>3723</v>
      </c>
      <c r="E809" t="s">
        <v>3724</v>
      </c>
      <c r="F809" s="13">
        <v>44529.615752314814</v>
      </c>
      <c r="G809" t="s">
        <v>1418</v>
      </c>
      <c r="H809" t="s">
        <v>1419</v>
      </c>
      <c r="I809" s="13">
        <v>44580.338912037034</v>
      </c>
      <c r="K809" t="s">
        <v>379</v>
      </c>
      <c r="M809" s="13">
        <v>44592</v>
      </c>
      <c r="R809">
        <v>100</v>
      </c>
      <c r="S809" t="s">
        <v>380</v>
      </c>
      <c r="T809" t="s">
        <v>57</v>
      </c>
      <c r="V809" t="s">
        <v>381</v>
      </c>
      <c r="W809" t="s">
        <v>3725</v>
      </c>
      <c r="X809" t="s">
        <v>3725</v>
      </c>
      <c r="AF809" t="s">
        <v>382</v>
      </c>
      <c r="AG809" t="s">
        <v>3726</v>
      </c>
      <c r="AI809">
        <v>12</v>
      </c>
      <c r="AL809" t="s">
        <v>3727</v>
      </c>
      <c r="AN809" t="s">
        <v>31</v>
      </c>
      <c r="AO809">
        <v>0</v>
      </c>
      <c r="AS809" t="s">
        <v>385</v>
      </c>
      <c r="AX809" t="s">
        <v>31</v>
      </c>
      <c r="AY809" t="s">
        <v>442</v>
      </c>
      <c r="AZ809" t="s">
        <v>3728</v>
      </c>
      <c r="BF809">
        <v>0</v>
      </c>
      <c r="BK809" t="s">
        <v>31</v>
      </c>
      <c r="BS809" t="s">
        <v>379</v>
      </c>
      <c r="BT809" t="s">
        <v>379</v>
      </c>
      <c r="CI809" t="s">
        <v>388</v>
      </c>
      <c r="CJ809" s="14">
        <v>45013</v>
      </c>
      <c r="CK809">
        <v>1</v>
      </c>
    </row>
    <row r="810" spans="1:89">
      <c r="A810" t="s">
        <v>1415</v>
      </c>
      <c r="B810" t="s">
        <v>374</v>
      </c>
      <c r="C810" t="s">
        <v>1416</v>
      </c>
      <c r="D810" t="s">
        <v>3729</v>
      </c>
      <c r="E810" t="s">
        <v>3730</v>
      </c>
      <c r="F810" s="13">
        <v>44529.572013888886</v>
      </c>
      <c r="G810" t="s">
        <v>1418</v>
      </c>
      <c r="H810" t="s">
        <v>1419</v>
      </c>
      <c r="I810" s="13">
        <v>45012.043611111112</v>
      </c>
      <c r="K810" t="s">
        <v>415</v>
      </c>
      <c r="M810" s="13">
        <v>44926</v>
      </c>
      <c r="R810">
        <v>100</v>
      </c>
      <c r="S810" t="s">
        <v>380</v>
      </c>
      <c r="T810" t="s">
        <v>57</v>
      </c>
      <c r="V810" t="s">
        <v>478</v>
      </c>
      <c r="W810" t="s">
        <v>3714</v>
      </c>
      <c r="X810" t="s">
        <v>3714</v>
      </c>
      <c r="AF810" t="s">
        <v>382</v>
      </c>
      <c r="AG810" t="s">
        <v>3731</v>
      </c>
      <c r="AI810">
        <v>-86</v>
      </c>
      <c r="AL810" t="s">
        <v>3732</v>
      </c>
      <c r="AN810" t="s">
        <v>31</v>
      </c>
      <c r="AO810">
        <v>0</v>
      </c>
      <c r="AS810" t="s">
        <v>385</v>
      </c>
      <c r="AX810" t="s">
        <v>31</v>
      </c>
      <c r="AY810" t="s">
        <v>442</v>
      </c>
      <c r="AZ810" t="s">
        <v>3733</v>
      </c>
      <c r="BF810">
        <v>0</v>
      </c>
      <c r="BK810" t="s">
        <v>31</v>
      </c>
      <c r="BS810" t="s">
        <v>622</v>
      </c>
      <c r="BT810" t="s">
        <v>419</v>
      </c>
      <c r="CI810" t="s">
        <v>388</v>
      </c>
      <c r="CJ810" s="14">
        <v>45013</v>
      </c>
      <c r="CK810">
        <v>1</v>
      </c>
    </row>
    <row r="811" spans="1:89">
      <c r="A811" t="s">
        <v>1415</v>
      </c>
      <c r="B811" t="s">
        <v>374</v>
      </c>
      <c r="C811" t="s">
        <v>1416</v>
      </c>
      <c r="D811" t="s">
        <v>3734</v>
      </c>
      <c r="E811" t="s">
        <v>3735</v>
      </c>
      <c r="F811" s="13">
        <v>44529.546620370369</v>
      </c>
      <c r="G811" t="s">
        <v>1418</v>
      </c>
      <c r="H811" t="s">
        <v>1419</v>
      </c>
      <c r="I811" s="13">
        <v>44587.742175925923</v>
      </c>
      <c r="K811" t="s">
        <v>379</v>
      </c>
      <c r="M811" s="13">
        <v>44712</v>
      </c>
      <c r="R811">
        <v>100</v>
      </c>
      <c r="S811" t="s">
        <v>380</v>
      </c>
      <c r="T811" t="s">
        <v>57</v>
      </c>
      <c r="V811" t="s">
        <v>381</v>
      </c>
      <c r="W811" t="s">
        <v>3736</v>
      </c>
      <c r="X811" t="s">
        <v>3736</v>
      </c>
      <c r="AF811" t="s">
        <v>382</v>
      </c>
      <c r="AG811" t="s">
        <v>3737</v>
      </c>
      <c r="AI811">
        <v>125</v>
      </c>
      <c r="AL811" t="s">
        <v>3738</v>
      </c>
      <c r="AN811" t="s">
        <v>31</v>
      </c>
      <c r="AO811">
        <v>0</v>
      </c>
      <c r="AS811" t="s">
        <v>392</v>
      </c>
      <c r="AX811" t="s">
        <v>31</v>
      </c>
      <c r="AY811" t="s">
        <v>386</v>
      </c>
      <c r="AZ811" t="s">
        <v>3739</v>
      </c>
      <c r="BF811">
        <v>0</v>
      </c>
      <c r="BK811" t="s">
        <v>31</v>
      </c>
      <c r="BS811" t="s">
        <v>379</v>
      </c>
      <c r="BT811" t="s">
        <v>379</v>
      </c>
      <c r="CI811" t="s">
        <v>388</v>
      </c>
      <c r="CJ811" s="14">
        <v>45013</v>
      </c>
      <c r="CK811">
        <v>1</v>
      </c>
    </row>
    <row r="812" spans="1:89">
      <c r="A812" t="s">
        <v>1415</v>
      </c>
      <c r="B812" t="s">
        <v>374</v>
      </c>
      <c r="C812" t="s">
        <v>1416</v>
      </c>
      <c r="D812" t="s">
        <v>3740</v>
      </c>
      <c r="E812" t="s">
        <v>3741</v>
      </c>
      <c r="F812" s="13">
        <v>44529.445648148147</v>
      </c>
      <c r="G812" t="s">
        <v>1418</v>
      </c>
      <c r="H812" t="s">
        <v>1419</v>
      </c>
      <c r="I812" s="13">
        <v>44544.575613425928</v>
      </c>
      <c r="K812" t="s">
        <v>379</v>
      </c>
      <c r="M812" s="13">
        <v>44561</v>
      </c>
      <c r="R812">
        <v>100</v>
      </c>
      <c r="S812" t="s">
        <v>380</v>
      </c>
      <c r="T812" t="s">
        <v>57</v>
      </c>
      <c r="V812" t="s">
        <v>381</v>
      </c>
      <c r="W812" t="s">
        <v>3387</v>
      </c>
      <c r="X812" t="s">
        <v>3387</v>
      </c>
      <c r="AF812" t="s">
        <v>382</v>
      </c>
      <c r="AG812" t="s">
        <v>3742</v>
      </c>
      <c r="AI812">
        <v>17</v>
      </c>
      <c r="AL812" t="s">
        <v>3743</v>
      </c>
      <c r="AN812" t="s">
        <v>31</v>
      </c>
      <c r="AO812">
        <v>0</v>
      </c>
      <c r="AS812" t="s">
        <v>461</v>
      </c>
      <c r="AX812" t="s">
        <v>31</v>
      </c>
      <c r="AY812" t="s">
        <v>386</v>
      </c>
      <c r="AZ812" t="s">
        <v>3744</v>
      </c>
      <c r="BF812">
        <v>0</v>
      </c>
      <c r="BK812" t="s">
        <v>31</v>
      </c>
      <c r="BS812" t="s">
        <v>379</v>
      </c>
      <c r="BT812" t="s">
        <v>379</v>
      </c>
      <c r="CI812" t="s">
        <v>388</v>
      </c>
      <c r="CJ812" s="14">
        <v>45013</v>
      </c>
      <c r="CK812">
        <v>1</v>
      </c>
    </row>
    <row r="813" spans="1:89">
      <c r="A813" t="s">
        <v>1415</v>
      </c>
      <c r="B813" t="s">
        <v>374</v>
      </c>
      <c r="C813" t="s">
        <v>1416</v>
      </c>
      <c r="D813" t="s">
        <v>3745</v>
      </c>
      <c r="E813" t="s">
        <v>3746</v>
      </c>
      <c r="F813" s="13">
        <v>44529.430960648147</v>
      </c>
      <c r="G813" t="s">
        <v>1418</v>
      </c>
      <c r="H813" t="s">
        <v>1419</v>
      </c>
      <c r="I813" s="13">
        <v>44529.433958333335</v>
      </c>
      <c r="K813" t="s">
        <v>409</v>
      </c>
      <c r="R813">
        <v>0</v>
      </c>
      <c r="S813" t="s">
        <v>380</v>
      </c>
      <c r="T813" t="s">
        <v>57</v>
      </c>
      <c r="V813" t="s">
        <v>381</v>
      </c>
      <c r="W813" t="s">
        <v>3747</v>
      </c>
      <c r="X813" t="s">
        <v>3747</v>
      </c>
      <c r="AI813">
        <v>63</v>
      </c>
      <c r="AL813" t="s">
        <v>3748</v>
      </c>
      <c r="AN813" t="s">
        <v>31</v>
      </c>
      <c r="AO813">
        <v>0</v>
      </c>
      <c r="AS813" t="s">
        <v>385</v>
      </c>
      <c r="AX813" t="s">
        <v>31</v>
      </c>
      <c r="AY813" t="s">
        <v>386</v>
      </c>
      <c r="AZ813" t="s">
        <v>3749</v>
      </c>
      <c r="BF813">
        <v>0</v>
      </c>
      <c r="BK813" t="s">
        <v>31</v>
      </c>
      <c r="BS813" t="s">
        <v>409</v>
      </c>
      <c r="BT813" t="s">
        <v>409</v>
      </c>
      <c r="CI813" t="s">
        <v>388</v>
      </c>
      <c r="CJ813" s="14">
        <v>45013</v>
      </c>
      <c r="CK813">
        <v>1</v>
      </c>
    </row>
    <row r="814" spans="1:89">
      <c r="A814" t="s">
        <v>2267</v>
      </c>
      <c r="B814" t="s">
        <v>374</v>
      </c>
      <c r="C814" t="s">
        <v>2268</v>
      </c>
      <c r="D814" t="s">
        <v>3750</v>
      </c>
      <c r="E814" t="s">
        <v>3751</v>
      </c>
      <c r="F814" s="13">
        <v>44529.413923611108</v>
      </c>
      <c r="G814" t="s">
        <v>2271</v>
      </c>
      <c r="H814" t="s">
        <v>2272</v>
      </c>
      <c r="I814" s="13">
        <v>45012.043599537035</v>
      </c>
      <c r="K814" t="s">
        <v>415</v>
      </c>
      <c r="M814" s="13">
        <v>44645</v>
      </c>
      <c r="R814">
        <v>95</v>
      </c>
      <c r="S814" t="s">
        <v>380</v>
      </c>
      <c r="T814" t="s">
        <v>57</v>
      </c>
      <c r="V814" t="s">
        <v>478</v>
      </c>
      <c r="W814" t="s">
        <v>3752</v>
      </c>
      <c r="X814" t="s">
        <v>3752</v>
      </c>
      <c r="AF814" t="s">
        <v>1301</v>
      </c>
      <c r="AG814" t="s">
        <v>3753</v>
      </c>
      <c r="AI814">
        <v>-367</v>
      </c>
      <c r="AL814" t="s">
        <v>3754</v>
      </c>
      <c r="AN814" t="s">
        <v>31</v>
      </c>
      <c r="AO814">
        <v>0</v>
      </c>
      <c r="AS814" t="s">
        <v>392</v>
      </c>
      <c r="AT814" t="s">
        <v>31</v>
      </c>
      <c r="AX814" t="s">
        <v>31</v>
      </c>
      <c r="AY814" t="s">
        <v>442</v>
      </c>
      <c r="AZ814" t="s">
        <v>3755</v>
      </c>
      <c r="BF814">
        <v>0</v>
      </c>
      <c r="BK814" t="s">
        <v>31</v>
      </c>
      <c r="BS814" t="s">
        <v>484</v>
      </c>
      <c r="BT814" t="s">
        <v>484</v>
      </c>
      <c r="CI814" t="s">
        <v>388</v>
      </c>
      <c r="CJ814" s="14">
        <v>45013</v>
      </c>
      <c r="CK814">
        <v>1</v>
      </c>
    </row>
    <row r="815" spans="1:89">
      <c r="A815" t="s">
        <v>2267</v>
      </c>
      <c r="B815" t="s">
        <v>374</v>
      </c>
      <c r="C815" t="s">
        <v>2268</v>
      </c>
      <c r="D815" t="s">
        <v>3756</v>
      </c>
      <c r="E815" t="s">
        <v>3757</v>
      </c>
      <c r="F815" s="13">
        <v>44529.400810185187</v>
      </c>
      <c r="G815" t="s">
        <v>2271</v>
      </c>
      <c r="H815" t="s">
        <v>2272</v>
      </c>
      <c r="I815" s="13">
        <v>44715.499756944446</v>
      </c>
      <c r="K815" t="s">
        <v>379</v>
      </c>
      <c r="M815" s="13">
        <v>44530</v>
      </c>
      <c r="R815">
        <v>100</v>
      </c>
      <c r="S815" t="s">
        <v>380</v>
      </c>
      <c r="T815" t="s">
        <v>57</v>
      </c>
      <c r="V815" t="s">
        <v>478</v>
      </c>
      <c r="W815" t="s">
        <v>3758</v>
      </c>
      <c r="X815" t="s">
        <v>3758</v>
      </c>
      <c r="AF815" t="s">
        <v>382</v>
      </c>
      <c r="AG815" t="s">
        <v>3759</v>
      </c>
      <c r="AI815">
        <v>-41</v>
      </c>
      <c r="AJ815" s="13">
        <v>44571</v>
      </c>
      <c r="AL815" t="s">
        <v>3760</v>
      </c>
      <c r="AN815" t="s">
        <v>31</v>
      </c>
      <c r="AO815">
        <v>0</v>
      </c>
      <c r="AR815" t="s">
        <v>3761</v>
      </c>
      <c r="AS815" t="s">
        <v>702</v>
      </c>
      <c r="AX815" t="s">
        <v>31</v>
      </c>
      <c r="AY815" t="s">
        <v>386</v>
      </c>
      <c r="AZ815" t="s">
        <v>3762</v>
      </c>
      <c r="BF815">
        <v>0</v>
      </c>
      <c r="BK815" t="s">
        <v>31</v>
      </c>
      <c r="BS815" t="s">
        <v>379</v>
      </c>
      <c r="BT815" t="s">
        <v>379</v>
      </c>
      <c r="CI815" t="s">
        <v>388</v>
      </c>
      <c r="CJ815" s="14">
        <v>45013</v>
      </c>
      <c r="CK815">
        <v>1</v>
      </c>
    </row>
    <row r="816" spans="1:89">
      <c r="A816" t="s">
        <v>1415</v>
      </c>
      <c r="B816" t="s">
        <v>374</v>
      </c>
      <c r="C816" t="s">
        <v>1416</v>
      </c>
      <c r="D816" t="s">
        <v>3763</v>
      </c>
      <c r="E816" t="s">
        <v>3764</v>
      </c>
      <c r="F816" s="13">
        <v>44526.669270833336</v>
      </c>
      <c r="G816" t="s">
        <v>1418</v>
      </c>
      <c r="H816" t="s">
        <v>1419</v>
      </c>
      <c r="I816" s="13">
        <v>45012.043599537035</v>
      </c>
      <c r="K816" t="s">
        <v>415</v>
      </c>
      <c r="M816" s="13">
        <v>44742</v>
      </c>
      <c r="R816">
        <v>0</v>
      </c>
      <c r="S816" t="s">
        <v>380</v>
      </c>
      <c r="T816" t="s">
        <v>57</v>
      </c>
      <c r="V816" t="s">
        <v>478</v>
      </c>
      <c r="W816" t="s">
        <v>3701</v>
      </c>
      <c r="X816" t="s">
        <v>3701</v>
      </c>
      <c r="AF816" t="s">
        <v>451</v>
      </c>
      <c r="AI816">
        <v>-270</v>
      </c>
      <c r="AL816" t="s">
        <v>3765</v>
      </c>
      <c r="AN816" t="s">
        <v>31</v>
      </c>
      <c r="AO816">
        <v>0</v>
      </c>
      <c r="AS816" t="s">
        <v>392</v>
      </c>
      <c r="AX816" t="s">
        <v>31</v>
      </c>
      <c r="AY816" t="s">
        <v>442</v>
      </c>
      <c r="AZ816" t="s">
        <v>3766</v>
      </c>
      <c r="BF816">
        <v>0</v>
      </c>
      <c r="BK816" t="s">
        <v>31</v>
      </c>
      <c r="BS816" t="s">
        <v>419</v>
      </c>
      <c r="BT816" t="s">
        <v>419</v>
      </c>
      <c r="CI816" t="s">
        <v>388</v>
      </c>
      <c r="CJ816" s="14">
        <v>45013</v>
      </c>
      <c r="CK816">
        <v>1</v>
      </c>
    </row>
    <row r="817" spans="1:89">
      <c r="A817" t="s">
        <v>1415</v>
      </c>
      <c r="B817" t="s">
        <v>374</v>
      </c>
      <c r="C817" t="s">
        <v>1416</v>
      </c>
      <c r="D817" t="s">
        <v>3767</v>
      </c>
      <c r="E817" t="s">
        <v>3768</v>
      </c>
      <c r="F817" s="13">
        <v>44526.54210648148</v>
      </c>
      <c r="G817" t="s">
        <v>1418</v>
      </c>
      <c r="H817" t="s">
        <v>1419</v>
      </c>
      <c r="I817" s="13">
        <v>44544.572581018518</v>
      </c>
      <c r="K817" t="s">
        <v>379</v>
      </c>
      <c r="M817" s="13">
        <v>44561</v>
      </c>
      <c r="R817">
        <v>100</v>
      </c>
      <c r="S817" t="s">
        <v>380</v>
      </c>
      <c r="T817" t="s">
        <v>57</v>
      </c>
      <c r="V817" t="s">
        <v>381</v>
      </c>
      <c r="W817" t="s">
        <v>3769</v>
      </c>
      <c r="X817" t="s">
        <v>3769</v>
      </c>
      <c r="AF817" t="s">
        <v>382</v>
      </c>
      <c r="AG817" t="s">
        <v>3770</v>
      </c>
      <c r="AI817">
        <v>17</v>
      </c>
      <c r="AL817" t="s">
        <v>3771</v>
      </c>
      <c r="AN817" t="s">
        <v>31</v>
      </c>
      <c r="AO817">
        <v>0</v>
      </c>
      <c r="AS817" t="s">
        <v>461</v>
      </c>
      <c r="AX817" t="s">
        <v>31</v>
      </c>
      <c r="AY817" t="s">
        <v>386</v>
      </c>
      <c r="AZ817" t="s">
        <v>3772</v>
      </c>
      <c r="BF817">
        <v>0</v>
      </c>
      <c r="BK817" t="s">
        <v>31</v>
      </c>
      <c r="BS817" t="s">
        <v>379</v>
      </c>
      <c r="BT817" t="s">
        <v>379</v>
      </c>
      <c r="CI817" t="s">
        <v>388</v>
      </c>
      <c r="CJ817" s="14">
        <v>45013</v>
      </c>
      <c r="CK817">
        <v>1</v>
      </c>
    </row>
    <row r="818" spans="1:89">
      <c r="A818" t="s">
        <v>1415</v>
      </c>
      <c r="B818" t="s">
        <v>374</v>
      </c>
      <c r="C818" t="s">
        <v>1416</v>
      </c>
      <c r="D818" t="s">
        <v>3773</v>
      </c>
      <c r="E818" t="s">
        <v>3774</v>
      </c>
      <c r="F818" s="13">
        <v>44526.491319444445</v>
      </c>
      <c r="G818" t="s">
        <v>1418</v>
      </c>
      <c r="H818" t="s">
        <v>1419</v>
      </c>
      <c r="I818" s="13">
        <v>44544.560127314813</v>
      </c>
      <c r="K818" t="s">
        <v>379</v>
      </c>
      <c r="M818" s="13">
        <v>44561</v>
      </c>
      <c r="R818">
        <v>100</v>
      </c>
      <c r="S818" t="s">
        <v>380</v>
      </c>
      <c r="T818" t="s">
        <v>57</v>
      </c>
      <c r="V818" t="s">
        <v>381</v>
      </c>
      <c r="W818" t="s">
        <v>3769</v>
      </c>
      <c r="X818" t="s">
        <v>3769</v>
      </c>
      <c r="AF818" t="s">
        <v>382</v>
      </c>
      <c r="AG818" t="s">
        <v>3775</v>
      </c>
      <c r="AI818">
        <v>17</v>
      </c>
      <c r="AL818" t="s">
        <v>3776</v>
      </c>
      <c r="AN818" t="s">
        <v>31</v>
      </c>
      <c r="AO818">
        <v>0</v>
      </c>
      <c r="AS818" t="s">
        <v>702</v>
      </c>
      <c r="AX818" t="s">
        <v>31</v>
      </c>
      <c r="AY818" t="s">
        <v>386</v>
      </c>
      <c r="AZ818" t="s">
        <v>3777</v>
      </c>
      <c r="BF818">
        <v>0</v>
      </c>
      <c r="BK818" t="s">
        <v>31</v>
      </c>
      <c r="BS818" t="s">
        <v>379</v>
      </c>
      <c r="BT818" t="s">
        <v>379</v>
      </c>
      <c r="CI818" t="s">
        <v>388</v>
      </c>
      <c r="CJ818" s="14">
        <v>45013</v>
      </c>
      <c r="CK818">
        <v>1</v>
      </c>
    </row>
    <row r="819" spans="1:89">
      <c r="A819" t="s">
        <v>1415</v>
      </c>
      <c r="B819" t="s">
        <v>374</v>
      </c>
      <c r="C819" t="s">
        <v>1416</v>
      </c>
      <c r="D819" t="s">
        <v>3778</v>
      </c>
      <c r="E819" t="s">
        <v>3779</v>
      </c>
      <c r="F819" s="13">
        <v>44524.658634259256</v>
      </c>
      <c r="G819" t="s">
        <v>1418</v>
      </c>
      <c r="H819" t="s">
        <v>1419</v>
      </c>
      <c r="I819" s="13">
        <v>44529.661574074074</v>
      </c>
      <c r="K819" t="s">
        <v>379</v>
      </c>
      <c r="M819" s="13">
        <v>44530</v>
      </c>
      <c r="R819">
        <v>100</v>
      </c>
      <c r="S819" t="s">
        <v>416</v>
      </c>
      <c r="T819" t="s">
        <v>57</v>
      </c>
      <c r="V819" t="s">
        <v>381</v>
      </c>
      <c r="W819" t="s">
        <v>3736</v>
      </c>
      <c r="X819" t="s">
        <v>3736</v>
      </c>
      <c r="AF819" t="s">
        <v>382</v>
      </c>
      <c r="AG819" t="s">
        <v>3780</v>
      </c>
      <c r="AI819">
        <v>1</v>
      </c>
      <c r="AL819" t="s">
        <v>3738</v>
      </c>
      <c r="AM819">
        <v>1</v>
      </c>
      <c r="AN819" t="s">
        <v>31</v>
      </c>
      <c r="AO819">
        <v>0</v>
      </c>
      <c r="AS819" t="s">
        <v>1720</v>
      </c>
      <c r="AX819" t="s">
        <v>31</v>
      </c>
      <c r="AY819" t="s">
        <v>386</v>
      </c>
      <c r="AZ819" t="s">
        <v>3781</v>
      </c>
      <c r="BF819">
        <v>0</v>
      </c>
      <c r="BK819" t="s">
        <v>31</v>
      </c>
      <c r="BS819" t="s">
        <v>379</v>
      </c>
      <c r="BT819" t="s">
        <v>379</v>
      </c>
      <c r="CI819" t="s">
        <v>388</v>
      </c>
      <c r="CJ819" s="14">
        <v>45013</v>
      </c>
      <c r="CK819">
        <v>1</v>
      </c>
    </row>
    <row r="820" spans="1:89">
      <c r="A820" t="s">
        <v>3782</v>
      </c>
      <c r="B820" t="s">
        <v>374</v>
      </c>
      <c r="C820" t="s">
        <v>3783</v>
      </c>
      <c r="D820" t="s">
        <v>3784</v>
      </c>
      <c r="E820" t="s">
        <v>3785</v>
      </c>
      <c r="F820" s="13">
        <v>44524.604131944441</v>
      </c>
      <c r="G820" t="s">
        <v>2271</v>
      </c>
      <c r="H820" t="s">
        <v>2272</v>
      </c>
      <c r="I820" s="13">
        <v>44543.440949074073</v>
      </c>
      <c r="K820" t="s">
        <v>379</v>
      </c>
      <c r="M820" s="13">
        <v>44545</v>
      </c>
      <c r="R820">
        <v>100</v>
      </c>
      <c r="S820" t="s">
        <v>380</v>
      </c>
      <c r="T820" t="s">
        <v>57</v>
      </c>
      <c r="V820" t="s">
        <v>381</v>
      </c>
      <c r="W820" t="s">
        <v>3786</v>
      </c>
      <c r="X820" t="s">
        <v>3786</v>
      </c>
      <c r="AF820" t="s">
        <v>382</v>
      </c>
      <c r="AG820" t="s">
        <v>3787</v>
      </c>
      <c r="AI820">
        <v>2</v>
      </c>
      <c r="AL820" t="s">
        <v>3788</v>
      </c>
      <c r="AN820" t="s">
        <v>31</v>
      </c>
      <c r="AO820">
        <v>0</v>
      </c>
      <c r="AS820" t="s">
        <v>702</v>
      </c>
      <c r="AX820" t="s">
        <v>57</v>
      </c>
      <c r="AY820" t="s">
        <v>442</v>
      </c>
      <c r="AZ820" t="s">
        <v>3789</v>
      </c>
      <c r="BE820" t="s">
        <v>3790</v>
      </c>
      <c r="BF820">
        <v>0</v>
      </c>
      <c r="BK820" t="s">
        <v>31</v>
      </c>
      <c r="BS820" t="s">
        <v>379</v>
      </c>
      <c r="BT820" t="s">
        <v>379</v>
      </c>
      <c r="CI820" t="s">
        <v>388</v>
      </c>
      <c r="CJ820" s="14">
        <v>45013</v>
      </c>
      <c r="CK820">
        <v>1</v>
      </c>
    </row>
    <row r="821" spans="1:89">
      <c r="A821" t="s">
        <v>2502</v>
      </c>
      <c r="B821" t="s">
        <v>374</v>
      </c>
      <c r="C821" t="s">
        <v>2503</v>
      </c>
      <c r="D821" t="s">
        <v>3791</v>
      </c>
      <c r="E821" t="s">
        <v>3792</v>
      </c>
      <c r="F821" s="13">
        <v>44518.478993055556</v>
      </c>
      <c r="G821" t="s">
        <v>2506</v>
      </c>
      <c r="H821" t="s">
        <v>2507</v>
      </c>
      <c r="I821" s="13">
        <v>44518.479942129627</v>
      </c>
      <c r="K821" t="s">
        <v>412</v>
      </c>
      <c r="R821">
        <v>0</v>
      </c>
      <c r="S821" t="s">
        <v>380</v>
      </c>
      <c r="T821" t="s">
        <v>57</v>
      </c>
      <c r="V821" t="s">
        <v>381</v>
      </c>
      <c r="W821" t="s">
        <v>3793</v>
      </c>
      <c r="X821" t="s">
        <v>3793</v>
      </c>
      <c r="AC821" s="13">
        <v>44651</v>
      </c>
      <c r="AD821" s="13">
        <v>44651</v>
      </c>
      <c r="AI821">
        <v>133</v>
      </c>
      <c r="AL821" t="s">
        <v>3794</v>
      </c>
      <c r="AN821" t="s">
        <v>31</v>
      </c>
      <c r="AO821">
        <v>0</v>
      </c>
      <c r="AS821" t="s">
        <v>385</v>
      </c>
      <c r="AX821" t="s">
        <v>31</v>
      </c>
      <c r="AY821" t="s">
        <v>442</v>
      </c>
      <c r="AZ821" t="s">
        <v>3795</v>
      </c>
      <c r="BF821">
        <v>0</v>
      </c>
      <c r="BK821" t="s">
        <v>31</v>
      </c>
      <c r="BS821" t="s">
        <v>412</v>
      </c>
      <c r="BT821" t="s">
        <v>412</v>
      </c>
      <c r="CI821" t="s">
        <v>388</v>
      </c>
      <c r="CJ821" s="14">
        <v>45013</v>
      </c>
      <c r="CK821">
        <v>1</v>
      </c>
    </row>
    <row r="822" spans="1:89">
      <c r="A822" t="s">
        <v>2227</v>
      </c>
      <c r="B822" t="s">
        <v>374</v>
      </c>
      <c r="C822" t="s">
        <v>2228</v>
      </c>
      <c r="D822" t="s">
        <v>3796</v>
      </c>
      <c r="E822" t="s">
        <v>3797</v>
      </c>
      <c r="F822" s="13">
        <v>44516.551932870374</v>
      </c>
      <c r="G822" t="s">
        <v>2231</v>
      </c>
      <c r="H822" t="s">
        <v>2232</v>
      </c>
      <c r="I822" s="13">
        <v>44972.596226851849</v>
      </c>
      <c r="K822" t="s">
        <v>379</v>
      </c>
      <c r="M822" s="13">
        <v>44606</v>
      </c>
      <c r="R822">
        <v>100</v>
      </c>
      <c r="S822" t="s">
        <v>416</v>
      </c>
      <c r="T822" t="s">
        <v>57</v>
      </c>
      <c r="V822" t="s">
        <v>478</v>
      </c>
      <c r="W822" t="s">
        <v>2233</v>
      </c>
      <c r="X822" t="s">
        <v>2233</v>
      </c>
      <c r="Y822" t="s">
        <v>480</v>
      </c>
      <c r="AF822" t="s">
        <v>382</v>
      </c>
      <c r="AG822" t="s">
        <v>3798</v>
      </c>
      <c r="AI822">
        <v>-14</v>
      </c>
      <c r="AL822" t="s">
        <v>2518</v>
      </c>
      <c r="AM822">
        <v>1</v>
      </c>
      <c r="AN822" t="s">
        <v>31</v>
      </c>
      <c r="AO822">
        <v>0</v>
      </c>
      <c r="AS822" t="s">
        <v>385</v>
      </c>
      <c r="AX822" t="s">
        <v>31</v>
      </c>
      <c r="AY822" t="s">
        <v>442</v>
      </c>
      <c r="AZ822" t="s">
        <v>3799</v>
      </c>
      <c r="BE822" t="s">
        <v>1404</v>
      </c>
      <c r="BF822">
        <v>0</v>
      </c>
      <c r="BK822" t="s">
        <v>31</v>
      </c>
      <c r="BS822" t="s">
        <v>379</v>
      </c>
      <c r="BT822" t="s">
        <v>379</v>
      </c>
      <c r="CI822" t="s">
        <v>388</v>
      </c>
      <c r="CJ822" s="14">
        <v>45013</v>
      </c>
      <c r="CK822">
        <v>1</v>
      </c>
    </row>
    <row r="823" spans="1:89">
      <c r="A823" t="s">
        <v>2227</v>
      </c>
      <c r="B823" t="s">
        <v>374</v>
      </c>
      <c r="C823" t="s">
        <v>2228</v>
      </c>
      <c r="D823" t="s">
        <v>3800</v>
      </c>
      <c r="E823" t="s">
        <v>3801</v>
      </c>
      <c r="F823" s="13">
        <v>44516.431805555556</v>
      </c>
      <c r="G823" t="s">
        <v>2231</v>
      </c>
      <c r="H823" t="s">
        <v>2232</v>
      </c>
      <c r="I823" s="13">
        <v>44972.596226851849</v>
      </c>
      <c r="K823" t="s">
        <v>379</v>
      </c>
      <c r="M823" s="13">
        <v>44592</v>
      </c>
      <c r="R823">
        <v>100</v>
      </c>
      <c r="S823" t="s">
        <v>416</v>
      </c>
      <c r="T823" t="s">
        <v>57</v>
      </c>
      <c r="V823" t="s">
        <v>381</v>
      </c>
      <c r="W823" t="s">
        <v>2233</v>
      </c>
      <c r="X823" t="s">
        <v>2233</v>
      </c>
      <c r="AF823" t="s">
        <v>382</v>
      </c>
      <c r="AG823" t="s">
        <v>3802</v>
      </c>
      <c r="AI823">
        <v>3</v>
      </c>
      <c r="AL823" t="s">
        <v>3521</v>
      </c>
      <c r="AM823">
        <v>1</v>
      </c>
      <c r="AN823" t="s">
        <v>31</v>
      </c>
      <c r="AO823">
        <v>0</v>
      </c>
      <c r="AS823" t="s">
        <v>385</v>
      </c>
      <c r="AX823" t="s">
        <v>31</v>
      </c>
      <c r="AY823" t="s">
        <v>442</v>
      </c>
      <c r="AZ823" t="s">
        <v>3522</v>
      </c>
      <c r="BE823" t="s">
        <v>1404</v>
      </c>
      <c r="BF823">
        <v>0</v>
      </c>
      <c r="BK823" t="s">
        <v>31</v>
      </c>
      <c r="BS823" t="s">
        <v>379</v>
      </c>
      <c r="BT823" t="s">
        <v>379</v>
      </c>
      <c r="CI823" t="s">
        <v>388</v>
      </c>
      <c r="CJ823" s="14">
        <v>45013</v>
      </c>
      <c r="CK823">
        <v>1</v>
      </c>
    </row>
    <row r="824" spans="1:89">
      <c r="A824" t="s">
        <v>2227</v>
      </c>
      <c r="B824" t="s">
        <v>374</v>
      </c>
      <c r="C824" t="s">
        <v>2228</v>
      </c>
      <c r="D824" t="s">
        <v>3803</v>
      </c>
      <c r="E824" t="s">
        <v>3804</v>
      </c>
      <c r="F824" s="13">
        <v>44516.40116898148</v>
      </c>
      <c r="G824" t="s">
        <v>2231</v>
      </c>
      <c r="H824" t="s">
        <v>2232</v>
      </c>
      <c r="I824" s="13">
        <v>44972.596226851849</v>
      </c>
      <c r="K824" t="s">
        <v>379</v>
      </c>
      <c r="M824" s="13">
        <v>44561</v>
      </c>
      <c r="R824">
        <v>100</v>
      </c>
      <c r="S824" t="s">
        <v>416</v>
      </c>
      <c r="T824" t="s">
        <v>57</v>
      </c>
      <c r="V824" t="s">
        <v>478</v>
      </c>
      <c r="W824" t="s">
        <v>3528</v>
      </c>
      <c r="X824" t="s">
        <v>3528</v>
      </c>
      <c r="AE824" t="s">
        <v>3805</v>
      </c>
      <c r="AF824" t="s">
        <v>382</v>
      </c>
      <c r="AG824" t="s">
        <v>3806</v>
      </c>
      <c r="AI824">
        <v>-40</v>
      </c>
      <c r="AJ824" s="13">
        <v>44592</v>
      </c>
      <c r="AL824" t="s">
        <v>3530</v>
      </c>
      <c r="AM824">
        <v>1</v>
      </c>
      <c r="AN824" t="s">
        <v>31</v>
      </c>
      <c r="AO824">
        <v>0</v>
      </c>
      <c r="AR824" t="s">
        <v>3806</v>
      </c>
      <c r="AS824" t="s">
        <v>385</v>
      </c>
      <c r="AX824" t="s">
        <v>31</v>
      </c>
      <c r="AY824" t="s">
        <v>442</v>
      </c>
      <c r="AZ824" t="s">
        <v>3532</v>
      </c>
      <c r="BE824" t="s">
        <v>1404</v>
      </c>
      <c r="BF824">
        <v>0</v>
      </c>
      <c r="BK824" t="s">
        <v>31</v>
      </c>
      <c r="BS824" t="s">
        <v>379</v>
      </c>
      <c r="BT824" t="s">
        <v>379</v>
      </c>
      <c r="CI824" t="s">
        <v>388</v>
      </c>
      <c r="CJ824" s="14">
        <v>45013</v>
      </c>
      <c r="CK824">
        <v>1</v>
      </c>
    </row>
    <row r="825" spans="1:89">
      <c r="A825" t="s">
        <v>1497</v>
      </c>
      <c r="B825" t="s">
        <v>374</v>
      </c>
      <c r="C825" t="s">
        <v>1498</v>
      </c>
      <c r="D825" t="s">
        <v>3807</v>
      </c>
      <c r="E825" t="s">
        <v>3808</v>
      </c>
      <c r="F825" s="13">
        <v>44503.556354166663</v>
      </c>
      <c r="G825" t="s">
        <v>1501</v>
      </c>
      <c r="H825" t="s">
        <v>1502</v>
      </c>
      <c r="I825" s="13">
        <v>45012.043599537035</v>
      </c>
      <c r="K825" t="s">
        <v>415</v>
      </c>
      <c r="M825" s="13">
        <v>44895</v>
      </c>
      <c r="R825">
        <v>0</v>
      </c>
      <c r="S825" t="s">
        <v>380</v>
      </c>
      <c r="T825" t="s">
        <v>57</v>
      </c>
      <c r="V825" t="s">
        <v>478</v>
      </c>
      <c r="W825" t="s">
        <v>1684</v>
      </c>
      <c r="X825" t="s">
        <v>1684</v>
      </c>
      <c r="AF825" t="s">
        <v>451</v>
      </c>
      <c r="AI825">
        <v>-117</v>
      </c>
      <c r="AL825" t="s">
        <v>3809</v>
      </c>
      <c r="AN825" t="s">
        <v>57</v>
      </c>
      <c r="AO825">
        <v>0</v>
      </c>
      <c r="AS825" t="s">
        <v>392</v>
      </c>
      <c r="AX825" t="s">
        <v>57</v>
      </c>
      <c r="AY825" t="s">
        <v>442</v>
      </c>
      <c r="AZ825" t="s">
        <v>3810</v>
      </c>
      <c r="BF825">
        <v>0</v>
      </c>
      <c r="BK825" t="s">
        <v>31</v>
      </c>
      <c r="BS825" t="s">
        <v>419</v>
      </c>
      <c r="BT825" t="s">
        <v>419</v>
      </c>
      <c r="CI825" t="s">
        <v>388</v>
      </c>
      <c r="CJ825" s="14">
        <v>45013</v>
      </c>
      <c r="CK825">
        <v>1</v>
      </c>
    </row>
    <row r="826" spans="1:89">
      <c r="A826" t="s">
        <v>2227</v>
      </c>
      <c r="B826" t="s">
        <v>374</v>
      </c>
      <c r="C826" t="s">
        <v>2228</v>
      </c>
      <c r="D826" t="s">
        <v>3811</v>
      </c>
      <c r="E826" t="s">
        <v>3812</v>
      </c>
      <c r="F826" s="13">
        <v>44503.398298611108</v>
      </c>
      <c r="G826" t="s">
        <v>2231</v>
      </c>
      <c r="H826" t="s">
        <v>2232</v>
      </c>
      <c r="I826" s="13">
        <v>45012.043599537035</v>
      </c>
      <c r="K826" t="s">
        <v>415</v>
      </c>
      <c r="M826" s="13">
        <v>44666</v>
      </c>
      <c r="R826">
        <v>0</v>
      </c>
      <c r="S826" t="s">
        <v>380</v>
      </c>
      <c r="T826" t="s">
        <v>57</v>
      </c>
      <c r="V826" t="s">
        <v>478</v>
      </c>
      <c r="W826" t="s">
        <v>3528</v>
      </c>
      <c r="X826" t="s">
        <v>3528</v>
      </c>
      <c r="AF826" t="s">
        <v>451</v>
      </c>
      <c r="AG826" t="s">
        <v>3813</v>
      </c>
      <c r="AI826">
        <v>-346</v>
      </c>
      <c r="AL826" t="s">
        <v>3814</v>
      </c>
      <c r="AN826" t="s">
        <v>31</v>
      </c>
      <c r="AO826">
        <v>0</v>
      </c>
      <c r="AS826" t="s">
        <v>385</v>
      </c>
      <c r="AX826" t="s">
        <v>31</v>
      </c>
      <c r="AY826" t="s">
        <v>386</v>
      </c>
      <c r="AZ826" t="s">
        <v>3815</v>
      </c>
      <c r="BF826">
        <v>0</v>
      </c>
      <c r="BK826" t="s">
        <v>31</v>
      </c>
      <c r="BS826" t="s">
        <v>419</v>
      </c>
      <c r="BT826" t="s">
        <v>419</v>
      </c>
      <c r="CI826" t="s">
        <v>388</v>
      </c>
      <c r="CJ826" s="14">
        <v>45013</v>
      </c>
      <c r="CK826">
        <v>1</v>
      </c>
    </row>
    <row r="827" spans="1:89">
      <c r="A827" t="s">
        <v>2502</v>
      </c>
      <c r="B827" t="s">
        <v>374</v>
      </c>
      <c r="C827" t="s">
        <v>2503</v>
      </c>
      <c r="D827" t="s">
        <v>3816</v>
      </c>
      <c r="E827" t="s">
        <v>3817</v>
      </c>
      <c r="F827" s="13">
        <v>44502.819351851853</v>
      </c>
      <c r="G827" t="s">
        <v>2506</v>
      </c>
      <c r="H827" t="s">
        <v>2507</v>
      </c>
      <c r="I827" s="13">
        <v>44524.765069444446</v>
      </c>
      <c r="K827" t="s">
        <v>379</v>
      </c>
      <c r="M827" s="13">
        <v>44505</v>
      </c>
      <c r="R827">
        <v>100</v>
      </c>
      <c r="S827" t="s">
        <v>380</v>
      </c>
      <c r="T827" t="s">
        <v>57</v>
      </c>
      <c r="V827" t="s">
        <v>381</v>
      </c>
      <c r="W827" t="s">
        <v>3793</v>
      </c>
      <c r="X827" t="s">
        <v>3793</v>
      </c>
      <c r="AC827" s="13">
        <v>44505</v>
      </c>
      <c r="AD827" s="13">
        <v>44505</v>
      </c>
      <c r="AF827" t="s">
        <v>382</v>
      </c>
      <c r="AG827" t="s">
        <v>3818</v>
      </c>
      <c r="AI827">
        <v>-19</v>
      </c>
      <c r="AL827" t="s">
        <v>3819</v>
      </c>
      <c r="AN827" t="s">
        <v>31</v>
      </c>
      <c r="AO827">
        <v>0</v>
      </c>
      <c r="AS827" t="s">
        <v>730</v>
      </c>
      <c r="AX827" t="s">
        <v>57</v>
      </c>
      <c r="AY827" t="s">
        <v>386</v>
      </c>
      <c r="AZ827" t="s">
        <v>3820</v>
      </c>
      <c r="BF827">
        <v>0</v>
      </c>
      <c r="BK827" t="s">
        <v>31</v>
      </c>
      <c r="BS827" t="s">
        <v>379</v>
      </c>
      <c r="BT827" t="s">
        <v>379</v>
      </c>
      <c r="CI827" t="s">
        <v>388</v>
      </c>
      <c r="CJ827" s="14">
        <v>45013</v>
      </c>
      <c r="CK827">
        <v>1</v>
      </c>
    </row>
    <row r="828" spans="1:89">
      <c r="A828" t="s">
        <v>1415</v>
      </c>
      <c r="B828" t="s">
        <v>374</v>
      </c>
      <c r="C828" t="s">
        <v>1416</v>
      </c>
      <c r="D828" t="s">
        <v>3821</v>
      </c>
      <c r="E828" t="s">
        <v>3822</v>
      </c>
      <c r="F828" s="13">
        <v>44502.636817129627</v>
      </c>
      <c r="G828" t="s">
        <v>1418</v>
      </c>
      <c r="H828" t="s">
        <v>1419</v>
      </c>
      <c r="I828" s="13">
        <v>45012.043587962966</v>
      </c>
      <c r="K828" t="s">
        <v>415</v>
      </c>
      <c r="M828" s="13">
        <v>44651</v>
      </c>
      <c r="R828">
        <v>0</v>
      </c>
      <c r="S828" t="s">
        <v>380</v>
      </c>
      <c r="T828" t="s">
        <v>57</v>
      </c>
      <c r="V828" t="s">
        <v>478</v>
      </c>
      <c r="W828" t="s">
        <v>3823</v>
      </c>
      <c r="X828" t="s">
        <v>3823</v>
      </c>
      <c r="AF828" t="s">
        <v>451</v>
      </c>
      <c r="AI828">
        <v>-361</v>
      </c>
      <c r="AL828" t="s">
        <v>3824</v>
      </c>
      <c r="AN828" t="s">
        <v>57</v>
      </c>
      <c r="AO828">
        <v>0</v>
      </c>
      <c r="AS828" t="s">
        <v>392</v>
      </c>
      <c r="AX828" t="s">
        <v>57</v>
      </c>
      <c r="AY828" t="s">
        <v>442</v>
      </c>
      <c r="AZ828" t="s">
        <v>3825</v>
      </c>
      <c r="BF828">
        <v>0</v>
      </c>
      <c r="BK828" t="s">
        <v>31</v>
      </c>
      <c r="BS828" t="s">
        <v>419</v>
      </c>
      <c r="BT828" t="s">
        <v>419</v>
      </c>
      <c r="CI828" t="s">
        <v>388</v>
      </c>
      <c r="CJ828" s="14">
        <v>45013</v>
      </c>
      <c r="CK828">
        <v>1</v>
      </c>
    </row>
    <row r="829" spans="1:89">
      <c r="A829" t="s">
        <v>2121</v>
      </c>
      <c r="B829" t="s">
        <v>374</v>
      </c>
      <c r="C829" t="s">
        <v>2122</v>
      </c>
      <c r="D829" t="s">
        <v>3826</v>
      </c>
      <c r="E829" t="s">
        <v>3827</v>
      </c>
      <c r="F829" s="13">
        <v>44498.655023148145</v>
      </c>
      <c r="G829" t="s">
        <v>1501</v>
      </c>
      <c r="H829" t="s">
        <v>1502</v>
      </c>
      <c r="I829" s="13">
        <v>44509.620266203703</v>
      </c>
      <c r="K829" t="s">
        <v>379</v>
      </c>
      <c r="M829" s="13">
        <v>44502</v>
      </c>
      <c r="R829">
        <v>100</v>
      </c>
      <c r="S829" t="s">
        <v>380</v>
      </c>
      <c r="T829" t="s">
        <v>57</v>
      </c>
      <c r="V829" t="s">
        <v>478</v>
      </c>
      <c r="W829" t="s">
        <v>3828</v>
      </c>
      <c r="X829" t="s">
        <v>3828</v>
      </c>
      <c r="AF829" t="s">
        <v>382</v>
      </c>
      <c r="AG829" t="s">
        <v>3829</v>
      </c>
      <c r="AI829">
        <v>-7</v>
      </c>
      <c r="AJ829" s="13">
        <v>44512</v>
      </c>
      <c r="AL829" t="s">
        <v>3830</v>
      </c>
      <c r="AN829" t="s">
        <v>31</v>
      </c>
      <c r="AO829">
        <v>0</v>
      </c>
      <c r="AR829" t="s">
        <v>3831</v>
      </c>
      <c r="AS829" t="s">
        <v>385</v>
      </c>
      <c r="AX829" t="s">
        <v>57</v>
      </c>
      <c r="AY829" t="s">
        <v>386</v>
      </c>
      <c r="AZ829" t="s">
        <v>3832</v>
      </c>
      <c r="BF829">
        <v>0</v>
      </c>
      <c r="BK829" t="s">
        <v>31</v>
      </c>
      <c r="BS829" t="s">
        <v>379</v>
      </c>
      <c r="BT829" t="s">
        <v>379</v>
      </c>
      <c r="CI829" t="s">
        <v>388</v>
      </c>
      <c r="CJ829" s="14">
        <v>45013</v>
      </c>
      <c r="CK829">
        <v>1</v>
      </c>
    </row>
    <row r="830" spans="1:89">
      <c r="A830" t="s">
        <v>1497</v>
      </c>
      <c r="B830" t="s">
        <v>374</v>
      </c>
      <c r="C830" t="s">
        <v>1498</v>
      </c>
      <c r="D830" t="s">
        <v>3833</v>
      </c>
      <c r="E830" t="s">
        <v>3834</v>
      </c>
      <c r="F830" s="13">
        <v>44495.703460648147</v>
      </c>
      <c r="G830" t="s">
        <v>1501</v>
      </c>
      <c r="H830" t="s">
        <v>1502</v>
      </c>
      <c r="I830" s="13">
        <v>44587.395960648151</v>
      </c>
      <c r="K830" t="s">
        <v>379</v>
      </c>
      <c r="M830" s="13">
        <v>44498</v>
      </c>
      <c r="R830">
        <v>100</v>
      </c>
      <c r="S830" t="s">
        <v>380</v>
      </c>
      <c r="T830" t="s">
        <v>57</v>
      </c>
      <c r="V830" t="s">
        <v>478</v>
      </c>
      <c r="W830" t="s">
        <v>3835</v>
      </c>
      <c r="X830" t="s">
        <v>3835</v>
      </c>
      <c r="AB830" t="s">
        <v>57</v>
      </c>
      <c r="AF830" t="s">
        <v>382</v>
      </c>
      <c r="AG830" t="s">
        <v>3836</v>
      </c>
      <c r="AI830">
        <v>-89</v>
      </c>
      <c r="AJ830" s="13">
        <v>44568</v>
      </c>
      <c r="AL830" t="s">
        <v>3837</v>
      </c>
      <c r="AN830" t="s">
        <v>57</v>
      </c>
      <c r="AO830">
        <v>0</v>
      </c>
      <c r="AR830" t="s">
        <v>3838</v>
      </c>
      <c r="AS830" t="s">
        <v>392</v>
      </c>
      <c r="AX830" t="s">
        <v>57</v>
      </c>
      <c r="AY830" t="s">
        <v>386</v>
      </c>
      <c r="AZ830" t="s">
        <v>3839</v>
      </c>
      <c r="BC830" t="s">
        <v>480</v>
      </c>
      <c r="BD830" t="s">
        <v>3840</v>
      </c>
      <c r="BF830">
        <v>0</v>
      </c>
      <c r="BK830" t="s">
        <v>31</v>
      </c>
      <c r="BS830" t="s">
        <v>379</v>
      </c>
      <c r="BT830" t="s">
        <v>379</v>
      </c>
      <c r="CC830" t="s">
        <v>3841</v>
      </c>
      <c r="CI830" t="s">
        <v>388</v>
      </c>
      <c r="CJ830" s="14">
        <v>45013</v>
      </c>
      <c r="CK830">
        <v>1</v>
      </c>
    </row>
    <row r="831" spans="1:89">
      <c r="A831" t="s">
        <v>1497</v>
      </c>
      <c r="B831" t="s">
        <v>374</v>
      </c>
      <c r="C831" t="s">
        <v>1498</v>
      </c>
      <c r="D831" t="s">
        <v>3842</v>
      </c>
      <c r="E831" t="s">
        <v>3843</v>
      </c>
      <c r="F831" s="13">
        <v>44495.408101851855</v>
      </c>
      <c r="G831" t="s">
        <v>1501</v>
      </c>
      <c r="H831" t="s">
        <v>1502</v>
      </c>
      <c r="I831" s="13">
        <v>45012.043587962966</v>
      </c>
      <c r="K831" t="s">
        <v>415</v>
      </c>
      <c r="M831" s="13">
        <v>44895</v>
      </c>
      <c r="R831">
        <v>0</v>
      </c>
      <c r="S831" t="s">
        <v>380</v>
      </c>
      <c r="T831" t="s">
        <v>57</v>
      </c>
      <c r="V831" t="s">
        <v>478</v>
      </c>
      <c r="W831" t="s">
        <v>1684</v>
      </c>
      <c r="X831" t="s">
        <v>1684</v>
      </c>
      <c r="AF831" t="s">
        <v>451</v>
      </c>
      <c r="AI831">
        <v>-117</v>
      </c>
      <c r="AL831" t="s">
        <v>3844</v>
      </c>
      <c r="AN831" t="s">
        <v>57</v>
      </c>
      <c r="AO831">
        <v>0</v>
      </c>
      <c r="AS831" t="s">
        <v>392</v>
      </c>
      <c r="AX831" t="s">
        <v>57</v>
      </c>
      <c r="AY831" t="s">
        <v>442</v>
      </c>
      <c r="AZ831" t="s">
        <v>3845</v>
      </c>
      <c r="BF831">
        <v>0</v>
      </c>
      <c r="BK831" t="s">
        <v>31</v>
      </c>
      <c r="BS831" t="s">
        <v>419</v>
      </c>
      <c r="BT831" t="s">
        <v>419</v>
      </c>
      <c r="CI831" t="s">
        <v>388</v>
      </c>
      <c r="CJ831" s="14">
        <v>45013</v>
      </c>
      <c r="CK831">
        <v>1</v>
      </c>
    </row>
    <row r="832" spans="1:89">
      <c r="A832" t="s">
        <v>1497</v>
      </c>
      <c r="B832" t="s">
        <v>374</v>
      </c>
      <c r="C832" t="s">
        <v>1498</v>
      </c>
      <c r="D832" t="s">
        <v>3846</v>
      </c>
      <c r="E832" t="s">
        <v>3847</v>
      </c>
      <c r="F832" s="13">
        <v>44495.390868055554</v>
      </c>
      <c r="G832" t="s">
        <v>1501</v>
      </c>
      <c r="H832" t="s">
        <v>1502</v>
      </c>
      <c r="I832" s="13">
        <v>45012.043587962966</v>
      </c>
      <c r="K832" t="s">
        <v>415</v>
      </c>
      <c r="M832" s="13">
        <v>44895</v>
      </c>
      <c r="R832">
        <v>0</v>
      </c>
      <c r="S832" t="s">
        <v>380</v>
      </c>
      <c r="T832" t="s">
        <v>57</v>
      </c>
      <c r="V832" t="s">
        <v>478</v>
      </c>
      <c r="W832" t="s">
        <v>3848</v>
      </c>
      <c r="X832" t="s">
        <v>3848</v>
      </c>
      <c r="AF832" t="s">
        <v>451</v>
      </c>
      <c r="AI832">
        <v>-117</v>
      </c>
      <c r="AL832" t="s">
        <v>3849</v>
      </c>
      <c r="AN832" t="s">
        <v>57</v>
      </c>
      <c r="AO832">
        <v>0</v>
      </c>
      <c r="AS832" t="s">
        <v>392</v>
      </c>
      <c r="AX832" t="s">
        <v>57</v>
      </c>
      <c r="AY832" t="s">
        <v>442</v>
      </c>
      <c r="AZ832" t="s">
        <v>3850</v>
      </c>
      <c r="BF832">
        <v>0</v>
      </c>
      <c r="BK832" t="s">
        <v>31</v>
      </c>
      <c r="BS832" t="s">
        <v>419</v>
      </c>
      <c r="BT832" t="s">
        <v>419</v>
      </c>
      <c r="CI832" t="s">
        <v>388</v>
      </c>
      <c r="CJ832" s="14">
        <v>45013</v>
      </c>
      <c r="CK832">
        <v>1</v>
      </c>
    </row>
    <row r="833" spans="1:89">
      <c r="A833" t="s">
        <v>1497</v>
      </c>
      <c r="B833" t="s">
        <v>374</v>
      </c>
      <c r="C833" t="s">
        <v>1498</v>
      </c>
      <c r="D833" t="s">
        <v>3851</v>
      </c>
      <c r="E833" t="s">
        <v>3852</v>
      </c>
      <c r="F833" s="13">
        <v>44490.643877314818</v>
      </c>
      <c r="G833" t="s">
        <v>1501</v>
      </c>
      <c r="H833" t="s">
        <v>1502</v>
      </c>
      <c r="I833" s="13">
        <v>44496.361898148149</v>
      </c>
      <c r="K833" t="s">
        <v>379</v>
      </c>
      <c r="M833" s="13">
        <v>44498</v>
      </c>
      <c r="R833">
        <v>100</v>
      </c>
      <c r="S833" t="s">
        <v>380</v>
      </c>
      <c r="T833" t="s">
        <v>57</v>
      </c>
      <c r="V833" t="s">
        <v>381</v>
      </c>
      <c r="W833" t="s">
        <v>3853</v>
      </c>
      <c r="X833" t="s">
        <v>3853</v>
      </c>
      <c r="AF833" t="s">
        <v>382</v>
      </c>
      <c r="AG833" t="s">
        <v>3854</v>
      </c>
      <c r="AI833">
        <v>2</v>
      </c>
      <c r="AL833" t="s">
        <v>3855</v>
      </c>
      <c r="AN833" t="s">
        <v>31</v>
      </c>
      <c r="AO833">
        <v>0</v>
      </c>
      <c r="AS833" t="s">
        <v>385</v>
      </c>
      <c r="AX833" t="s">
        <v>57</v>
      </c>
      <c r="AY833" t="s">
        <v>386</v>
      </c>
      <c r="AZ833" t="s">
        <v>3856</v>
      </c>
      <c r="BF833">
        <v>0</v>
      </c>
      <c r="BK833" t="s">
        <v>31</v>
      </c>
      <c r="BS833" t="s">
        <v>379</v>
      </c>
      <c r="BT833" t="s">
        <v>379</v>
      </c>
      <c r="CI833" t="s">
        <v>388</v>
      </c>
      <c r="CJ833" s="14">
        <v>45013</v>
      </c>
      <c r="CK833">
        <v>1</v>
      </c>
    </row>
    <row r="834" spans="1:89">
      <c r="A834" t="s">
        <v>1497</v>
      </c>
      <c r="B834" t="s">
        <v>374</v>
      </c>
      <c r="C834" t="s">
        <v>1498</v>
      </c>
      <c r="D834" t="s">
        <v>3857</v>
      </c>
      <c r="E834" t="s">
        <v>3858</v>
      </c>
      <c r="F834" s="13">
        <v>44490.597384259258</v>
      </c>
      <c r="G834" t="s">
        <v>1501</v>
      </c>
      <c r="H834" t="s">
        <v>1502</v>
      </c>
      <c r="I834" s="13">
        <v>44529.599583333336</v>
      </c>
      <c r="K834" t="s">
        <v>379</v>
      </c>
      <c r="M834" s="13">
        <v>44498</v>
      </c>
      <c r="R834">
        <v>100</v>
      </c>
      <c r="S834" t="s">
        <v>416</v>
      </c>
      <c r="T834" t="s">
        <v>57</v>
      </c>
      <c r="V834" t="s">
        <v>478</v>
      </c>
      <c r="W834" t="s">
        <v>3835</v>
      </c>
      <c r="X834" t="s">
        <v>3835</v>
      </c>
      <c r="AF834" t="s">
        <v>382</v>
      </c>
      <c r="AG834" t="s">
        <v>3859</v>
      </c>
      <c r="AI834">
        <v>-31</v>
      </c>
      <c r="AL834" t="s">
        <v>3837</v>
      </c>
      <c r="AM834">
        <v>1</v>
      </c>
      <c r="AN834" t="s">
        <v>31</v>
      </c>
      <c r="AO834">
        <v>0</v>
      </c>
      <c r="AS834" t="s">
        <v>392</v>
      </c>
      <c r="AX834" t="s">
        <v>57</v>
      </c>
      <c r="AY834" t="s">
        <v>386</v>
      </c>
      <c r="AZ834" t="s">
        <v>3860</v>
      </c>
      <c r="BF834">
        <v>0</v>
      </c>
      <c r="BK834" t="s">
        <v>31</v>
      </c>
      <c r="BS834" t="s">
        <v>379</v>
      </c>
      <c r="BT834" t="s">
        <v>379</v>
      </c>
      <c r="CI834" t="s">
        <v>388</v>
      </c>
      <c r="CJ834" s="14">
        <v>45013</v>
      </c>
      <c r="CK834">
        <v>1</v>
      </c>
    </row>
    <row r="835" spans="1:89">
      <c r="A835" t="s">
        <v>1675</v>
      </c>
      <c r="B835" t="s">
        <v>374</v>
      </c>
      <c r="C835" t="s">
        <v>1676</v>
      </c>
      <c r="D835" t="s">
        <v>3861</v>
      </c>
      <c r="E835" t="s">
        <v>3862</v>
      </c>
      <c r="F835" s="13">
        <v>44488.564467592594</v>
      </c>
      <c r="G835" t="s">
        <v>1501</v>
      </c>
      <c r="H835" t="s">
        <v>1502</v>
      </c>
      <c r="I835" s="13">
        <v>45012.043587962966</v>
      </c>
      <c r="K835" t="s">
        <v>415</v>
      </c>
      <c r="M835" s="13">
        <v>44895</v>
      </c>
      <c r="R835">
        <v>0</v>
      </c>
      <c r="S835" t="s">
        <v>380</v>
      </c>
      <c r="T835" t="s">
        <v>57</v>
      </c>
      <c r="V835" t="s">
        <v>478</v>
      </c>
      <c r="W835" t="s">
        <v>3863</v>
      </c>
      <c r="X835" t="s">
        <v>3863</v>
      </c>
      <c r="AF835" t="s">
        <v>451</v>
      </c>
      <c r="AI835">
        <v>-117</v>
      </c>
      <c r="AL835" t="s">
        <v>3864</v>
      </c>
      <c r="AN835" t="s">
        <v>31</v>
      </c>
      <c r="AO835">
        <v>0</v>
      </c>
      <c r="AS835" t="s">
        <v>392</v>
      </c>
      <c r="AX835" t="s">
        <v>57</v>
      </c>
      <c r="AY835" t="s">
        <v>442</v>
      </c>
      <c r="AZ835" t="s">
        <v>3865</v>
      </c>
      <c r="BF835">
        <v>0</v>
      </c>
      <c r="BK835" t="s">
        <v>31</v>
      </c>
      <c r="BS835" t="s">
        <v>419</v>
      </c>
      <c r="BT835" t="s">
        <v>419</v>
      </c>
      <c r="CI835" t="s">
        <v>388</v>
      </c>
      <c r="CJ835" s="14">
        <v>45013</v>
      </c>
      <c r="CK835">
        <v>1</v>
      </c>
    </row>
    <row r="836" spans="1:89">
      <c r="A836" t="s">
        <v>1675</v>
      </c>
      <c r="B836" t="s">
        <v>374</v>
      </c>
      <c r="C836" t="s">
        <v>1676</v>
      </c>
      <c r="D836" t="s">
        <v>3866</v>
      </c>
      <c r="E836" t="s">
        <v>3867</v>
      </c>
      <c r="F836" s="13">
        <v>44488.56009259259</v>
      </c>
      <c r="G836" t="s">
        <v>1501</v>
      </c>
      <c r="H836" t="s">
        <v>1502</v>
      </c>
      <c r="I836" s="13">
        <v>45012.043576388889</v>
      </c>
      <c r="K836" t="s">
        <v>415</v>
      </c>
      <c r="M836" s="13">
        <v>44895</v>
      </c>
      <c r="R836">
        <v>0</v>
      </c>
      <c r="S836" t="s">
        <v>380</v>
      </c>
      <c r="T836" t="s">
        <v>57</v>
      </c>
      <c r="V836" t="s">
        <v>478</v>
      </c>
      <c r="W836" t="s">
        <v>440</v>
      </c>
      <c r="X836" t="s">
        <v>440</v>
      </c>
      <c r="AF836" t="s">
        <v>451</v>
      </c>
      <c r="AI836">
        <v>-117</v>
      </c>
      <c r="AL836" t="s">
        <v>3864</v>
      </c>
      <c r="AN836" t="s">
        <v>31</v>
      </c>
      <c r="AO836">
        <v>0</v>
      </c>
      <c r="AS836" t="s">
        <v>392</v>
      </c>
      <c r="AX836" t="s">
        <v>57</v>
      </c>
      <c r="AY836" t="s">
        <v>442</v>
      </c>
      <c r="AZ836" t="s">
        <v>3868</v>
      </c>
      <c r="BF836">
        <v>0</v>
      </c>
      <c r="BK836" t="s">
        <v>31</v>
      </c>
      <c r="BS836" t="s">
        <v>419</v>
      </c>
      <c r="BT836" t="s">
        <v>419</v>
      </c>
      <c r="CI836" t="s">
        <v>388</v>
      </c>
      <c r="CJ836" s="14">
        <v>45013</v>
      </c>
      <c r="CK836">
        <v>1</v>
      </c>
    </row>
    <row r="837" spans="1:89">
      <c r="A837" t="s">
        <v>1497</v>
      </c>
      <c r="B837" t="s">
        <v>374</v>
      </c>
      <c r="C837" t="s">
        <v>1498</v>
      </c>
      <c r="D837" t="s">
        <v>3869</v>
      </c>
      <c r="E837" t="s">
        <v>3870</v>
      </c>
      <c r="F837" s="13">
        <v>44487.409502314818</v>
      </c>
      <c r="G837" t="s">
        <v>1501</v>
      </c>
      <c r="H837" t="s">
        <v>1502</v>
      </c>
      <c r="I837" s="13">
        <v>45012.043576388889</v>
      </c>
      <c r="K837" t="s">
        <v>415</v>
      </c>
      <c r="M837" s="13">
        <v>44651</v>
      </c>
      <c r="R837">
        <v>0</v>
      </c>
      <c r="S837" t="s">
        <v>380</v>
      </c>
      <c r="T837" t="s">
        <v>57</v>
      </c>
      <c r="V837" t="s">
        <v>478</v>
      </c>
      <c r="W837" t="s">
        <v>3871</v>
      </c>
      <c r="X837" t="s">
        <v>3871</v>
      </c>
      <c r="AF837" t="s">
        <v>451</v>
      </c>
      <c r="AI837">
        <v>-361</v>
      </c>
      <c r="AL837" t="s">
        <v>3872</v>
      </c>
      <c r="AN837" t="s">
        <v>31</v>
      </c>
      <c r="AO837">
        <v>0</v>
      </c>
      <c r="AS837" t="s">
        <v>392</v>
      </c>
      <c r="AX837" t="s">
        <v>57</v>
      </c>
      <c r="AY837" t="s">
        <v>442</v>
      </c>
      <c r="AZ837" t="s">
        <v>3873</v>
      </c>
      <c r="BF837">
        <v>0</v>
      </c>
      <c r="BK837" t="s">
        <v>31</v>
      </c>
      <c r="BS837" t="s">
        <v>419</v>
      </c>
      <c r="BT837" t="s">
        <v>419</v>
      </c>
      <c r="CI837" t="s">
        <v>388</v>
      </c>
      <c r="CJ837" s="14">
        <v>45013</v>
      </c>
      <c r="CK837">
        <v>1</v>
      </c>
    </row>
    <row r="838" spans="1:89">
      <c r="A838" t="s">
        <v>1675</v>
      </c>
      <c r="B838" t="s">
        <v>374</v>
      </c>
      <c r="C838" t="s">
        <v>1676</v>
      </c>
      <c r="D838" t="s">
        <v>3874</v>
      </c>
      <c r="E838" t="s">
        <v>3875</v>
      </c>
      <c r="F838" s="13">
        <v>44484.672638888886</v>
      </c>
      <c r="G838" t="s">
        <v>1501</v>
      </c>
      <c r="H838" t="s">
        <v>1502</v>
      </c>
      <c r="I838" s="13">
        <v>45012.043576388889</v>
      </c>
      <c r="K838" t="s">
        <v>415</v>
      </c>
      <c r="M838" s="13">
        <v>44895</v>
      </c>
      <c r="R838">
        <v>0</v>
      </c>
      <c r="S838" t="s">
        <v>380</v>
      </c>
      <c r="T838" t="s">
        <v>57</v>
      </c>
      <c r="V838" t="s">
        <v>478</v>
      </c>
      <c r="W838" t="s">
        <v>1679</v>
      </c>
      <c r="X838" t="s">
        <v>1679</v>
      </c>
      <c r="AF838" t="s">
        <v>451</v>
      </c>
      <c r="AI838">
        <v>-117</v>
      </c>
      <c r="AL838" t="s">
        <v>1680</v>
      </c>
      <c r="AN838" t="s">
        <v>57</v>
      </c>
      <c r="AO838">
        <v>0</v>
      </c>
      <c r="AS838" t="s">
        <v>392</v>
      </c>
      <c r="AX838" t="s">
        <v>57</v>
      </c>
      <c r="AY838" t="s">
        <v>442</v>
      </c>
      <c r="AZ838" t="s">
        <v>3876</v>
      </c>
      <c r="BF838">
        <v>0</v>
      </c>
      <c r="BK838" t="s">
        <v>31</v>
      </c>
      <c r="BS838" t="s">
        <v>419</v>
      </c>
      <c r="BT838" t="s">
        <v>419</v>
      </c>
      <c r="CI838" t="s">
        <v>388</v>
      </c>
      <c r="CJ838" s="14">
        <v>45013</v>
      </c>
      <c r="CK838">
        <v>1</v>
      </c>
    </row>
    <row r="839" spans="1:89">
      <c r="A839" t="s">
        <v>1497</v>
      </c>
      <c r="B839" t="s">
        <v>374</v>
      </c>
      <c r="C839" t="s">
        <v>1498</v>
      </c>
      <c r="D839" t="s">
        <v>3877</v>
      </c>
      <c r="E839" t="s">
        <v>3878</v>
      </c>
      <c r="F839" s="13">
        <v>44484.63517361111</v>
      </c>
      <c r="G839" t="s">
        <v>1501</v>
      </c>
      <c r="H839" t="s">
        <v>1502</v>
      </c>
      <c r="I839" s="13">
        <v>45012.043564814812</v>
      </c>
      <c r="K839" t="s">
        <v>415</v>
      </c>
      <c r="M839" s="13">
        <v>44895</v>
      </c>
      <c r="R839">
        <v>0</v>
      </c>
      <c r="S839" t="s">
        <v>380</v>
      </c>
      <c r="T839" t="s">
        <v>57</v>
      </c>
      <c r="V839" t="s">
        <v>478</v>
      </c>
      <c r="W839" t="s">
        <v>1679</v>
      </c>
      <c r="X839" t="s">
        <v>1679</v>
      </c>
      <c r="AF839" t="s">
        <v>451</v>
      </c>
      <c r="AI839">
        <v>-117</v>
      </c>
      <c r="AL839" t="s">
        <v>3879</v>
      </c>
      <c r="AN839" t="s">
        <v>31</v>
      </c>
      <c r="AO839">
        <v>0</v>
      </c>
      <c r="AS839" t="s">
        <v>392</v>
      </c>
      <c r="AX839" t="s">
        <v>57</v>
      </c>
      <c r="AY839" t="s">
        <v>442</v>
      </c>
      <c r="AZ839" t="s">
        <v>3880</v>
      </c>
      <c r="BF839">
        <v>0</v>
      </c>
      <c r="BK839" t="s">
        <v>31</v>
      </c>
      <c r="BS839" t="s">
        <v>419</v>
      </c>
      <c r="BT839" t="s">
        <v>419</v>
      </c>
      <c r="CI839" t="s">
        <v>388</v>
      </c>
      <c r="CJ839" s="14">
        <v>45013</v>
      </c>
      <c r="CK839">
        <v>1</v>
      </c>
    </row>
    <row r="840" spans="1:89">
      <c r="A840" t="s">
        <v>1497</v>
      </c>
      <c r="B840" t="s">
        <v>374</v>
      </c>
      <c r="C840" t="s">
        <v>1498</v>
      </c>
      <c r="D840" t="s">
        <v>3881</v>
      </c>
      <c r="E840" t="s">
        <v>3882</v>
      </c>
      <c r="F840" s="13">
        <v>44484.598668981482</v>
      </c>
      <c r="G840" t="s">
        <v>1501</v>
      </c>
      <c r="H840" t="s">
        <v>1502</v>
      </c>
      <c r="I840" s="13">
        <v>45012.043564814812</v>
      </c>
      <c r="K840" t="s">
        <v>415</v>
      </c>
      <c r="M840" s="13">
        <v>44895</v>
      </c>
      <c r="R840">
        <v>0</v>
      </c>
      <c r="S840" t="s">
        <v>380</v>
      </c>
      <c r="T840" t="s">
        <v>57</v>
      </c>
      <c r="V840" t="s">
        <v>478</v>
      </c>
      <c r="W840" t="s">
        <v>1684</v>
      </c>
      <c r="X840" t="s">
        <v>1684</v>
      </c>
      <c r="AF840" t="s">
        <v>451</v>
      </c>
      <c r="AI840">
        <v>-117</v>
      </c>
      <c r="AL840" t="s">
        <v>1685</v>
      </c>
      <c r="AN840" t="s">
        <v>57</v>
      </c>
      <c r="AO840">
        <v>0</v>
      </c>
      <c r="AS840" t="s">
        <v>392</v>
      </c>
      <c r="AX840" t="s">
        <v>57</v>
      </c>
      <c r="AY840" t="s">
        <v>442</v>
      </c>
      <c r="AZ840" t="s">
        <v>3883</v>
      </c>
      <c r="BF840">
        <v>0</v>
      </c>
      <c r="BK840" t="s">
        <v>31</v>
      </c>
      <c r="BS840" t="s">
        <v>419</v>
      </c>
      <c r="BT840" t="s">
        <v>419</v>
      </c>
      <c r="CI840" t="s">
        <v>388</v>
      </c>
      <c r="CJ840" s="14">
        <v>45013</v>
      </c>
      <c r="CK840">
        <v>1</v>
      </c>
    </row>
    <row r="841" spans="1:89">
      <c r="A841" t="s">
        <v>1497</v>
      </c>
      <c r="B841" t="s">
        <v>374</v>
      </c>
      <c r="C841" t="s">
        <v>1498</v>
      </c>
      <c r="D841" t="s">
        <v>3884</v>
      </c>
      <c r="E841" t="s">
        <v>3885</v>
      </c>
      <c r="F841" s="13">
        <v>44484.595393518517</v>
      </c>
      <c r="G841" t="s">
        <v>1501</v>
      </c>
      <c r="H841" t="s">
        <v>1502</v>
      </c>
      <c r="I841" s="13">
        <v>45012.043564814812</v>
      </c>
      <c r="K841" t="s">
        <v>415</v>
      </c>
      <c r="M841" s="13">
        <v>44895</v>
      </c>
      <c r="R841">
        <v>0</v>
      </c>
      <c r="S841" t="s">
        <v>380</v>
      </c>
      <c r="T841" t="s">
        <v>57</v>
      </c>
      <c r="V841" t="s">
        <v>478</v>
      </c>
      <c r="W841" t="s">
        <v>1684</v>
      </c>
      <c r="X841" t="s">
        <v>1684</v>
      </c>
      <c r="AF841" t="s">
        <v>451</v>
      </c>
      <c r="AI841">
        <v>-117</v>
      </c>
      <c r="AL841" t="s">
        <v>1685</v>
      </c>
      <c r="AN841" t="s">
        <v>57</v>
      </c>
      <c r="AO841">
        <v>0</v>
      </c>
      <c r="AS841" t="s">
        <v>392</v>
      </c>
      <c r="AX841" t="s">
        <v>57</v>
      </c>
      <c r="AY841" t="s">
        <v>442</v>
      </c>
      <c r="AZ841" t="s">
        <v>3886</v>
      </c>
      <c r="BF841">
        <v>0</v>
      </c>
      <c r="BK841" t="s">
        <v>31</v>
      </c>
      <c r="BS841" t="s">
        <v>419</v>
      </c>
      <c r="BT841" t="s">
        <v>419</v>
      </c>
      <c r="CI841" t="s">
        <v>388</v>
      </c>
      <c r="CJ841" s="14">
        <v>45013</v>
      </c>
      <c r="CK841">
        <v>1</v>
      </c>
    </row>
    <row r="842" spans="1:89">
      <c r="A842" t="s">
        <v>1497</v>
      </c>
      <c r="B842" t="s">
        <v>374</v>
      </c>
      <c r="C842" t="s">
        <v>1498</v>
      </c>
      <c r="D842" t="s">
        <v>3887</v>
      </c>
      <c r="E842" t="s">
        <v>3888</v>
      </c>
      <c r="F842" s="13">
        <v>44484.342002314814</v>
      </c>
      <c r="G842" t="s">
        <v>1501</v>
      </c>
      <c r="H842" t="s">
        <v>1502</v>
      </c>
      <c r="I842" s="13">
        <v>45012.043564814812</v>
      </c>
      <c r="K842" t="s">
        <v>415</v>
      </c>
      <c r="M842" s="13">
        <v>44651</v>
      </c>
      <c r="R842">
        <v>0</v>
      </c>
      <c r="S842" t="s">
        <v>380</v>
      </c>
      <c r="T842" t="s">
        <v>57</v>
      </c>
      <c r="V842" t="s">
        <v>478</v>
      </c>
      <c r="W842" t="s">
        <v>3871</v>
      </c>
      <c r="X842" t="s">
        <v>3871</v>
      </c>
      <c r="AF842" t="s">
        <v>451</v>
      </c>
      <c r="AI842">
        <v>-361</v>
      </c>
      <c r="AL842" t="s">
        <v>3889</v>
      </c>
      <c r="AN842" t="s">
        <v>31</v>
      </c>
      <c r="AO842">
        <v>0</v>
      </c>
      <c r="AS842" t="s">
        <v>392</v>
      </c>
      <c r="AX842" t="s">
        <v>57</v>
      </c>
      <c r="AY842" t="s">
        <v>442</v>
      </c>
      <c r="AZ842" t="s">
        <v>3890</v>
      </c>
      <c r="BF842">
        <v>0</v>
      </c>
      <c r="BK842" t="s">
        <v>31</v>
      </c>
      <c r="BS842" t="s">
        <v>419</v>
      </c>
      <c r="BT842" t="s">
        <v>419</v>
      </c>
      <c r="CI842" t="s">
        <v>388</v>
      </c>
      <c r="CJ842" s="14">
        <v>45013</v>
      </c>
      <c r="CK842">
        <v>1</v>
      </c>
    </row>
    <row r="843" spans="1:89">
      <c r="A843" t="s">
        <v>1497</v>
      </c>
      <c r="B843" t="s">
        <v>374</v>
      </c>
      <c r="C843" t="s">
        <v>1498</v>
      </c>
      <c r="D843" t="s">
        <v>3891</v>
      </c>
      <c r="E843" t="s">
        <v>3892</v>
      </c>
      <c r="F843" s="13">
        <v>44484.338923611111</v>
      </c>
      <c r="G843" t="s">
        <v>1501</v>
      </c>
      <c r="H843" t="s">
        <v>1502</v>
      </c>
      <c r="I843" s="13">
        <v>45012.043553240743</v>
      </c>
      <c r="K843" t="s">
        <v>415</v>
      </c>
      <c r="M843" s="13">
        <v>44651</v>
      </c>
      <c r="R843">
        <v>0</v>
      </c>
      <c r="S843" t="s">
        <v>380</v>
      </c>
      <c r="T843" t="s">
        <v>57</v>
      </c>
      <c r="V843" t="s">
        <v>478</v>
      </c>
      <c r="W843" t="s">
        <v>3871</v>
      </c>
      <c r="X843" t="s">
        <v>3871</v>
      </c>
      <c r="AF843" t="s">
        <v>451</v>
      </c>
      <c r="AI843">
        <v>-361</v>
      </c>
      <c r="AL843" t="s">
        <v>3889</v>
      </c>
      <c r="AN843" t="s">
        <v>31</v>
      </c>
      <c r="AO843">
        <v>0</v>
      </c>
      <c r="AS843" t="s">
        <v>392</v>
      </c>
      <c r="AX843" t="s">
        <v>57</v>
      </c>
      <c r="AY843" t="s">
        <v>442</v>
      </c>
      <c r="AZ843" t="s">
        <v>3893</v>
      </c>
      <c r="BF843">
        <v>0</v>
      </c>
      <c r="BK843" t="s">
        <v>31</v>
      </c>
      <c r="BS843" t="s">
        <v>419</v>
      </c>
      <c r="BT843" t="s">
        <v>419</v>
      </c>
      <c r="CI843" t="s">
        <v>388</v>
      </c>
      <c r="CJ843" s="14">
        <v>45013</v>
      </c>
      <c r="CK843">
        <v>1</v>
      </c>
    </row>
    <row r="844" spans="1:89">
      <c r="A844" t="s">
        <v>1497</v>
      </c>
      <c r="B844" t="s">
        <v>374</v>
      </c>
      <c r="C844" t="s">
        <v>1498</v>
      </c>
      <c r="D844" t="s">
        <v>3894</v>
      </c>
      <c r="E844" t="s">
        <v>3895</v>
      </c>
      <c r="F844" s="13">
        <v>44483.414004629631</v>
      </c>
      <c r="G844" t="s">
        <v>1501</v>
      </c>
      <c r="H844" t="s">
        <v>1502</v>
      </c>
      <c r="I844" s="13">
        <v>45012.043530092589</v>
      </c>
      <c r="K844" t="s">
        <v>415</v>
      </c>
      <c r="M844" s="13">
        <v>44651</v>
      </c>
      <c r="R844">
        <v>0</v>
      </c>
      <c r="S844" t="s">
        <v>380</v>
      </c>
      <c r="T844" t="s">
        <v>57</v>
      </c>
      <c r="V844" t="s">
        <v>478</v>
      </c>
      <c r="W844" t="s">
        <v>3871</v>
      </c>
      <c r="X844" t="s">
        <v>3871</v>
      </c>
      <c r="AF844" t="s">
        <v>451</v>
      </c>
      <c r="AI844">
        <v>-361</v>
      </c>
      <c r="AL844" t="s">
        <v>3889</v>
      </c>
      <c r="AN844" t="s">
        <v>31</v>
      </c>
      <c r="AO844">
        <v>0</v>
      </c>
      <c r="AS844" t="s">
        <v>392</v>
      </c>
      <c r="AX844" t="s">
        <v>57</v>
      </c>
      <c r="AY844" t="s">
        <v>442</v>
      </c>
      <c r="AZ844" t="s">
        <v>3896</v>
      </c>
      <c r="BF844">
        <v>0</v>
      </c>
      <c r="BK844" t="s">
        <v>31</v>
      </c>
      <c r="BS844" t="s">
        <v>419</v>
      </c>
      <c r="BT844" t="s">
        <v>419</v>
      </c>
      <c r="CI844" t="s">
        <v>388</v>
      </c>
      <c r="CJ844" s="14">
        <v>45013</v>
      </c>
      <c r="CK844">
        <v>1</v>
      </c>
    </row>
    <row r="845" spans="1:89">
      <c r="A845" t="s">
        <v>3376</v>
      </c>
      <c r="B845" t="s">
        <v>374</v>
      </c>
      <c r="C845" t="s">
        <v>3377</v>
      </c>
      <c r="D845" t="s">
        <v>3897</v>
      </c>
      <c r="E845" t="s">
        <v>3898</v>
      </c>
      <c r="F845" s="13">
        <v>44482.411689814813</v>
      </c>
      <c r="G845" t="s">
        <v>3380</v>
      </c>
      <c r="H845" t="s">
        <v>3381</v>
      </c>
      <c r="I845" s="13">
        <v>44972.532002314816</v>
      </c>
      <c r="K845" t="s">
        <v>379</v>
      </c>
      <c r="M845" s="13">
        <v>44571</v>
      </c>
      <c r="R845">
        <v>100</v>
      </c>
      <c r="S845" t="s">
        <v>416</v>
      </c>
      <c r="T845" t="s">
        <v>57</v>
      </c>
      <c r="V845" t="s">
        <v>478</v>
      </c>
      <c r="W845" t="s">
        <v>3899</v>
      </c>
      <c r="X845" t="s">
        <v>3899</v>
      </c>
      <c r="AE845" t="s">
        <v>3900</v>
      </c>
      <c r="AF845" t="s">
        <v>382</v>
      </c>
      <c r="AG845" t="s">
        <v>3901</v>
      </c>
      <c r="AI845">
        <v>-29</v>
      </c>
      <c r="AJ845" s="13">
        <v>44600</v>
      </c>
      <c r="AL845" t="s">
        <v>3383</v>
      </c>
      <c r="AM845">
        <v>1</v>
      </c>
      <c r="AN845" t="s">
        <v>31</v>
      </c>
      <c r="AO845">
        <v>0</v>
      </c>
      <c r="AR845" t="s">
        <v>3902</v>
      </c>
      <c r="AS845" t="s">
        <v>385</v>
      </c>
      <c r="AX845" t="s">
        <v>31</v>
      </c>
      <c r="AY845" t="s">
        <v>386</v>
      </c>
      <c r="AZ845" t="s">
        <v>3903</v>
      </c>
      <c r="BF845">
        <v>0</v>
      </c>
      <c r="BK845" t="s">
        <v>31</v>
      </c>
      <c r="BS845" t="s">
        <v>379</v>
      </c>
      <c r="BT845" t="s">
        <v>379</v>
      </c>
      <c r="CI845" t="s">
        <v>388</v>
      </c>
      <c r="CJ845" s="14">
        <v>45013</v>
      </c>
      <c r="CK845">
        <v>1</v>
      </c>
    </row>
    <row r="846" spans="1:89">
      <c r="A846" t="s">
        <v>3904</v>
      </c>
      <c r="B846" t="s">
        <v>374</v>
      </c>
      <c r="C846" t="s">
        <v>1929</v>
      </c>
      <c r="D846" t="s">
        <v>3905</v>
      </c>
      <c r="E846" t="s">
        <v>3906</v>
      </c>
      <c r="F846" s="13">
        <v>44470.426759259259</v>
      </c>
      <c r="G846" t="s">
        <v>3396</v>
      </c>
      <c r="H846" t="s">
        <v>3397</v>
      </c>
      <c r="I846" s="13">
        <v>44833.703101851854</v>
      </c>
      <c r="K846" t="s">
        <v>379</v>
      </c>
      <c r="M846" s="13">
        <v>44561</v>
      </c>
      <c r="R846">
        <v>100</v>
      </c>
      <c r="S846" t="s">
        <v>380</v>
      </c>
      <c r="T846" t="s">
        <v>57</v>
      </c>
      <c r="V846" t="s">
        <v>478</v>
      </c>
      <c r="W846" t="s">
        <v>3406</v>
      </c>
      <c r="X846" t="s">
        <v>3406</v>
      </c>
      <c r="AC846" s="13">
        <v>44561</v>
      </c>
      <c r="AD846" s="13">
        <v>44561</v>
      </c>
      <c r="AF846" t="s">
        <v>382</v>
      </c>
      <c r="AG846" t="s">
        <v>3907</v>
      </c>
      <c r="AI846">
        <v>-5</v>
      </c>
      <c r="AL846" t="s">
        <v>3908</v>
      </c>
      <c r="AN846" t="s">
        <v>31</v>
      </c>
      <c r="AO846">
        <v>0</v>
      </c>
      <c r="AS846" t="s">
        <v>385</v>
      </c>
      <c r="AX846" t="s">
        <v>31</v>
      </c>
      <c r="AY846" t="s">
        <v>442</v>
      </c>
      <c r="AZ846" t="s">
        <v>3909</v>
      </c>
      <c r="BF846">
        <v>0</v>
      </c>
      <c r="BK846" t="s">
        <v>31</v>
      </c>
      <c r="BS846" t="s">
        <v>379</v>
      </c>
      <c r="BT846" t="s">
        <v>379</v>
      </c>
      <c r="CI846" t="s">
        <v>388</v>
      </c>
      <c r="CJ846" s="14">
        <v>45013</v>
      </c>
      <c r="CK846">
        <v>1</v>
      </c>
    </row>
    <row r="847" spans="1:89">
      <c r="A847" t="s">
        <v>3910</v>
      </c>
      <c r="B847" t="s">
        <v>374</v>
      </c>
      <c r="C847" t="s">
        <v>1929</v>
      </c>
      <c r="D847" t="s">
        <v>3911</v>
      </c>
      <c r="E847" t="s">
        <v>3912</v>
      </c>
      <c r="F847" s="13">
        <v>44470.41883101852</v>
      </c>
      <c r="G847" t="s">
        <v>3396</v>
      </c>
      <c r="H847" t="s">
        <v>3397</v>
      </c>
      <c r="I847" s="13">
        <v>44470.422592592593</v>
      </c>
      <c r="K847" t="s">
        <v>409</v>
      </c>
      <c r="R847">
        <v>0</v>
      </c>
      <c r="S847" t="s">
        <v>380</v>
      </c>
      <c r="T847" t="s">
        <v>57</v>
      </c>
      <c r="V847" t="s">
        <v>381</v>
      </c>
      <c r="W847" t="s">
        <v>3406</v>
      </c>
      <c r="X847" t="s">
        <v>3406</v>
      </c>
      <c r="AC847" s="13">
        <v>44561</v>
      </c>
      <c r="AD847" s="13">
        <v>44561</v>
      </c>
      <c r="AI847">
        <v>91</v>
      </c>
      <c r="AL847" t="s">
        <v>3913</v>
      </c>
      <c r="AN847" t="s">
        <v>31</v>
      </c>
      <c r="AO847">
        <v>0</v>
      </c>
      <c r="AS847" t="s">
        <v>385</v>
      </c>
      <c r="AX847" t="s">
        <v>31</v>
      </c>
      <c r="AY847" t="s">
        <v>386</v>
      </c>
      <c r="AZ847" t="s">
        <v>3914</v>
      </c>
      <c r="BF847">
        <v>0</v>
      </c>
      <c r="BK847" t="s">
        <v>31</v>
      </c>
      <c r="BS847" t="s">
        <v>409</v>
      </c>
      <c r="BT847" t="s">
        <v>409</v>
      </c>
      <c r="CI847" t="s">
        <v>388</v>
      </c>
      <c r="CJ847" s="14">
        <v>45013</v>
      </c>
      <c r="CK847">
        <v>1</v>
      </c>
    </row>
    <row r="848" spans="1:89">
      <c r="A848" t="s">
        <v>3915</v>
      </c>
      <c r="B848" s="13">
        <v>45013.0628125</v>
      </c>
      <c r="C848">
        <v>846</v>
      </c>
      <c r="D848">
        <v>266</v>
      </c>
      <c r="E848">
        <v>118</v>
      </c>
      <c r="CI848" t="s">
        <v>3916</v>
      </c>
      <c r="CJ848" s="14">
        <v>45013</v>
      </c>
      <c r="CK848">
        <v>1</v>
      </c>
    </row>
    <row r="849" spans="1:89">
      <c r="A849" t="s">
        <v>624</v>
      </c>
      <c r="B849" t="s">
        <v>374</v>
      </c>
      <c r="C849" t="s">
        <v>375</v>
      </c>
      <c r="D849" t="s">
        <v>3917</v>
      </c>
      <c r="E849" t="s">
        <v>3918</v>
      </c>
      <c r="F849" s="13">
        <v>45013.744571759256</v>
      </c>
      <c r="G849" t="s">
        <v>610</v>
      </c>
      <c r="H849" t="s">
        <v>611</v>
      </c>
      <c r="I849" s="13">
        <v>45013.75209490741</v>
      </c>
      <c r="K849" t="s">
        <v>379</v>
      </c>
      <c r="M849" s="13">
        <v>45013</v>
      </c>
      <c r="R849">
        <v>100</v>
      </c>
      <c r="S849" t="s">
        <v>380</v>
      </c>
      <c r="T849" t="s">
        <v>57</v>
      </c>
      <c r="V849" t="s">
        <v>381</v>
      </c>
      <c r="W849" t="s">
        <v>3919</v>
      </c>
      <c r="X849" t="s">
        <v>3919</v>
      </c>
      <c r="AF849" t="s">
        <v>382</v>
      </c>
      <c r="AG849" t="s">
        <v>3918</v>
      </c>
      <c r="AI849">
        <v>0</v>
      </c>
      <c r="AL849" t="s">
        <v>3920</v>
      </c>
      <c r="AN849" t="s">
        <v>31</v>
      </c>
      <c r="AO849">
        <v>0</v>
      </c>
      <c r="AS849" t="s">
        <v>526</v>
      </c>
      <c r="AX849" t="s">
        <v>57</v>
      </c>
      <c r="AY849" t="s">
        <v>442</v>
      </c>
      <c r="AZ849" t="s">
        <v>3921</v>
      </c>
      <c r="BF849">
        <v>0</v>
      </c>
      <c r="BK849" t="s">
        <v>31</v>
      </c>
      <c r="BS849" t="s">
        <v>379</v>
      </c>
      <c r="BT849" t="s">
        <v>379</v>
      </c>
      <c r="CI849" t="s">
        <v>388</v>
      </c>
      <c r="CJ849" s="14">
        <v>45014</v>
      </c>
      <c r="CK849">
        <v>1</v>
      </c>
    </row>
    <row r="850" spans="1:89">
      <c r="A850" t="s">
        <v>624</v>
      </c>
      <c r="B850" t="s">
        <v>374</v>
      </c>
      <c r="C850" t="s">
        <v>375</v>
      </c>
      <c r="D850" t="s">
        <v>3922</v>
      </c>
      <c r="E850" t="s">
        <v>648</v>
      </c>
      <c r="F850" s="13">
        <v>45013.738321759258</v>
      </c>
      <c r="G850" t="s">
        <v>610</v>
      </c>
      <c r="H850" t="s">
        <v>611</v>
      </c>
      <c r="I850" s="13">
        <v>45013.739259259259</v>
      </c>
      <c r="K850" t="s">
        <v>415</v>
      </c>
      <c r="M850" s="13">
        <v>45077</v>
      </c>
      <c r="R850">
        <v>0</v>
      </c>
      <c r="S850" t="s">
        <v>380</v>
      </c>
      <c r="T850" t="s">
        <v>57</v>
      </c>
      <c r="V850" t="s">
        <v>381</v>
      </c>
      <c r="W850" t="s">
        <v>627</v>
      </c>
      <c r="X850" t="s">
        <v>627</v>
      </c>
      <c r="Y850" t="s">
        <v>480</v>
      </c>
      <c r="AF850" t="s">
        <v>451</v>
      </c>
      <c r="AI850">
        <v>64</v>
      </c>
      <c r="AL850" t="s">
        <v>3923</v>
      </c>
      <c r="AN850" t="s">
        <v>31</v>
      </c>
      <c r="AO850">
        <v>0</v>
      </c>
      <c r="AT850" t="s">
        <v>31</v>
      </c>
      <c r="AZ850" t="s">
        <v>648</v>
      </c>
      <c r="BF850">
        <v>0</v>
      </c>
      <c r="BK850" t="s">
        <v>31</v>
      </c>
      <c r="BS850" t="s">
        <v>484</v>
      </c>
      <c r="BT850" t="s">
        <v>484</v>
      </c>
      <c r="CI850" t="s">
        <v>388</v>
      </c>
      <c r="CJ850" s="14">
        <v>45014</v>
      </c>
      <c r="CK850">
        <v>1</v>
      </c>
    </row>
    <row r="851" spans="1:89">
      <c r="A851" t="s">
        <v>373</v>
      </c>
      <c r="B851" t="s">
        <v>374</v>
      </c>
      <c r="C851" t="s">
        <v>375</v>
      </c>
      <c r="D851" t="s">
        <v>376</v>
      </c>
      <c r="E851" t="s">
        <v>76</v>
      </c>
      <c r="F851" s="13">
        <v>44998.389756944445</v>
      </c>
      <c r="G851" t="s">
        <v>377</v>
      </c>
      <c r="H851" t="s">
        <v>378</v>
      </c>
      <c r="I851" s="13">
        <v>44998.39366898148</v>
      </c>
      <c r="K851" t="s">
        <v>379</v>
      </c>
      <c r="M851" s="13">
        <v>45127</v>
      </c>
      <c r="R851">
        <v>100</v>
      </c>
      <c r="S851" t="s">
        <v>380</v>
      </c>
      <c r="T851" t="s">
        <v>57</v>
      </c>
      <c r="V851" t="s">
        <v>381</v>
      </c>
      <c r="W851" t="s">
        <v>378</v>
      </c>
      <c r="X851" t="s">
        <v>378</v>
      </c>
      <c r="AF851" t="s">
        <v>382</v>
      </c>
      <c r="AG851" t="s">
        <v>383</v>
      </c>
      <c r="AI851">
        <v>129</v>
      </c>
      <c r="AL851" t="s">
        <v>384</v>
      </c>
      <c r="AN851" t="s">
        <v>31</v>
      </c>
      <c r="AO851">
        <v>0</v>
      </c>
      <c r="AS851" t="s">
        <v>385</v>
      </c>
      <c r="AX851" t="s">
        <v>57</v>
      </c>
      <c r="AY851" t="s">
        <v>386</v>
      </c>
      <c r="AZ851" t="s">
        <v>282</v>
      </c>
      <c r="BE851" t="s">
        <v>387</v>
      </c>
      <c r="BF851">
        <v>0</v>
      </c>
      <c r="BK851" t="s">
        <v>31</v>
      </c>
      <c r="BS851" t="s">
        <v>379</v>
      </c>
      <c r="BT851" t="s">
        <v>379</v>
      </c>
      <c r="CI851" t="s">
        <v>388</v>
      </c>
      <c r="CJ851" s="14">
        <v>45014</v>
      </c>
      <c r="CK851">
        <v>1</v>
      </c>
    </row>
    <row r="852" spans="1:89">
      <c r="A852" t="s">
        <v>373</v>
      </c>
      <c r="B852" t="s">
        <v>374</v>
      </c>
      <c r="C852" t="s">
        <v>375</v>
      </c>
      <c r="D852" t="s">
        <v>389</v>
      </c>
      <c r="E852" t="s">
        <v>76</v>
      </c>
      <c r="F852" s="13">
        <v>44992.319872685184</v>
      </c>
      <c r="G852" t="s">
        <v>377</v>
      </c>
      <c r="H852" t="s">
        <v>378</v>
      </c>
      <c r="I852" s="13">
        <v>44992.324988425928</v>
      </c>
      <c r="K852" t="s">
        <v>379</v>
      </c>
      <c r="M852" s="13">
        <v>45134</v>
      </c>
      <c r="R852">
        <v>100</v>
      </c>
      <c r="S852" t="s">
        <v>380</v>
      </c>
      <c r="T852" t="s">
        <v>57</v>
      </c>
      <c r="V852" t="s">
        <v>381</v>
      </c>
      <c r="W852" t="s">
        <v>378</v>
      </c>
      <c r="X852" t="s">
        <v>378</v>
      </c>
      <c r="AF852" t="s">
        <v>382</v>
      </c>
      <c r="AG852" t="s">
        <v>390</v>
      </c>
      <c r="AI852">
        <v>142</v>
      </c>
      <c r="AL852" t="s">
        <v>391</v>
      </c>
      <c r="AN852" t="s">
        <v>31</v>
      </c>
      <c r="AO852">
        <v>0</v>
      </c>
      <c r="AS852" t="s">
        <v>392</v>
      </c>
      <c r="AX852" t="s">
        <v>31</v>
      </c>
      <c r="AY852" t="s">
        <v>386</v>
      </c>
      <c r="AZ852" t="s">
        <v>282</v>
      </c>
      <c r="BE852">
        <v>123</v>
      </c>
      <c r="BF852">
        <v>0</v>
      </c>
      <c r="BK852" t="s">
        <v>31</v>
      </c>
      <c r="BS852" t="s">
        <v>379</v>
      </c>
      <c r="BT852" t="s">
        <v>379</v>
      </c>
      <c r="CI852" t="s">
        <v>388</v>
      </c>
      <c r="CJ852" s="14">
        <v>45014</v>
      </c>
      <c r="CK852">
        <v>1</v>
      </c>
    </row>
    <row r="853" spans="1:89">
      <c r="A853" t="s">
        <v>393</v>
      </c>
      <c r="B853" t="s">
        <v>374</v>
      </c>
      <c r="C853" t="s">
        <v>394</v>
      </c>
      <c r="D853" t="s">
        <v>395</v>
      </c>
      <c r="E853" t="s">
        <v>396</v>
      </c>
      <c r="F853" s="13">
        <v>44988.550983796296</v>
      </c>
      <c r="G853" t="s">
        <v>397</v>
      </c>
      <c r="H853" t="s">
        <v>398</v>
      </c>
      <c r="I853" s="13">
        <v>44988.559988425928</v>
      </c>
      <c r="K853" t="s">
        <v>379</v>
      </c>
      <c r="M853" s="13">
        <v>45137</v>
      </c>
      <c r="R853">
        <v>100</v>
      </c>
      <c r="S853" t="s">
        <v>380</v>
      </c>
      <c r="T853" t="s">
        <v>57</v>
      </c>
      <c r="V853" t="s">
        <v>381</v>
      </c>
      <c r="W853" t="s">
        <v>399</v>
      </c>
      <c r="X853" t="s">
        <v>399</v>
      </c>
      <c r="AC853" s="13">
        <v>45199</v>
      </c>
      <c r="AD853" s="13">
        <v>45132</v>
      </c>
      <c r="AF853" t="s">
        <v>382</v>
      </c>
      <c r="AG853" t="s">
        <v>400</v>
      </c>
      <c r="AI853">
        <v>149</v>
      </c>
      <c r="AL853" t="s">
        <v>401</v>
      </c>
      <c r="AN853" t="s">
        <v>31</v>
      </c>
      <c r="AO853">
        <v>0</v>
      </c>
      <c r="AS853" t="s">
        <v>385</v>
      </c>
      <c r="AX853" t="s">
        <v>31</v>
      </c>
      <c r="AY853" t="s">
        <v>386</v>
      </c>
      <c r="AZ853" t="s">
        <v>402</v>
      </c>
      <c r="BE853" t="s">
        <v>403</v>
      </c>
      <c r="BF853">
        <v>0</v>
      </c>
      <c r="BK853" t="s">
        <v>31</v>
      </c>
      <c r="BS853" t="s">
        <v>379</v>
      </c>
      <c r="BT853" t="s">
        <v>379</v>
      </c>
      <c r="CI853" t="s">
        <v>388</v>
      </c>
      <c r="CJ853" s="14">
        <v>45014</v>
      </c>
      <c r="CK853">
        <v>1</v>
      </c>
    </row>
    <row r="854" spans="1:89">
      <c r="A854" t="s">
        <v>404</v>
      </c>
      <c r="B854" t="s">
        <v>374</v>
      </c>
      <c r="C854" t="s">
        <v>375</v>
      </c>
      <c r="D854" t="s">
        <v>405</v>
      </c>
      <c r="E854" t="s">
        <v>406</v>
      </c>
      <c r="F854" s="13">
        <v>44987.630289351851</v>
      </c>
      <c r="G854" t="s">
        <v>407</v>
      </c>
      <c r="H854" t="s">
        <v>408</v>
      </c>
      <c r="I854" s="13">
        <v>44987.632326388892</v>
      </c>
      <c r="K854" t="s">
        <v>409</v>
      </c>
      <c r="R854">
        <v>0</v>
      </c>
      <c r="S854" t="s">
        <v>380</v>
      </c>
      <c r="T854" t="s">
        <v>57</v>
      </c>
      <c r="V854" t="s">
        <v>381</v>
      </c>
      <c r="W854" t="s">
        <v>406</v>
      </c>
      <c r="X854" t="s">
        <v>406</v>
      </c>
      <c r="AI854">
        <v>83</v>
      </c>
      <c r="AL854" t="s">
        <v>410</v>
      </c>
      <c r="AN854" t="s">
        <v>31</v>
      </c>
      <c r="AO854">
        <v>0</v>
      </c>
      <c r="AZ854" t="s">
        <v>406</v>
      </c>
      <c r="BF854">
        <v>0</v>
      </c>
      <c r="BK854" t="s">
        <v>31</v>
      </c>
      <c r="BS854" t="s">
        <v>409</v>
      </c>
      <c r="BT854" t="s">
        <v>409</v>
      </c>
      <c r="CI854" t="s">
        <v>388</v>
      </c>
      <c r="CJ854" s="14">
        <v>45014</v>
      </c>
      <c r="CK854">
        <v>1</v>
      </c>
    </row>
    <row r="855" spans="1:89">
      <c r="A855" t="s">
        <v>373</v>
      </c>
      <c r="B855" t="s">
        <v>374</v>
      </c>
      <c r="C855" t="s">
        <v>375</v>
      </c>
      <c r="D855" t="s">
        <v>411</v>
      </c>
      <c r="E855" t="s">
        <v>76</v>
      </c>
      <c r="F855" s="13">
        <v>44973.629270833335</v>
      </c>
      <c r="G855" t="s">
        <v>377</v>
      </c>
      <c r="H855" t="s">
        <v>378</v>
      </c>
      <c r="I855" s="13">
        <v>44973.629942129628</v>
      </c>
      <c r="K855" t="s">
        <v>412</v>
      </c>
      <c r="R855">
        <v>0</v>
      </c>
      <c r="S855" t="s">
        <v>380</v>
      </c>
      <c r="T855" t="s">
        <v>57</v>
      </c>
      <c r="V855" t="s">
        <v>381</v>
      </c>
      <c r="W855" t="s">
        <v>378</v>
      </c>
      <c r="X855" t="s">
        <v>378</v>
      </c>
      <c r="AI855">
        <v>356</v>
      </c>
      <c r="AL855" t="s">
        <v>413</v>
      </c>
      <c r="AN855" t="s">
        <v>31</v>
      </c>
      <c r="AO855">
        <v>0</v>
      </c>
      <c r="AS855" t="s">
        <v>385</v>
      </c>
      <c r="AU855" t="s">
        <v>57</v>
      </c>
      <c r="AX855" t="s">
        <v>31</v>
      </c>
      <c r="AY855" t="s">
        <v>386</v>
      </c>
      <c r="AZ855" t="s">
        <v>282</v>
      </c>
      <c r="BE855">
        <v>124</v>
      </c>
      <c r="BF855">
        <v>0</v>
      </c>
      <c r="BK855" t="s">
        <v>31</v>
      </c>
      <c r="BS855" t="s">
        <v>412</v>
      </c>
      <c r="BT855" t="s">
        <v>412</v>
      </c>
      <c r="CI855" t="s">
        <v>388</v>
      </c>
      <c r="CJ855" s="14">
        <v>45014</v>
      </c>
      <c r="CK855">
        <v>1</v>
      </c>
    </row>
    <row r="856" spans="1:89">
      <c r="A856" t="s">
        <v>373</v>
      </c>
      <c r="B856" t="s">
        <v>374</v>
      </c>
      <c r="C856" t="s">
        <v>375</v>
      </c>
      <c r="D856" t="s">
        <v>414</v>
      </c>
      <c r="E856" t="s">
        <v>76</v>
      </c>
      <c r="F856" s="13">
        <v>44973.623842592591</v>
      </c>
      <c r="G856" t="s">
        <v>377</v>
      </c>
      <c r="H856" t="s">
        <v>378</v>
      </c>
      <c r="I856" s="13">
        <v>45012.04446759259</v>
      </c>
      <c r="K856" t="s">
        <v>415</v>
      </c>
      <c r="M856" s="13">
        <v>45015</v>
      </c>
      <c r="R856">
        <v>100</v>
      </c>
      <c r="S856" t="s">
        <v>416</v>
      </c>
      <c r="T856" t="s">
        <v>57</v>
      </c>
      <c r="V856" t="s">
        <v>381</v>
      </c>
      <c r="W856" t="s">
        <v>378</v>
      </c>
      <c r="X856" t="s">
        <v>378</v>
      </c>
      <c r="AF856" t="s">
        <v>382</v>
      </c>
      <c r="AG856" t="s">
        <v>417</v>
      </c>
      <c r="AI856">
        <v>3</v>
      </c>
      <c r="AL856" t="s">
        <v>413</v>
      </c>
      <c r="AM856">
        <v>1</v>
      </c>
      <c r="AN856" t="s">
        <v>31</v>
      </c>
      <c r="AO856">
        <v>0</v>
      </c>
      <c r="AS856" t="s">
        <v>385</v>
      </c>
      <c r="AU856" t="s">
        <v>57</v>
      </c>
      <c r="AX856" t="s">
        <v>31</v>
      </c>
      <c r="AY856" t="s">
        <v>386</v>
      </c>
      <c r="AZ856" t="s">
        <v>282</v>
      </c>
      <c r="BE856">
        <v>124</v>
      </c>
      <c r="BF856">
        <v>0</v>
      </c>
      <c r="BK856" t="s">
        <v>31</v>
      </c>
      <c r="BS856" t="s">
        <v>418</v>
      </c>
      <c r="BT856" t="s">
        <v>419</v>
      </c>
      <c r="CI856" t="s">
        <v>388</v>
      </c>
      <c r="CJ856" s="14">
        <v>45014</v>
      </c>
      <c r="CK856">
        <v>1</v>
      </c>
    </row>
    <row r="857" spans="1:89">
      <c r="A857" t="s">
        <v>373</v>
      </c>
      <c r="B857" t="s">
        <v>374</v>
      </c>
      <c r="C857" t="s">
        <v>375</v>
      </c>
      <c r="D857" t="s">
        <v>420</v>
      </c>
      <c r="E857" t="s">
        <v>70</v>
      </c>
      <c r="F857" s="13">
        <v>44973.535486111112</v>
      </c>
      <c r="G857" t="s">
        <v>377</v>
      </c>
      <c r="H857" t="s">
        <v>378</v>
      </c>
      <c r="I857" s="13">
        <v>44973.53638888889</v>
      </c>
      <c r="K857" t="s">
        <v>412</v>
      </c>
      <c r="R857">
        <v>0</v>
      </c>
      <c r="S857" t="s">
        <v>380</v>
      </c>
      <c r="T857" t="s">
        <v>57</v>
      </c>
      <c r="V857" t="s">
        <v>381</v>
      </c>
      <c r="W857" t="s">
        <v>378</v>
      </c>
      <c r="X857" t="s">
        <v>378</v>
      </c>
      <c r="AI857">
        <v>134</v>
      </c>
      <c r="AL857" t="s">
        <v>421</v>
      </c>
      <c r="AN857" t="s">
        <v>31</v>
      </c>
      <c r="AO857">
        <v>0</v>
      </c>
      <c r="AS857" t="s">
        <v>385</v>
      </c>
      <c r="AU857" t="s">
        <v>57</v>
      </c>
      <c r="AX857" t="s">
        <v>31</v>
      </c>
      <c r="AY857" t="s">
        <v>386</v>
      </c>
      <c r="AZ857" t="s">
        <v>422</v>
      </c>
      <c r="BE857">
        <v>124</v>
      </c>
      <c r="BF857">
        <v>0</v>
      </c>
      <c r="BK857" t="s">
        <v>31</v>
      </c>
      <c r="BS857" t="s">
        <v>412</v>
      </c>
      <c r="BT857" t="s">
        <v>412</v>
      </c>
      <c r="CI857" t="s">
        <v>388</v>
      </c>
      <c r="CJ857" s="14">
        <v>45014</v>
      </c>
      <c r="CK857">
        <v>1</v>
      </c>
    </row>
    <row r="858" spans="1:89">
      <c r="A858" t="s">
        <v>373</v>
      </c>
      <c r="B858" t="s">
        <v>374</v>
      </c>
      <c r="C858" t="s">
        <v>375</v>
      </c>
      <c r="D858" t="s">
        <v>423</v>
      </c>
      <c r="E858" t="s">
        <v>424</v>
      </c>
      <c r="F858" s="13">
        <v>44973.519918981481</v>
      </c>
      <c r="G858" t="s">
        <v>377</v>
      </c>
      <c r="H858" t="s">
        <v>378</v>
      </c>
      <c r="I858" s="13">
        <v>45012.04446759259</v>
      </c>
      <c r="K858" t="s">
        <v>415</v>
      </c>
      <c r="M858" s="13">
        <v>45015</v>
      </c>
      <c r="R858">
        <v>100</v>
      </c>
      <c r="S858" t="s">
        <v>416</v>
      </c>
      <c r="T858" t="s">
        <v>57</v>
      </c>
      <c r="V858" t="s">
        <v>381</v>
      </c>
      <c r="W858" t="s">
        <v>378</v>
      </c>
      <c r="X858" t="s">
        <v>378</v>
      </c>
      <c r="AF858" t="s">
        <v>382</v>
      </c>
      <c r="AG858" t="s">
        <v>425</v>
      </c>
      <c r="AI858">
        <v>3</v>
      </c>
      <c r="AL858" t="s">
        <v>421</v>
      </c>
      <c r="AM858">
        <v>1</v>
      </c>
      <c r="AN858" t="s">
        <v>31</v>
      </c>
      <c r="AO858">
        <v>0</v>
      </c>
      <c r="AS858" t="s">
        <v>385</v>
      </c>
      <c r="AU858" t="s">
        <v>57</v>
      </c>
      <c r="AX858" t="s">
        <v>57</v>
      </c>
      <c r="AY858" t="s">
        <v>386</v>
      </c>
      <c r="AZ858" t="s">
        <v>426</v>
      </c>
      <c r="BE858" t="s">
        <v>427</v>
      </c>
      <c r="BF858">
        <v>0</v>
      </c>
      <c r="BK858" t="s">
        <v>31</v>
      </c>
      <c r="BS858" t="s">
        <v>418</v>
      </c>
      <c r="BT858" t="s">
        <v>419</v>
      </c>
      <c r="CI858" t="s">
        <v>388</v>
      </c>
      <c r="CJ858" s="14">
        <v>45014</v>
      </c>
      <c r="CK858">
        <v>1</v>
      </c>
    </row>
    <row r="859" spans="1:89">
      <c r="A859" t="s">
        <v>373</v>
      </c>
      <c r="B859" t="s">
        <v>374</v>
      </c>
      <c r="C859" t="s">
        <v>375</v>
      </c>
      <c r="D859" t="s">
        <v>428</v>
      </c>
      <c r="E859" t="s">
        <v>429</v>
      </c>
      <c r="F859" s="13">
        <v>44973.363749999997</v>
      </c>
      <c r="G859" t="s">
        <v>377</v>
      </c>
      <c r="H859" t="s">
        <v>378</v>
      </c>
      <c r="I859" s="13">
        <v>44973.366180555553</v>
      </c>
      <c r="K859" t="s">
        <v>412</v>
      </c>
      <c r="R859">
        <v>0</v>
      </c>
      <c r="S859" t="s">
        <v>380</v>
      </c>
      <c r="T859" t="s">
        <v>57</v>
      </c>
      <c r="V859" t="s">
        <v>381</v>
      </c>
      <c r="W859" t="s">
        <v>378</v>
      </c>
      <c r="X859" t="s">
        <v>378</v>
      </c>
      <c r="AI859">
        <v>134</v>
      </c>
      <c r="AL859" t="s">
        <v>430</v>
      </c>
      <c r="AN859" t="s">
        <v>31</v>
      </c>
      <c r="AO859">
        <v>0</v>
      </c>
      <c r="AS859" t="s">
        <v>385</v>
      </c>
      <c r="AU859" t="s">
        <v>57</v>
      </c>
      <c r="AX859" t="s">
        <v>57</v>
      </c>
      <c r="AY859" t="s">
        <v>386</v>
      </c>
      <c r="AZ859" t="s">
        <v>431</v>
      </c>
      <c r="BE859">
        <v>124</v>
      </c>
      <c r="BF859">
        <v>0</v>
      </c>
      <c r="BK859" t="s">
        <v>31</v>
      </c>
      <c r="BS859" t="s">
        <v>412</v>
      </c>
      <c r="BT859" t="s">
        <v>412</v>
      </c>
      <c r="CI859" t="s">
        <v>388</v>
      </c>
      <c r="CJ859" s="14">
        <v>45014</v>
      </c>
      <c r="CK859">
        <v>1</v>
      </c>
    </row>
    <row r="860" spans="1:89">
      <c r="A860" t="s">
        <v>373</v>
      </c>
      <c r="B860" t="s">
        <v>374</v>
      </c>
      <c r="C860" t="s">
        <v>375</v>
      </c>
      <c r="D860" t="s">
        <v>432</v>
      </c>
      <c r="E860" t="s">
        <v>433</v>
      </c>
      <c r="F860" s="13">
        <v>44973.354907407411</v>
      </c>
      <c r="G860" t="s">
        <v>377</v>
      </c>
      <c r="H860" t="s">
        <v>378</v>
      </c>
      <c r="I860" s="13">
        <v>45012.04446759259</v>
      </c>
      <c r="K860" t="s">
        <v>415</v>
      </c>
      <c r="M860" s="13">
        <v>45015</v>
      </c>
      <c r="R860">
        <v>100</v>
      </c>
      <c r="S860" t="s">
        <v>416</v>
      </c>
      <c r="T860" t="s">
        <v>57</v>
      </c>
      <c r="V860" t="s">
        <v>381</v>
      </c>
      <c r="W860" t="s">
        <v>378</v>
      </c>
      <c r="X860" t="s">
        <v>378</v>
      </c>
      <c r="AF860" t="s">
        <v>382</v>
      </c>
      <c r="AG860" t="s">
        <v>434</v>
      </c>
      <c r="AI860">
        <v>3</v>
      </c>
      <c r="AL860" t="s">
        <v>430</v>
      </c>
      <c r="AM860">
        <v>1</v>
      </c>
      <c r="AN860" t="s">
        <v>31</v>
      </c>
      <c r="AO860">
        <v>0</v>
      </c>
      <c r="AS860" t="s">
        <v>385</v>
      </c>
      <c r="AU860" t="s">
        <v>57</v>
      </c>
      <c r="AX860" t="s">
        <v>57</v>
      </c>
      <c r="AY860" t="s">
        <v>386</v>
      </c>
      <c r="AZ860" t="s">
        <v>433</v>
      </c>
      <c r="BE860">
        <v>124</v>
      </c>
      <c r="BF860">
        <v>0</v>
      </c>
      <c r="BK860" t="s">
        <v>31</v>
      </c>
      <c r="BS860" t="s">
        <v>418</v>
      </c>
      <c r="BT860" t="s">
        <v>419</v>
      </c>
      <c r="CI860" t="s">
        <v>388</v>
      </c>
      <c r="CJ860" s="14">
        <v>45014</v>
      </c>
      <c r="CK860">
        <v>1</v>
      </c>
    </row>
    <row r="861" spans="1:89">
      <c r="A861" t="s">
        <v>435</v>
      </c>
      <c r="B861" t="s">
        <v>374</v>
      </c>
      <c r="C861" t="s">
        <v>436</v>
      </c>
      <c r="D861" t="s">
        <v>437</v>
      </c>
      <c r="E861" t="s">
        <v>438</v>
      </c>
      <c r="F861" s="13">
        <v>44967.572453703702</v>
      </c>
      <c r="G861" t="s">
        <v>439</v>
      </c>
      <c r="H861" t="s">
        <v>440</v>
      </c>
      <c r="I861" s="13">
        <v>44967.577175925922</v>
      </c>
      <c r="K861" t="s">
        <v>379</v>
      </c>
      <c r="M861" s="13">
        <v>45015</v>
      </c>
      <c r="R861">
        <v>100</v>
      </c>
      <c r="S861" t="s">
        <v>380</v>
      </c>
      <c r="T861" t="s">
        <v>57</v>
      </c>
      <c r="V861" t="s">
        <v>381</v>
      </c>
      <c r="W861" t="s">
        <v>440</v>
      </c>
      <c r="X861" t="s">
        <v>440</v>
      </c>
      <c r="AF861" t="s">
        <v>382</v>
      </c>
      <c r="AG861" t="s">
        <v>382</v>
      </c>
      <c r="AI861">
        <v>48</v>
      </c>
      <c r="AL861" t="s">
        <v>441</v>
      </c>
      <c r="AN861" t="s">
        <v>31</v>
      </c>
      <c r="AO861">
        <v>0</v>
      </c>
      <c r="AS861" t="s">
        <v>385</v>
      </c>
      <c r="AX861" t="s">
        <v>57</v>
      </c>
      <c r="AY861" t="s">
        <v>442</v>
      </c>
      <c r="AZ861" t="s">
        <v>443</v>
      </c>
      <c r="BF861">
        <v>0</v>
      </c>
      <c r="BK861" t="s">
        <v>31</v>
      </c>
      <c r="BS861" t="s">
        <v>379</v>
      </c>
      <c r="BT861" t="s">
        <v>379</v>
      </c>
      <c r="CI861" t="s">
        <v>388</v>
      </c>
      <c r="CJ861" s="14">
        <v>45014</v>
      </c>
      <c r="CK861">
        <v>1</v>
      </c>
    </row>
    <row r="862" spans="1:89">
      <c r="A862" t="s">
        <v>444</v>
      </c>
      <c r="B862" t="s">
        <v>374</v>
      </c>
      <c r="C862" t="s">
        <v>445</v>
      </c>
      <c r="D862" t="s">
        <v>446</v>
      </c>
      <c r="E862" t="s">
        <v>447</v>
      </c>
      <c r="F862" s="13">
        <v>44964.624756944446</v>
      </c>
      <c r="G862" t="s">
        <v>448</v>
      </c>
      <c r="H862" t="s">
        <v>449</v>
      </c>
      <c r="I862" s="13">
        <v>45012.044456018521</v>
      </c>
      <c r="K862" t="s">
        <v>415</v>
      </c>
      <c r="M862" s="13">
        <v>45016</v>
      </c>
      <c r="R862">
        <v>0</v>
      </c>
      <c r="S862" t="s">
        <v>380</v>
      </c>
      <c r="V862" t="s">
        <v>381</v>
      </c>
      <c r="W862" t="s">
        <v>450</v>
      </c>
      <c r="X862" t="s">
        <v>450</v>
      </c>
      <c r="AF862" t="s">
        <v>451</v>
      </c>
      <c r="AI862">
        <v>4</v>
      </c>
      <c r="AL862" t="s">
        <v>452</v>
      </c>
      <c r="AN862" t="s">
        <v>31</v>
      </c>
      <c r="AO862">
        <v>0</v>
      </c>
      <c r="AZ862" t="s">
        <v>453</v>
      </c>
      <c r="BF862">
        <v>0</v>
      </c>
      <c r="BK862" t="s">
        <v>31</v>
      </c>
      <c r="BS862" t="s">
        <v>419</v>
      </c>
      <c r="BT862" t="s">
        <v>419</v>
      </c>
      <c r="CI862" t="s">
        <v>388</v>
      </c>
      <c r="CJ862" s="14">
        <v>45014</v>
      </c>
      <c r="CK862">
        <v>1</v>
      </c>
    </row>
    <row r="863" spans="1:89">
      <c r="A863" t="s">
        <v>454</v>
      </c>
      <c r="B863" t="s">
        <v>374</v>
      </c>
      <c r="C863" t="s">
        <v>455</v>
      </c>
      <c r="D863" t="s">
        <v>456</v>
      </c>
      <c r="E863" t="s">
        <v>457</v>
      </c>
      <c r="F863" s="13">
        <v>44949.509699074071</v>
      </c>
      <c r="G863" t="s">
        <v>458</v>
      </c>
      <c r="H863" t="s">
        <v>459</v>
      </c>
      <c r="I863" s="13">
        <v>44949.509710648148</v>
      </c>
      <c r="R863">
        <v>0</v>
      </c>
      <c r="S863" t="s">
        <v>416</v>
      </c>
      <c r="T863" t="s">
        <v>57</v>
      </c>
      <c r="V863" t="s">
        <v>381</v>
      </c>
      <c r="W863" t="s">
        <v>460</v>
      </c>
      <c r="X863" t="s">
        <v>460</v>
      </c>
      <c r="AI863">
        <v>67</v>
      </c>
      <c r="AN863" t="s">
        <v>31</v>
      </c>
      <c r="AO863">
        <v>0</v>
      </c>
      <c r="AS863" t="s">
        <v>461</v>
      </c>
      <c r="AX863" t="s">
        <v>57</v>
      </c>
      <c r="AY863" t="s">
        <v>386</v>
      </c>
      <c r="AZ863" t="s">
        <v>462</v>
      </c>
      <c r="BF863">
        <v>0</v>
      </c>
      <c r="BK863" t="s">
        <v>31</v>
      </c>
      <c r="BS863" t="s">
        <v>412</v>
      </c>
      <c r="CI863" t="s">
        <v>388</v>
      </c>
      <c r="CJ863" s="14">
        <v>45014</v>
      </c>
      <c r="CK863">
        <v>1</v>
      </c>
    </row>
    <row r="864" spans="1:89">
      <c r="A864" t="s">
        <v>454</v>
      </c>
      <c r="B864" t="s">
        <v>374</v>
      </c>
      <c r="C864" t="s">
        <v>455</v>
      </c>
      <c r="D864" t="s">
        <v>463</v>
      </c>
      <c r="E864" t="s">
        <v>464</v>
      </c>
      <c r="F864" s="13">
        <v>44949.509675925925</v>
      </c>
      <c r="G864" t="s">
        <v>458</v>
      </c>
      <c r="H864" t="s">
        <v>459</v>
      </c>
      <c r="I864" s="13">
        <v>44949.509687500002</v>
      </c>
      <c r="R864">
        <v>0</v>
      </c>
      <c r="S864" t="s">
        <v>380</v>
      </c>
      <c r="T864" t="s">
        <v>57</v>
      </c>
      <c r="V864" t="s">
        <v>381</v>
      </c>
      <c r="W864" t="s">
        <v>465</v>
      </c>
      <c r="X864" t="s">
        <v>465</v>
      </c>
      <c r="AI864">
        <v>23</v>
      </c>
      <c r="AN864" t="s">
        <v>31</v>
      </c>
      <c r="AO864">
        <v>0</v>
      </c>
      <c r="AS864" t="s">
        <v>461</v>
      </c>
      <c r="AX864" t="s">
        <v>57</v>
      </c>
      <c r="AY864" t="s">
        <v>386</v>
      </c>
      <c r="AZ864" t="s">
        <v>466</v>
      </c>
      <c r="BF864">
        <v>0</v>
      </c>
      <c r="BK864" t="s">
        <v>31</v>
      </c>
      <c r="BS864" t="s">
        <v>412</v>
      </c>
      <c r="CI864" t="s">
        <v>388</v>
      </c>
      <c r="CJ864" s="14">
        <v>45014</v>
      </c>
      <c r="CK864">
        <v>1</v>
      </c>
    </row>
    <row r="865" spans="1:89">
      <c r="A865" t="s">
        <v>454</v>
      </c>
      <c r="B865" t="s">
        <v>374</v>
      </c>
      <c r="C865" t="s">
        <v>455</v>
      </c>
      <c r="D865" t="s">
        <v>467</v>
      </c>
      <c r="E865" t="s">
        <v>468</v>
      </c>
      <c r="F865" s="13">
        <v>44949.507824074077</v>
      </c>
      <c r="G865" t="s">
        <v>458</v>
      </c>
      <c r="H865" t="s">
        <v>459</v>
      </c>
      <c r="I865" s="13">
        <v>45012.044456018521</v>
      </c>
      <c r="K865" t="s">
        <v>415</v>
      </c>
      <c r="M865" s="13">
        <v>45016</v>
      </c>
      <c r="R865">
        <v>0</v>
      </c>
      <c r="S865" t="s">
        <v>416</v>
      </c>
      <c r="T865" t="s">
        <v>57</v>
      </c>
      <c r="V865" t="s">
        <v>381</v>
      </c>
      <c r="W865" t="s">
        <v>469</v>
      </c>
      <c r="X865" t="s">
        <v>469</v>
      </c>
      <c r="AF865" t="s">
        <v>451</v>
      </c>
      <c r="AI865">
        <v>4</v>
      </c>
      <c r="AL865" t="s">
        <v>470</v>
      </c>
      <c r="AN865" t="s">
        <v>31</v>
      </c>
      <c r="AO865">
        <v>0</v>
      </c>
      <c r="AZ865" t="s">
        <v>471</v>
      </c>
      <c r="BF865">
        <v>0</v>
      </c>
      <c r="BK865" t="s">
        <v>31</v>
      </c>
      <c r="BS865" t="s">
        <v>419</v>
      </c>
      <c r="BT865" t="s">
        <v>419</v>
      </c>
      <c r="CI865" t="s">
        <v>388</v>
      </c>
      <c r="CJ865" s="14">
        <v>45014</v>
      </c>
      <c r="CK865">
        <v>1</v>
      </c>
    </row>
    <row r="866" spans="1:89">
      <c r="A866" t="s">
        <v>472</v>
      </c>
      <c r="B866" t="s">
        <v>374</v>
      </c>
      <c r="C866" t="s">
        <v>473</v>
      </c>
      <c r="D866" t="s">
        <v>474</v>
      </c>
      <c r="E866" t="s">
        <v>475</v>
      </c>
      <c r="F866" s="13">
        <v>44896.485972222225</v>
      </c>
      <c r="G866" t="s">
        <v>476</v>
      </c>
      <c r="H866" t="s">
        <v>477</v>
      </c>
      <c r="I866" s="13">
        <v>45012.044456018521</v>
      </c>
      <c r="K866" t="s">
        <v>415</v>
      </c>
      <c r="M866" s="13">
        <v>44985</v>
      </c>
      <c r="R866">
        <v>0</v>
      </c>
      <c r="S866" t="s">
        <v>416</v>
      </c>
      <c r="T866" t="s">
        <v>57</v>
      </c>
      <c r="V866" t="s">
        <v>478</v>
      </c>
      <c r="W866" t="s">
        <v>479</v>
      </c>
      <c r="X866" t="s">
        <v>479</v>
      </c>
      <c r="Y866" t="s">
        <v>480</v>
      </c>
      <c r="AC866" s="13">
        <v>44910</v>
      </c>
      <c r="AD866" s="13">
        <v>44903</v>
      </c>
      <c r="AF866" t="s">
        <v>451</v>
      </c>
      <c r="AG866" t="s">
        <v>481</v>
      </c>
      <c r="AI866">
        <v>-27</v>
      </c>
      <c r="AL866" t="s">
        <v>482</v>
      </c>
      <c r="AN866" t="s">
        <v>31</v>
      </c>
      <c r="AO866">
        <v>0</v>
      </c>
      <c r="AS866" t="s">
        <v>385</v>
      </c>
      <c r="AT866" t="s">
        <v>31</v>
      </c>
      <c r="AX866" t="s">
        <v>31</v>
      </c>
      <c r="AY866" t="s">
        <v>386</v>
      </c>
      <c r="AZ866" t="s">
        <v>483</v>
      </c>
      <c r="BF866">
        <v>0</v>
      </c>
      <c r="BK866" t="s">
        <v>31</v>
      </c>
      <c r="BS866" t="s">
        <v>484</v>
      </c>
      <c r="BT866" t="s">
        <v>484</v>
      </c>
      <c r="CI866" t="s">
        <v>388</v>
      </c>
      <c r="CJ866" s="14">
        <v>45014</v>
      </c>
      <c r="CK866">
        <v>1</v>
      </c>
    </row>
    <row r="867" spans="1:89">
      <c r="A867" t="s">
        <v>485</v>
      </c>
      <c r="B867" t="s">
        <v>374</v>
      </c>
      <c r="C867" t="s">
        <v>486</v>
      </c>
      <c r="D867" t="s">
        <v>487</v>
      </c>
      <c r="E867" t="s">
        <v>488</v>
      </c>
      <c r="F867" s="13">
        <v>44894.408437500002</v>
      </c>
      <c r="G867" t="s">
        <v>489</v>
      </c>
      <c r="H867" t="s">
        <v>490</v>
      </c>
      <c r="I867" s="13">
        <v>44894.408680555556</v>
      </c>
      <c r="K867" t="s">
        <v>412</v>
      </c>
      <c r="R867">
        <v>0</v>
      </c>
      <c r="S867" t="s">
        <v>380</v>
      </c>
      <c r="T867" t="s">
        <v>57</v>
      </c>
      <c r="V867" t="s">
        <v>381</v>
      </c>
      <c r="W867" t="s">
        <v>491</v>
      </c>
      <c r="X867" t="s">
        <v>491</v>
      </c>
      <c r="AI867">
        <v>9</v>
      </c>
      <c r="AL867" t="s">
        <v>492</v>
      </c>
      <c r="AN867" t="s">
        <v>31</v>
      </c>
      <c r="AO867">
        <v>0</v>
      </c>
      <c r="AZ867" t="s">
        <v>488</v>
      </c>
      <c r="BF867">
        <v>0</v>
      </c>
      <c r="BK867" t="s">
        <v>31</v>
      </c>
      <c r="BS867" t="s">
        <v>412</v>
      </c>
      <c r="BT867" t="s">
        <v>412</v>
      </c>
      <c r="CI867" t="s">
        <v>388</v>
      </c>
      <c r="CJ867" s="14">
        <v>45014</v>
      </c>
      <c r="CK867">
        <v>1</v>
      </c>
    </row>
    <row r="868" spans="1:89">
      <c r="A868" t="s">
        <v>485</v>
      </c>
      <c r="B868" t="s">
        <v>374</v>
      </c>
      <c r="C868" t="s">
        <v>486</v>
      </c>
      <c r="D868" t="s">
        <v>493</v>
      </c>
      <c r="E868" t="s">
        <v>494</v>
      </c>
      <c r="F868" s="13">
        <v>44894.401006944441</v>
      </c>
      <c r="G868" t="s">
        <v>489</v>
      </c>
      <c r="H868" t="s">
        <v>490</v>
      </c>
      <c r="I868" s="13">
        <v>44894.404513888891</v>
      </c>
      <c r="K868" t="s">
        <v>412</v>
      </c>
      <c r="R868">
        <v>0</v>
      </c>
      <c r="S868" t="s">
        <v>416</v>
      </c>
      <c r="T868" t="s">
        <v>57</v>
      </c>
      <c r="V868" t="s">
        <v>381</v>
      </c>
      <c r="W868" t="s">
        <v>490</v>
      </c>
      <c r="X868" t="s">
        <v>490</v>
      </c>
      <c r="AI868">
        <v>9</v>
      </c>
      <c r="AL868" t="s">
        <v>492</v>
      </c>
      <c r="AN868" t="s">
        <v>31</v>
      </c>
      <c r="AO868">
        <v>0</v>
      </c>
      <c r="AZ868" t="s">
        <v>495</v>
      </c>
      <c r="BF868">
        <v>0</v>
      </c>
      <c r="BK868" t="s">
        <v>31</v>
      </c>
      <c r="BS868" t="s">
        <v>412</v>
      </c>
      <c r="BT868" t="s">
        <v>412</v>
      </c>
      <c r="CI868" t="s">
        <v>388</v>
      </c>
      <c r="CJ868" s="14">
        <v>45014</v>
      </c>
      <c r="CK868">
        <v>1</v>
      </c>
    </row>
    <row r="869" spans="1:89">
      <c r="A869" t="s">
        <v>496</v>
      </c>
      <c r="B869" t="s">
        <v>374</v>
      </c>
      <c r="C869" t="s">
        <v>497</v>
      </c>
      <c r="D869" t="s">
        <v>498</v>
      </c>
      <c r="E869" t="s">
        <v>499</v>
      </c>
      <c r="F869" s="13">
        <v>44847.489108796297</v>
      </c>
      <c r="G869" t="s">
        <v>500</v>
      </c>
      <c r="H869" t="s">
        <v>501</v>
      </c>
      <c r="I869" s="13">
        <v>44847.489131944443</v>
      </c>
      <c r="K869" t="s">
        <v>412</v>
      </c>
      <c r="R869">
        <v>0</v>
      </c>
      <c r="S869" t="s">
        <v>380</v>
      </c>
      <c r="V869" t="s">
        <v>381</v>
      </c>
      <c r="W869" t="s">
        <v>502</v>
      </c>
      <c r="X869" t="s">
        <v>502</v>
      </c>
      <c r="AI869">
        <v>0</v>
      </c>
      <c r="AL869" t="s">
        <v>503</v>
      </c>
      <c r="AN869" t="s">
        <v>31</v>
      </c>
      <c r="AO869">
        <v>0</v>
      </c>
      <c r="AZ869" t="s">
        <v>438</v>
      </c>
      <c r="BF869">
        <v>0</v>
      </c>
      <c r="BK869" t="s">
        <v>31</v>
      </c>
      <c r="BS869" t="s">
        <v>412</v>
      </c>
      <c r="BT869" t="s">
        <v>412</v>
      </c>
      <c r="CI869" t="s">
        <v>388</v>
      </c>
      <c r="CJ869" s="14">
        <v>45014</v>
      </c>
      <c r="CK869">
        <v>1</v>
      </c>
    </row>
    <row r="870" spans="1:89">
      <c r="A870" t="s">
        <v>496</v>
      </c>
      <c r="B870" t="s">
        <v>374</v>
      </c>
      <c r="C870" t="s">
        <v>497</v>
      </c>
      <c r="D870" t="s">
        <v>504</v>
      </c>
      <c r="E870" t="s">
        <v>438</v>
      </c>
      <c r="F870" s="13">
        <v>44847.458472222221</v>
      </c>
      <c r="G870" t="s">
        <v>500</v>
      </c>
      <c r="H870" t="s">
        <v>501</v>
      </c>
      <c r="I870" s="13">
        <v>45012.044456018521</v>
      </c>
      <c r="K870" t="s">
        <v>415</v>
      </c>
      <c r="M870" s="13">
        <v>44925</v>
      </c>
      <c r="R870">
        <v>0</v>
      </c>
      <c r="S870" t="s">
        <v>416</v>
      </c>
      <c r="T870" t="s">
        <v>57</v>
      </c>
      <c r="V870" t="s">
        <v>478</v>
      </c>
      <c r="W870" t="s">
        <v>505</v>
      </c>
      <c r="X870" t="s">
        <v>505</v>
      </c>
      <c r="Y870" t="s">
        <v>480</v>
      </c>
      <c r="AF870" t="s">
        <v>451</v>
      </c>
      <c r="AG870" t="s">
        <v>438</v>
      </c>
      <c r="AI870">
        <v>-87</v>
      </c>
      <c r="AL870" t="s">
        <v>506</v>
      </c>
      <c r="AN870" t="s">
        <v>31</v>
      </c>
      <c r="AO870">
        <v>0</v>
      </c>
      <c r="AT870" t="s">
        <v>31</v>
      </c>
      <c r="AZ870" t="s">
        <v>438</v>
      </c>
      <c r="BF870">
        <v>0</v>
      </c>
      <c r="BK870" t="s">
        <v>31</v>
      </c>
      <c r="BS870" t="s">
        <v>484</v>
      </c>
      <c r="BT870" t="s">
        <v>484</v>
      </c>
      <c r="CI870" t="s">
        <v>388</v>
      </c>
      <c r="CJ870" s="14">
        <v>45014</v>
      </c>
      <c r="CK870">
        <v>1</v>
      </c>
    </row>
    <row r="871" spans="1:89">
      <c r="A871" t="s">
        <v>507</v>
      </c>
      <c r="B871" t="s">
        <v>374</v>
      </c>
      <c r="C871" t="s">
        <v>508</v>
      </c>
      <c r="D871" t="s">
        <v>509</v>
      </c>
      <c r="E871" t="s">
        <v>406</v>
      </c>
      <c r="F871" s="13">
        <v>44847.450138888889</v>
      </c>
      <c r="G871" t="s">
        <v>407</v>
      </c>
      <c r="H871" t="s">
        <v>408</v>
      </c>
      <c r="I871" s="13">
        <v>45012.044444444444</v>
      </c>
      <c r="K871" t="s">
        <v>415</v>
      </c>
      <c r="M871" s="13">
        <v>44902</v>
      </c>
      <c r="R871">
        <v>0</v>
      </c>
      <c r="S871" t="s">
        <v>380</v>
      </c>
      <c r="T871" t="s">
        <v>57</v>
      </c>
      <c r="V871" t="s">
        <v>478</v>
      </c>
      <c r="W871" t="s">
        <v>510</v>
      </c>
      <c r="X871" t="s">
        <v>510</v>
      </c>
      <c r="AF871" t="s">
        <v>451</v>
      </c>
      <c r="AI871">
        <v>-110</v>
      </c>
      <c r="AL871" t="s">
        <v>511</v>
      </c>
      <c r="AN871" t="s">
        <v>31</v>
      </c>
      <c r="AO871">
        <v>0</v>
      </c>
      <c r="AZ871" t="s">
        <v>406</v>
      </c>
      <c r="BF871">
        <v>0</v>
      </c>
      <c r="BK871" t="s">
        <v>31</v>
      </c>
      <c r="BS871" t="s">
        <v>419</v>
      </c>
      <c r="BT871" t="s">
        <v>419</v>
      </c>
      <c r="CI871" t="s">
        <v>388</v>
      </c>
      <c r="CJ871" s="14">
        <v>45014</v>
      </c>
      <c r="CK871">
        <v>1</v>
      </c>
    </row>
    <row r="872" spans="1:89">
      <c r="A872" t="s">
        <v>496</v>
      </c>
      <c r="B872" t="s">
        <v>374</v>
      </c>
      <c r="C872" t="s">
        <v>497</v>
      </c>
      <c r="D872" t="s">
        <v>512</v>
      </c>
      <c r="E872" t="s">
        <v>438</v>
      </c>
      <c r="F872" s="13">
        <v>44847.40898148148</v>
      </c>
      <c r="G872" t="s">
        <v>500</v>
      </c>
      <c r="H872" t="s">
        <v>501</v>
      </c>
      <c r="I872" s="13">
        <v>44847.446898148148</v>
      </c>
      <c r="K872" t="s">
        <v>379</v>
      </c>
      <c r="M872" s="13">
        <v>44895</v>
      </c>
      <c r="R872">
        <v>100</v>
      </c>
      <c r="S872" t="s">
        <v>380</v>
      </c>
      <c r="T872" t="s">
        <v>57</v>
      </c>
      <c r="V872" t="s">
        <v>381</v>
      </c>
      <c r="W872" t="s">
        <v>513</v>
      </c>
      <c r="X872" t="s">
        <v>513</v>
      </c>
      <c r="AF872" t="s">
        <v>382</v>
      </c>
      <c r="AG872" t="s">
        <v>438</v>
      </c>
      <c r="AI872">
        <v>48</v>
      </c>
      <c r="AK872" t="s">
        <v>480</v>
      </c>
      <c r="AL872" t="s">
        <v>514</v>
      </c>
      <c r="AN872" t="s">
        <v>31</v>
      </c>
      <c r="AO872">
        <v>0</v>
      </c>
      <c r="AS872" t="s">
        <v>385</v>
      </c>
      <c r="AX872" t="s">
        <v>31</v>
      </c>
      <c r="AY872" t="s">
        <v>442</v>
      </c>
      <c r="AZ872" t="s">
        <v>438</v>
      </c>
      <c r="BF872">
        <v>0</v>
      </c>
      <c r="BK872" t="s">
        <v>31</v>
      </c>
      <c r="BS872" t="s">
        <v>379</v>
      </c>
      <c r="BT872" t="s">
        <v>379</v>
      </c>
      <c r="CI872" t="s">
        <v>388</v>
      </c>
      <c r="CJ872" s="14">
        <v>45014</v>
      </c>
      <c r="CK872">
        <v>1</v>
      </c>
    </row>
    <row r="873" spans="1:89">
      <c r="A873" t="s">
        <v>515</v>
      </c>
      <c r="B873" t="s">
        <v>374</v>
      </c>
      <c r="C873" t="s">
        <v>516</v>
      </c>
      <c r="D873" t="s">
        <v>517</v>
      </c>
      <c r="E873" t="s">
        <v>438</v>
      </c>
      <c r="F873" s="13">
        <v>44847.395972222221</v>
      </c>
      <c r="G873" t="s">
        <v>500</v>
      </c>
      <c r="H873" t="s">
        <v>501</v>
      </c>
      <c r="I873" s="13">
        <v>44847.404999999999</v>
      </c>
      <c r="K873" t="s">
        <v>412</v>
      </c>
      <c r="R873">
        <v>0</v>
      </c>
      <c r="S873" t="s">
        <v>380</v>
      </c>
      <c r="T873" t="s">
        <v>57</v>
      </c>
      <c r="V873" t="s">
        <v>381</v>
      </c>
      <c r="W873" t="s">
        <v>438</v>
      </c>
      <c r="X873" t="s">
        <v>438</v>
      </c>
      <c r="AI873">
        <v>56</v>
      </c>
      <c r="AL873" t="s">
        <v>518</v>
      </c>
      <c r="AN873" t="s">
        <v>31</v>
      </c>
      <c r="AO873">
        <v>0</v>
      </c>
      <c r="AZ873" t="s">
        <v>438</v>
      </c>
      <c r="BF873">
        <v>0</v>
      </c>
      <c r="BK873" t="s">
        <v>31</v>
      </c>
      <c r="BS873" t="s">
        <v>412</v>
      </c>
      <c r="BT873" t="s">
        <v>412</v>
      </c>
      <c r="CI873" t="s">
        <v>388</v>
      </c>
      <c r="CJ873" s="14">
        <v>45014</v>
      </c>
      <c r="CK873">
        <v>1</v>
      </c>
    </row>
    <row r="874" spans="1:89">
      <c r="A874" t="s">
        <v>404</v>
      </c>
      <c r="B874" t="s">
        <v>374</v>
      </c>
      <c r="C874" t="s">
        <v>375</v>
      </c>
      <c r="D874" t="s">
        <v>519</v>
      </c>
      <c r="E874" t="s">
        <v>406</v>
      </c>
      <c r="F874" s="13">
        <v>44846.509340277778</v>
      </c>
      <c r="G874" t="s">
        <v>407</v>
      </c>
      <c r="H874" t="s">
        <v>408</v>
      </c>
      <c r="I874" s="13">
        <v>44846.562060185184</v>
      </c>
      <c r="K874" t="s">
        <v>379</v>
      </c>
      <c r="M874" s="13">
        <v>45000</v>
      </c>
      <c r="R874">
        <v>100</v>
      </c>
      <c r="S874" t="s">
        <v>380</v>
      </c>
      <c r="T874" t="s">
        <v>57</v>
      </c>
      <c r="V874" t="s">
        <v>381</v>
      </c>
      <c r="W874" t="s">
        <v>520</v>
      </c>
      <c r="X874" t="s">
        <v>520</v>
      </c>
      <c r="AB874" t="s">
        <v>31</v>
      </c>
      <c r="AF874" t="s">
        <v>382</v>
      </c>
      <c r="AG874" t="s">
        <v>406</v>
      </c>
      <c r="AI874">
        <v>154</v>
      </c>
      <c r="AL874" t="s">
        <v>521</v>
      </c>
      <c r="AN874" t="s">
        <v>57</v>
      </c>
      <c r="AO874">
        <v>0</v>
      </c>
      <c r="AS874" t="s">
        <v>522</v>
      </c>
      <c r="AX874" t="s">
        <v>57</v>
      </c>
      <c r="AY874" t="s">
        <v>442</v>
      </c>
      <c r="AZ874" t="s">
        <v>406</v>
      </c>
      <c r="BC874" t="s">
        <v>480</v>
      </c>
      <c r="BD874" t="s">
        <v>406</v>
      </c>
      <c r="BF874">
        <v>0</v>
      </c>
      <c r="BK874" t="s">
        <v>31</v>
      </c>
      <c r="BS874" t="s">
        <v>379</v>
      </c>
      <c r="BT874" t="s">
        <v>379</v>
      </c>
      <c r="CC874" t="s">
        <v>523</v>
      </c>
      <c r="CI874" t="s">
        <v>388</v>
      </c>
      <c r="CJ874" s="14">
        <v>45014</v>
      </c>
      <c r="CK874">
        <v>1</v>
      </c>
    </row>
    <row r="875" spans="1:89">
      <c r="A875" t="s">
        <v>404</v>
      </c>
      <c r="B875" t="s">
        <v>374</v>
      </c>
      <c r="C875" t="s">
        <v>375</v>
      </c>
      <c r="D875" t="s">
        <v>524</v>
      </c>
      <c r="E875" t="s">
        <v>406</v>
      </c>
      <c r="F875" s="13">
        <v>44846.501620370371</v>
      </c>
      <c r="G875" t="s">
        <v>407</v>
      </c>
      <c r="H875" t="s">
        <v>408</v>
      </c>
      <c r="I875" s="13">
        <v>44846.563599537039</v>
      </c>
      <c r="K875" t="s">
        <v>379</v>
      </c>
      <c r="M875" s="13">
        <v>45043</v>
      </c>
      <c r="R875">
        <v>100</v>
      </c>
      <c r="S875" t="s">
        <v>380</v>
      </c>
      <c r="T875" t="s">
        <v>57</v>
      </c>
      <c r="V875" t="s">
        <v>381</v>
      </c>
      <c r="W875" t="s">
        <v>520</v>
      </c>
      <c r="X875" t="s">
        <v>520</v>
      </c>
      <c r="AF875" t="s">
        <v>382</v>
      </c>
      <c r="AG875" t="s">
        <v>406</v>
      </c>
      <c r="AI875">
        <v>197</v>
      </c>
      <c r="AL875" t="s">
        <v>521</v>
      </c>
      <c r="AN875" t="s">
        <v>31</v>
      </c>
      <c r="AO875">
        <v>0</v>
      </c>
      <c r="AS875" t="s">
        <v>461</v>
      </c>
      <c r="AX875" t="s">
        <v>31</v>
      </c>
      <c r="AY875" t="s">
        <v>386</v>
      </c>
      <c r="AZ875" t="s">
        <v>406</v>
      </c>
      <c r="BF875">
        <v>0</v>
      </c>
      <c r="BK875" t="s">
        <v>31</v>
      </c>
      <c r="BS875" t="s">
        <v>379</v>
      </c>
      <c r="BT875" t="s">
        <v>379</v>
      </c>
      <c r="CI875" t="s">
        <v>388</v>
      </c>
      <c r="CJ875" s="14">
        <v>45014</v>
      </c>
      <c r="CK875">
        <v>1</v>
      </c>
    </row>
    <row r="876" spans="1:89">
      <c r="A876" t="s">
        <v>404</v>
      </c>
      <c r="B876" t="s">
        <v>374</v>
      </c>
      <c r="C876" t="s">
        <v>375</v>
      </c>
      <c r="D876" t="s">
        <v>525</v>
      </c>
      <c r="E876" t="s">
        <v>406</v>
      </c>
      <c r="F876" s="13">
        <v>44846.500868055555</v>
      </c>
      <c r="G876" t="s">
        <v>407</v>
      </c>
      <c r="H876" t="s">
        <v>408</v>
      </c>
      <c r="I876" s="13">
        <v>44846.542951388888</v>
      </c>
      <c r="K876" t="s">
        <v>379</v>
      </c>
      <c r="M876" s="13">
        <v>44936</v>
      </c>
      <c r="R876">
        <v>100</v>
      </c>
      <c r="S876" t="s">
        <v>416</v>
      </c>
      <c r="T876" t="s">
        <v>57</v>
      </c>
      <c r="V876" t="s">
        <v>381</v>
      </c>
      <c r="W876" t="s">
        <v>510</v>
      </c>
      <c r="X876" t="s">
        <v>510</v>
      </c>
      <c r="AF876" t="s">
        <v>382</v>
      </c>
      <c r="AG876" t="s">
        <v>406</v>
      </c>
      <c r="AI876">
        <v>90</v>
      </c>
      <c r="AL876" t="s">
        <v>521</v>
      </c>
      <c r="AM876">
        <v>1</v>
      </c>
      <c r="AN876" t="s">
        <v>31</v>
      </c>
      <c r="AO876">
        <v>0</v>
      </c>
      <c r="AS876" t="s">
        <v>526</v>
      </c>
      <c r="AX876" t="s">
        <v>31</v>
      </c>
      <c r="AY876" t="s">
        <v>386</v>
      </c>
      <c r="AZ876" t="s">
        <v>406</v>
      </c>
      <c r="BE876" t="s">
        <v>406</v>
      </c>
      <c r="BF876">
        <v>0</v>
      </c>
      <c r="BK876" t="s">
        <v>31</v>
      </c>
      <c r="BS876" t="s">
        <v>379</v>
      </c>
      <c r="BT876" t="s">
        <v>379</v>
      </c>
      <c r="CI876" t="s">
        <v>388</v>
      </c>
      <c r="CJ876" s="14">
        <v>45014</v>
      </c>
      <c r="CK876">
        <v>1</v>
      </c>
    </row>
    <row r="877" spans="1:89">
      <c r="A877" t="s">
        <v>404</v>
      </c>
      <c r="B877" t="s">
        <v>374</v>
      </c>
      <c r="C877" t="s">
        <v>375</v>
      </c>
      <c r="D877" t="s">
        <v>527</v>
      </c>
      <c r="E877" t="s">
        <v>406</v>
      </c>
      <c r="F877" s="13">
        <v>44846.480497685188</v>
      </c>
      <c r="G877" t="s">
        <v>407</v>
      </c>
      <c r="H877" t="s">
        <v>408</v>
      </c>
      <c r="I877" s="13">
        <v>44846.49019675926</v>
      </c>
      <c r="K877" t="s">
        <v>379</v>
      </c>
      <c r="M877" s="13">
        <v>45015</v>
      </c>
      <c r="R877">
        <v>100</v>
      </c>
      <c r="S877" t="s">
        <v>380</v>
      </c>
      <c r="T877" t="s">
        <v>57</v>
      </c>
      <c r="V877" t="s">
        <v>381</v>
      </c>
      <c r="W877" t="s">
        <v>510</v>
      </c>
      <c r="X877" t="s">
        <v>510</v>
      </c>
      <c r="AC877" s="13">
        <v>45056</v>
      </c>
      <c r="AD877" s="13">
        <v>44993</v>
      </c>
      <c r="AF877" t="s">
        <v>382</v>
      </c>
      <c r="AG877" t="s">
        <v>406</v>
      </c>
      <c r="AI877">
        <v>169</v>
      </c>
      <c r="AL877" t="s">
        <v>528</v>
      </c>
      <c r="AN877" t="s">
        <v>31</v>
      </c>
      <c r="AO877">
        <v>0</v>
      </c>
      <c r="AS877" t="s">
        <v>526</v>
      </c>
      <c r="AX877" t="s">
        <v>57</v>
      </c>
      <c r="AY877" t="s">
        <v>442</v>
      </c>
      <c r="AZ877" t="s">
        <v>406</v>
      </c>
      <c r="BF877">
        <v>0</v>
      </c>
      <c r="BK877" t="s">
        <v>31</v>
      </c>
      <c r="BS877" t="s">
        <v>379</v>
      </c>
      <c r="BT877" t="s">
        <v>379</v>
      </c>
      <c r="CI877" t="s">
        <v>388</v>
      </c>
      <c r="CJ877" s="14">
        <v>45014</v>
      </c>
      <c r="CK877">
        <v>1</v>
      </c>
    </row>
    <row r="878" spans="1:89">
      <c r="A878" t="s">
        <v>404</v>
      </c>
      <c r="B878" t="s">
        <v>374</v>
      </c>
      <c r="C878" t="s">
        <v>375</v>
      </c>
      <c r="D878" t="s">
        <v>529</v>
      </c>
      <c r="E878" t="s">
        <v>406</v>
      </c>
      <c r="F878" s="13">
        <v>44846.469733796293</v>
      </c>
      <c r="G878" t="s">
        <v>407</v>
      </c>
      <c r="H878" t="s">
        <v>408</v>
      </c>
      <c r="I878" s="13">
        <v>44846.488055555557</v>
      </c>
      <c r="K878" t="s">
        <v>379</v>
      </c>
      <c r="M878" s="13">
        <v>44936</v>
      </c>
      <c r="R878">
        <v>100</v>
      </c>
      <c r="S878" t="s">
        <v>416</v>
      </c>
      <c r="T878" t="s">
        <v>57</v>
      </c>
      <c r="V878" t="s">
        <v>381</v>
      </c>
      <c r="W878" t="s">
        <v>510</v>
      </c>
      <c r="X878" t="s">
        <v>510</v>
      </c>
      <c r="AF878" t="s">
        <v>382</v>
      </c>
      <c r="AG878" t="s">
        <v>406</v>
      </c>
      <c r="AI878">
        <v>90</v>
      </c>
      <c r="AL878" t="s">
        <v>528</v>
      </c>
      <c r="AM878">
        <v>1</v>
      </c>
      <c r="AN878" t="s">
        <v>31</v>
      </c>
      <c r="AO878">
        <v>0</v>
      </c>
      <c r="AS878" t="s">
        <v>385</v>
      </c>
      <c r="AX878" t="s">
        <v>31</v>
      </c>
      <c r="AY878" t="s">
        <v>386</v>
      </c>
      <c r="AZ878" t="s">
        <v>406</v>
      </c>
      <c r="BF878">
        <v>0</v>
      </c>
      <c r="BK878" t="s">
        <v>31</v>
      </c>
      <c r="BS878" t="s">
        <v>379</v>
      </c>
      <c r="BT878" t="s">
        <v>379</v>
      </c>
      <c r="CI878" t="s">
        <v>388</v>
      </c>
      <c r="CJ878" s="14">
        <v>45014</v>
      </c>
      <c r="CK878">
        <v>1</v>
      </c>
    </row>
    <row r="879" spans="1:89">
      <c r="A879" t="s">
        <v>404</v>
      </c>
      <c r="B879" t="s">
        <v>374</v>
      </c>
      <c r="C879" t="s">
        <v>375</v>
      </c>
      <c r="D879" t="s">
        <v>530</v>
      </c>
      <c r="E879" t="s">
        <v>406</v>
      </c>
      <c r="F879" s="13">
        <v>44846.388518518521</v>
      </c>
      <c r="G879" t="s">
        <v>407</v>
      </c>
      <c r="H879" t="s">
        <v>408</v>
      </c>
      <c r="I879" s="13">
        <v>44846.429849537039</v>
      </c>
      <c r="K879" t="s">
        <v>379</v>
      </c>
      <c r="M879" s="13">
        <v>44895</v>
      </c>
      <c r="R879">
        <v>100</v>
      </c>
      <c r="S879" t="s">
        <v>380</v>
      </c>
      <c r="T879" t="s">
        <v>57</v>
      </c>
      <c r="V879" t="s">
        <v>381</v>
      </c>
      <c r="W879" t="s">
        <v>531</v>
      </c>
      <c r="X879" t="s">
        <v>531</v>
      </c>
      <c r="AC879" s="13">
        <v>44887</v>
      </c>
      <c r="AD879" s="13">
        <v>44881</v>
      </c>
      <c r="AF879" t="s">
        <v>382</v>
      </c>
      <c r="AG879" t="s">
        <v>406</v>
      </c>
      <c r="AI879">
        <v>49</v>
      </c>
      <c r="AK879" t="s">
        <v>480</v>
      </c>
      <c r="AL879" t="s">
        <v>532</v>
      </c>
      <c r="AN879" t="s">
        <v>31</v>
      </c>
      <c r="AO879">
        <v>0</v>
      </c>
      <c r="AS879" t="s">
        <v>385</v>
      </c>
      <c r="AX879" t="s">
        <v>31</v>
      </c>
      <c r="AY879" t="s">
        <v>386</v>
      </c>
      <c r="AZ879" t="s">
        <v>406</v>
      </c>
      <c r="BF879">
        <v>0</v>
      </c>
      <c r="BK879" t="s">
        <v>31</v>
      </c>
      <c r="BS879" t="s">
        <v>379</v>
      </c>
      <c r="BT879" t="s">
        <v>379</v>
      </c>
      <c r="CI879" t="s">
        <v>388</v>
      </c>
      <c r="CJ879" s="14">
        <v>45014</v>
      </c>
      <c r="CK879">
        <v>1</v>
      </c>
    </row>
    <row r="880" spans="1:89">
      <c r="A880" t="s">
        <v>533</v>
      </c>
      <c r="B880" t="s">
        <v>374</v>
      </c>
      <c r="C880" t="s">
        <v>534</v>
      </c>
      <c r="D880" t="s">
        <v>535</v>
      </c>
      <c r="E880" t="s">
        <v>536</v>
      </c>
      <c r="F880" s="13">
        <v>44839.570752314816</v>
      </c>
      <c r="G880" t="s">
        <v>458</v>
      </c>
      <c r="H880" t="s">
        <v>459</v>
      </c>
      <c r="I880" s="13">
        <v>44839.570752314816</v>
      </c>
      <c r="R880">
        <v>0</v>
      </c>
      <c r="S880" t="s">
        <v>380</v>
      </c>
      <c r="T880" t="s">
        <v>57</v>
      </c>
      <c r="V880" t="s">
        <v>381</v>
      </c>
      <c r="W880" t="s">
        <v>537</v>
      </c>
      <c r="X880" t="s">
        <v>537</v>
      </c>
      <c r="AC880" s="13">
        <v>44832</v>
      </c>
      <c r="AD880" s="13">
        <v>44832</v>
      </c>
      <c r="AI880">
        <v>-7</v>
      </c>
      <c r="AN880" t="s">
        <v>31</v>
      </c>
      <c r="AO880">
        <v>0</v>
      </c>
      <c r="AS880" t="s">
        <v>538</v>
      </c>
      <c r="AX880" t="s">
        <v>31</v>
      </c>
      <c r="AY880" t="s">
        <v>386</v>
      </c>
      <c r="AZ880" t="s">
        <v>539</v>
      </c>
      <c r="BF880">
        <v>0</v>
      </c>
      <c r="BK880" t="s">
        <v>31</v>
      </c>
      <c r="BS880" t="s">
        <v>412</v>
      </c>
      <c r="CI880" t="s">
        <v>388</v>
      </c>
      <c r="CJ880" s="14">
        <v>45014</v>
      </c>
      <c r="CK880">
        <v>1</v>
      </c>
    </row>
    <row r="881" spans="1:89">
      <c r="A881" t="s">
        <v>540</v>
      </c>
      <c r="B881" t="s">
        <v>374</v>
      </c>
      <c r="C881" t="s">
        <v>541</v>
      </c>
      <c r="D881" t="s">
        <v>542</v>
      </c>
      <c r="E881" t="s">
        <v>543</v>
      </c>
      <c r="F881" s="13">
        <v>44839.570729166669</v>
      </c>
      <c r="G881" t="s">
        <v>458</v>
      </c>
      <c r="H881" t="s">
        <v>459</v>
      </c>
      <c r="I881" s="13">
        <v>44839.570740740739</v>
      </c>
      <c r="R881">
        <v>0</v>
      </c>
      <c r="S881" t="s">
        <v>380</v>
      </c>
      <c r="T881" t="s">
        <v>57</v>
      </c>
      <c r="V881" t="s">
        <v>381</v>
      </c>
      <c r="W881" t="s">
        <v>537</v>
      </c>
      <c r="X881" t="s">
        <v>537</v>
      </c>
      <c r="AC881" s="13">
        <v>44830</v>
      </c>
      <c r="AD881" s="13">
        <v>44830</v>
      </c>
      <c r="AI881">
        <v>-9</v>
      </c>
      <c r="AN881" t="s">
        <v>31</v>
      </c>
      <c r="AO881">
        <v>0</v>
      </c>
      <c r="AS881" t="s">
        <v>385</v>
      </c>
      <c r="AX881" t="s">
        <v>31</v>
      </c>
      <c r="AY881" t="s">
        <v>386</v>
      </c>
      <c r="AZ881" t="s">
        <v>544</v>
      </c>
      <c r="BF881">
        <v>0</v>
      </c>
      <c r="BK881" t="s">
        <v>31</v>
      </c>
      <c r="BS881" t="s">
        <v>412</v>
      </c>
      <c r="CI881" t="s">
        <v>388</v>
      </c>
      <c r="CJ881" s="14">
        <v>45014</v>
      </c>
      <c r="CK881">
        <v>1</v>
      </c>
    </row>
    <row r="882" spans="1:89">
      <c r="A882" t="s">
        <v>545</v>
      </c>
      <c r="B882" t="s">
        <v>374</v>
      </c>
      <c r="C882" t="s">
        <v>546</v>
      </c>
      <c r="D882" t="s">
        <v>547</v>
      </c>
      <c r="E882" t="s">
        <v>548</v>
      </c>
      <c r="F882" s="13">
        <v>44839.570706018516</v>
      </c>
      <c r="G882" t="s">
        <v>458</v>
      </c>
      <c r="H882" t="s">
        <v>459</v>
      </c>
      <c r="I882" s="13">
        <v>44839.570717592593</v>
      </c>
      <c r="R882">
        <v>0</v>
      </c>
      <c r="S882" t="s">
        <v>380</v>
      </c>
      <c r="T882" t="s">
        <v>57</v>
      </c>
      <c r="V882" t="s">
        <v>381</v>
      </c>
      <c r="W882" t="s">
        <v>537</v>
      </c>
      <c r="X882" t="s">
        <v>537</v>
      </c>
      <c r="AC882" s="13">
        <v>44827</v>
      </c>
      <c r="AD882" s="13">
        <v>44827</v>
      </c>
      <c r="AI882">
        <v>-12</v>
      </c>
      <c r="AN882" t="s">
        <v>31</v>
      </c>
      <c r="AO882">
        <v>0</v>
      </c>
      <c r="AS882" t="s">
        <v>385</v>
      </c>
      <c r="AX882" t="s">
        <v>31</v>
      </c>
      <c r="AY882" t="s">
        <v>386</v>
      </c>
      <c r="AZ882" t="s">
        <v>549</v>
      </c>
      <c r="BF882">
        <v>0</v>
      </c>
      <c r="BK882" t="s">
        <v>31</v>
      </c>
      <c r="BS882" t="s">
        <v>412</v>
      </c>
      <c r="CI882" t="s">
        <v>388</v>
      </c>
      <c r="CJ882" s="14">
        <v>45014</v>
      </c>
      <c r="CK882">
        <v>1</v>
      </c>
    </row>
    <row r="883" spans="1:89">
      <c r="A883" t="s">
        <v>550</v>
      </c>
      <c r="B883" t="s">
        <v>374</v>
      </c>
      <c r="C883" t="s">
        <v>551</v>
      </c>
      <c r="D883" t="s">
        <v>552</v>
      </c>
      <c r="E883" t="s">
        <v>553</v>
      </c>
      <c r="F883" s="13">
        <v>44839.57068287037</v>
      </c>
      <c r="G883" t="s">
        <v>458</v>
      </c>
      <c r="H883" t="s">
        <v>459</v>
      </c>
      <c r="I883" s="13">
        <v>44839.570694444446</v>
      </c>
      <c r="R883">
        <v>0</v>
      </c>
      <c r="S883" t="s">
        <v>380</v>
      </c>
      <c r="T883" t="s">
        <v>57</v>
      </c>
      <c r="V883" t="s">
        <v>381</v>
      </c>
      <c r="W883" t="s">
        <v>554</v>
      </c>
      <c r="X883" t="s">
        <v>554</v>
      </c>
      <c r="AC883" s="13">
        <v>44834</v>
      </c>
      <c r="AD883" s="13">
        <v>44834</v>
      </c>
      <c r="AI883">
        <v>-5</v>
      </c>
      <c r="AN883" t="s">
        <v>31</v>
      </c>
      <c r="AO883">
        <v>0</v>
      </c>
      <c r="AS883" t="s">
        <v>385</v>
      </c>
      <c r="AX883" t="s">
        <v>31</v>
      </c>
      <c r="AY883" t="s">
        <v>386</v>
      </c>
      <c r="AZ883" t="s">
        <v>555</v>
      </c>
      <c r="BF883">
        <v>0</v>
      </c>
      <c r="BK883" t="s">
        <v>31</v>
      </c>
      <c r="BS883" t="s">
        <v>412</v>
      </c>
      <c r="CI883" t="s">
        <v>388</v>
      </c>
      <c r="CJ883" s="14">
        <v>45014</v>
      </c>
      <c r="CK883">
        <v>1</v>
      </c>
    </row>
    <row r="884" spans="1:89">
      <c r="A884" t="s">
        <v>533</v>
      </c>
      <c r="B884" t="s">
        <v>374</v>
      </c>
      <c r="C884" t="s">
        <v>534</v>
      </c>
      <c r="D884" t="s">
        <v>556</v>
      </c>
      <c r="E884" t="s">
        <v>557</v>
      </c>
      <c r="F884" s="13">
        <v>44839.570659722223</v>
      </c>
      <c r="G884" t="s">
        <v>458</v>
      </c>
      <c r="H884" t="s">
        <v>459</v>
      </c>
      <c r="I884" s="13">
        <v>44839.570671296293</v>
      </c>
      <c r="R884">
        <v>0</v>
      </c>
      <c r="S884" t="s">
        <v>380</v>
      </c>
      <c r="T884" t="s">
        <v>57</v>
      </c>
      <c r="V884" t="s">
        <v>381</v>
      </c>
      <c r="W884" t="s">
        <v>558</v>
      </c>
      <c r="X884" t="s">
        <v>558</v>
      </c>
      <c r="AC884" s="13">
        <v>44742</v>
      </c>
      <c r="AD884" s="13">
        <v>44742</v>
      </c>
      <c r="AI884">
        <v>-97</v>
      </c>
      <c r="AN884" t="s">
        <v>31</v>
      </c>
      <c r="AO884">
        <v>0</v>
      </c>
      <c r="AS884" t="s">
        <v>538</v>
      </c>
      <c r="AX884" t="s">
        <v>31</v>
      </c>
      <c r="AY884" t="s">
        <v>386</v>
      </c>
      <c r="AZ884" t="s">
        <v>559</v>
      </c>
      <c r="BF884">
        <v>0</v>
      </c>
      <c r="BK884" t="s">
        <v>31</v>
      </c>
      <c r="BS884" t="s">
        <v>412</v>
      </c>
      <c r="CI884" t="s">
        <v>388</v>
      </c>
      <c r="CJ884" s="14">
        <v>45014</v>
      </c>
      <c r="CK884">
        <v>1</v>
      </c>
    </row>
    <row r="885" spans="1:89">
      <c r="A885" t="s">
        <v>540</v>
      </c>
      <c r="B885" t="s">
        <v>374</v>
      </c>
      <c r="C885" t="s">
        <v>541</v>
      </c>
      <c r="D885" t="s">
        <v>560</v>
      </c>
      <c r="E885" t="s">
        <v>561</v>
      </c>
      <c r="F885" s="13">
        <v>44839.570636574077</v>
      </c>
      <c r="G885" t="s">
        <v>458</v>
      </c>
      <c r="H885" t="s">
        <v>459</v>
      </c>
      <c r="I885" s="13">
        <v>44839.570648148147</v>
      </c>
      <c r="R885">
        <v>0</v>
      </c>
      <c r="S885" t="s">
        <v>380</v>
      </c>
      <c r="T885" t="s">
        <v>57</v>
      </c>
      <c r="V885" t="s">
        <v>381</v>
      </c>
      <c r="W885" t="s">
        <v>558</v>
      </c>
      <c r="X885" t="s">
        <v>558</v>
      </c>
      <c r="AC885" s="13">
        <v>44742</v>
      </c>
      <c r="AD885" s="13">
        <v>44742</v>
      </c>
      <c r="AI885">
        <v>-97</v>
      </c>
      <c r="AN885" t="s">
        <v>31</v>
      </c>
      <c r="AO885">
        <v>0</v>
      </c>
      <c r="AS885" t="s">
        <v>538</v>
      </c>
      <c r="AX885" t="s">
        <v>31</v>
      </c>
      <c r="AY885" t="s">
        <v>386</v>
      </c>
      <c r="AZ885" t="s">
        <v>562</v>
      </c>
      <c r="BF885">
        <v>0</v>
      </c>
      <c r="BK885" t="s">
        <v>31</v>
      </c>
      <c r="BS885" t="s">
        <v>412</v>
      </c>
      <c r="CI885" t="s">
        <v>388</v>
      </c>
      <c r="CJ885" s="14">
        <v>45014</v>
      </c>
      <c r="CK885">
        <v>1</v>
      </c>
    </row>
    <row r="886" spans="1:89">
      <c r="A886" t="s">
        <v>545</v>
      </c>
      <c r="B886" t="s">
        <v>374</v>
      </c>
      <c r="C886" t="s">
        <v>546</v>
      </c>
      <c r="D886" t="s">
        <v>563</v>
      </c>
      <c r="E886" t="s">
        <v>564</v>
      </c>
      <c r="F886" s="13">
        <v>44839.570613425924</v>
      </c>
      <c r="G886" t="s">
        <v>458</v>
      </c>
      <c r="H886" t="s">
        <v>459</v>
      </c>
      <c r="I886" s="13">
        <v>44839.570625</v>
      </c>
      <c r="R886">
        <v>0</v>
      </c>
      <c r="S886" t="s">
        <v>380</v>
      </c>
      <c r="T886" t="s">
        <v>57</v>
      </c>
      <c r="V886" t="s">
        <v>381</v>
      </c>
      <c r="W886" t="s">
        <v>565</v>
      </c>
      <c r="X886" t="s">
        <v>565</v>
      </c>
      <c r="AC886" s="13">
        <v>44772</v>
      </c>
      <c r="AD886" s="13">
        <v>44772</v>
      </c>
      <c r="AI886">
        <v>-67</v>
      </c>
      <c r="AN886" t="s">
        <v>31</v>
      </c>
      <c r="AO886">
        <v>0</v>
      </c>
      <c r="AS886" t="s">
        <v>385</v>
      </c>
      <c r="AX886" t="s">
        <v>31</v>
      </c>
      <c r="AY886" t="s">
        <v>386</v>
      </c>
      <c r="AZ886" t="s">
        <v>566</v>
      </c>
      <c r="BF886">
        <v>0</v>
      </c>
      <c r="BK886" t="s">
        <v>31</v>
      </c>
      <c r="BS886" t="s">
        <v>412</v>
      </c>
      <c r="CI886" t="s">
        <v>388</v>
      </c>
      <c r="CJ886" s="14">
        <v>45014</v>
      </c>
      <c r="CK886">
        <v>1</v>
      </c>
    </row>
    <row r="887" spans="1:89">
      <c r="A887" t="s">
        <v>567</v>
      </c>
      <c r="B887" t="s">
        <v>374</v>
      </c>
      <c r="C887" t="s">
        <v>568</v>
      </c>
      <c r="D887" t="s">
        <v>569</v>
      </c>
      <c r="E887" t="s">
        <v>406</v>
      </c>
      <c r="F887" s="13">
        <v>44839.478483796294</v>
      </c>
      <c r="G887" t="s">
        <v>570</v>
      </c>
      <c r="H887" t="s">
        <v>571</v>
      </c>
      <c r="I887" s="13">
        <v>44839.49050925926</v>
      </c>
      <c r="K887" t="s">
        <v>379</v>
      </c>
      <c r="M887" s="13">
        <v>44854</v>
      </c>
      <c r="R887">
        <v>100</v>
      </c>
      <c r="S887" t="s">
        <v>380</v>
      </c>
      <c r="T887" t="s">
        <v>57</v>
      </c>
      <c r="V887" t="s">
        <v>381</v>
      </c>
      <c r="W887" t="s">
        <v>406</v>
      </c>
      <c r="X887" t="s">
        <v>406</v>
      </c>
      <c r="AF887" t="s">
        <v>382</v>
      </c>
      <c r="AG887" t="s">
        <v>406</v>
      </c>
      <c r="AI887">
        <v>15</v>
      </c>
      <c r="AK887" t="s">
        <v>480</v>
      </c>
      <c r="AL887" t="s">
        <v>572</v>
      </c>
      <c r="AN887" t="s">
        <v>31</v>
      </c>
      <c r="AO887">
        <v>0</v>
      </c>
      <c r="AS887" t="s">
        <v>526</v>
      </c>
      <c r="AX887" t="s">
        <v>57</v>
      </c>
      <c r="AY887" t="s">
        <v>442</v>
      </c>
      <c r="AZ887">
        <v>1607</v>
      </c>
      <c r="BE887">
        <v>3434</v>
      </c>
      <c r="BF887">
        <v>0</v>
      </c>
      <c r="BK887" t="s">
        <v>31</v>
      </c>
      <c r="BS887" t="s">
        <v>379</v>
      </c>
      <c r="BT887" t="s">
        <v>379</v>
      </c>
      <c r="CI887" t="s">
        <v>388</v>
      </c>
      <c r="CJ887" s="14">
        <v>45014</v>
      </c>
      <c r="CK887">
        <v>1</v>
      </c>
    </row>
    <row r="888" spans="1:89">
      <c r="A888" t="s">
        <v>567</v>
      </c>
      <c r="B888" t="s">
        <v>374</v>
      </c>
      <c r="C888" t="s">
        <v>568</v>
      </c>
      <c r="D888" t="s">
        <v>573</v>
      </c>
      <c r="E888" t="s">
        <v>574</v>
      </c>
      <c r="F888" s="13">
        <v>44839.448611111111</v>
      </c>
      <c r="G888" t="s">
        <v>570</v>
      </c>
      <c r="H888" t="s">
        <v>571</v>
      </c>
      <c r="I888" s="13">
        <v>45012.044444444444</v>
      </c>
      <c r="K888" t="s">
        <v>415</v>
      </c>
      <c r="M888" s="13">
        <v>44854</v>
      </c>
      <c r="R888">
        <v>100</v>
      </c>
      <c r="S888" t="s">
        <v>416</v>
      </c>
      <c r="T888" t="s">
        <v>57</v>
      </c>
      <c r="V888" t="s">
        <v>478</v>
      </c>
      <c r="W888" t="s">
        <v>575</v>
      </c>
      <c r="X888" t="s">
        <v>575</v>
      </c>
      <c r="Y888" t="s">
        <v>480</v>
      </c>
      <c r="AC888" s="13">
        <v>44860</v>
      </c>
      <c r="AD888" s="13">
        <v>44847</v>
      </c>
      <c r="AF888" t="s">
        <v>382</v>
      </c>
      <c r="AG888" t="s">
        <v>574</v>
      </c>
      <c r="AI888">
        <v>-158</v>
      </c>
      <c r="AL888" t="s">
        <v>576</v>
      </c>
      <c r="AN888" t="s">
        <v>31</v>
      </c>
      <c r="AO888">
        <v>0</v>
      </c>
      <c r="AS888" t="s">
        <v>522</v>
      </c>
      <c r="AX888" t="s">
        <v>57</v>
      </c>
      <c r="AY888" t="s">
        <v>442</v>
      </c>
      <c r="AZ888" t="s">
        <v>577</v>
      </c>
      <c r="BE888">
        <v>244343</v>
      </c>
      <c r="BF888">
        <v>0</v>
      </c>
      <c r="BK888" t="s">
        <v>31</v>
      </c>
      <c r="BS888" t="s">
        <v>419</v>
      </c>
      <c r="BT888" t="s">
        <v>419</v>
      </c>
      <c r="CI888" t="s">
        <v>388</v>
      </c>
      <c r="CJ888" s="14">
        <v>45014</v>
      </c>
      <c r="CK888">
        <v>1</v>
      </c>
    </row>
    <row r="889" spans="1:89">
      <c r="A889" t="s">
        <v>567</v>
      </c>
      <c r="B889" t="s">
        <v>374</v>
      </c>
      <c r="C889" t="s">
        <v>568</v>
      </c>
      <c r="D889" t="s">
        <v>578</v>
      </c>
      <c r="E889" t="s">
        <v>406</v>
      </c>
      <c r="F889" s="13">
        <v>44818.566261574073</v>
      </c>
      <c r="G889" t="s">
        <v>579</v>
      </c>
      <c r="H889" t="s">
        <v>580</v>
      </c>
      <c r="I889" s="13">
        <v>44818.581331018519</v>
      </c>
      <c r="K889" t="s">
        <v>379</v>
      </c>
      <c r="M889" s="13">
        <v>44826</v>
      </c>
      <c r="R889">
        <v>100</v>
      </c>
      <c r="S889" t="s">
        <v>380</v>
      </c>
      <c r="T889" t="s">
        <v>57</v>
      </c>
      <c r="V889" t="s">
        <v>381</v>
      </c>
      <c r="W889" t="s">
        <v>574</v>
      </c>
      <c r="X889" t="s">
        <v>574</v>
      </c>
      <c r="AB889" t="s">
        <v>57</v>
      </c>
      <c r="AF889" t="s">
        <v>382</v>
      </c>
      <c r="AG889" t="s">
        <v>406</v>
      </c>
      <c r="AI889">
        <v>8</v>
      </c>
      <c r="AL889" t="s">
        <v>581</v>
      </c>
      <c r="AN889" t="s">
        <v>57</v>
      </c>
      <c r="AO889">
        <v>0</v>
      </c>
      <c r="AS889" t="s">
        <v>526</v>
      </c>
      <c r="AX889" t="s">
        <v>57</v>
      </c>
      <c r="AY889" t="s">
        <v>386</v>
      </c>
      <c r="AZ889" t="s">
        <v>582</v>
      </c>
      <c r="BC889" t="s">
        <v>480</v>
      </c>
      <c r="BD889" t="s">
        <v>406</v>
      </c>
      <c r="BE889">
        <v>343</v>
      </c>
      <c r="BF889">
        <v>0</v>
      </c>
      <c r="BK889" t="s">
        <v>31</v>
      </c>
      <c r="BS889" t="s">
        <v>379</v>
      </c>
      <c r="BT889" t="s">
        <v>379</v>
      </c>
      <c r="CC889" t="s">
        <v>583</v>
      </c>
      <c r="CI889" t="s">
        <v>388</v>
      </c>
      <c r="CJ889" s="14">
        <v>45014</v>
      </c>
      <c r="CK889">
        <v>1</v>
      </c>
    </row>
    <row r="890" spans="1:89">
      <c r="A890" t="s">
        <v>567</v>
      </c>
      <c r="B890" t="s">
        <v>374</v>
      </c>
      <c r="C890" t="s">
        <v>568</v>
      </c>
      <c r="D890" t="s">
        <v>584</v>
      </c>
      <c r="E890" t="s">
        <v>406</v>
      </c>
      <c r="F890" s="13">
        <v>44818.548692129632</v>
      </c>
      <c r="G890" t="s">
        <v>579</v>
      </c>
      <c r="H890" t="s">
        <v>580</v>
      </c>
      <c r="I890" s="13">
        <v>44818.570439814815</v>
      </c>
      <c r="K890" t="s">
        <v>379</v>
      </c>
      <c r="M890" s="13">
        <v>44819</v>
      </c>
      <c r="R890">
        <v>100</v>
      </c>
      <c r="S890" t="s">
        <v>416</v>
      </c>
      <c r="T890" t="s">
        <v>57</v>
      </c>
      <c r="V890" t="s">
        <v>381</v>
      </c>
      <c r="W890" t="s">
        <v>574</v>
      </c>
      <c r="X890" t="s">
        <v>574</v>
      </c>
      <c r="Y890" t="s">
        <v>480</v>
      </c>
      <c r="AF890" t="s">
        <v>382</v>
      </c>
      <c r="AG890" t="s">
        <v>406</v>
      </c>
      <c r="AI890">
        <v>1</v>
      </c>
      <c r="AL890" t="s">
        <v>581</v>
      </c>
      <c r="AM890">
        <v>1</v>
      </c>
      <c r="AN890" t="s">
        <v>31</v>
      </c>
      <c r="AO890">
        <v>0</v>
      </c>
      <c r="AS890" t="s">
        <v>385</v>
      </c>
      <c r="AX890" t="s">
        <v>57</v>
      </c>
      <c r="AY890" t="s">
        <v>442</v>
      </c>
      <c r="AZ890">
        <v>2003</v>
      </c>
      <c r="BE890">
        <v>34535</v>
      </c>
      <c r="BF890">
        <v>0</v>
      </c>
      <c r="BK890" t="s">
        <v>31</v>
      </c>
      <c r="BS890" t="s">
        <v>379</v>
      </c>
      <c r="BT890" t="s">
        <v>379</v>
      </c>
      <c r="CI890" t="s">
        <v>388</v>
      </c>
      <c r="CJ890" s="14">
        <v>45014</v>
      </c>
      <c r="CK890">
        <v>1</v>
      </c>
    </row>
    <row r="891" spans="1:89">
      <c r="A891" t="s">
        <v>567</v>
      </c>
      <c r="B891" t="s">
        <v>374</v>
      </c>
      <c r="C891" t="s">
        <v>568</v>
      </c>
      <c r="D891" t="s">
        <v>585</v>
      </c>
      <c r="E891" t="s">
        <v>586</v>
      </c>
      <c r="F891" s="13">
        <v>44816.654710648145</v>
      </c>
      <c r="G891" t="s">
        <v>570</v>
      </c>
      <c r="H891" t="s">
        <v>571</v>
      </c>
      <c r="I891" s="13">
        <v>44816.660787037035</v>
      </c>
      <c r="K891" t="s">
        <v>379</v>
      </c>
      <c r="M891" s="13">
        <v>44832</v>
      </c>
      <c r="R891">
        <v>100</v>
      </c>
      <c r="S891" t="s">
        <v>380</v>
      </c>
      <c r="T891" t="s">
        <v>57</v>
      </c>
      <c r="V891" t="s">
        <v>381</v>
      </c>
      <c r="W891" t="s">
        <v>587</v>
      </c>
      <c r="X891" t="s">
        <v>587</v>
      </c>
      <c r="AC891" s="13">
        <v>44824</v>
      </c>
      <c r="AD891" s="13">
        <v>44815</v>
      </c>
      <c r="AF891" t="s">
        <v>382</v>
      </c>
      <c r="AG891" t="s">
        <v>574</v>
      </c>
      <c r="AI891">
        <v>16</v>
      </c>
      <c r="AL891" t="s">
        <v>588</v>
      </c>
      <c r="AN891" t="s">
        <v>31</v>
      </c>
      <c r="AO891">
        <v>0</v>
      </c>
      <c r="AS891" t="s">
        <v>526</v>
      </c>
      <c r="AX891" t="s">
        <v>57</v>
      </c>
      <c r="AY891" t="s">
        <v>442</v>
      </c>
      <c r="AZ891" t="s">
        <v>586</v>
      </c>
      <c r="BE891">
        <v>3848</v>
      </c>
      <c r="BF891">
        <v>0</v>
      </c>
      <c r="BK891" t="s">
        <v>31</v>
      </c>
      <c r="BS891" t="s">
        <v>379</v>
      </c>
      <c r="BT891" t="s">
        <v>379</v>
      </c>
      <c r="CI891" t="s">
        <v>388</v>
      </c>
      <c r="CJ891" s="14">
        <v>45014</v>
      </c>
      <c r="CK891">
        <v>1</v>
      </c>
    </row>
    <row r="892" spans="1:89">
      <c r="A892" t="s">
        <v>404</v>
      </c>
      <c r="B892" t="s">
        <v>374</v>
      </c>
      <c r="C892" t="s">
        <v>375</v>
      </c>
      <c r="D892" t="s">
        <v>589</v>
      </c>
      <c r="E892" t="s">
        <v>406</v>
      </c>
      <c r="F892" s="13">
        <v>44806.478807870371</v>
      </c>
      <c r="G892" t="s">
        <v>590</v>
      </c>
      <c r="H892" t="s">
        <v>591</v>
      </c>
      <c r="I892" s="13">
        <v>44806.486319444448</v>
      </c>
      <c r="K892" t="s">
        <v>412</v>
      </c>
      <c r="R892">
        <v>0</v>
      </c>
      <c r="S892" t="s">
        <v>416</v>
      </c>
      <c r="T892" t="s">
        <v>57</v>
      </c>
      <c r="V892" t="s">
        <v>381</v>
      </c>
      <c r="W892" t="s">
        <v>591</v>
      </c>
      <c r="X892" t="s">
        <v>591</v>
      </c>
      <c r="AI892">
        <v>84</v>
      </c>
      <c r="AL892" t="s">
        <v>592</v>
      </c>
      <c r="AN892" t="s">
        <v>31</v>
      </c>
      <c r="AO892">
        <v>0</v>
      </c>
      <c r="AZ892" t="s">
        <v>593</v>
      </c>
      <c r="BF892">
        <v>0</v>
      </c>
      <c r="BK892" t="s">
        <v>31</v>
      </c>
      <c r="BS892" t="s">
        <v>412</v>
      </c>
      <c r="BT892" t="s">
        <v>412</v>
      </c>
      <c r="CI892" t="s">
        <v>388</v>
      </c>
      <c r="CJ892" s="14">
        <v>45014</v>
      </c>
      <c r="CK892">
        <v>1</v>
      </c>
    </row>
    <row r="893" spans="1:89">
      <c r="A893" t="s">
        <v>404</v>
      </c>
      <c r="B893" t="s">
        <v>374</v>
      </c>
      <c r="C893" t="s">
        <v>375</v>
      </c>
      <c r="D893" t="s">
        <v>594</v>
      </c>
      <c r="E893" t="s">
        <v>595</v>
      </c>
      <c r="F893" s="13">
        <v>44806.470891203702</v>
      </c>
      <c r="G893" t="s">
        <v>407</v>
      </c>
      <c r="H893" t="s">
        <v>408</v>
      </c>
      <c r="I893" s="13">
        <v>44806.470995370371</v>
      </c>
      <c r="K893" t="s">
        <v>412</v>
      </c>
      <c r="R893">
        <v>0</v>
      </c>
      <c r="S893" t="s">
        <v>380</v>
      </c>
      <c r="T893" t="s">
        <v>57</v>
      </c>
      <c r="V893" t="s">
        <v>381</v>
      </c>
      <c r="W893" t="s">
        <v>510</v>
      </c>
      <c r="X893" t="s">
        <v>510</v>
      </c>
      <c r="AI893">
        <v>59</v>
      </c>
      <c r="AL893" t="s">
        <v>596</v>
      </c>
      <c r="AN893" t="s">
        <v>31</v>
      </c>
      <c r="AO893">
        <v>0</v>
      </c>
      <c r="AZ893" t="s">
        <v>406</v>
      </c>
      <c r="BF893">
        <v>0</v>
      </c>
      <c r="BK893" t="s">
        <v>31</v>
      </c>
      <c r="BS893" t="s">
        <v>412</v>
      </c>
      <c r="BT893" t="s">
        <v>412</v>
      </c>
      <c r="CI893" t="s">
        <v>388</v>
      </c>
      <c r="CJ893" s="14">
        <v>45014</v>
      </c>
      <c r="CK893">
        <v>1</v>
      </c>
    </row>
    <row r="894" spans="1:89">
      <c r="A894" t="s">
        <v>404</v>
      </c>
      <c r="B894" t="s">
        <v>374</v>
      </c>
      <c r="C894" t="s">
        <v>375</v>
      </c>
      <c r="D894" t="s">
        <v>597</v>
      </c>
      <c r="E894" t="s">
        <v>406</v>
      </c>
      <c r="F894" s="13">
        <v>44806.470451388886</v>
      </c>
      <c r="G894" t="s">
        <v>407</v>
      </c>
      <c r="H894" t="s">
        <v>408</v>
      </c>
      <c r="I894" s="13">
        <v>44806.470567129632</v>
      </c>
      <c r="K894" t="s">
        <v>412</v>
      </c>
      <c r="R894">
        <v>0</v>
      </c>
      <c r="S894" t="s">
        <v>416</v>
      </c>
      <c r="T894" t="s">
        <v>57</v>
      </c>
      <c r="V894" t="s">
        <v>381</v>
      </c>
      <c r="W894" t="s">
        <v>510</v>
      </c>
      <c r="X894" t="s">
        <v>510</v>
      </c>
      <c r="AI894">
        <v>89</v>
      </c>
      <c r="AL894" t="s">
        <v>596</v>
      </c>
      <c r="AN894" t="s">
        <v>31</v>
      </c>
      <c r="AO894">
        <v>0</v>
      </c>
      <c r="AZ894" t="s">
        <v>406</v>
      </c>
      <c r="BF894">
        <v>0</v>
      </c>
      <c r="BK894" t="s">
        <v>31</v>
      </c>
      <c r="BS894" t="s">
        <v>412</v>
      </c>
      <c r="BT894" t="s">
        <v>412</v>
      </c>
      <c r="CI894" t="s">
        <v>388</v>
      </c>
      <c r="CJ894" s="14">
        <v>45014</v>
      </c>
      <c r="CK894">
        <v>1</v>
      </c>
    </row>
    <row r="895" spans="1:89">
      <c r="A895" t="s">
        <v>404</v>
      </c>
      <c r="B895" t="s">
        <v>374</v>
      </c>
      <c r="C895" t="s">
        <v>375</v>
      </c>
      <c r="D895" t="s">
        <v>598</v>
      </c>
      <c r="E895" t="s">
        <v>574</v>
      </c>
      <c r="F895" s="13">
        <v>44806.448969907404</v>
      </c>
      <c r="G895" t="s">
        <v>590</v>
      </c>
      <c r="H895" t="s">
        <v>591</v>
      </c>
      <c r="I895" s="13">
        <v>44806.456585648149</v>
      </c>
      <c r="K895" t="s">
        <v>409</v>
      </c>
      <c r="R895">
        <v>0</v>
      </c>
      <c r="S895" t="s">
        <v>416</v>
      </c>
      <c r="T895" t="s">
        <v>57</v>
      </c>
      <c r="V895" t="s">
        <v>381</v>
      </c>
      <c r="W895" t="s">
        <v>591</v>
      </c>
      <c r="X895" t="s">
        <v>591</v>
      </c>
      <c r="AI895">
        <v>91</v>
      </c>
      <c r="AL895" t="s">
        <v>599</v>
      </c>
      <c r="AN895" t="s">
        <v>31</v>
      </c>
      <c r="AO895">
        <v>0</v>
      </c>
      <c r="AZ895" t="s">
        <v>600</v>
      </c>
      <c r="BF895">
        <v>0</v>
      </c>
      <c r="BK895" t="s">
        <v>31</v>
      </c>
      <c r="BS895" t="s">
        <v>409</v>
      </c>
      <c r="BT895" t="s">
        <v>409</v>
      </c>
      <c r="CI895" t="s">
        <v>388</v>
      </c>
      <c r="CJ895" s="14">
        <v>45014</v>
      </c>
      <c r="CK895">
        <v>1</v>
      </c>
    </row>
    <row r="896" spans="1:89">
      <c r="A896" t="s">
        <v>404</v>
      </c>
      <c r="B896" t="s">
        <v>374</v>
      </c>
      <c r="C896" t="s">
        <v>375</v>
      </c>
      <c r="D896" t="s">
        <v>601</v>
      </c>
      <c r="E896" t="s">
        <v>602</v>
      </c>
      <c r="F896" s="13">
        <v>44806.445787037039</v>
      </c>
      <c r="G896" t="s">
        <v>407</v>
      </c>
      <c r="H896" t="s">
        <v>408</v>
      </c>
      <c r="I896" s="13">
        <v>44806.446076388886</v>
      </c>
      <c r="K896" t="s">
        <v>412</v>
      </c>
      <c r="R896">
        <v>0</v>
      </c>
      <c r="S896" t="s">
        <v>380</v>
      </c>
      <c r="T896" t="s">
        <v>57</v>
      </c>
      <c r="V896" t="s">
        <v>381</v>
      </c>
      <c r="W896" t="s">
        <v>603</v>
      </c>
      <c r="X896" t="s">
        <v>603</v>
      </c>
      <c r="AI896">
        <v>59</v>
      </c>
      <c r="AL896" t="s">
        <v>604</v>
      </c>
      <c r="AN896" t="s">
        <v>31</v>
      </c>
      <c r="AO896">
        <v>0</v>
      </c>
      <c r="AS896" t="s">
        <v>522</v>
      </c>
      <c r="AX896" t="s">
        <v>31</v>
      </c>
      <c r="AY896" t="s">
        <v>442</v>
      </c>
      <c r="AZ896" t="s">
        <v>602</v>
      </c>
      <c r="BF896">
        <v>0</v>
      </c>
      <c r="BK896" t="s">
        <v>31</v>
      </c>
      <c r="BS896" t="s">
        <v>412</v>
      </c>
      <c r="BT896" t="s">
        <v>412</v>
      </c>
      <c r="CI896" t="s">
        <v>388</v>
      </c>
      <c r="CJ896" s="14">
        <v>45014</v>
      </c>
      <c r="CK896">
        <v>1</v>
      </c>
    </row>
    <row r="897" spans="1:89">
      <c r="A897" t="s">
        <v>404</v>
      </c>
      <c r="B897" t="s">
        <v>374</v>
      </c>
      <c r="C897" t="s">
        <v>375</v>
      </c>
      <c r="D897" t="s">
        <v>605</v>
      </c>
      <c r="E897" t="s">
        <v>602</v>
      </c>
      <c r="F897" s="13">
        <v>44806.444895833331</v>
      </c>
      <c r="G897" t="s">
        <v>407</v>
      </c>
      <c r="H897" t="s">
        <v>408</v>
      </c>
      <c r="I897" s="13">
        <v>44806.445335648146</v>
      </c>
      <c r="K897" t="s">
        <v>412</v>
      </c>
      <c r="R897">
        <v>0</v>
      </c>
      <c r="S897" t="s">
        <v>416</v>
      </c>
      <c r="T897" t="s">
        <v>57</v>
      </c>
      <c r="V897" t="s">
        <v>381</v>
      </c>
      <c r="W897" t="s">
        <v>603</v>
      </c>
      <c r="X897" t="s">
        <v>603</v>
      </c>
      <c r="AI897">
        <v>89</v>
      </c>
      <c r="AL897" t="s">
        <v>604</v>
      </c>
      <c r="AN897" t="s">
        <v>31</v>
      </c>
      <c r="AO897">
        <v>0</v>
      </c>
      <c r="AS897" t="s">
        <v>522</v>
      </c>
      <c r="AX897" t="s">
        <v>57</v>
      </c>
      <c r="AY897" t="s">
        <v>442</v>
      </c>
      <c r="AZ897" t="s">
        <v>602</v>
      </c>
      <c r="BF897">
        <v>0</v>
      </c>
      <c r="BK897" t="s">
        <v>31</v>
      </c>
      <c r="BS897" t="s">
        <v>412</v>
      </c>
      <c r="BT897" t="s">
        <v>412</v>
      </c>
      <c r="CI897" t="s">
        <v>388</v>
      </c>
      <c r="CJ897" s="14">
        <v>45014</v>
      </c>
      <c r="CK897">
        <v>1</v>
      </c>
    </row>
    <row r="898" spans="1:89">
      <c r="A898" t="s">
        <v>606</v>
      </c>
      <c r="B898" t="s">
        <v>374</v>
      </c>
      <c r="C898" t="s">
        <v>607</v>
      </c>
      <c r="D898" t="s">
        <v>608</v>
      </c>
      <c r="E898" t="s">
        <v>609</v>
      </c>
      <c r="F898" s="13">
        <v>44805.624618055554</v>
      </c>
      <c r="G898" t="s">
        <v>610</v>
      </c>
      <c r="H898" t="s">
        <v>611</v>
      </c>
      <c r="I898" s="13">
        <v>45013.359976851854</v>
      </c>
      <c r="K898" t="s">
        <v>415</v>
      </c>
      <c r="M898" s="13">
        <v>44895</v>
      </c>
      <c r="R898">
        <v>0</v>
      </c>
      <c r="S898" t="s">
        <v>416</v>
      </c>
      <c r="T898" t="s">
        <v>57</v>
      </c>
      <c r="V898" t="s">
        <v>478</v>
      </c>
      <c r="W898" t="s">
        <v>612</v>
      </c>
      <c r="X898" t="s">
        <v>612</v>
      </c>
      <c r="Y898" t="s">
        <v>480</v>
      </c>
      <c r="AF898" t="s">
        <v>451</v>
      </c>
      <c r="AI898">
        <v>-117</v>
      </c>
      <c r="AL898" t="s">
        <v>613</v>
      </c>
      <c r="AN898" t="s">
        <v>31</v>
      </c>
      <c r="AO898">
        <v>0</v>
      </c>
      <c r="AT898" t="s">
        <v>31</v>
      </c>
      <c r="AZ898" t="s">
        <v>609</v>
      </c>
      <c r="BF898">
        <v>0</v>
      </c>
      <c r="BK898" t="s">
        <v>31</v>
      </c>
      <c r="BS898" t="s">
        <v>484</v>
      </c>
      <c r="BT898" t="s">
        <v>484</v>
      </c>
      <c r="CI898" t="s">
        <v>388</v>
      </c>
      <c r="CJ898" s="14">
        <v>45014</v>
      </c>
      <c r="CK898">
        <v>1</v>
      </c>
    </row>
    <row r="899" spans="1:89">
      <c r="A899" t="s">
        <v>404</v>
      </c>
      <c r="B899" t="s">
        <v>374</v>
      </c>
      <c r="C899" t="s">
        <v>375</v>
      </c>
      <c r="D899" t="s">
        <v>614</v>
      </c>
      <c r="E899" t="s">
        <v>615</v>
      </c>
      <c r="F899" s="13">
        <v>44805.55537037037</v>
      </c>
      <c r="G899" t="s">
        <v>407</v>
      </c>
      <c r="H899" t="s">
        <v>408</v>
      </c>
      <c r="I899" s="13">
        <v>44805.666805555556</v>
      </c>
      <c r="K899" t="s">
        <v>379</v>
      </c>
      <c r="M899" s="13">
        <v>44957</v>
      </c>
      <c r="R899">
        <v>100</v>
      </c>
      <c r="S899" t="s">
        <v>380</v>
      </c>
      <c r="T899" t="s">
        <v>57</v>
      </c>
      <c r="V899" t="s">
        <v>381</v>
      </c>
      <c r="W899" t="s">
        <v>603</v>
      </c>
      <c r="X899" t="s">
        <v>603</v>
      </c>
      <c r="AF899" t="s">
        <v>382</v>
      </c>
      <c r="AG899" t="s">
        <v>480</v>
      </c>
      <c r="AI899">
        <v>152</v>
      </c>
      <c r="AL899" t="s">
        <v>616</v>
      </c>
      <c r="AN899" t="s">
        <v>31</v>
      </c>
      <c r="AO899">
        <v>0</v>
      </c>
      <c r="AS899" t="s">
        <v>385</v>
      </c>
      <c r="AX899" t="s">
        <v>57</v>
      </c>
      <c r="AY899" t="s">
        <v>442</v>
      </c>
      <c r="AZ899" t="s">
        <v>617</v>
      </c>
      <c r="BF899">
        <v>0</v>
      </c>
      <c r="BK899" t="s">
        <v>31</v>
      </c>
      <c r="BS899" t="s">
        <v>379</v>
      </c>
      <c r="BT899" t="s">
        <v>379</v>
      </c>
      <c r="CI899" t="s">
        <v>388</v>
      </c>
      <c r="CJ899" s="14">
        <v>45014</v>
      </c>
      <c r="CK899">
        <v>1</v>
      </c>
    </row>
    <row r="900" spans="1:89">
      <c r="A900" t="s">
        <v>404</v>
      </c>
      <c r="B900" t="s">
        <v>374</v>
      </c>
      <c r="C900" t="s">
        <v>375</v>
      </c>
      <c r="D900" t="s">
        <v>618</v>
      </c>
      <c r="E900" t="s">
        <v>615</v>
      </c>
      <c r="F900" s="13">
        <v>44805.547719907408</v>
      </c>
      <c r="G900" t="s">
        <v>407</v>
      </c>
      <c r="H900" t="s">
        <v>408</v>
      </c>
      <c r="I900" s="13">
        <v>44805.620659722219</v>
      </c>
      <c r="K900" t="s">
        <v>379</v>
      </c>
      <c r="M900" s="13">
        <v>44895</v>
      </c>
      <c r="R900">
        <v>100</v>
      </c>
      <c r="S900" t="s">
        <v>416</v>
      </c>
      <c r="T900" t="s">
        <v>57</v>
      </c>
      <c r="V900" t="s">
        <v>381</v>
      </c>
      <c r="W900" t="s">
        <v>603</v>
      </c>
      <c r="X900" t="s">
        <v>603</v>
      </c>
      <c r="AF900" t="s">
        <v>382</v>
      </c>
      <c r="AG900" t="s">
        <v>615</v>
      </c>
      <c r="AI900">
        <v>90</v>
      </c>
      <c r="AL900" t="s">
        <v>616</v>
      </c>
      <c r="AM900">
        <v>1</v>
      </c>
      <c r="AN900" t="s">
        <v>31</v>
      </c>
      <c r="AO900">
        <v>0</v>
      </c>
      <c r="AS900" t="s">
        <v>522</v>
      </c>
      <c r="AX900" t="s">
        <v>57</v>
      </c>
      <c r="AY900" t="s">
        <v>386</v>
      </c>
      <c r="AZ900" t="s">
        <v>615</v>
      </c>
      <c r="BF900">
        <v>0</v>
      </c>
      <c r="BK900" t="s">
        <v>31</v>
      </c>
      <c r="BS900" t="s">
        <v>379</v>
      </c>
      <c r="BT900" t="s">
        <v>379</v>
      </c>
      <c r="CI900" t="s">
        <v>388</v>
      </c>
      <c r="CJ900" s="14">
        <v>45014</v>
      </c>
      <c r="CK900">
        <v>1</v>
      </c>
    </row>
    <row r="901" spans="1:89">
      <c r="A901" t="s">
        <v>404</v>
      </c>
      <c r="B901" t="s">
        <v>374</v>
      </c>
      <c r="C901" t="s">
        <v>375</v>
      </c>
      <c r="D901" t="s">
        <v>619</v>
      </c>
      <c r="E901" t="s">
        <v>406</v>
      </c>
      <c r="F901" s="13">
        <v>44805.526226851849</v>
      </c>
      <c r="G901" t="s">
        <v>590</v>
      </c>
      <c r="H901" t="s">
        <v>591</v>
      </c>
      <c r="I901" s="13">
        <v>45012.044432870367</v>
      </c>
      <c r="K901" t="s">
        <v>415</v>
      </c>
      <c r="M901" s="13">
        <v>44834</v>
      </c>
      <c r="R901">
        <v>100</v>
      </c>
      <c r="S901" t="s">
        <v>380</v>
      </c>
      <c r="T901" t="s">
        <v>57</v>
      </c>
      <c r="V901" t="s">
        <v>478</v>
      </c>
      <c r="W901" t="s">
        <v>591</v>
      </c>
      <c r="X901" t="s">
        <v>591</v>
      </c>
      <c r="AF901" t="s">
        <v>382</v>
      </c>
      <c r="AG901" t="s">
        <v>406</v>
      </c>
      <c r="AI901">
        <v>-178</v>
      </c>
      <c r="AJ901" s="13">
        <v>44862</v>
      </c>
      <c r="AK901" t="s">
        <v>480</v>
      </c>
      <c r="AL901" t="s">
        <v>620</v>
      </c>
      <c r="AN901" t="s">
        <v>31</v>
      </c>
      <c r="AO901">
        <v>0</v>
      </c>
      <c r="AS901" t="s">
        <v>526</v>
      </c>
      <c r="AX901" t="s">
        <v>31</v>
      </c>
      <c r="AY901" t="s">
        <v>386</v>
      </c>
      <c r="AZ901" t="s">
        <v>621</v>
      </c>
      <c r="BF901">
        <v>1</v>
      </c>
      <c r="BK901" t="s">
        <v>57</v>
      </c>
      <c r="BR901" s="13">
        <v>44862</v>
      </c>
      <c r="BS901" t="s">
        <v>622</v>
      </c>
      <c r="BT901" t="s">
        <v>623</v>
      </c>
      <c r="BZ901" s="13">
        <v>44806</v>
      </c>
      <c r="CI901" t="s">
        <v>388</v>
      </c>
      <c r="CJ901" s="14">
        <v>45014</v>
      </c>
      <c r="CK901">
        <v>1</v>
      </c>
    </row>
    <row r="902" spans="1:89">
      <c r="A902" t="s">
        <v>624</v>
      </c>
      <c r="B902" t="s">
        <v>374</v>
      </c>
      <c r="C902" t="s">
        <v>375</v>
      </c>
      <c r="D902" t="s">
        <v>625</v>
      </c>
      <c r="E902" t="s">
        <v>626</v>
      </c>
      <c r="F902" s="13">
        <v>44805.478263888886</v>
      </c>
      <c r="G902" t="s">
        <v>610</v>
      </c>
      <c r="H902" t="s">
        <v>611</v>
      </c>
      <c r="I902" s="13">
        <v>45012.044432870367</v>
      </c>
      <c r="K902" t="s">
        <v>415</v>
      </c>
      <c r="M902" s="13">
        <v>44834</v>
      </c>
      <c r="R902">
        <v>0</v>
      </c>
      <c r="S902" t="s">
        <v>380</v>
      </c>
      <c r="V902" t="s">
        <v>478</v>
      </c>
      <c r="W902" t="s">
        <v>627</v>
      </c>
      <c r="X902" t="s">
        <v>627</v>
      </c>
      <c r="AF902" t="s">
        <v>451</v>
      </c>
      <c r="AI902">
        <v>-178</v>
      </c>
      <c r="AL902" t="s">
        <v>628</v>
      </c>
      <c r="AN902" t="s">
        <v>31</v>
      </c>
      <c r="AO902">
        <v>0</v>
      </c>
      <c r="AZ902" t="s">
        <v>629</v>
      </c>
      <c r="BF902">
        <v>0</v>
      </c>
      <c r="BK902" t="s">
        <v>31</v>
      </c>
      <c r="BS902" t="s">
        <v>419</v>
      </c>
      <c r="BT902" t="s">
        <v>419</v>
      </c>
      <c r="CI902" t="s">
        <v>388</v>
      </c>
      <c r="CJ902" s="14">
        <v>45014</v>
      </c>
      <c r="CK902">
        <v>1</v>
      </c>
    </row>
    <row r="903" spans="1:89">
      <c r="A903" t="s">
        <v>404</v>
      </c>
      <c r="B903" t="s">
        <v>374</v>
      </c>
      <c r="C903" t="s">
        <v>375</v>
      </c>
      <c r="D903" t="s">
        <v>630</v>
      </c>
      <c r="E903" t="s">
        <v>631</v>
      </c>
      <c r="F903" s="13">
        <v>44805.470196759263</v>
      </c>
      <c r="G903" t="s">
        <v>407</v>
      </c>
      <c r="H903" t="s">
        <v>408</v>
      </c>
      <c r="I903" s="13">
        <v>44805.495474537034</v>
      </c>
      <c r="K903" t="s">
        <v>379</v>
      </c>
      <c r="M903" s="13">
        <v>44865</v>
      </c>
      <c r="R903">
        <v>100</v>
      </c>
      <c r="S903" t="s">
        <v>380</v>
      </c>
      <c r="T903" t="s">
        <v>57</v>
      </c>
      <c r="V903" t="s">
        <v>381</v>
      </c>
      <c r="W903" t="s">
        <v>603</v>
      </c>
      <c r="X903" t="s">
        <v>603</v>
      </c>
      <c r="AC903" s="13">
        <v>44895</v>
      </c>
      <c r="AD903" s="13">
        <v>44837</v>
      </c>
      <c r="AF903" t="s">
        <v>382</v>
      </c>
      <c r="AG903" t="s">
        <v>480</v>
      </c>
      <c r="AI903">
        <v>60</v>
      </c>
      <c r="AK903" t="s">
        <v>480</v>
      </c>
      <c r="AL903" t="s">
        <v>632</v>
      </c>
      <c r="AN903" t="s">
        <v>31</v>
      </c>
      <c r="AO903">
        <v>0</v>
      </c>
      <c r="AS903" t="s">
        <v>385</v>
      </c>
      <c r="AX903" t="s">
        <v>57</v>
      </c>
      <c r="AY903" t="s">
        <v>442</v>
      </c>
      <c r="AZ903" t="s">
        <v>631</v>
      </c>
      <c r="BF903">
        <v>0</v>
      </c>
      <c r="BK903" t="s">
        <v>31</v>
      </c>
      <c r="BS903" t="s">
        <v>379</v>
      </c>
      <c r="BT903" t="s">
        <v>379</v>
      </c>
      <c r="CI903" t="s">
        <v>388</v>
      </c>
      <c r="CJ903" s="14">
        <v>45014</v>
      </c>
      <c r="CK903">
        <v>1</v>
      </c>
    </row>
    <row r="904" spans="1:89">
      <c r="A904" t="s">
        <v>624</v>
      </c>
      <c r="B904" t="s">
        <v>374</v>
      </c>
      <c r="C904" t="s">
        <v>375</v>
      </c>
      <c r="D904" t="s">
        <v>633</v>
      </c>
      <c r="E904" t="s">
        <v>629</v>
      </c>
      <c r="F904" s="13">
        <v>44805.449259259258</v>
      </c>
      <c r="G904" t="s">
        <v>610</v>
      </c>
      <c r="H904" t="s">
        <v>611</v>
      </c>
      <c r="I904" s="13">
        <v>45012.044432870367</v>
      </c>
      <c r="K904" t="s">
        <v>415</v>
      </c>
      <c r="M904" s="13">
        <v>44834</v>
      </c>
      <c r="R904">
        <v>100</v>
      </c>
      <c r="S904" t="s">
        <v>380</v>
      </c>
      <c r="T904" t="s">
        <v>57</v>
      </c>
      <c r="V904" t="s">
        <v>478</v>
      </c>
      <c r="W904" t="s">
        <v>627</v>
      </c>
      <c r="X904" t="s">
        <v>627</v>
      </c>
      <c r="Y904" t="s">
        <v>480</v>
      </c>
      <c r="AF904" t="s">
        <v>382</v>
      </c>
      <c r="AG904" t="s">
        <v>634</v>
      </c>
      <c r="AI904">
        <v>-178</v>
      </c>
      <c r="AL904" t="s">
        <v>635</v>
      </c>
      <c r="AN904" t="s">
        <v>31</v>
      </c>
      <c r="AO904">
        <v>0</v>
      </c>
      <c r="AS904" t="s">
        <v>526</v>
      </c>
      <c r="AT904" t="s">
        <v>31</v>
      </c>
      <c r="AX904" t="s">
        <v>31</v>
      </c>
      <c r="AY904" t="s">
        <v>386</v>
      </c>
      <c r="AZ904" t="s">
        <v>636</v>
      </c>
      <c r="BF904">
        <v>0</v>
      </c>
      <c r="BK904" t="s">
        <v>31</v>
      </c>
      <c r="BS904" t="s">
        <v>484</v>
      </c>
      <c r="BT904" t="s">
        <v>484</v>
      </c>
      <c r="CI904" t="s">
        <v>388</v>
      </c>
      <c r="CJ904" s="14">
        <v>45014</v>
      </c>
      <c r="CK904">
        <v>1</v>
      </c>
    </row>
    <row r="905" spans="1:89">
      <c r="A905" t="s">
        <v>637</v>
      </c>
      <c r="B905" t="s">
        <v>374</v>
      </c>
      <c r="C905" t="s">
        <v>638</v>
      </c>
      <c r="D905" t="s">
        <v>639</v>
      </c>
      <c r="E905" t="s">
        <v>640</v>
      </c>
      <c r="F905" s="13">
        <v>44804.672384259262</v>
      </c>
      <c r="G905" t="s">
        <v>641</v>
      </c>
      <c r="H905" t="s">
        <v>642</v>
      </c>
      <c r="I905" s="13">
        <v>44833.703101851854</v>
      </c>
      <c r="K905" t="s">
        <v>412</v>
      </c>
      <c r="M905" s="13">
        <v>44742</v>
      </c>
      <c r="R905">
        <v>0</v>
      </c>
      <c r="S905" t="s">
        <v>380</v>
      </c>
      <c r="T905" t="s">
        <v>57</v>
      </c>
      <c r="V905" t="s">
        <v>381</v>
      </c>
      <c r="W905" t="s">
        <v>643</v>
      </c>
      <c r="X905" t="s">
        <v>643</v>
      </c>
      <c r="AC905" s="13">
        <v>44834</v>
      </c>
      <c r="AD905" s="13">
        <v>44834</v>
      </c>
      <c r="AI905">
        <v>-62</v>
      </c>
      <c r="AN905" t="s">
        <v>31</v>
      </c>
      <c r="AO905">
        <v>0</v>
      </c>
      <c r="AS905" t="s">
        <v>538</v>
      </c>
      <c r="AX905" t="s">
        <v>57</v>
      </c>
      <c r="AY905" t="s">
        <v>442</v>
      </c>
      <c r="AZ905" t="s">
        <v>644</v>
      </c>
      <c r="BF905">
        <v>0</v>
      </c>
      <c r="BK905" t="s">
        <v>31</v>
      </c>
      <c r="BS905" t="s">
        <v>412</v>
      </c>
      <c r="CI905" t="s">
        <v>388</v>
      </c>
      <c r="CJ905" s="14">
        <v>45014</v>
      </c>
      <c r="CK905">
        <v>1</v>
      </c>
    </row>
    <row r="906" spans="1:89">
      <c r="A906" t="s">
        <v>637</v>
      </c>
      <c r="B906" t="s">
        <v>374</v>
      </c>
      <c r="C906" t="s">
        <v>638</v>
      </c>
      <c r="D906" t="s">
        <v>645</v>
      </c>
      <c r="E906" t="s">
        <v>646</v>
      </c>
      <c r="F906" s="13">
        <v>44804.672361111108</v>
      </c>
      <c r="G906" t="s">
        <v>641</v>
      </c>
      <c r="H906" t="s">
        <v>642</v>
      </c>
      <c r="I906" s="13">
        <v>44833.703101851854</v>
      </c>
      <c r="K906" t="s">
        <v>412</v>
      </c>
      <c r="M906" s="13">
        <v>44620</v>
      </c>
      <c r="R906">
        <v>0</v>
      </c>
      <c r="S906" t="s">
        <v>416</v>
      </c>
      <c r="T906" t="s">
        <v>57</v>
      </c>
      <c r="V906" t="s">
        <v>381</v>
      </c>
      <c r="W906" t="s">
        <v>647</v>
      </c>
      <c r="X906" t="s">
        <v>647</v>
      </c>
      <c r="AC906" s="13">
        <v>44711</v>
      </c>
      <c r="AD906" s="13">
        <v>44711</v>
      </c>
      <c r="AI906">
        <v>-184</v>
      </c>
      <c r="AN906" t="s">
        <v>31</v>
      </c>
      <c r="AO906">
        <v>0</v>
      </c>
      <c r="AS906" t="s">
        <v>648</v>
      </c>
      <c r="AX906" t="s">
        <v>31</v>
      </c>
      <c r="AY906" t="s">
        <v>386</v>
      </c>
      <c r="AZ906" t="s">
        <v>649</v>
      </c>
      <c r="BF906">
        <v>0</v>
      </c>
      <c r="BK906" t="s">
        <v>31</v>
      </c>
      <c r="BS906" t="s">
        <v>412</v>
      </c>
      <c r="CI906" t="s">
        <v>388</v>
      </c>
      <c r="CJ906" s="14">
        <v>45014</v>
      </c>
      <c r="CK906">
        <v>1</v>
      </c>
    </row>
    <row r="907" spans="1:89">
      <c r="A907" t="s">
        <v>637</v>
      </c>
      <c r="B907" t="s">
        <v>374</v>
      </c>
      <c r="C907" t="s">
        <v>638</v>
      </c>
      <c r="D907" t="s">
        <v>650</v>
      </c>
      <c r="E907" t="s">
        <v>651</v>
      </c>
      <c r="F907" s="13">
        <v>44804.672337962962</v>
      </c>
      <c r="G907" t="s">
        <v>641</v>
      </c>
      <c r="H907" t="s">
        <v>642</v>
      </c>
      <c r="I907" s="13">
        <v>44833.703101851854</v>
      </c>
      <c r="K907" t="s">
        <v>412</v>
      </c>
      <c r="M907" s="13">
        <v>44620</v>
      </c>
      <c r="R907">
        <v>0</v>
      </c>
      <c r="S907" t="s">
        <v>416</v>
      </c>
      <c r="T907" t="s">
        <v>57</v>
      </c>
      <c r="V907" t="s">
        <v>381</v>
      </c>
      <c r="W907" t="s">
        <v>647</v>
      </c>
      <c r="X907" t="s">
        <v>647</v>
      </c>
      <c r="AC907" s="13">
        <v>44711</v>
      </c>
      <c r="AD907" s="13">
        <v>44711</v>
      </c>
      <c r="AI907">
        <v>-184</v>
      </c>
      <c r="AN907" t="s">
        <v>31</v>
      </c>
      <c r="AO907">
        <v>0</v>
      </c>
      <c r="AS907" t="s">
        <v>392</v>
      </c>
      <c r="AX907" t="s">
        <v>31</v>
      </c>
      <c r="AY907" t="s">
        <v>386</v>
      </c>
      <c r="AZ907" t="s">
        <v>652</v>
      </c>
      <c r="BF907">
        <v>0</v>
      </c>
      <c r="BK907" t="s">
        <v>31</v>
      </c>
      <c r="BS907" t="s">
        <v>412</v>
      </c>
      <c r="CI907" t="s">
        <v>388</v>
      </c>
      <c r="CJ907" s="14">
        <v>45014</v>
      </c>
      <c r="CK907">
        <v>1</v>
      </c>
    </row>
    <row r="908" spans="1:89">
      <c r="A908" t="s">
        <v>637</v>
      </c>
      <c r="B908" t="s">
        <v>374</v>
      </c>
      <c r="C908" t="s">
        <v>638</v>
      </c>
      <c r="D908" t="s">
        <v>653</v>
      </c>
      <c r="E908" t="s">
        <v>654</v>
      </c>
      <c r="F908" s="13">
        <v>44804.672314814816</v>
      </c>
      <c r="G908" t="s">
        <v>641</v>
      </c>
      <c r="H908" t="s">
        <v>642</v>
      </c>
      <c r="I908" s="13">
        <v>44833.703101851854</v>
      </c>
      <c r="K908" t="s">
        <v>412</v>
      </c>
      <c r="M908" s="13">
        <v>44620</v>
      </c>
      <c r="R908">
        <v>0</v>
      </c>
      <c r="S908" t="s">
        <v>380</v>
      </c>
      <c r="T908" t="s">
        <v>57</v>
      </c>
      <c r="V908" t="s">
        <v>381</v>
      </c>
      <c r="W908" t="s">
        <v>647</v>
      </c>
      <c r="X908" t="s">
        <v>647</v>
      </c>
      <c r="AC908" s="13">
        <v>44711</v>
      </c>
      <c r="AD908" s="13">
        <v>44711</v>
      </c>
      <c r="AI908">
        <v>-184</v>
      </c>
      <c r="AN908" t="s">
        <v>31</v>
      </c>
      <c r="AO908">
        <v>0</v>
      </c>
      <c r="AS908" t="s">
        <v>385</v>
      </c>
      <c r="AX908" t="s">
        <v>31</v>
      </c>
      <c r="AY908" t="s">
        <v>442</v>
      </c>
      <c r="AZ908" t="s">
        <v>655</v>
      </c>
      <c r="BF908">
        <v>0</v>
      </c>
      <c r="BK908" t="s">
        <v>31</v>
      </c>
      <c r="BS908" t="s">
        <v>412</v>
      </c>
      <c r="CI908" t="s">
        <v>388</v>
      </c>
      <c r="CJ908" s="14">
        <v>45014</v>
      </c>
      <c r="CK908">
        <v>1</v>
      </c>
    </row>
    <row r="909" spans="1:89">
      <c r="A909" t="s">
        <v>637</v>
      </c>
      <c r="B909" t="s">
        <v>374</v>
      </c>
      <c r="C909" t="s">
        <v>638</v>
      </c>
      <c r="D909" t="s">
        <v>656</v>
      </c>
      <c r="E909" t="s">
        <v>657</v>
      </c>
      <c r="F909" s="13">
        <v>44804.672303240739</v>
      </c>
      <c r="G909" t="s">
        <v>641</v>
      </c>
      <c r="H909" t="s">
        <v>642</v>
      </c>
      <c r="I909" s="13">
        <v>44833.703101851854</v>
      </c>
      <c r="K909" t="s">
        <v>412</v>
      </c>
      <c r="M909" s="13">
        <v>44620</v>
      </c>
      <c r="R909">
        <v>0</v>
      </c>
      <c r="S909" t="s">
        <v>380</v>
      </c>
      <c r="T909" t="s">
        <v>57</v>
      </c>
      <c r="V909" t="s">
        <v>381</v>
      </c>
      <c r="W909" t="s">
        <v>647</v>
      </c>
      <c r="X909" t="s">
        <v>647</v>
      </c>
      <c r="AC909" s="13">
        <v>44711</v>
      </c>
      <c r="AD909" s="13">
        <v>44711</v>
      </c>
      <c r="AI909">
        <v>-184</v>
      </c>
      <c r="AN909" t="s">
        <v>31</v>
      </c>
      <c r="AO909">
        <v>0</v>
      </c>
      <c r="AS909" t="s">
        <v>385</v>
      </c>
      <c r="AX909" t="s">
        <v>31</v>
      </c>
      <c r="AY909" t="s">
        <v>442</v>
      </c>
      <c r="AZ909" t="s">
        <v>658</v>
      </c>
      <c r="BF909">
        <v>0</v>
      </c>
      <c r="BK909" t="s">
        <v>31</v>
      </c>
      <c r="BS909" t="s">
        <v>412</v>
      </c>
      <c r="CI909" t="s">
        <v>388</v>
      </c>
      <c r="CJ909" s="14">
        <v>45014</v>
      </c>
      <c r="CK909">
        <v>1</v>
      </c>
    </row>
    <row r="910" spans="1:89">
      <c r="A910" t="s">
        <v>637</v>
      </c>
      <c r="B910" t="s">
        <v>374</v>
      </c>
      <c r="C910" t="s">
        <v>638</v>
      </c>
      <c r="D910" t="s">
        <v>659</v>
      </c>
      <c r="E910" t="s">
        <v>660</v>
      </c>
      <c r="F910" s="13">
        <v>44804.672280092593</v>
      </c>
      <c r="G910" t="s">
        <v>641</v>
      </c>
      <c r="H910" t="s">
        <v>642</v>
      </c>
      <c r="I910" s="13">
        <v>44833.703101851854</v>
      </c>
      <c r="K910" t="s">
        <v>412</v>
      </c>
      <c r="M910" s="13">
        <v>44620</v>
      </c>
      <c r="R910">
        <v>0</v>
      </c>
      <c r="S910" t="s">
        <v>380</v>
      </c>
      <c r="T910" t="s">
        <v>57</v>
      </c>
      <c r="V910" t="s">
        <v>381</v>
      </c>
      <c r="W910" t="s">
        <v>647</v>
      </c>
      <c r="X910" t="s">
        <v>647</v>
      </c>
      <c r="AC910" s="13">
        <v>44711</v>
      </c>
      <c r="AD910" s="13">
        <v>44711</v>
      </c>
      <c r="AI910">
        <v>-184</v>
      </c>
      <c r="AN910" t="s">
        <v>31</v>
      </c>
      <c r="AO910">
        <v>0</v>
      </c>
      <c r="AS910" t="s">
        <v>526</v>
      </c>
      <c r="AX910" t="s">
        <v>31</v>
      </c>
      <c r="AY910" t="s">
        <v>442</v>
      </c>
      <c r="AZ910" t="s">
        <v>661</v>
      </c>
      <c r="BF910">
        <v>0</v>
      </c>
      <c r="BK910" t="s">
        <v>31</v>
      </c>
      <c r="BS910" t="s">
        <v>412</v>
      </c>
      <c r="CI910" t="s">
        <v>388</v>
      </c>
      <c r="CJ910" s="14">
        <v>45014</v>
      </c>
      <c r="CK910">
        <v>1</v>
      </c>
    </row>
    <row r="911" spans="1:89">
      <c r="A911" t="s">
        <v>637</v>
      </c>
      <c r="B911" t="s">
        <v>374</v>
      </c>
      <c r="C911" t="s">
        <v>638</v>
      </c>
      <c r="D911" t="s">
        <v>662</v>
      </c>
      <c r="E911" t="s">
        <v>663</v>
      </c>
      <c r="F911" s="13">
        <v>44804.672256944446</v>
      </c>
      <c r="G911" t="s">
        <v>641</v>
      </c>
      <c r="H911" t="s">
        <v>642</v>
      </c>
      <c r="I911" s="13">
        <v>44833.703101851854</v>
      </c>
      <c r="K911" t="s">
        <v>412</v>
      </c>
      <c r="M911" s="13">
        <v>44620</v>
      </c>
      <c r="R911">
        <v>0</v>
      </c>
      <c r="S911" t="s">
        <v>380</v>
      </c>
      <c r="T911" t="s">
        <v>57</v>
      </c>
      <c r="V911" t="s">
        <v>381</v>
      </c>
      <c r="W911" t="s">
        <v>647</v>
      </c>
      <c r="X911" t="s">
        <v>647</v>
      </c>
      <c r="AC911" s="13">
        <v>44711</v>
      </c>
      <c r="AD911" s="13">
        <v>44711</v>
      </c>
      <c r="AI911">
        <v>-184</v>
      </c>
      <c r="AN911" t="s">
        <v>31</v>
      </c>
      <c r="AO911">
        <v>0</v>
      </c>
      <c r="AS911" t="s">
        <v>648</v>
      </c>
      <c r="AX911" t="s">
        <v>31</v>
      </c>
      <c r="AY911" t="s">
        <v>442</v>
      </c>
      <c r="AZ911" t="s">
        <v>648</v>
      </c>
      <c r="BF911">
        <v>0</v>
      </c>
      <c r="BK911" t="s">
        <v>31</v>
      </c>
      <c r="BS911" t="s">
        <v>412</v>
      </c>
      <c r="CI911" t="s">
        <v>388</v>
      </c>
      <c r="CJ911" s="14">
        <v>45014</v>
      </c>
      <c r="CK911">
        <v>1</v>
      </c>
    </row>
    <row r="912" spans="1:89">
      <c r="A912" t="s">
        <v>637</v>
      </c>
      <c r="B912" t="s">
        <v>374</v>
      </c>
      <c r="C912" t="s">
        <v>638</v>
      </c>
      <c r="D912" t="s">
        <v>664</v>
      </c>
      <c r="E912" t="s">
        <v>665</v>
      </c>
      <c r="F912" s="13">
        <v>44804.67224537037</v>
      </c>
      <c r="G912" t="s">
        <v>641</v>
      </c>
      <c r="H912" t="s">
        <v>642</v>
      </c>
      <c r="I912" s="13">
        <v>44833.703101851854</v>
      </c>
      <c r="K912" t="s">
        <v>412</v>
      </c>
      <c r="M912" s="13">
        <v>44620</v>
      </c>
      <c r="R912">
        <v>0</v>
      </c>
      <c r="S912" t="s">
        <v>380</v>
      </c>
      <c r="T912" t="s">
        <v>57</v>
      </c>
      <c r="V912" t="s">
        <v>381</v>
      </c>
      <c r="W912" t="s">
        <v>647</v>
      </c>
      <c r="X912" t="s">
        <v>647</v>
      </c>
      <c r="AC912" s="13">
        <v>44711</v>
      </c>
      <c r="AD912" s="13">
        <v>44711</v>
      </c>
      <c r="AI912">
        <v>-184</v>
      </c>
      <c r="AN912" t="s">
        <v>31</v>
      </c>
      <c r="AO912">
        <v>0</v>
      </c>
      <c r="AS912" t="s">
        <v>385</v>
      </c>
      <c r="AX912" t="s">
        <v>31</v>
      </c>
      <c r="AY912" t="s">
        <v>442</v>
      </c>
      <c r="AZ912" t="s">
        <v>666</v>
      </c>
      <c r="BF912">
        <v>0</v>
      </c>
      <c r="BK912" t="s">
        <v>31</v>
      </c>
      <c r="BS912" t="s">
        <v>412</v>
      </c>
      <c r="CI912" t="s">
        <v>388</v>
      </c>
      <c r="CJ912" s="14">
        <v>45014</v>
      </c>
      <c r="CK912">
        <v>1</v>
      </c>
    </row>
    <row r="913" spans="1:89">
      <c r="A913" t="s">
        <v>637</v>
      </c>
      <c r="B913" t="s">
        <v>374</v>
      </c>
      <c r="C913" t="s">
        <v>638</v>
      </c>
      <c r="D913" t="s">
        <v>667</v>
      </c>
      <c r="E913" t="s">
        <v>668</v>
      </c>
      <c r="F913" s="13">
        <v>44804.672222222223</v>
      </c>
      <c r="G913" t="s">
        <v>641</v>
      </c>
      <c r="H913" t="s">
        <v>642</v>
      </c>
      <c r="I913" s="13">
        <v>44833.703101851854</v>
      </c>
      <c r="K913" t="s">
        <v>412</v>
      </c>
      <c r="M913" s="13">
        <v>44620</v>
      </c>
      <c r="R913">
        <v>0</v>
      </c>
      <c r="S913" t="s">
        <v>380</v>
      </c>
      <c r="T913" t="s">
        <v>57</v>
      </c>
      <c r="V913" t="s">
        <v>381</v>
      </c>
      <c r="W913" t="s">
        <v>647</v>
      </c>
      <c r="X913" t="s">
        <v>647</v>
      </c>
      <c r="AC913" s="13">
        <v>44711</v>
      </c>
      <c r="AD913" s="13">
        <v>44711</v>
      </c>
      <c r="AI913">
        <v>-184</v>
      </c>
      <c r="AN913" t="s">
        <v>31</v>
      </c>
      <c r="AO913">
        <v>0</v>
      </c>
      <c r="AS913" t="s">
        <v>648</v>
      </c>
      <c r="AX913" t="s">
        <v>31</v>
      </c>
      <c r="AY913" t="s">
        <v>442</v>
      </c>
      <c r="AZ913" t="s">
        <v>669</v>
      </c>
      <c r="BF913">
        <v>0</v>
      </c>
      <c r="BK913" t="s">
        <v>31</v>
      </c>
      <c r="BS913" t="s">
        <v>412</v>
      </c>
      <c r="CI913" t="s">
        <v>388</v>
      </c>
      <c r="CJ913" s="14">
        <v>45014</v>
      </c>
      <c r="CK913">
        <v>1</v>
      </c>
    </row>
    <row r="914" spans="1:89">
      <c r="A914" t="s">
        <v>637</v>
      </c>
      <c r="B914" t="s">
        <v>374</v>
      </c>
      <c r="C914" t="s">
        <v>638</v>
      </c>
      <c r="D914" t="s">
        <v>670</v>
      </c>
      <c r="E914" t="s">
        <v>671</v>
      </c>
      <c r="F914" s="13">
        <v>44804.672199074077</v>
      </c>
      <c r="G914" t="s">
        <v>641</v>
      </c>
      <c r="H914" t="s">
        <v>642</v>
      </c>
      <c r="I914" s="13">
        <v>44833.703101851854</v>
      </c>
      <c r="K914" t="s">
        <v>412</v>
      </c>
      <c r="M914" s="13">
        <v>44620</v>
      </c>
      <c r="R914">
        <v>0</v>
      </c>
      <c r="S914" t="s">
        <v>380</v>
      </c>
      <c r="T914" t="s">
        <v>57</v>
      </c>
      <c r="V914" t="s">
        <v>381</v>
      </c>
      <c r="W914" t="s">
        <v>647</v>
      </c>
      <c r="X914" t="s">
        <v>647</v>
      </c>
      <c r="AC914" s="13">
        <v>44711</v>
      </c>
      <c r="AD914" s="13">
        <v>44711</v>
      </c>
      <c r="AI914">
        <v>-184</v>
      </c>
      <c r="AN914" t="s">
        <v>31</v>
      </c>
      <c r="AO914">
        <v>0</v>
      </c>
      <c r="AS914" t="s">
        <v>538</v>
      </c>
      <c r="AX914" t="s">
        <v>31</v>
      </c>
      <c r="AY914" t="s">
        <v>442</v>
      </c>
      <c r="AZ914" t="s">
        <v>672</v>
      </c>
      <c r="BF914">
        <v>0</v>
      </c>
      <c r="BK914" t="s">
        <v>31</v>
      </c>
      <c r="BS914" t="s">
        <v>412</v>
      </c>
      <c r="CI914" t="s">
        <v>388</v>
      </c>
      <c r="CJ914" s="14">
        <v>45014</v>
      </c>
      <c r="CK914">
        <v>1</v>
      </c>
    </row>
    <row r="915" spans="1:89">
      <c r="A915" t="s">
        <v>673</v>
      </c>
      <c r="B915" t="s">
        <v>374</v>
      </c>
      <c r="C915" t="s">
        <v>674</v>
      </c>
      <c r="D915" t="s">
        <v>675</v>
      </c>
      <c r="E915" t="s">
        <v>676</v>
      </c>
      <c r="F915" s="13">
        <v>44804.451608796298</v>
      </c>
      <c r="G915" t="s">
        <v>677</v>
      </c>
      <c r="H915" t="s">
        <v>678</v>
      </c>
      <c r="I915" s="13">
        <v>44804.457673611112</v>
      </c>
      <c r="K915" t="s">
        <v>412</v>
      </c>
      <c r="R915">
        <v>0</v>
      </c>
      <c r="S915" t="s">
        <v>380</v>
      </c>
      <c r="T915" t="s">
        <v>57</v>
      </c>
      <c r="V915" t="s">
        <v>381</v>
      </c>
      <c r="W915" t="s">
        <v>679</v>
      </c>
      <c r="X915" t="s">
        <v>679</v>
      </c>
      <c r="AI915">
        <v>20</v>
      </c>
      <c r="AL915" t="s">
        <v>680</v>
      </c>
      <c r="AN915" t="s">
        <v>31</v>
      </c>
      <c r="AO915">
        <v>0</v>
      </c>
      <c r="AZ915" t="s">
        <v>676</v>
      </c>
      <c r="BF915">
        <v>0</v>
      </c>
      <c r="BK915" t="s">
        <v>31</v>
      </c>
      <c r="BS915" t="s">
        <v>412</v>
      </c>
      <c r="BT915" t="s">
        <v>412</v>
      </c>
      <c r="CI915" t="s">
        <v>388</v>
      </c>
      <c r="CJ915" s="14">
        <v>45014</v>
      </c>
      <c r="CK915">
        <v>1</v>
      </c>
    </row>
    <row r="916" spans="1:89">
      <c r="A916" t="s">
        <v>673</v>
      </c>
      <c r="B916" t="s">
        <v>374</v>
      </c>
      <c r="C916" t="s">
        <v>674</v>
      </c>
      <c r="D916" t="s">
        <v>681</v>
      </c>
      <c r="E916" t="s">
        <v>682</v>
      </c>
      <c r="F916" s="13">
        <v>44804.450381944444</v>
      </c>
      <c r="G916" t="s">
        <v>677</v>
      </c>
      <c r="H916" t="s">
        <v>678</v>
      </c>
      <c r="I916" s="13">
        <v>44804.457071759258</v>
      </c>
      <c r="K916" t="s">
        <v>412</v>
      </c>
      <c r="R916">
        <v>0</v>
      </c>
      <c r="S916" t="s">
        <v>380</v>
      </c>
      <c r="T916" t="s">
        <v>57</v>
      </c>
      <c r="V916" t="s">
        <v>381</v>
      </c>
      <c r="W916" t="s">
        <v>683</v>
      </c>
      <c r="X916" t="s">
        <v>683</v>
      </c>
      <c r="AI916">
        <v>20</v>
      </c>
      <c r="AL916" t="s">
        <v>680</v>
      </c>
      <c r="AN916" t="s">
        <v>31</v>
      </c>
      <c r="AO916">
        <v>0</v>
      </c>
      <c r="AS916" t="s">
        <v>385</v>
      </c>
      <c r="AZ916" t="s">
        <v>682</v>
      </c>
      <c r="BF916">
        <v>0</v>
      </c>
      <c r="BK916" t="s">
        <v>31</v>
      </c>
      <c r="BS916" t="s">
        <v>412</v>
      </c>
      <c r="BT916" t="s">
        <v>412</v>
      </c>
      <c r="CI916" t="s">
        <v>388</v>
      </c>
      <c r="CJ916" s="14">
        <v>45014</v>
      </c>
      <c r="CK916">
        <v>1</v>
      </c>
    </row>
    <row r="917" spans="1:89">
      <c r="A917" t="s">
        <v>404</v>
      </c>
      <c r="B917" t="s">
        <v>374</v>
      </c>
      <c r="C917" t="s">
        <v>375</v>
      </c>
      <c r="D917" t="s">
        <v>684</v>
      </c>
      <c r="E917" t="s">
        <v>685</v>
      </c>
      <c r="F917" s="13">
        <v>44797.441041666665</v>
      </c>
      <c r="G917" t="s">
        <v>407</v>
      </c>
      <c r="H917" t="s">
        <v>408</v>
      </c>
      <c r="I917" s="13">
        <v>44797.456944444442</v>
      </c>
      <c r="R917">
        <v>0</v>
      </c>
      <c r="S917" t="s">
        <v>416</v>
      </c>
      <c r="T917" t="s">
        <v>57</v>
      </c>
      <c r="V917" t="s">
        <v>381</v>
      </c>
      <c r="W917" t="s">
        <v>686</v>
      </c>
      <c r="X917" t="s">
        <v>686</v>
      </c>
      <c r="AI917">
        <v>38</v>
      </c>
      <c r="AN917" t="s">
        <v>31</v>
      </c>
      <c r="AO917">
        <v>0</v>
      </c>
      <c r="AY917" t="s">
        <v>442</v>
      </c>
      <c r="AZ917" t="s">
        <v>574</v>
      </c>
      <c r="BF917">
        <v>0</v>
      </c>
      <c r="BK917" t="s">
        <v>31</v>
      </c>
      <c r="BS917" t="s">
        <v>412</v>
      </c>
      <c r="CI917" t="s">
        <v>388</v>
      </c>
      <c r="CJ917" s="14">
        <v>45014</v>
      </c>
      <c r="CK917">
        <v>1</v>
      </c>
    </row>
    <row r="918" spans="1:89">
      <c r="A918" t="s">
        <v>687</v>
      </c>
      <c r="B918" t="s">
        <v>374</v>
      </c>
      <c r="C918" t="s">
        <v>688</v>
      </c>
      <c r="D918" t="s">
        <v>689</v>
      </c>
      <c r="E918" t="s">
        <v>690</v>
      </c>
      <c r="F918" s="13">
        <v>44797.421053240738</v>
      </c>
      <c r="G918" t="s">
        <v>590</v>
      </c>
      <c r="H918" t="s">
        <v>591</v>
      </c>
      <c r="I918" s="13">
        <v>45012.044421296298</v>
      </c>
      <c r="K918" t="s">
        <v>415</v>
      </c>
      <c r="M918" s="13">
        <v>44893</v>
      </c>
      <c r="R918">
        <v>100</v>
      </c>
      <c r="S918" t="s">
        <v>416</v>
      </c>
      <c r="T918" t="s">
        <v>57</v>
      </c>
      <c r="V918" t="s">
        <v>478</v>
      </c>
      <c r="W918" t="s">
        <v>591</v>
      </c>
      <c r="X918" t="s">
        <v>591</v>
      </c>
      <c r="AF918" t="s">
        <v>382</v>
      </c>
      <c r="AG918" t="s">
        <v>691</v>
      </c>
      <c r="AI918">
        <v>-119</v>
      </c>
      <c r="AL918" t="s">
        <v>692</v>
      </c>
      <c r="AN918" t="s">
        <v>31</v>
      </c>
      <c r="AO918">
        <v>0</v>
      </c>
      <c r="AZ918" t="s">
        <v>690</v>
      </c>
      <c r="BF918">
        <v>0</v>
      </c>
      <c r="BK918" t="s">
        <v>31</v>
      </c>
      <c r="BS918" t="s">
        <v>419</v>
      </c>
      <c r="BT918" t="s">
        <v>419</v>
      </c>
      <c r="CI918" t="s">
        <v>388</v>
      </c>
      <c r="CJ918" s="14">
        <v>45014</v>
      </c>
      <c r="CK918">
        <v>1</v>
      </c>
    </row>
    <row r="919" spans="1:89">
      <c r="A919" t="s">
        <v>687</v>
      </c>
      <c r="B919" t="s">
        <v>374</v>
      </c>
      <c r="C919" t="s">
        <v>688</v>
      </c>
      <c r="D919" t="s">
        <v>693</v>
      </c>
      <c r="E919" t="s">
        <v>691</v>
      </c>
      <c r="F919" s="13">
        <v>44797.416203703702</v>
      </c>
      <c r="G919" t="s">
        <v>590</v>
      </c>
      <c r="H919" t="s">
        <v>591</v>
      </c>
      <c r="I919" s="13">
        <v>45012.044421296298</v>
      </c>
      <c r="K919" t="s">
        <v>415</v>
      </c>
      <c r="M919" s="13">
        <v>44893</v>
      </c>
      <c r="R919">
        <v>0</v>
      </c>
      <c r="S919" t="s">
        <v>380</v>
      </c>
      <c r="T919" t="s">
        <v>57</v>
      </c>
      <c r="V919" t="s">
        <v>478</v>
      </c>
      <c r="W919" t="s">
        <v>591</v>
      </c>
      <c r="X919" t="s">
        <v>591</v>
      </c>
      <c r="AF919" t="s">
        <v>451</v>
      </c>
      <c r="AI919">
        <v>-119</v>
      </c>
      <c r="AL919" t="s">
        <v>692</v>
      </c>
      <c r="AN919" t="s">
        <v>31</v>
      </c>
      <c r="AO919">
        <v>0</v>
      </c>
      <c r="AZ919" t="s">
        <v>691</v>
      </c>
      <c r="BF919">
        <v>0</v>
      </c>
      <c r="BK919" t="s">
        <v>31</v>
      </c>
      <c r="BS919" t="s">
        <v>419</v>
      </c>
      <c r="BT919" t="s">
        <v>419</v>
      </c>
      <c r="CI919" t="s">
        <v>388</v>
      </c>
      <c r="CJ919" s="14">
        <v>45014</v>
      </c>
      <c r="CK919">
        <v>1</v>
      </c>
    </row>
    <row r="920" spans="1:89">
      <c r="A920" t="s">
        <v>404</v>
      </c>
      <c r="B920" t="s">
        <v>374</v>
      </c>
      <c r="C920" t="s">
        <v>375</v>
      </c>
      <c r="D920" t="s">
        <v>694</v>
      </c>
      <c r="E920" t="s">
        <v>695</v>
      </c>
      <c r="F920" s="13">
        <v>44797.397939814815</v>
      </c>
      <c r="G920" t="s">
        <v>407</v>
      </c>
      <c r="H920" t="s">
        <v>408</v>
      </c>
      <c r="I920" s="13">
        <v>44797.416712962964</v>
      </c>
      <c r="K920" t="s">
        <v>379</v>
      </c>
      <c r="M920" s="13">
        <v>44834</v>
      </c>
      <c r="R920">
        <v>100</v>
      </c>
      <c r="S920" t="s">
        <v>380</v>
      </c>
      <c r="T920" t="s">
        <v>57</v>
      </c>
      <c r="V920" t="s">
        <v>381</v>
      </c>
      <c r="W920" t="s">
        <v>408</v>
      </c>
      <c r="X920" t="s">
        <v>408</v>
      </c>
      <c r="AC920" s="13">
        <v>44863</v>
      </c>
      <c r="AD920" s="13">
        <v>44834</v>
      </c>
      <c r="AF920" t="s">
        <v>382</v>
      </c>
      <c r="AG920" t="s">
        <v>695</v>
      </c>
      <c r="AI920">
        <v>37</v>
      </c>
      <c r="AK920" t="s">
        <v>480</v>
      </c>
      <c r="AL920" t="s">
        <v>696</v>
      </c>
      <c r="AN920" t="s">
        <v>31</v>
      </c>
      <c r="AO920">
        <v>0</v>
      </c>
      <c r="AS920" t="s">
        <v>385</v>
      </c>
      <c r="AX920" t="s">
        <v>31</v>
      </c>
      <c r="AY920" t="s">
        <v>386</v>
      </c>
      <c r="AZ920" t="s">
        <v>695</v>
      </c>
      <c r="BF920">
        <v>0</v>
      </c>
      <c r="BK920" t="s">
        <v>31</v>
      </c>
      <c r="BS920" t="s">
        <v>379</v>
      </c>
      <c r="BT920" t="s">
        <v>379</v>
      </c>
      <c r="CI920" t="s">
        <v>388</v>
      </c>
      <c r="CJ920" s="14">
        <v>45014</v>
      </c>
      <c r="CK920">
        <v>1</v>
      </c>
    </row>
    <row r="921" spans="1:89">
      <c r="A921" t="s">
        <v>697</v>
      </c>
      <c r="B921" t="s">
        <v>374</v>
      </c>
      <c r="C921" t="s">
        <v>698</v>
      </c>
      <c r="D921" t="s">
        <v>699</v>
      </c>
      <c r="E921" t="s">
        <v>700</v>
      </c>
      <c r="F921" s="13">
        <v>44795.506469907406</v>
      </c>
      <c r="G921" t="s">
        <v>641</v>
      </c>
      <c r="H921" t="s">
        <v>642</v>
      </c>
      <c r="I921" s="13">
        <v>44795.506481481483</v>
      </c>
      <c r="K921" t="s">
        <v>412</v>
      </c>
      <c r="M921" s="13">
        <v>44666</v>
      </c>
      <c r="R921">
        <v>0</v>
      </c>
      <c r="S921" t="s">
        <v>380</v>
      </c>
      <c r="T921" t="s">
        <v>57</v>
      </c>
      <c r="V921" t="s">
        <v>381</v>
      </c>
      <c r="W921" t="s">
        <v>701</v>
      </c>
      <c r="X921" t="s">
        <v>701</v>
      </c>
      <c r="AC921" s="13">
        <v>44666</v>
      </c>
      <c r="AD921" s="13">
        <v>44592</v>
      </c>
      <c r="AI921">
        <v>-129</v>
      </c>
      <c r="AN921" t="s">
        <v>31</v>
      </c>
      <c r="AO921">
        <v>0</v>
      </c>
      <c r="AS921" t="s">
        <v>702</v>
      </c>
      <c r="AX921" t="s">
        <v>31</v>
      </c>
      <c r="AY921" t="s">
        <v>442</v>
      </c>
      <c r="AZ921" t="s">
        <v>703</v>
      </c>
      <c r="BF921">
        <v>0</v>
      </c>
      <c r="BK921" t="s">
        <v>31</v>
      </c>
      <c r="BS921" t="s">
        <v>412</v>
      </c>
      <c r="CI921" t="s">
        <v>388</v>
      </c>
      <c r="CJ921" s="14">
        <v>45014</v>
      </c>
      <c r="CK921">
        <v>1</v>
      </c>
    </row>
    <row r="922" spans="1:89">
      <c r="A922" t="s">
        <v>697</v>
      </c>
      <c r="B922" t="s">
        <v>374</v>
      </c>
      <c r="C922" t="s">
        <v>698</v>
      </c>
      <c r="D922" t="s">
        <v>704</v>
      </c>
      <c r="E922" t="s">
        <v>705</v>
      </c>
      <c r="F922" s="13">
        <v>44795.50644675926</v>
      </c>
      <c r="G922" t="s">
        <v>641</v>
      </c>
      <c r="H922" t="s">
        <v>642</v>
      </c>
      <c r="I922" s="13">
        <v>44795.506458333337</v>
      </c>
      <c r="K922" t="s">
        <v>412</v>
      </c>
      <c r="M922" s="13">
        <v>44607</v>
      </c>
      <c r="R922">
        <v>0</v>
      </c>
      <c r="S922" t="s">
        <v>380</v>
      </c>
      <c r="T922" t="s">
        <v>57</v>
      </c>
      <c r="V922" t="s">
        <v>381</v>
      </c>
      <c r="W922" t="s">
        <v>706</v>
      </c>
      <c r="X922" t="s">
        <v>706</v>
      </c>
      <c r="AI922">
        <v>-188</v>
      </c>
      <c r="AN922" t="s">
        <v>31</v>
      </c>
      <c r="AO922">
        <v>0</v>
      </c>
      <c r="AS922" t="s">
        <v>707</v>
      </c>
      <c r="AX922" t="s">
        <v>31</v>
      </c>
      <c r="AY922" t="s">
        <v>442</v>
      </c>
      <c r="AZ922" t="s">
        <v>708</v>
      </c>
      <c r="BF922">
        <v>0</v>
      </c>
      <c r="BK922" t="s">
        <v>31</v>
      </c>
      <c r="BS922" t="s">
        <v>412</v>
      </c>
      <c r="CI922" t="s">
        <v>388</v>
      </c>
      <c r="CJ922" s="14">
        <v>45014</v>
      </c>
      <c r="CK922">
        <v>1</v>
      </c>
    </row>
    <row r="923" spans="1:89">
      <c r="A923" t="s">
        <v>697</v>
      </c>
      <c r="B923" t="s">
        <v>374</v>
      </c>
      <c r="C923" t="s">
        <v>698</v>
      </c>
      <c r="D923" t="s">
        <v>709</v>
      </c>
      <c r="E923" t="s">
        <v>700</v>
      </c>
      <c r="F923" s="13">
        <v>44795.506423611114</v>
      </c>
      <c r="G923" t="s">
        <v>641</v>
      </c>
      <c r="H923" t="s">
        <v>642</v>
      </c>
      <c r="I923" s="13">
        <v>44795.506435185183</v>
      </c>
      <c r="K923" t="s">
        <v>412</v>
      </c>
      <c r="M923" s="13">
        <v>44666</v>
      </c>
      <c r="R923">
        <v>0</v>
      </c>
      <c r="S923" t="s">
        <v>380</v>
      </c>
      <c r="T923" t="s">
        <v>57</v>
      </c>
      <c r="V923" t="s">
        <v>381</v>
      </c>
      <c r="W923" t="s">
        <v>701</v>
      </c>
      <c r="X923" t="s">
        <v>701</v>
      </c>
      <c r="AC923" s="13">
        <v>44666</v>
      </c>
      <c r="AD923" s="13">
        <v>44592</v>
      </c>
      <c r="AI923">
        <v>-129</v>
      </c>
      <c r="AN923" t="s">
        <v>31</v>
      </c>
      <c r="AO923">
        <v>0</v>
      </c>
      <c r="AS923" t="s">
        <v>702</v>
      </c>
      <c r="AX923" t="s">
        <v>31</v>
      </c>
      <c r="AY923" t="s">
        <v>442</v>
      </c>
      <c r="AZ923" t="s">
        <v>703</v>
      </c>
      <c r="BF923">
        <v>0</v>
      </c>
      <c r="BK923" t="s">
        <v>31</v>
      </c>
      <c r="BS923" t="s">
        <v>412</v>
      </c>
      <c r="CI923" t="s">
        <v>388</v>
      </c>
      <c r="CJ923" s="14">
        <v>45014</v>
      </c>
      <c r="CK923">
        <v>1</v>
      </c>
    </row>
    <row r="924" spans="1:89">
      <c r="A924" t="s">
        <v>697</v>
      </c>
      <c r="B924" t="s">
        <v>374</v>
      </c>
      <c r="C924" t="s">
        <v>698</v>
      </c>
      <c r="D924" t="s">
        <v>710</v>
      </c>
      <c r="E924" t="s">
        <v>700</v>
      </c>
      <c r="F924" s="13">
        <v>44795.506412037037</v>
      </c>
      <c r="G924" t="s">
        <v>641</v>
      </c>
      <c r="H924" t="s">
        <v>642</v>
      </c>
      <c r="I924" s="13">
        <v>44795.506412037037</v>
      </c>
      <c r="K924" t="s">
        <v>412</v>
      </c>
      <c r="M924" s="13">
        <v>44666</v>
      </c>
      <c r="R924">
        <v>0</v>
      </c>
      <c r="S924" t="s">
        <v>380</v>
      </c>
      <c r="T924" t="s">
        <v>57</v>
      </c>
      <c r="V924" t="s">
        <v>381</v>
      </c>
      <c r="W924" t="s">
        <v>701</v>
      </c>
      <c r="X924" t="s">
        <v>701</v>
      </c>
      <c r="AC924" s="13">
        <v>44666</v>
      </c>
      <c r="AD924" s="13">
        <v>44592</v>
      </c>
      <c r="AI924">
        <v>-129</v>
      </c>
      <c r="AN924" t="s">
        <v>31</v>
      </c>
      <c r="AO924">
        <v>0</v>
      </c>
      <c r="AS924" t="s">
        <v>702</v>
      </c>
      <c r="AX924" t="s">
        <v>31</v>
      </c>
      <c r="AY924" t="s">
        <v>442</v>
      </c>
      <c r="AZ924" t="s">
        <v>703</v>
      </c>
      <c r="BF924">
        <v>0</v>
      </c>
      <c r="BK924" t="s">
        <v>31</v>
      </c>
      <c r="BS924" t="s">
        <v>412</v>
      </c>
      <c r="CI924" t="s">
        <v>388</v>
      </c>
      <c r="CJ924" s="14">
        <v>45014</v>
      </c>
      <c r="CK924">
        <v>1</v>
      </c>
    </row>
    <row r="925" spans="1:89">
      <c r="A925" t="s">
        <v>711</v>
      </c>
      <c r="B925" t="s">
        <v>374</v>
      </c>
      <c r="C925" t="s">
        <v>712</v>
      </c>
      <c r="D925" t="s">
        <v>713</v>
      </c>
      <c r="E925" t="s">
        <v>705</v>
      </c>
      <c r="F925" s="13">
        <v>44795.506388888891</v>
      </c>
      <c r="G925" t="s">
        <v>641</v>
      </c>
      <c r="H925" t="s">
        <v>642</v>
      </c>
      <c r="I925" s="13">
        <v>44795.50640046296</v>
      </c>
      <c r="K925" t="s">
        <v>412</v>
      </c>
      <c r="M925" s="13">
        <v>44607</v>
      </c>
      <c r="R925">
        <v>0</v>
      </c>
      <c r="S925" t="s">
        <v>380</v>
      </c>
      <c r="T925" t="s">
        <v>57</v>
      </c>
      <c r="V925" t="s">
        <v>381</v>
      </c>
      <c r="W925" t="s">
        <v>706</v>
      </c>
      <c r="X925" t="s">
        <v>706</v>
      </c>
      <c r="AI925">
        <v>-188</v>
      </c>
      <c r="AN925" t="s">
        <v>31</v>
      </c>
      <c r="AO925">
        <v>0</v>
      </c>
      <c r="AS925" t="s">
        <v>707</v>
      </c>
      <c r="AX925" t="s">
        <v>31</v>
      </c>
      <c r="AY925" t="s">
        <v>442</v>
      </c>
      <c r="AZ925" t="s">
        <v>708</v>
      </c>
      <c r="BF925">
        <v>0</v>
      </c>
      <c r="BK925" t="s">
        <v>31</v>
      </c>
      <c r="BS925" t="s">
        <v>412</v>
      </c>
      <c r="CI925" t="s">
        <v>388</v>
      </c>
      <c r="CJ925" s="14">
        <v>45014</v>
      </c>
      <c r="CK925">
        <v>1</v>
      </c>
    </row>
    <row r="926" spans="1:89">
      <c r="A926" t="s">
        <v>714</v>
      </c>
      <c r="B926" t="s">
        <v>374</v>
      </c>
      <c r="C926" t="s">
        <v>715</v>
      </c>
      <c r="D926" t="s">
        <v>716</v>
      </c>
      <c r="E926" t="s">
        <v>700</v>
      </c>
      <c r="F926" s="13">
        <v>44795.506365740737</v>
      </c>
      <c r="G926" t="s">
        <v>641</v>
      </c>
      <c r="H926" t="s">
        <v>642</v>
      </c>
      <c r="I926" s="13">
        <v>44795.506377314814</v>
      </c>
      <c r="K926" t="s">
        <v>412</v>
      </c>
      <c r="M926" s="13">
        <v>44666</v>
      </c>
      <c r="R926">
        <v>0</v>
      </c>
      <c r="S926" t="s">
        <v>380</v>
      </c>
      <c r="T926" t="s">
        <v>57</v>
      </c>
      <c r="V926" t="s">
        <v>381</v>
      </c>
      <c r="W926" t="s">
        <v>701</v>
      </c>
      <c r="X926" t="s">
        <v>701</v>
      </c>
      <c r="AC926" s="13">
        <v>44666</v>
      </c>
      <c r="AD926" s="13">
        <v>44592</v>
      </c>
      <c r="AI926">
        <v>-129</v>
      </c>
      <c r="AN926" t="s">
        <v>31</v>
      </c>
      <c r="AO926">
        <v>0</v>
      </c>
      <c r="AS926" t="s">
        <v>702</v>
      </c>
      <c r="AX926" t="s">
        <v>31</v>
      </c>
      <c r="AY926" t="s">
        <v>442</v>
      </c>
      <c r="AZ926" t="s">
        <v>703</v>
      </c>
      <c r="BF926">
        <v>0</v>
      </c>
      <c r="BK926" t="s">
        <v>31</v>
      </c>
      <c r="BS926" t="s">
        <v>412</v>
      </c>
      <c r="CI926" t="s">
        <v>388</v>
      </c>
      <c r="CJ926" s="14">
        <v>45014</v>
      </c>
      <c r="CK926">
        <v>1</v>
      </c>
    </row>
    <row r="927" spans="1:89">
      <c r="A927" t="s">
        <v>714</v>
      </c>
      <c r="B927" t="s">
        <v>374</v>
      </c>
      <c r="C927" t="s">
        <v>715</v>
      </c>
      <c r="D927" t="s">
        <v>717</v>
      </c>
      <c r="E927" t="s">
        <v>705</v>
      </c>
      <c r="F927" s="13">
        <v>44795.506342592591</v>
      </c>
      <c r="G927" t="s">
        <v>641</v>
      </c>
      <c r="H927" t="s">
        <v>642</v>
      </c>
      <c r="I927" s="13">
        <v>44795.506354166668</v>
      </c>
      <c r="K927" t="s">
        <v>412</v>
      </c>
      <c r="M927" s="13">
        <v>44607</v>
      </c>
      <c r="R927">
        <v>0</v>
      </c>
      <c r="S927" t="s">
        <v>380</v>
      </c>
      <c r="T927" t="s">
        <v>57</v>
      </c>
      <c r="V927" t="s">
        <v>381</v>
      </c>
      <c r="W927" t="s">
        <v>706</v>
      </c>
      <c r="X927" t="s">
        <v>706</v>
      </c>
      <c r="AI927">
        <v>-188</v>
      </c>
      <c r="AN927" t="s">
        <v>31</v>
      </c>
      <c r="AO927">
        <v>0</v>
      </c>
      <c r="AS927" t="s">
        <v>707</v>
      </c>
      <c r="AX927" t="s">
        <v>31</v>
      </c>
      <c r="AY927" t="s">
        <v>442</v>
      </c>
      <c r="AZ927" t="s">
        <v>708</v>
      </c>
      <c r="BF927">
        <v>0</v>
      </c>
      <c r="BK927" t="s">
        <v>31</v>
      </c>
      <c r="BS927" t="s">
        <v>412</v>
      </c>
      <c r="CI927" t="s">
        <v>388</v>
      </c>
      <c r="CJ927" s="14">
        <v>45014</v>
      </c>
      <c r="CK927">
        <v>1</v>
      </c>
    </row>
    <row r="928" spans="1:89">
      <c r="A928" t="s">
        <v>714</v>
      </c>
      <c r="B928" t="s">
        <v>374</v>
      </c>
      <c r="C928" t="s">
        <v>715</v>
      </c>
      <c r="D928" t="s">
        <v>718</v>
      </c>
      <c r="E928" t="s">
        <v>719</v>
      </c>
      <c r="F928" s="13">
        <v>44795.506319444445</v>
      </c>
      <c r="G928" t="s">
        <v>641</v>
      </c>
      <c r="H928" t="s">
        <v>642</v>
      </c>
      <c r="I928" s="13">
        <v>44795.506331018521</v>
      </c>
      <c r="K928" t="s">
        <v>412</v>
      </c>
      <c r="M928" s="13">
        <v>44712</v>
      </c>
      <c r="R928">
        <v>0</v>
      </c>
      <c r="S928" t="s">
        <v>380</v>
      </c>
      <c r="T928" t="s">
        <v>57</v>
      </c>
      <c r="V928" t="s">
        <v>381</v>
      </c>
      <c r="W928" t="s">
        <v>720</v>
      </c>
      <c r="X928" t="s">
        <v>720</v>
      </c>
      <c r="AC928" s="13">
        <v>44712</v>
      </c>
      <c r="AD928" s="13">
        <v>44620</v>
      </c>
      <c r="AI928">
        <v>-83</v>
      </c>
      <c r="AN928" t="s">
        <v>31</v>
      </c>
      <c r="AO928">
        <v>0</v>
      </c>
      <c r="AS928" t="s">
        <v>538</v>
      </c>
      <c r="AX928" t="s">
        <v>57</v>
      </c>
      <c r="AY928" t="s">
        <v>442</v>
      </c>
      <c r="AZ928" t="s">
        <v>721</v>
      </c>
      <c r="BF928">
        <v>0</v>
      </c>
      <c r="BK928" t="s">
        <v>31</v>
      </c>
      <c r="BS928" t="s">
        <v>412</v>
      </c>
      <c r="CI928" t="s">
        <v>388</v>
      </c>
      <c r="CJ928" s="14">
        <v>45014</v>
      </c>
      <c r="CK928">
        <v>1</v>
      </c>
    </row>
    <row r="929" spans="1:89">
      <c r="A929" t="s">
        <v>714</v>
      </c>
      <c r="B929" t="s">
        <v>374</v>
      </c>
      <c r="C929" t="s">
        <v>715</v>
      </c>
      <c r="D929" t="s">
        <v>722</v>
      </c>
      <c r="E929" t="s">
        <v>723</v>
      </c>
      <c r="F929" s="13">
        <v>44795.506296296298</v>
      </c>
      <c r="G929" t="s">
        <v>641</v>
      </c>
      <c r="H929" t="s">
        <v>642</v>
      </c>
      <c r="I929" s="13">
        <v>44795.506307870368</v>
      </c>
      <c r="K929" t="s">
        <v>412</v>
      </c>
      <c r="M929" s="13">
        <v>44712</v>
      </c>
      <c r="R929">
        <v>0</v>
      </c>
      <c r="S929" t="s">
        <v>380</v>
      </c>
      <c r="T929" t="s">
        <v>57</v>
      </c>
      <c r="V929" t="s">
        <v>381</v>
      </c>
      <c r="W929" t="s">
        <v>720</v>
      </c>
      <c r="X929" t="s">
        <v>720</v>
      </c>
      <c r="AC929" s="13">
        <v>44712</v>
      </c>
      <c r="AD929" s="13">
        <v>44620</v>
      </c>
      <c r="AI929">
        <v>-83</v>
      </c>
      <c r="AN929" t="s">
        <v>31</v>
      </c>
      <c r="AO929">
        <v>0</v>
      </c>
      <c r="AS929" t="s">
        <v>538</v>
      </c>
      <c r="AX929" t="s">
        <v>57</v>
      </c>
      <c r="AY929" t="s">
        <v>442</v>
      </c>
      <c r="AZ929" t="s">
        <v>721</v>
      </c>
      <c r="BF929">
        <v>0</v>
      </c>
      <c r="BK929" t="s">
        <v>31</v>
      </c>
      <c r="BS929" t="s">
        <v>412</v>
      </c>
      <c r="CI929" t="s">
        <v>388</v>
      </c>
      <c r="CJ929" s="14">
        <v>45014</v>
      </c>
      <c r="CK929">
        <v>1</v>
      </c>
    </row>
    <row r="930" spans="1:89">
      <c r="A930" t="s">
        <v>714</v>
      </c>
      <c r="B930" t="s">
        <v>374</v>
      </c>
      <c r="C930" t="s">
        <v>715</v>
      </c>
      <c r="D930" t="s">
        <v>724</v>
      </c>
      <c r="E930" t="s">
        <v>725</v>
      </c>
      <c r="F930" s="13">
        <v>44795.506273148145</v>
      </c>
      <c r="G930" t="s">
        <v>641</v>
      </c>
      <c r="H930" t="s">
        <v>642</v>
      </c>
      <c r="I930" s="13">
        <v>44795.506296296298</v>
      </c>
      <c r="K930" t="s">
        <v>412</v>
      </c>
      <c r="M930" s="13">
        <v>44680</v>
      </c>
      <c r="R930">
        <v>0</v>
      </c>
      <c r="S930" t="s">
        <v>380</v>
      </c>
      <c r="T930" t="s">
        <v>57</v>
      </c>
      <c r="V930" t="s">
        <v>381</v>
      </c>
      <c r="W930" t="s">
        <v>726</v>
      </c>
      <c r="X930" t="s">
        <v>726</v>
      </c>
      <c r="AC930" s="13">
        <v>44680</v>
      </c>
      <c r="AD930" s="13">
        <v>44680</v>
      </c>
      <c r="AI930">
        <v>-115</v>
      </c>
      <c r="AN930" t="s">
        <v>31</v>
      </c>
      <c r="AO930">
        <v>0</v>
      </c>
      <c r="AS930" t="s">
        <v>385</v>
      </c>
      <c r="AX930" t="s">
        <v>57</v>
      </c>
      <c r="AY930" t="s">
        <v>442</v>
      </c>
      <c r="AZ930" t="s">
        <v>721</v>
      </c>
      <c r="BF930">
        <v>0</v>
      </c>
      <c r="BK930" t="s">
        <v>31</v>
      </c>
      <c r="BS930" t="s">
        <v>412</v>
      </c>
      <c r="CI930" t="s">
        <v>388</v>
      </c>
      <c r="CJ930" s="14">
        <v>45014</v>
      </c>
      <c r="CK930">
        <v>1</v>
      </c>
    </row>
    <row r="931" spans="1:89">
      <c r="A931" t="s">
        <v>714</v>
      </c>
      <c r="B931" t="s">
        <v>374</v>
      </c>
      <c r="C931" t="s">
        <v>715</v>
      </c>
      <c r="D931" t="s">
        <v>727</v>
      </c>
      <c r="E931" t="s">
        <v>728</v>
      </c>
      <c r="F931" s="13">
        <v>44795.506261574075</v>
      </c>
      <c r="G931" t="s">
        <v>641</v>
      </c>
      <c r="H931" t="s">
        <v>642</v>
      </c>
      <c r="I931" s="13">
        <v>44795.506273148145</v>
      </c>
      <c r="K931" t="s">
        <v>412</v>
      </c>
      <c r="M931" s="13">
        <v>44609</v>
      </c>
      <c r="R931">
        <v>0</v>
      </c>
      <c r="S931" t="s">
        <v>380</v>
      </c>
      <c r="T931" t="s">
        <v>57</v>
      </c>
      <c r="V931" t="s">
        <v>381</v>
      </c>
      <c r="W931" t="s">
        <v>729</v>
      </c>
      <c r="X931" t="s">
        <v>729</v>
      </c>
      <c r="AC931" s="13">
        <v>44609</v>
      </c>
      <c r="AD931" s="13">
        <v>44609</v>
      </c>
      <c r="AI931">
        <v>-186</v>
      </c>
      <c r="AN931" t="s">
        <v>31</v>
      </c>
      <c r="AO931">
        <v>0</v>
      </c>
      <c r="AS931" t="s">
        <v>730</v>
      </c>
      <c r="AX931" t="s">
        <v>57</v>
      </c>
      <c r="AY931" t="s">
        <v>442</v>
      </c>
      <c r="AZ931" t="s">
        <v>721</v>
      </c>
      <c r="BF931">
        <v>0</v>
      </c>
      <c r="BK931" t="s">
        <v>31</v>
      </c>
      <c r="BS931" t="s">
        <v>412</v>
      </c>
      <c r="CI931" t="s">
        <v>388</v>
      </c>
      <c r="CJ931" s="14">
        <v>45014</v>
      </c>
      <c r="CK931">
        <v>1</v>
      </c>
    </row>
    <row r="932" spans="1:89">
      <c r="A932" t="s">
        <v>731</v>
      </c>
      <c r="B932" t="s">
        <v>374</v>
      </c>
      <c r="C932" t="s">
        <v>732</v>
      </c>
      <c r="D932" t="s">
        <v>733</v>
      </c>
      <c r="E932" t="s">
        <v>734</v>
      </c>
      <c r="F932" s="13">
        <v>44795.506238425929</v>
      </c>
      <c r="G932" t="s">
        <v>641</v>
      </c>
      <c r="H932" t="s">
        <v>642</v>
      </c>
      <c r="I932" s="13">
        <v>44795.506249999999</v>
      </c>
      <c r="K932" t="s">
        <v>412</v>
      </c>
      <c r="M932" s="13">
        <v>44742</v>
      </c>
      <c r="R932">
        <v>0</v>
      </c>
      <c r="S932" t="s">
        <v>416</v>
      </c>
      <c r="T932" t="s">
        <v>57</v>
      </c>
      <c r="V932" t="s">
        <v>381</v>
      </c>
      <c r="W932" t="s">
        <v>729</v>
      </c>
      <c r="X932" t="s">
        <v>729</v>
      </c>
      <c r="AC932" s="13">
        <v>44742</v>
      </c>
      <c r="AD932" s="13">
        <v>44469</v>
      </c>
      <c r="AI932">
        <v>-53</v>
      </c>
      <c r="AN932" t="s">
        <v>31</v>
      </c>
      <c r="AO932">
        <v>0</v>
      </c>
      <c r="AS932" t="s">
        <v>730</v>
      </c>
      <c r="AX932" t="s">
        <v>57</v>
      </c>
      <c r="AY932" t="s">
        <v>442</v>
      </c>
      <c r="AZ932" t="s">
        <v>721</v>
      </c>
      <c r="BF932">
        <v>0</v>
      </c>
      <c r="BK932" t="s">
        <v>31</v>
      </c>
      <c r="BS932" t="s">
        <v>412</v>
      </c>
      <c r="CI932" t="s">
        <v>388</v>
      </c>
      <c r="CJ932" s="14">
        <v>45014</v>
      </c>
      <c r="CK932">
        <v>1</v>
      </c>
    </row>
    <row r="933" spans="1:89">
      <c r="A933" t="s">
        <v>731</v>
      </c>
      <c r="B933" t="s">
        <v>374</v>
      </c>
      <c r="C933" t="s">
        <v>732</v>
      </c>
      <c r="D933" t="s">
        <v>735</v>
      </c>
      <c r="E933" t="s">
        <v>736</v>
      </c>
      <c r="F933" s="13">
        <v>44795.506215277775</v>
      </c>
      <c r="G933" t="s">
        <v>641</v>
      </c>
      <c r="H933" t="s">
        <v>642</v>
      </c>
      <c r="I933" s="13">
        <v>44795.506226851852</v>
      </c>
      <c r="K933" t="s">
        <v>412</v>
      </c>
      <c r="M933" s="13">
        <v>44681</v>
      </c>
      <c r="R933">
        <v>0</v>
      </c>
      <c r="S933" t="s">
        <v>380</v>
      </c>
      <c r="T933" t="s">
        <v>57</v>
      </c>
      <c r="V933" t="s">
        <v>381</v>
      </c>
      <c r="W933" t="s">
        <v>737</v>
      </c>
      <c r="X933" t="s">
        <v>737</v>
      </c>
      <c r="AC933" s="13">
        <v>44681</v>
      </c>
      <c r="AD933" s="13">
        <v>44620</v>
      </c>
      <c r="AI933">
        <v>-114</v>
      </c>
      <c r="AN933" t="s">
        <v>31</v>
      </c>
      <c r="AO933">
        <v>0</v>
      </c>
      <c r="AS933" t="s">
        <v>538</v>
      </c>
      <c r="AX933" t="s">
        <v>57</v>
      </c>
      <c r="AY933" t="s">
        <v>442</v>
      </c>
      <c r="AZ933" t="s">
        <v>721</v>
      </c>
      <c r="BF933">
        <v>0</v>
      </c>
      <c r="BK933" t="s">
        <v>31</v>
      </c>
      <c r="BS933" t="s">
        <v>412</v>
      </c>
      <c r="CI933" t="s">
        <v>388</v>
      </c>
      <c r="CJ933" s="14">
        <v>45014</v>
      </c>
      <c r="CK933">
        <v>1</v>
      </c>
    </row>
    <row r="934" spans="1:89">
      <c r="A934" t="s">
        <v>738</v>
      </c>
      <c r="B934" t="s">
        <v>374</v>
      </c>
      <c r="C934" t="s">
        <v>739</v>
      </c>
      <c r="D934" t="s">
        <v>740</v>
      </c>
      <c r="E934" t="s">
        <v>741</v>
      </c>
      <c r="F934" s="13">
        <v>44795.506192129629</v>
      </c>
      <c r="G934" t="s">
        <v>641</v>
      </c>
      <c r="H934" t="s">
        <v>642</v>
      </c>
      <c r="I934" s="13">
        <v>44795.506203703706</v>
      </c>
      <c r="K934" t="s">
        <v>412</v>
      </c>
      <c r="M934" s="13">
        <v>44651</v>
      </c>
      <c r="R934">
        <v>0</v>
      </c>
      <c r="S934" t="s">
        <v>380</v>
      </c>
      <c r="T934" t="s">
        <v>57</v>
      </c>
      <c r="V934" t="s">
        <v>381</v>
      </c>
      <c r="W934" t="s">
        <v>729</v>
      </c>
      <c r="X934" t="s">
        <v>729</v>
      </c>
      <c r="AC934" s="13">
        <v>45078</v>
      </c>
      <c r="AD934" s="13">
        <v>44713</v>
      </c>
      <c r="AI934">
        <v>-144</v>
      </c>
      <c r="AN934" t="s">
        <v>31</v>
      </c>
      <c r="AO934">
        <v>0</v>
      </c>
      <c r="AS934" t="s">
        <v>385</v>
      </c>
      <c r="AX934" t="s">
        <v>57</v>
      </c>
      <c r="AY934" t="s">
        <v>442</v>
      </c>
      <c r="AZ934" t="s">
        <v>721</v>
      </c>
      <c r="BF934">
        <v>0</v>
      </c>
      <c r="BK934" t="s">
        <v>31</v>
      </c>
      <c r="BS934" t="s">
        <v>412</v>
      </c>
      <c r="CI934" t="s">
        <v>388</v>
      </c>
      <c r="CJ934" s="14">
        <v>45014</v>
      </c>
      <c r="CK934">
        <v>1</v>
      </c>
    </row>
    <row r="935" spans="1:89">
      <c r="A935" t="s">
        <v>738</v>
      </c>
      <c r="B935" t="s">
        <v>374</v>
      </c>
      <c r="C935" t="s">
        <v>739</v>
      </c>
      <c r="D935" t="s">
        <v>742</v>
      </c>
      <c r="E935" t="s">
        <v>743</v>
      </c>
      <c r="F935" s="13">
        <v>44795.506180555552</v>
      </c>
      <c r="G935" t="s">
        <v>641</v>
      </c>
      <c r="H935" t="s">
        <v>642</v>
      </c>
      <c r="I935" s="13">
        <v>44795.506192129629</v>
      </c>
      <c r="K935" t="s">
        <v>412</v>
      </c>
      <c r="M935" s="13">
        <v>44742</v>
      </c>
      <c r="R935">
        <v>0</v>
      </c>
      <c r="S935" t="s">
        <v>416</v>
      </c>
      <c r="T935" t="s">
        <v>57</v>
      </c>
      <c r="V935" t="s">
        <v>381</v>
      </c>
      <c r="W935" t="s">
        <v>729</v>
      </c>
      <c r="X935" t="s">
        <v>729</v>
      </c>
      <c r="AC935" s="13">
        <v>45078</v>
      </c>
      <c r="AD935" s="13">
        <v>44713</v>
      </c>
      <c r="AI935">
        <v>-53</v>
      </c>
      <c r="AN935" t="s">
        <v>31</v>
      </c>
      <c r="AO935">
        <v>0</v>
      </c>
      <c r="AS935" t="s">
        <v>744</v>
      </c>
      <c r="AX935" t="s">
        <v>57</v>
      </c>
      <c r="AY935" t="s">
        <v>442</v>
      </c>
      <c r="AZ935" t="s">
        <v>745</v>
      </c>
      <c r="BF935">
        <v>0</v>
      </c>
      <c r="BK935" t="s">
        <v>31</v>
      </c>
      <c r="BS935" t="s">
        <v>412</v>
      </c>
      <c r="CI935" t="s">
        <v>388</v>
      </c>
      <c r="CJ935" s="14">
        <v>45014</v>
      </c>
      <c r="CK935">
        <v>1</v>
      </c>
    </row>
    <row r="936" spans="1:89">
      <c r="A936" t="s">
        <v>738</v>
      </c>
      <c r="B936" t="s">
        <v>374</v>
      </c>
      <c r="C936" t="s">
        <v>739</v>
      </c>
      <c r="D936" t="s">
        <v>746</v>
      </c>
      <c r="E936" t="s">
        <v>747</v>
      </c>
      <c r="F936" s="13">
        <v>44795.506157407406</v>
      </c>
      <c r="G936" t="s">
        <v>641</v>
      </c>
      <c r="H936" t="s">
        <v>642</v>
      </c>
      <c r="I936" s="13">
        <v>44795.506168981483</v>
      </c>
      <c r="K936" t="s">
        <v>412</v>
      </c>
      <c r="M936" s="13">
        <v>44742</v>
      </c>
      <c r="R936">
        <v>0</v>
      </c>
      <c r="S936" t="s">
        <v>416</v>
      </c>
      <c r="T936" t="s">
        <v>57</v>
      </c>
      <c r="V936" t="s">
        <v>381</v>
      </c>
      <c r="W936" t="s">
        <v>729</v>
      </c>
      <c r="X936" t="s">
        <v>729</v>
      </c>
      <c r="AC936" s="13">
        <v>45078</v>
      </c>
      <c r="AD936" s="13">
        <v>44713</v>
      </c>
      <c r="AI936">
        <v>-53</v>
      </c>
      <c r="AN936" t="s">
        <v>31</v>
      </c>
      <c r="AO936">
        <v>0</v>
      </c>
      <c r="AS936" t="s">
        <v>744</v>
      </c>
      <c r="AX936" t="s">
        <v>57</v>
      </c>
      <c r="AY936" t="s">
        <v>442</v>
      </c>
      <c r="AZ936" t="s">
        <v>721</v>
      </c>
      <c r="BF936">
        <v>0</v>
      </c>
      <c r="BK936" t="s">
        <v>31</v>
      </c>
      <c r="BS936" t="s">
        <v>412</v>
      </c>
      <c r="CI936" t="s">
        <v>388</v>
      </c>
      <c r="CJ936" s="14">
        <v>45014</v>
      </c>
      <c r="CK936">
        <v>1</v>
      </c>
    </row>
    <row r="937" spans="1:89">
      <c r="A937" t="s">
        <v>738</v>
      </c>
      <c r="B937" t="s">
        <v>374</v>
      </c>
      <c r="C937" t="s">
        <v>739</v>
      </c>
      <c r="D937" t="s">
        <v>748</v>
      </c>
      <c r="E937" t="s">
        <v>749</v>
      </c>
      <c r="F937" s="13">
        <v>44795.50613425926</v>
      </c>
      <c r="G937" t="s">
        <v>641</v>
      </c>
      <c r="H937" t="s">
        <v>642</v>
      </c>
      <c r="I937" s="13">
        <v>44795.506145833337</v>
      </c>
      <c r="K937" t="s">
        <v>412</v>
      </c>
      <c r="M937" s="13">
        <v>44666</v>
      </c>
      <c r="R937">
        <v>0</v>
      </c>
      <c r="S937" t="s">
        <v>380</v>
      </c>
      <c r="T937" t="s">
        <v>57</v>
      </c>
      <c r="V937" t="s">
        <v>381</v>
      </c>
      <c r="W937" t="s">
        <v>750</v>
      </c>
      <c r="X937" t="s">
        <v>750</v>
      </c>
      <c r="AC937" s="13">
        <v>44666</v>
      </c>
      <c r="AD937" s="13">
        <v>44666</v>
      </c>
      <c r="AI937">
        <v>-129</v>
      </c>
      <c r="AN937" t="s">
        <v>31</v>
      </c>
      <c r="AO937">
        <v>0</v>
      </c>
      <c r="AS937" t="s">
        <v>385</v>
      </c>
      <c r="AX937" t="s">
        <v>57</v>
      </c>
      <c r="AY937" t="s">
        <v>442</v>
      </c>
      <c r="AZ937" t="s">
        <v>751</v>
      </c>
      <c r="BF937">
        <v>0</v>
      </c>
      <c r="BK937" t="s">
        <v>31</v>
      </c>
      <c r="BS937" t="s">
        <v>412</v>
      </c>
      <c r="CI937" t="s">
        <v>388</v>
      </c>
      <c r="CJ937" s="14">
        <v>45014</v>
      </c>
      <c r="CK937">
        <v>1</v>
      </c>
    </row>
    <row r="938" spans="1:89">
      <c r="A938" t="s">
        <v>738</v>
      </c>
      <c r="B938" t="s">
        <v>374</v>
      </c>
      <c r="C938" t="s">
        <v>739</v>
      </c>
      <c r="D938" t="s">
        <v>752</v>
      </c>
      <c r="E938" t="s">
        <v>753</v>
      </c>
      <c r="F938" s="13">
        <v>44795.506122685183</v>
      </c>
      <c r="G938" t="s">
        <v>641</v>
      </c>
      <c r="H938" t="s">
        <v>642</v>
      </c>
      <c r="I938" s="13">
        <v>44795.50613425926</v>
      </c>
      <c r="K938" t="s">
        <v>412</v>
      </c>
      <c r="M938" s="13">
        <v>44666</v>
      </c>
      <c r="R938">
        <v>0</v>
      </c>
      <c r="S938" t="s">
        <v>380</v>
      </c>
      <c r="T938" t="s">
        <v>57</v>
      </c>
      <c r="V938" t="s">
        <v>381</v>
      </c>
      <c r="W938" t="s">
        <v>750</v>
      </c>
      <c r="X938" t="s">
        <v>750</v>
      </c>
      <c r="AC938" s="13">
        <v>44666</v>
      </c>
      <c r="AD938" s="13">
        <v>44666</v>
      </c>
      <c r="AI938">
        <v>-129</v>
      </c>
      <c r="AN938" t="s">
        <v>31</v>
      </c>
      <c r="AO938">
        <v>0</v>
      </c>
      <c r="AS938" t="s">
        <v>385</v>
      </c>
      <c r="AX938" t="s">
        <v>57</v>
      </c>
      <c r="AY938" t="s">
        <v>442</v>
      </c>
      <c r="AZ938" t="s">
        <v>754</v>
      </c>
      <c r="BF938">
        <v>0</v>
      </c>
      <c r="BK938" t="s">
        <v>31</v>
      </c>
      <c r="BS938" t="s">
        <v>412</v>
      </c>
      <c r="CI938" t="s">
        <v>388</v>
      </c>
      <c r="CJ938" s="14">
        <v>45014</v>
      </c>
      <c r="CK938">
        <v>1</v>
      </c>
    </row>
    <row r="939" spans="1:89">
      <c r="A939" t="s">
        <v>755</v>
      </c>
      <c r="B939" t="s">
        <v>374</v>
      </c>
      <c r="C939" t="s">
        <v>756</v>
      </c>
      <c r="D939" t="s">
        <v>757</v>
      </c>
      <c r="E939" t="s">
        <v>758</v>
      </c>
      <c r="F939" s="13">
        <v>44795.506099537037</v>
      </c>
      <c r="G939" t="s">
        <v>641</v>
      </c>
      <c r="H939" t="s">
        <v>642</v>
      </c>
      <c r="I939" s="13">
        <v>44795.506111111114</v>
      </c>
      <c r="K939" t="s">
        <v>412</v>
      </c>
      <c r="M939" s="13">
        <v>44666</v>
      </c>
      <c r="R939">
        <v>0</v>
      </c>
      <c r="S939" t="s">
        <v>380</v>
      </c>
      <c r="T939" t="s">
        <v>57</v>
      </c>
      <c r="V939" t="s">
        <v>381</v>
      </c>
      <c r="W939" t="s">
        <v>750</v>
      </c>
      <c r="X939" t="s">
        <v>750</v>
      </c>
      <c r="AC939" s="13">
        <v>44666</v>
      </c>
      <c r="AD939" s="13">
        <v>44666</v>
      </c>
      <c r="AI939">
        <v>-129</v>
      </c>
      <c r="AN939" t="s">
        <v>31</v>
      </c>
      <c r="AO939">
        <v>0</v>
      </c>
      <c r="AS939" t="s">
        <v>385</v>
      </c>
      <c r="AX939" t="s">
        <v>57</v>
      </c>
      <c r="AY939" t="s">
        <v>442</v>
      </c>
      <c r="AZ939" t="s">
        <v>759</v>
      </c>
      <c r="BF939">
        <v>0</v>
      </c>
      <c r="BK939" t="s">
        <v>31</v>
      </c>
      <c r="BS939" t="s">
        <v>412</v>
      </c>
      <c r="CI939" t="s">
        <v>388</v>
      </c>
      <c r="CJ939" s="14">
        <v>45014</v>
      </c>
      <c r="CK939">
        <v>1</v>
      </c>
    </row>
    <row r="940" spans="1:89">
      <c r="A940" t="s">
        <v>760</v>
      </c>
      <c r="B940" t="s">
        <v>374</v>
      </c>
      <c r="C940" t="s">
        <v>761</v>
      </c>
      <c r="D940" t="s">
        <v>762</v>
      </c>
      <c r="E940" t="s">
        <v>763</v>
      </c>
      <c r="F940" s="13">
        <v>44795.506076388891</v>
      </c>
      <c r="G940" t="s">
        <v>641</v>
      </c>
      <c r="H940" t="s">
        <v>642</v>
      </c>
      <c r="I940" s="13">
        <v>44795.50608796296</v>
      </c>
      <c r="K940" t="s">
        <v>412</v>
      </c>
      <c r="M940" s="13">
        <v>44666</v>
      </c>
      <c r="R940">
        <v>0</v>
      </c>
      <c r="S940" t="s">
        <v>380</v>
      </c>
      <c r="T940" t="s">
        <v>57</v>
      </c>
      <c r="V940" t="s">
        <v>381</v>
      </c>
      <c r="W940" t="s">
        <v>750</v>
      </c>
      <c r="X940" t="s">
        <v>750</v>
      </c>
      <c r="AC940" s="13">
        <v>44666</v>
      </c>
      <c r="AD940" s="13">
        <v>44666</v>
      </c>
      <c r="AI940">
        <v>-129</v>
      </c>
      <c r="AN940" t="s">
        <v>31</v>
      </c>
      <c r="AO940">
        <v>0</v>
      </c>
      <c r="AS940" t="s">
        <v>385</v>
      </c>
      <c r="AX940" t="s">
        <v>57</v>
      </c>
      <c r="AY940" t="s">
        <v>442</v>
      </c>
      <c r="AZ940" t="s">
        <v>764</v>
      </c>
      <c r="BF940">
        <v>0</v>
      </c>
      <c r="BK940" t="s">
        <v>31</v>
      </c>
      <c r="BS940" t="s">
        <v>412</v>
      </c>
      <c r="CI940" t="s">
        <v>388</v>
      </c>
      <c r="CJ940" s="14">
        <v>45014</v>
      </c>
      <c r="CK940">
        <v>1</v>
      </c>
    </row>
    <row r="941" spans="1:89">
      <c r="A941" t="s">
        <v>765</v>
      </c>
      <c r="B941" t="s">
        <v>374</v>
      </c>
      <c r="C941" t="s">
        <v>766</v>
      </c>
      <c r="D941" t="s">
        <v>767</v>
      </c>
      <c r="E941" t="s">
        <v>768</v>
      </c>
      <c r="F941" s="13">
        <v>44795.506053240744</v>
      </c>
      <c r="G941" t="s">
        <v>641</v>
      </c>
      <c r="H941" t="s">
        <v>642</v>
      </c>
      <c r="I941" s="13">
        <v>44795.506064814814</v>
      </c>
      <c r="K941" t="s">
        <v>412</v>
      </c>
      <c r="M941" s="13">
        <v>44666</v>
      </c>
      <c r="R941">
        <v>0</v>
      </c>
      <c r="S941" t="s">
        <v>380</v>
      </c>
      <c r="T941" t="s">
        <v>57</v>
      </c>
      <c r="V941" t="s">
        <v>381</v>
      </c>
      <c r="W941" t="s">
        <v>750</v>
      </c>
      <c r="X941" t="s">
        <v>750</v>
      </c>
      <c r="AC941" s="13">
        <v>44666</v>
      </c>
      <c r="AD941" s="13">
        <v>44666</v>
      </c>
      <c r="AI941">
        <v>-129</v>
      </c>
      <c r="AN941" t="s">
        <v>31</v>
      </c>
      <c r="AO941">
        <v>0</v>
      </c>
      <c r="AS941" t="s">
        <v>385</v>
      </c>
      <c r="AX941" t="s">
        <v>57</v>
      </c>
      <c r="AY941" t="s">
        <v>442</v>
      </c>
      <c r="AZ941" t="s">
        <v>769</v>
      </c>
      <c r="BF941">
        <v>0</v>
      </c>
      <c r="BK941" t="s">
        <v>31</v>
      </c>
      <c r="BS941" t="s">
        <v>412</v>
      </c>
      <c r="CI941" t="s">
        <v>388</v>
      </c>
      <c r="CJ941" s="14">
        <v>45014</v>
      </c>
      <c r="CK941">
        <v>1</v>
      </c>
    </row>
    <row r="942" spans="1:89">
      <c r="A942" t="s">
        <v>765</v>
      </c>
      <c r="B942" t="s">
        <v>374</v>
      </c>
      <c r="C942" t="s">
        <v>766</v>
      </c>
      <c r="D942" t="s">
        <v>770</v>
      </c>
      <c r="E942" t="s">
        <v>771</v>
      </c>
      <c r="F942" s="13">
        <v>44795.506030092591</v>
      </c>
      <c r="G942" t="s">
        <v>641</v>
      </c>
      <c r="H942" t="s">
        <v>642</v>
      </c>
      <c r="I942" s="13">
        <v>44795.506041666667</v>
      </c>
      <c r="K942" t="s">
        <v>412</v>
      </c>
      <c r="M942" s="13">
        <v>44666</v>
      </c>
      <c r="R942">
        <v>0</v>
      </c>
      <c r="S942" t="s">
        <v>380</v>
      </c>
      <c r="T942" t="s">
        <v>57</v>
      </c>
      <c r="V942" t="s">
        <v>381</v>
      </c>
      <c r="W942" t="s">
        <v>772</v>
      </c>
      <c r="X942" t="s">
        <v>772</v>
      </c>
      <c r="AC942" s="13">
        <v>44666</v>
      </c>
      <c r="AD942" s="13">
        <v>44666</v>
      </c>
      <c r="AI942">
        <v>-129</v>
      </c>
      <c r="AN942" t="s">
        <v>31</v>
      </c>
      <c r="AO942">
        <v>0</v>
      </c>
      <c r="AS942" t="s">
        <v>385</v>
      </c>
      <c r="AX942" t="s">
        <v>57</v>
      </c>
      <c r="AY942" t="s">
        <v>442</v>
      </c>
      <c r="AZ942" t="s">
        <v>773</v>
      </c>
      <c r="BF942">
        <v>0</v>
      </c>
      <c r="BK942" t="s">
        <v>31</v>
      </c>
      <c r="BS942" t="s">
        <v>412</v>
      </c>
      <c r="CI942" t="s">
        <v>388</v>
      </c>
      <c r="CJ942" s="14">
        <v>45014</v>
      </c>
      <c r="CK942">
        <v>1</v>
      </c>
    </row>
    <row r="943" spans="1:89">
      <c r="A943" t="s">
        <v>765</v>
      </c>
      <c r="B943" t="s">
        <v>374</v>
      </c>
      <c r="C943" t="s">
        <v>766</v>
      </c>
      <c r="D943" t="s">
        <v>774</v>
      </c>
      <c r="E943" t="s">
        <v>775</v>
      </c>
      <c r="F943" s="13">
        <v>44795.506006944444</v>
      </c>
      <c r="G943" t="s">
        <v>641</v>
      </c>
      <c r="H943" t="s">
        <v>642</v>
      </c>
      <c r="I943" s="13">
        <v>44795.506018518521</v>
      </c>
      <c r="K943" t="s">
        <v>412</v>
      </c>
      <c r="M943" s="13">
        <v>44712</v>
      </c>
      <c r="R943">
        <v>0</v>
      </c>
      <c r="S943" t="s">
        <v>380</v>
      </c>
      <c r="T943" t="s">
        <v>57</v>
      </c>
      <c r="V943" t="s">
        <v>381</v>
      </c>
      <c r="W943" t="s">
        <v>776</v>
      </c>
      <c r="X943" t="s">
        <v>776</v>
      </c>
      <c r="AC943" s="13">
        <v>44712</v>
      </c>
      <c r="AD943" s="13">
        <v>44712</v>
      </c>
      <c r="AI943">
        <v>-83</v>
      </c>
      <c r="AN943" t="s">
        <v>31</v>
      </c>
      <c r="AO943">
        <v>0</v>
      </c>
      <c r="AS943" t="s">
        <v>392</v>
      </c>
      <c r="AX943" t="s">
        <v>57</v>
      </c>
      <c r="AY943" t="s">
        <v>386</v>
      </c>
      <c r="AZ943" t="s">
        <v>777</v>
      </c>
      <c r="BF943">
        <v>0</v>
      </c>
      <c r="BK943" t="s">
        <v>31</v>
      </c>
      <c r="BS943" t="s">
        <v>412</v>
      </c>
      <c r="CI943" t="s">
        <v>388</v>
      </c>
      <c r="CJ943" s="14">
        <v>45014</v>
      </c>
      <c r="CK943">
        <v>1</v>
      </c>
    </row>
    <row r="944" spans="1:89">
      <c r="A944" t="s">
        <v>778</v>
      </c>
      <c r="B944" t="s">
        <v>374</v>
      </c>
      <c r="C944" t="s">
        <v>779</v>
      </c>
      <c r="D944" t="s">
        <v>780</v>
      </c>
      <c r="E944" t="s">
        <v>781</v>
      </c>
      <c r="F944" s="13">
        <v>44795.505972222221</v>
      </c>
      <c r="G944" t="s">
        <v>641</v>
      </c>
      <c r="H944" t="s">
        <v>642</v>
      </c>
      <c r="I944" s="13">
        <v>44795.505983796298</v>
      </c>
      <c r="K944" t="s">
        <v>412</v>
      </c>
      <c r="M944" s="13">
        <v>44635</v>
      </c>
      <c r="R944">
        <v>0</v>
      </c>
      <c r="S944" t="s">
        <v>380</v>
      </c>
      <c r="T944" t="s">
        <v>57</v>
      </c>
      <c r="V944" t="s">
        <v>381</v>
      </c>
      <c r="W944" t="s">
        <v>782</v>
      </c>
      <c r="X944" t="s">
        <v>782</v>
      </c>
      <c r="AC944" s="13">
        <v>44635</v>
      </c>
      <c r="AD944" s="13">
        <v>44635</v>
      </c>
      <c r="AI944">
        <v>-160</v>
      </c>
      <c r="AN944" t="s">
        <v>31</v>
      </c>
      <c r="AO944">
        <v>0</v>
      </c>
      <c r="AS944" t="s">
        <v>648</v>
      </c>
      <c r="AX944" t="s">
        <v>31</v>
      </c>
      <c r="AY944" t="s">
        <v>442</v>
      </c>
      <c r="AZ944" t="s">
        <v>783</v>
      </c>
      <c r="BF944">
        <v>0</v>
      </c>
      <c r="BK944" t="s">
        <v>31</v>
      </c>
      <c r="BS944" t="s">
        <v>412</v>
      </c>
      <c r="CI944" t="s">
        <v>388</v>
      </c>
      <c r="CJ944" s="14">
        <v>45014</v>
      </c>
      <c r="CK944">
        <v>1</v>
      </c>
    </row>
    <row r="945" spans="1:89">
      <c r="A945" t="s">
        <v>778</v>
      </c>
      <c r="B945" t="s">
        <v>374</v>
      </c>
      <c r="C945" t="s">
        <v>779</v>
      </c>
      <c r="D945" t="s">
        <v>784</v>
      </c>
      <c r="E945" t="s">
        <v>785</v>
      </c>
      <c r="F945" s="13">
        <v>44795.505949074075</v>
      </c>
      <c r="G945" t="s">
        <v>641</v>
      </c>
      <c r="H945" t="s">
        <v>642</v>
      </c>
      <c r="I945" s="13">
        <v>44795.505960648145</v>
      </c>
      <c r="K945" t="s">
        <v>412</v>
      </c>
      <c r="M945" s="13">
        <v>44635</v>
      </c>
      <c r="R945">
        <v>0</v>
      </c>
      <c r="S945" t="s">
        <v>380</v>
      </c>
      <c r="T945" t="s">
        <v>57</v>
      </c>
      <c r="V945" t="s">
        <v>381</v>
      </c>
      <c r="W945" t="s">
        <v>782</v>
      </c>
      <c r="X945" t="s">
        <v>782</v>
      </c>
      <c r="AC945" s="13">
        <v>44635</v>
      </c>
      <c r="AD945" s="13">
        <v>44635</v>
      </c>
      <c r="AI945">
        <v>-160</v>
      </c>
      <c r="AN945" t="s">
        <v>31</v>
      </c>
      <c r="AO945">
        <v>0</v>
      </c>
      <c r="AS945" t="s">
        <v>648</v>
      </c>
      <c r="AX945" t="s">
        <v>31</v>
      </c>
      <c r="AY945" t="s">
        <v>442</v>
      </c>
      <c r="AZ945" t="s">
        <v>786</v>
      </c>
      <c r="BF945">
        <v>0</v>
      </c>
      <c r="BK945" t="s">
        <v>31</v>
      </c>
      <c r="BS945" t="s">
        <v>412</v>
      </c>
      <c r="CI945" t="s">
        <v>388</v>
      </c>
      <c r="CJ945" s="14">
        <v>45014</v>
      </c>
      <c r="CK945">
        <v>1</v>
      </c>
    </row>
    <row r="946" spans="1:89">
      <c r="A946" t="s">
        <v>778</v>
      </c>
      <c r="B946" t="s">
        <v>374</v>
      </c>
      <c r="C946" t="s">
        <v>779</v>
      </c>
      <c r="D946" t="s">
        <v>787</v>
      </c>
      <c r="E946" t="s">
        <v>788</v>
      </c>
      <c r="F946" s="13">
        <v>44795.505925925929</v>
      </c>
      <c r="G946" t="s">
        <v>641</v>
      </c>
      <c r="H946" t="s">
        <v>642</v>
      </c>
      <c r="I946" s="13">
        <v>44795.505937499998</v>
      </c>
      <c r="K946" t="s">
        <v>412</v>
      </c>
      <c r="M946" s="13">
        <v>44666</v>
      </c>
      <c r="R946">
        <v>0</v>
      </c>
      <c r="S946" t="s">
        <v>380</v>
      </c>
      <c r="T946" t="s">
        <v>57</v>
      </c>
      <c r="V946" t="s">
        <v>381</v>
      </c>
      <c r="W946" t="s">
        <v>782</v>
      </c>
      <c r="X946" t="s">
        <v>782</v>
      </c>
      <c r="AC946" s="13">
        <v>44666</v>
      </c>
      <c r="AD946" s="13">
        <v>44666</v>
      </c>
      <c r="AI946">
        <v>-129</v>
      </c>
      <c r="AN946" t="s">
        <v>31</v>
      </c>
      <c r="AO946">
        <v>0</v>
      </c>
      <c r="AS946" t="s">
        <v>702</v>
      </c>
      <c r="AX946" t="s">
        <v>31</v>
      </c>
      <c r="AY946" t="s">
        <v>442</v>
      </c>
      <c r="AZ946" t="s">
        <v>789</v>
      </c>
      <c r="BF946">
        <v>0</v>
      </c>
      <c r="BK946" t="s">
        <v>31</v>
      </c>
      <c r="BS946" t="s">
        <v>412</v>
      </c>
      <c r="CI946" t="s">
        <v>388</v>
      </c>
      <c r="CJ946" s="14">
        <v>45014</v>
      </c>
      <c r="CK946">
        <v>1</v>
      </c>
    </row>
    <row r="947" spans="1:89">
      <c r="A947" t="s">
        <v>778</v>
      </c>
      <c r="B947" t="s">
        <v>374</v>
      </c>
      <c r="C947" t="s">
        <v>779</v>
      </c>
      <c r="D947" t="s">
        <v>790</v>
      </c>
      <c r="E947" t="s">
        <v>791</v>
      </c>
      <c r="F947" s="13">
        <v>44795.505902777775</v>
      </c>
      <c r="G947" t="s">
        <v>641</v>
      </c>
      <c r="H947" t="s">
        <v>642</v>
      </c>
      <c r="I947" s="13">
        <v>44795.505914351852</v>
      </c>
      <c r="K947" t="s">
        <v>412</v>
      </c>
      <c r="M947" s="13">
        <v>44620</v>
      </c>
      <c r="R947">
        <v>0</v>
      </c>
      <c r="S947" t="s">
        <v>380</v>
      </c>
      <c r="T947" t="s">
        <v>57</v>
      </c>
      <c r="V947" t="s">
        <v>381</v>
      </c>
      <c r="W947" t="s">
        <v>792</v>
      </c>
      <c r="X947" t="s">
        <v>792</v>
      </c>
      <c r="AC947" s="13">
        <v>44620</v>
      </c>
      <c r="AD947" s="13">
        <v>44620</v>
      </c>
      <c r="AI947">
        <v>-175</v>
      </c>
      <c r="AN947" t="s">
        <v>31</v>
      </c>
      <c r="AO947">
        <v>0</v>
      </c>
      <c r="AS947" t="s">
        <v>385</v>
      </c>
      <c r="AX947" t="s">
        <v>57</v>
      </c>
      <c r="AY947" t="s">
        <v>386</v>
      </c>
      <c r="AZ947" t="s">
        <v>721</v>
      </c>
      <c r="BF947">
        <v>0</v>
      </c>
      <c r="BK947" t="s">
        <v>31</v>
      </c>
      <c r="BS947" t="s">
        <v>412</v>
      </c>
      <c r="CI947" t="s">
        <v>388</v>
      </c>
      <c r="CJ947" s="14">
        <v>45014</v>
      </c>
      <c r="CK947">
        <v>1</v>
      </c>
    </row>
    <row r="948" spans="1:89">
      <c r="A948" t="s">
        <v>778</v>
      </c>
      <c r="B948" t="s">
        <v>374</v>
      </c>
      <c r="C948" t="s">
        <v>779</v>
      </c>
      <c r="D948" t="s">
        <v>793</v>
      </c>
      <c r="E948" t="s">
        <v>794</v>
      </c>
      <c r="F948" s="13">
        <v>44795.505879629629</v>
      </c>
      <c r="G948" t="s">
        <v>641</v>
      </c>
      <c r="H948" t="s">
        <v>642</v>
      </c>
      <c r="I948" s="13">
        <v>44795.505891203706</v>
      </c>
      <c r="K948" t="s">
        <v>412</v>
      </c>
      <c r="M948" s="13">
        <v>44681</v>
      </c>
      <c r="R948">
        <v>0</v>
      </c>
      <c r="S948" t="s">
        <v>380</v>
      </c>
      <c r="T948" t="s">
        <v>57</v>
      </c>
      <c r="V948" t="s">
        <v>381</v>
      </c>
      <c r="W948" t="s">
        <v>792</v>
      </c>
      <c r="X948" t="s">
        <v>792</v>
      </c>
      <c r="AC948" s="13">
        <v>44681</v>
      </c>
      <c r="AD948" s="13">
        <v>44681</v>
      </c>
      <c r="AI948">
        <v>-114</v>
      </c>
      <c r="AN948" t="s">
        <v>31</v>
      </c>
      <c r="AO948">
        <v>0</v>
      </c>
      <c r="AS948" t="s">
        <v>385</v>
      </c>
      <c r="AX948" t="s">
        <v>57</v>
      </c>
      <c r="AY948" t="s">
        <v>386</v>
      </c>
      <c r="AZ948" t="s">
        <v>721</v>
      </c>
      <c r="BF948">
        <v>0</v>
      </c>
      <c r="BK948" t="s">
        <v>31</v>
      </c>
      <c r="BS948" t="s">
        <v>412</v>
      </c>
      <c r="CI948" t="s">
        <v>388</v>
      </c>
      <c r="CJ948" s="14">
        <v>45014</v>
      </c>
      <c r="CK948">
        <v>1</v>
      </c>
    </row>
    <row r="949" spans="1:89">
      <c r="A949" t="s">
        <v>778</v>
      </c>
      <c r="B949" t="s">
        <v>374</v>
      </c>
      <c r="C949" t="s">
        <v>779</v>
      </c>
      <c r="D949" t="s">
        <v>795</v>
      </c>
      <c r="E949" t="s">
        <v>796</v>
      </c>
      <c r="F949" s="13">
        <v>44795.505856481483</v>
      </c>
      <c r="G949" t="s">
        <v>641</v>
      </c>
      <c r="H949" t="s">
        <v>642</v>
      </c>
      <c r="I949" s="13">
        <v>44795.505868055552</v>
      </c>
      <c r="K949" t="s">
        <v>412</v>
      </c>
      <c r="M949" s="13">
        <v>44681</v>
      </c>
      <c r="R949">
        <v>0</v>
      </c>
      <c r="S949" t="s">
        <v>380</v>
      </c>
      <c r="T949" t="s">
        <v>57</v>
      </c>
      <c r="V949" t="s">
        <v>381</v>
      </c>
      <c r="W949" t="s">
        <v>792</v>
      </c>
      <c r="X949" t="s">
        <v>792</v>
      </c>
      <c r="AC949" s="13">
        <v>44681</v>
      </c>
      <c r="AD949" s="13">
        <v>44681</v>
      </c>
      <c r="AI949">
        <v>-114</v>
      </c>
      <c r="AN949" t="s">
        <v>31</v>
      </c>
      <c r="AO949">
        <v>0</v>
      </c>
      <c r="AS949" t="s">
        <v>385</v>
      </c>
      <c r="AX949" t="s">
        <v>57</v>
      </c>
      <c r="AY949" t="s">
        <v>386</v>
      </c>
      <c r="AZ949" t="s">
        <v>721</v>
      </c>
      <c r="BF949">
        <v>0</v>
      </c>
      <c r="BK949" t="s">
        <v>31</v>
      </c>
      <c r="BS949" t="s">
        <v>412</v>
      </c>
      <c r="CI949" t="s">
        <v>388</v>
      </c>
      <c r="CJ949" s="14">
        <v>45014</v>
      </c>
      <c r="CK949">
        <v>1</v>
      </c>
    </row>
    <row r="950" spans="1:89">
      <c r="A950" t="s">
        <v>797</v>
      </c>
      <c r="B950" t="s">
        <v>374</v>
      </c>
      <c r="C950" t="s">
        <v>607</v>
      </c>
      <c r="D950" t="s">
        <v>798</v>
      </c>
      <c r="E950" t="s">
        <v>799</v>
      </c>
      <c r="F950" s="13">
        <v>44795.505833333336</v>
      </c>
      <c r="G950" t="s">
        <v>641</v>
      </c>
      <c r="H950" t="s">
        <v>642</v>
      </c>
      <c r="I950" s="13">
        <v>44795.505844907406</v>
      </c>
      <c r="K950" t="s">
        <v>412</v>
      </c>
      <c r="M950" s="13">
        <v>44596</v>
      </c>
      <c r="R950">
        <v>0</v>
      </c>
      <c r="S950" t="s">
        <v>416</v>
      </c>
      <c r="T950" t="s">
        <v>57</v>
      </c>
      <c r="V950" t="s">
        <v>381</v>
      </c>
      <c r="W950" t="s">
        <v>800</v>
      </c>
      <c r="X950" t="s">
        <v>800</v>
      </c>
      <c r="AC950" s="13">
        <v>44596</v>
      </c>
      <c r="AD950" s="13">
        <v>44596</v>
      </c>
      <c r="AI950">
        <v>-199</v>
      </c>
      <c r="AN950" t="s">
        <v>31</v>
      </c>
      <c r="AO950">
        <v>0</v>
      </c>
      <c r="AS950" t="s">
        <v>538</v>
      </c>
      <c r="AX950" t="s">
        <v>57</v>
      </c>
      <c r="AY950" t="s">
        <v>386</v>
      </c>
      <c r="AZ950" t="s">
        <v>721</v>
      </c>
      <c r="BF950">
        <v>0</v>
      </c>
      <c r="BK950" t="s">
        <v>31</v>
      </c>
      <c r="BS950" t="s">
        <v>412</v>
      </c>
      <c r="CI950" t="s">
        <v>388</v>
      </c>
      <c r="CJ950" s="14">
        <v>45014</v>
      </c>
      <c r="CK950">
        <v>1</v>
      </c>
    </row>
    <row r="951" spans="1:89">
      <c r="A951" t="s">
        <v>797</v>
      </c>
      <c r="B951" t="s">
        <v>374</v>
      </c>
      <c r="C951" t="s">
        <v>607</v>
      </c>
      <c r="D951" t="s">
        <v>801</v>
      </c>
      <c r="E951" t="s">
        <v>802</v>
      </c>
      <c r="F951" s="13">
        <v>44795.505810185183</v>
      </c>
      <c r="G951" t="s">
        <v>641</v>
      </c>
      <c r="H951" t="s">
        <v>642</v>
      </c>
      <c r="I951" s="13">
        <v>44795.50582175926</v>
      </c>
      <c r="K951" t="s">
        <v>412</v>
      </c>
      <c r="M951" s="13">
        <v>44610</v>
      </c>
      <c r="R951">
        <v>0</v>
      </c>
      <c r="S951" t="s">
        <v>380</v>
      </c>
      <c r="T951" t="s">
        <v>57</v>
      </c>
      <c r="V951" t="s">
        <v>381</v>
      </c>
      <c r="W951" t="s">
        <v>800</v>
      </c>
      <c r="X951" t="s">
        <v>800</v>
      </c>
      <c r="AC951" s="13">
        <v>44610</v>
      </c>
      <c r="AD951" s="13">
        <v>44610</v>
      </c>
      <c r="AI951">
        <v>-185</v>
      </c>
      <c r="AN951" t="s">
        <v>31</v>
      </c>
      <c r="AO951">
        <v>0</v>
      </c>
      <c r="AS951" t="s">
        <v>538</v>
      </c>
      <c r="AX951" t="s">
        <v>57</v>
      </c>
      <c r="AY951" t="s">
        <v>386</v>
      </c>
      <c r="AZ951" t="s">
        <v>721</v>
      </c>
      <c r="BF951">
        <v>0</v>
      </c>
      <c r="BK951" t="s">
        <v>31</v>
      </c>
      <c r="BS951" t="s">
        <v>412</v>
      </c>
      <c r="CI951" t="s">
        <v>388</v>
      </c>
      <c r="CJ951" s="14">
        <v>45014</v>
      </c>
      <c r="CK951">
        <v>1</v>
      </c>
    </row>
    <row r="952" spans="1:89">
      <c r="A952" t="s">
        <v>797</v>
      </c>
      <c r="B952" t="s">
        <v>374</v>
      </c>
      <c r="C952" t="s">
        <v>607</v>
      </c>
      <c r="D952" t="s">
        <v>803</v>
      </c>
      <c r="E952" t="s">
        <v>804</v>
      </c>
      <c r="F952" s="13">
        <v>44795.505787037036</v>
      </c>
      <c r="G952" t="s">
        <v>641</v>
      </c>
      <c r="H952" t="s">
        <v>642</v>
      </c>
      <c r="I952" s="13">
        <v>44795.505798611113</v>
      </c>
      <c r="K952" t="s">
        <v>412</v>
      </c>
      <c r="M952" s="13">
        <v>44616</v>
      </c>
      <c r="R952">
        <v>0</v>
      </c>
      <c r="S952" t="s">
        <v>380</v>
      </c>
      <c r="T952" t="s">
        <v>57</v>
      </c>
      <c r="V952" t="s">
        <v>381</v>
      </c>
      <c r="W952" t="s">
        <v>800</v>
      </c>
      <c r="X952" t="s">
        <v>800</v>
      </c>
      <c r="AC952" s="13">
        <v>44616</v>
      </c>
      <c r="AD952" s="13">
        <v>44616</v>
      </c>
      <c r="AI952">
        <v>-179</v>
      </c>
      <c r="AN952" t="s">
        <v>31</v>
      </c>
      <c r="AO952">
        <v>0</v>
      </c>
      <c r="AS952" t="s">
        <v>538</v>
      </c>
      <c r="AX952" t="s">
        <v>57</v>
      </c>
      <c r="AY952" t="s">
        <v>386</v>
      </c>
      <c r="AZ952" t="s">
        <v>721</v>
      </c>
      <c r="BF952">
        <v>0</v>
      </c>
      <c r="BK952" t="s">
        <v>31</v>
      </c>
      <c r="BS952" t="s">
        <v>412</v>
      </c>
      <c r="CI952" t="s">
        <v>388</v>
      </c>
      <c r="CJ952" s="14">
        <v>45014</v>
      </c>
      <c r="CK952">
        <v>1</v>
      </c>
    </row>
    <row r="953" spans="1:89">
      <c r="A953" t="s">
        <v>805</v>
      </c>
      <c r="B953" t="s">
        <v>374</v>
      </c>
      <c r="C953" t="s">
        <v>806</v>
      </c>
      <c r="D953" t="s">
        <v>807</v>
      </c>
      <c r="E953" t="s">
        <v>808</v>
      </c>
      <c r="F953" s="13">
        <v>44795.50576388889</v>
      </c>
      <c r="G953" t="s">
        <v>641</v>
      </c>
      <c r="H953" t="s">
        <v>642</v>
      </c>
      <c r="I953" s="13">
        <v>44795.50577546296</v>
      </c>
      <c r="K953" t="s">
        <v>412</v>
      </c>
      <c r="M953" s="13">
        <v>44637</v>
      </c>
      <c r="R953">
        <v>0</v>
      </c>
      <c r="S953" t="s">
        <v>380</v>
      </c>
      <c r="T953" t="s">
        <v>57</v>
      </c>
      <c r="V953" t="s">
        <v>381</v>
      </c>
      <c r="W953" t="s">
        <v>809</v>
      </c>
      <c r="X953" t="s">
        <v>809</v>
      </c>
      <c r="AC953" s="13">
        <v>44637</v>
      </c>
      <c r="AD953" s="13">
        <v>44637</v>
      </c>
      <c r="AI953">
        <v>-158</v>
      </c>
      <c r="AN953" t="s">
        <v>31</v>
      </c>
      <c r="AO953">
        <v>0</v>
      </c>
      <c r="AS953" t="s">
        <v>538</v>
      </c>
      <c r="AX953" t="s">
        <v>57</v>
      </c>
      <c r="AY953" t="s">
        <v>442</v>
      </c>
      <c r="AZ953" t="s">
        <v>721</v>
      </c>
      <c r="BF953">
        <v>0</v>
      </c>
      <c r="BK953" t="s">
        <v>31</v>
      </c>
      <c r="BS953" t="s">
        <v>412</v>
      </c>
      <c r="CI953" t="s">
        <v>388</v>
      </c>
      <c r="CJ953" s="14">
        <v>45014</v>
      </c>
      <c r="CK953">
        <v>1</v>
      </c>
    </row>
    <row r="954" spans="1:89">
      <c r="A954" t="s">
        <v>805</v>
      </c>
      <c r="B954" t="s">
        <v>374</v>
      </c>
      <c r="C954" t="s">
        <v>806</v>
      </c>
      <c r="D954" t="s">
        <v>810</v>
      </c>
      <c r="E954" t="s">
        <v>811</v>
      </c>
      <c r="F954" s="13">
        <v>44795.505740740744</v>
      </c>
      <c r="G954" t="s">
        <v>641</v>
      </c>
      <c r="H954" t="s">
        <v>642</v>
      </c>
      <c r="I954" s="13">
        <v>44795.505752314813</v>
      </c>
      <c r="K954" t="s">
        <v>412</v>
      </c>
      <c r="M954" s="13">
        <v>44663</v>
      </c>
      <c r="R954">
        <v>0</v>
      </c>
      <c r="S954" t="s">
        <v>380</v>
      </c>
      <c r="T954" t="s">
        <v>57</v>
      </c>
      <c r="V954" t="s">
        <v>381</v>
      </c>
      <c r="W954" t="s">
        <v>809</v>
      </c>
      <c r="X954" t="s">
        <v>809</v>
      </c>
      <c r="AC954" s="13">
        <v>44663</v>
      </c>
      <c r="AD954" s="13">
        <v>44663</v>
      </c>
      <c r="AI954">
        <v>-132</v>
      </c>
      <c r="AN954" t="s">
        <v>31</v>
      </c>
      <c r="AO954">
        <v>0</v>
      </c>
      <c r="AS954" t="s">
        <v>538</v>
      </c>
      <c r="AX954" t="s">
        <v>57</v>
      </c>
      <c r="AY954" t="s">
        <v>386</v>
      </c>
      <c r="AZ954" t="s">
        <v>721</v>
      </c>
      <c r="BF954">
        <v>0</v>
      </c>
      <c r="BK954" t="s">
        <v>31</v>
      </c>
      <c r="BS954" t="s">
        <v>412</v>
      </c>
      <c r="CI954" t="s">
        <v>388</v>
      </c>
      <c r="CJ954" s="14">
        <v>45014</v>
      </c>
      <c r="CK954">
        <v>1</v>
      </c>
    </row>
    <row r="955" spans="1:89">
      <c r="A955" t="s">
        <v>797</v>
      </c>
      <c r="B955" t="s">
        <v>374</v>
      </c>
      <c r="C955" t="s">
        <v>607</v>
      </c>
      <c r="D955" t="s">
        <v>812</v>
      </c>
      <c r="E955" t="s">
        <v>804</v>
      </c>
      <c r="F955" s="13">
        <v>44795.50571759259</v>
      </c>
      <c r="G955" t="s">
        <v>641</v>
      </c>
      <c r="H955" t="s">
        <v>642</v>
      </c>
      <c r="I955" s="13">
        <v>44795.505729166667</v>
      </c>
      <c r="K955" t="s">
        <v>412</v>
      </c>
      <c r="M955" s="13">
        <v>44616</v>
      </c>
      <c r="R955">
        <v>0</v>
      </c>
      <c r="S955" t="s">
        <v>380</v>
      </c>
      <c r="T955" t="s">
        <v>57</v>
      </c>
      <c r="V955" t="s">
        <v>381</v>
      </c>
      <c r="W955" t="s">
        <v>800</v>
      </c>
      <c r="X955" t="s">
        <v>800</v>
      </c>
      <c r="AC955" s="13">
        <v>44616</v>
      </c>
      <c r="AD955" s="13">
        <v>44616</v>
      </c>
      <c r="AI955">
        <v>-179</v>
      </c>
      <c r="AN955" t="s">
        <v>31</v>
      </c>
      <c r="AO955">
        <v>0</v>
      </c>
      <c r="AS955" t="s">
        <v>538</v>
      </c>
      <c r="AX955" t="s">
        <v>57</v>
      </c>
      <c r="AY955" t="s">
        <v>386</v>
      </c>
      <c r="AZ955" t="s">
        <v>721</v>
      </c>
      <c r="BF955">
        <v>0</v>
      </c>
      <c r="BK955" t="s">
        <v>31</v>
      </c>
      <c r="BS955" t="s">
        <v>412</v>
      </c>
      <c r="CI955" t="s">
        <v>388</v>
      </c>
      <c r="CJ955" s="14">
        <v>45014</v>
      </c>
      <c r="CK955">
        <v>1</v>
      </c>
    </row>
    <row r="956" spans="1:89">
      <c r="A956" t="s">
        <v>805</v>
      </c>
      <c r="B956" t="s">
        <v>374</v>
      </c>
      <c r="C956" t="s">
        <v>806</v>
      </c>
      <c r="D956" t="s">
        <v>813</v>
      </c>
      <c r="E956" t="s">
        <v>808</v>
      </c>
      <c r="F956" s="13">
        <v>44795.505694444444</v>
      </c>
      <c r="G956" t="s">
        <v>641</v>
      </c>
      <c r="H956" t="s">
        <v>642</v>
      </c>
      <c r="I956" s="13">
        <v>44795.505706018521</v>
      </c>
      <c r="K956" t="s">
        <v>412</v>
      </c>
      <c r="M956" s="13">
        <v>44637</v>
      </c>
      <c r="R956">
        <v>0</v>
      </c>
      <c r="S956" t="s">
        <v>380</v>
      </c>
      <c r="T956" t="s">
        <v>57</v>
      </c>
      <c r="V956" t="s">
        <v>381</v>
      </c>
      <c r="W956" t="s">
        <v>809</v>
      </c>
      <c r="X956" t="s">
        <v>809</v>
      </c>
      <c r="AC956" s="13">
        <v>44637</v>
      </c>
      <c r="AD956" s="13">
        <v>44637</v>
      </c>
      <c r="AI956">
        <v>-158</v>
      </c>
      <c r="AN956" t="s">
        <v>31</v>
      </c>
      <c r="AO956">
        <v>0</v>
      </c>
      <c r="AS956" t="s">
        <v>538</v>
      </c>
      <c r="AX956" t="s">
        <v>57</v>
      </c>
      <c r="AY956" t="s">
        <v>442</v>
      </c>
      <c r="AZ956" t="s">
        <v>721</v>
      </c>
      <c r="BF956">
        <v>0</v>
      </c>
      <c r="BK956" t="s">
        <v>31</v>
      </c>
      <c r="BS956" t="s">
        <v>412</v>
      </c>
      <c r="CI956" t="s">
        <v>388</v>
      </c>
      <c r="CJ956" s="14">
        <v>45014</v>
      </c>
      <c r="CK956">
        <v>1</v>
      </c>
    </row>
    <row r="957" spans="1:89">
      <c r="A957" t="s">
        <v>805</v>
      </c>
      <c r="B957" t="s">
        <v>374</v>
      </c>
      <c r="C957" t="s">
        <v>806</v>
      </c>
      <c r="D957" t="s">
        <v>814</v>
      </c>
      <c r="E957" t="s">
        <v>811</v>
      </c>
      <c r="F957" s="13">
        <v>44795.505659722221</v>
      </c>
      <c r="G957" t="s">
        <v>641</v>
      </c>
      <c r="H957" t="s">
        <v>642</v>
      </c>
      <c r="I957" s="13">
        <v>44795.505671296298</v>
      </c>
      <c r="K957" t="s">
        <v>412</v>
      </c>
      <c r="M957" s="13">
        <v>44663</v>
      </c>
      <c r="R957">
        <v>0</v>
      </c>
      <c r="S957" t="s">
        <v>380</v>
      </c>
      <c r="T957" t="s">
        <v>57</v>
      </c>
      <c r="V957" t="s">
        <v>381</v>
      </c>
      <c r="W957" t="s">
        <v>809</v>
      </c>
      <c r="X957" t="s">
        <v>809</v>
      </c>
      <c r="AC957" s="13">
        <v>44663</v>
      </c>
      <c r="AD957" s="13">
        <v>44663</v>
      </c>
      <c r="AI957">
        <v>-132</v>
      </c>
      <c r="AN957" t="s">
        <v>31</v>
      </c>
      <c r="AO957">
        <v>0</v>
      </c>
      <c r="AS957" t="s">
        <v>538</v>
      </c>
      <c r="AX957" t="s">
        <v>57</v>
      </c>
      <c r="AY957" t="s">
        <v>386</v>
      </c>
      <c r="AZ957" t="s">
        <v>721</v>
      </c>
      <c r="BF957">
        <v>0</v>
      </c>
      <c r="BK957" t="s">
        <v>31</v>
      </c>
      <c r="BS957" t="s">
        <v>412</v>
      </c>
      <c r="CI957" t="s">
        <v>388</v>
      </c>
      <c r="CJ957" s="14">
        <v>45014</v>
      </c>
      <c r="CK957">
        <v>1</v>
      </c>
    </row>
    <row r="958" spans="1:89">
      <c r="A958" t="s">
        <v>805</v>
      </c>
      <c r="B958" t="s">
        <v>374</v>
      </c>
      <c r="C958" t="s">
        <v>806</v>
      </c>
      <c r="D958" t="s">
        <v>815</v>
      </c>
      <c r="E958" t="s">
        <v>816</v>
      </c>
      <c r="F958" s="13">
        <v>44795.505636574075</v>
      </c>
      <c r="G958" t="s">
        <v>641</v>
      </c>
      <c r="H958" t="s">
        <v>642</v>
      </c>
      <c r="I958" s="13">
        <v>44795.505648148152</v>
      </c>
      <c r="K958" t="s">
        <v>412</v>
      </c>
      <c r="M958" s="13">
        <v>44663</v>
      </c>
      <c r="R958">
        <v>0</v>
      </c>
      <c r="S958" t="s">
        <v>416</v>
      </c>
      <c r="T958" t="s">
        <v>57</v>
      </c>
      <c r="V958" t="s">
        <v>381</v>
      </c>
      <c r="W958" t="s">
        <v>809</v>
      </c>
      <c r="X958" t="s">
        <v>809</v>
      </c>
      <c r="AC958" s="13">
        <v>44663</v>
      </c>
      <c r="AD958" s="13">
        <v>44663</v>
      </c>
      <c r="AI958">
        <v>-132</v>
      </c>
      <c r="AN958" t="s">
        <v>31</v>
      </c>
      <c r="AO958">
        <v>0</v>
      </c>
      <c r="AS958" t="s">
        <v>385</v>
      </c>
      <c r="AX958" t="s">
        <v>57</v>
      </c>
      <c r="AY958" t="s">
        <v>386</v>
      </c>
      <c r="AZ958" t="s">
        <v>721</v>
      </c>
      <c r="BF958">
        <v>0</v>
      </c>
      <c r="BK958" t="s">
        <v>31</v>
      </c>
      <c r="BS958" t="s">
        <v>412</v>
      </c>
      <c r="CI958" t="s">
        <v>388</v>
      </c>
      <c r="CJ958" s="14">
        <v>45014</v>
      </c>
      <c r="CK958">
        <v>1</v>
      </c>
    </row>
    <row r="959" spans="1:89">
      <c r="A959" t="s">
        <v>805</v>
      </c>
      <c r="B959" t="s">
        <v>374</v>
      </c>
      <c r="C959" t="s">
        <v>806</v>
      </c>
      <c r="D959" t="s">
        <v>817</v>
      </c>
      <c r="E959" t="s">
        <v>818</v>
      </c>
      <c r="F959" s="13">
        <v>44795.505613425928</v>
      </c>
      <c r="G959" t="s">
        <v>641</v>
      </c>
      <c r="H959" t="s">
        <v>642</v>
      </c>
      <c r="I959" s="13">
        <v>44795.505624999998</v>
      </c>
      <c r="K959" t="s">
        <v>412</v>
      </c>
      <c r="M959" s="13">
        <v>44607</v>
      </c>
      <c r="R959">
        <v>0</v>
      </c>
      <c r="S959" t="s">
        <v>380</v>
      </c>
      <c r="T959" t="s">
        <v>57</v>
      </c>
      <c r="V959" t="s">
        <v>381</v>
      </c>
      <c r="W959" t="s">
        <v>809</v>
      </c>
      <c r="X959" t="s">
        <v>809</v>
      </c>
      <c r="AC959" s="13">
        <v>44607</v>
      </c>
      <c r="AD959" s="13">
        <v>44607</v>
      </c>
      <c r="AI959">
        <v>-188</v>
      </c>
      <c r="AN959" t="s">
        <v>31</v>
      </c>
      <c r="AO959">
        <v>0</v>
      </c>
      <c r="AS959" t="s">
        <v>538</v>
      </c>
      <c r="AX959" t="s">
        <v>57</v>
      </c>
      <c r="AY959" t="s">
        <v>386</v>
      </c>
      <c r="AZ959" t="s">
        <v>721</v>
      </c>
      <c r="BF959">
        <v>0</v>
      </c>
      <c r="BK959" t="s">
        <v>31</v>
      </c>
      <c r="BS959" t="s">
        <v>412</v>
      </c>
      <c r="CI959" t="s">
        <v>388</v>
      </c>
      <c r="CJ959" s="14">
        <v>45014</v>
      </c>
      <c r="CK959">
        <v>1</v>
      </c>
    </row>
    <row r="960" spans="1:89">
      <c r="A960" t="s">
        <v>819</v>
      </c>
      <c r="B960" t="s">
        <v>374</v>
      </c>
      <c r="C960" t="s">
        <v>820</v>
      </c>
      <c r="D960" t="s">
        <v>821</v>
      </c>
      <c r="E960" t="s">
        <v>822</v>
      </c>
      <c r="F960" s="13">
        <v>44795.505590277775</v>
      </c>
      <c r="G960" t="s">
        <v>641</v>
      </c>
      <c r="H960" t="s">
        <v>642</v>
      </c>
      <c r="I960" s="13">
        <v>44795.505601851852</v>
      </c>
      <c r="K960" t="s">
        <v>412</v>
      </c>
      <c r="M960" s="13">
        <v>44742</v>
      </c>
      <c r="R960">
        <v>0</v>
      </c>
      <c r="S960" t="s">
        <v>380</v>
      </c>
      <c r="T960" t="s">
        <v>57</v>
      </c>
      <c r="V960" t="s">
        <v>381</v>
      </c>
      <c r="W960" t="s">
        <v>809</v>
      </c>
      <c r="X960" t="s">
        <v>809</v>
      </c>
      <c r="AC960" s="13">
        <v>44742</v>
      </c>
      <c r="AD960" s="13">
        <v>44742</v>
      </c>
      <c r="AI960">
        <v>-53</v>
      </c>
      <c r="AN960" t="s">
        <v>31</v>
      </c>
      <c r="AO960">
        <v>0</v>
      </c>
      <c r="AS960" t="s">
        <v>392</v>
      </c>
      <c r="AX960" t="s">
        <v>57</v>
      </c>
      <c r="AY960" t="s">
        <v>386</v>
      </c>
      <c r="AZ960" t="s">
        <v>721</v>
      </c>
      <c r="BF960">
        <v>0</v>
      </c>
      <c r="BK960" t="s">
        <v>31</v>
      </c>
      <c r="BS960" t="s">
        <v>412</v>
      </c>
      <c r="CI960" t="s">
        <v>388</v>
      </c>
      <c r="CJ960" s="14">
        <v>45014</v>
      </c>
      <c r="CK960">
        <v>1</v>
      </c>
    </row>
    <row r="961" spans="1:89">
      <c r="A961" t="s">
        <v>819</v>
      </c>
      <c r="B961" t="s">
        <v>374</v>
      </c>
      <c r="C961" t="s">
        <v>820</v>
      </c>
      <c r="D961" t="s">
        <v>823</v>
      </c>
      <c r="E961" t="s">
        <v>824</v>
      </c>
      <c r="F961" s="13">
        <v>44795.505567129629</v>
      </c>
      <c r="G961" t="s">
        <v>641</v>
      </c>
      <c r="H961" t="s">
        <v>642</v>
      </c>
      <c r="I961" s="13">
        <v>44795.505578703705</v>
      </c>
      <c r="K961" t="s">
        <v>412</v>
      </c>
      <c r="M961" s="13">
        <v>44651</v>
      </c>
      <c r="R961">
        <v>0</v>
      </c>
      <c r="S961" t="s">
        <v>380</v>
      </c>
      <c r="T961" t="s">
        <v>57</v>
      </c>
      <c r="V961" t="s">
        <v>381</v>
      </c>
      <c r="W961" t="s">
        <v>792</v>
      </c>
      <c r="X961" t="s">
        <v>792</v>
      </c>
      <c r="AC961" s="13">
        <v>44651</v>
      </c>
      <c r="AD961" s="13">
        <v>44651</v>
      </c>
      <c r="AI961">
        <v>-144</v>
      </c>
      <c r="AN961" t="s">
        <v>31</v>
      </c>
      <c r="AO961">
        <v>0</v>
      </c>
      <c r="AS961" t="s">
        <v>385</v>
      </c>
      <c r="AX961" t="s">
        <v>57</v>
      </c>
      <c r="AY961" t="s">
        <v>386</v>
      </c>
      <c r="AZ961" t="s">
        <v>721</v>
      </c>
      <c r="BF961">
        <v>0</v>
      </c>
      <c r="BK961" t="s">
        <v>31</v>
      </c>
      <c r="BS961" t="s">
        <v>412</v>
      </c>
      <c r="CI961" t="s">
        <v>388</v>
      </c>
      <c r="CJ961" s="14">
        <v>45014</v>
      </c>
      <c r="CK961">
        <v>1</v>
      </c>
    </row>
    <row r="962" spans="1:89">
      <c r="A962" t="s">
        <v>797</v>
      </c>
      <c r="B962" t="s">
        <v>374</v>
      </c>
      <c r="C962" t="s">
        <v>607</v>
      </c>
      <c r="D962" t="s">
        <v>825</v>
      </c>
      <c r="E962" t="s">
        <v>826</v>
      </c>
      <c r="F962" s="13">
        <v>44795.505543981482</v>
      </c>
      <c r="G962" t="s">
        <v>641</v>
      </c>
      <c r="H962" t="s">
        <v>642</v>
      </c>
      <c r="I962" s="13">
        <v>44795.505555555559</v>
      </c>
      <c r="K962" t="s">
        <v>412</v>
      </c>
      <c r="M962" s="13">
        <v>44592</v>
      </c>
      <c r="R962">
        <v>0</v>
      </c>
      <c r="S962" t="s">
        <v>380</v>
      </c>
      <c r="T962" t="s">
        <v>57</v>
      </c>
      <c r="V962" t="s">
        <v>381</v>
      </c>
      <c r="W962" t="s">
        <v>827</v>
      </c>
      <c r="X962" t="s">
        <v>827</v>
      </c>
      <c r="AC962" s="13">
        <v>44592</v>
      </c>
      <c r="AD962" s="13">
        <v>44592</v>
      </c>
      <c r="AI962">
        <v>-203</v>
      </c>
      <c r="AN962" t="s">
        <v>31</v>
      </c>
      <c r="AO962">
        <v>0</v>
      </c>
      <c r="AS962" t="s">
        <v>385</v>
      </c>
      <c r="AX962" t="s">
        <v>57</v>
      </c>
      <c r="AY962" t="s">
        <v>386</v>
      </c>
      <c r="AZ962" t="s">
        <v>721</v>
      </c>
      <c r="BF962">
        <v>0</v>
      </c>
      <c r="BK962" t="s">
        <v>31</v>
      </c>
      <c r="BS962" t="s">
        <v>412</v>
      </c>
      <c r="CI962" t="s">
        <v>388</v>
      </c>
      <c r="CJ962" s="14">
        <v>45014</v>
      </c>
      <c r="CK962">
        <v>1</v>
      </c>
    </row>
    <row r="963" spans="1:89">
      <c r="A963" t="s">
        <v>797</v>
      </c>
      <c r="B963" t="s">
        <v>374</v>
      </c>
      <c r="C963" t="s">
        <v>607</v>
      </c>
      <c r="D963" t="s">
        <v>828</v>
      </c>
      <c r="E963" t="s">
        <v>829</v>
      </c>
      <c r="F963" s="13">
        <v>44795.505520833336</v>
      </c>
      <c r="G963" t="s">
        <v>641</v>
      </c>
      <c r="H963" t="s">
        <v>642</v>
      </c>
      <c r="I963" s="13">
        <v>44795.505532407406</v>
      </c>
      <c r="K963" t="s">
        <v>412</v>
      </c>
      <c r="M963" s="13">
        <v>44651</v>
      </c>
      <c r="R963">
        <v>0</v>
      </c>
      <c r="S963" t="s">
        <v>380</v>
      </c>
      <c r="T963" t="s">
        <v>57</v>
      </c>
      <c r="V963" t="s">
        <v>381</v>
      </c>
      <c r="W963" t="s">
        <v>827</v>
      </c>
      <c r="X963" t="s">
        <v>827</v>
      </c>
      <c r="AC963" s="13">
        <v>44651</v>
      </c>
      <c r="AD963" s="13">
        <v>44651</v>
      </c>
      <c r="AI963">
        <v>-144</v>
      </c>
      <c r="AN963" t="s">
        <v>31</v>
      </c>
      <c r="AO963">
        <v>0</v>
      </c>
      <c r="AS963" t="s">
        <v>385</v>
      </c>
      <c r="AX963" t="s">
        <v>57</v>
      </c>
      <c r="AY963" t="s">
        <v>386</v>
      </c>
      <c r="AZ963" t="s">
        <v>721</v>
      </c>
      <c r="BF963">
        <v>0</v>
      </c>
      <c r="BK963" t="s">
        <v>31</v>
      </c>
      <c r="BS963" t="s">
        <v>412</v>
      </c>
      <c r="CI963" t="s">
        <v>388</v>
      </c>
      <c r="CJ963" s="14">
        <v>45014</v>
      </c>
      <c r="CK963">
        <v>1</v>
      </c>
    </row>
    <row r="964" spans="1:89">
      <c r="A964" t="s">
        <v>819</v>
      </c>
      <c r="B964" t="s">
        <v>374</v>
      </c>
      <c r="C964" t="s">
        <v>820</v>
      </c>
      <c r="D964" t="s">
        <v>830</v>
      </c>
      <c r="E964" t="s">
        <v>831</v>
      </c>
      <c r="F964" s="13">
        <v>44795.505497685182</v>
      </c>
      <c r="G964" t="s">
        <v>641</v>
      </c>
      <c r="H964" t="s">
        <v>642</v>
      </c>
      <c r="I964" s="13">
        <v>44795.505509259259</v>
      </c>
      <c r="K964" t="s">
        <v>412</v>
      </c>
      <c r="M964" s="13">
        <v>44651</v>
      </c>
      <c r="R964">
        <v>0</v>
      </c>
      <c r="S964" t="s">
        <v>380</v>
      </c>
      <c r="T964" t="s">
        <v>57</v>
      </c>
      <c r="V964" t="s">
        <v>381</v>
      </c>
      <c r="W964" t="s">
        <v>832</v>
      </c>
      <c r="X964" t="s">
        <v>832</v>
      </c>
      <c r="AC964" s="13">
        <v>44651</v>
      </c>
      <c r="AD964" s="13">
        <v>44651</v>
      </c>
      <c r="AI964">
        <v>-144</v>
      </c>
      <c r="AN964" t="s">
        <v>31</v>
      </c>
      <c r="AO964">
        <v>0</v>
      </c>
      <c r="AS964" t="s">
        <v>385</v>
      </c>
      <c r="AX964" t="s">
        <v>57</v>
      </c>
      <c r="AY964" t="s">
        <v>386</v>
      </c>
      <c r="AZ964" t="s">
        <v>721</v>
      </c>
      <c r="BF964">
        <v>0</v>
      </c>
      <c r="BK964" t="s">
        <v>31</v>
      </c>
      <c r="BS964" t="s">
        <v>412</v>
      </c>
      <c r="CI964" t="s">
        <v>388</v>
      </c>
      <c r="CJ964" s="14">
        <v>45014</v>
      </c>
      <c r="CK964">
        <v>1</v>
      </c>
    </row>
    <row r="965" spans="1:89">
      <c r="A965" t="s">
        <v>819</v>
      </c>
      <c r="B965" t="s">
        <v>374</v>
      </c>
      <c r="C965" t="s">
        <v>820</v>
      </c>
      <c r="D965" t="s">
        <v>833</v>
      </c>
      <c r="E965" t="s">
        <v>834</v>
      </c>
      <c r="F965" s="13">
        <v>44795.505474537036</v>
      </c>
      <c r="G965" t="s">
        <v>641</v>
      </c>
      <c r="H965" t="s">
        <v>642</v>
      </c>
      <c r="I965" s="13">
        <v>44795.505486111113</v>
      </c>
      <c r="K965" t="s">
        <v>412</v>
      </c>
      <c r="M965" s="13">
        <v>44834</v>
      </c>
      <c r="R965">
        <v>0</v>
      </c>
      <c r="S965" t="s">
        <v>380</v>
      </c>
      <c r="T965" t="s">
        <v>57</v>
      </c>
      <c r="V965" t="s">
        <v>381</v>
      </c>
      <c r="W965" t="s">
        <v>832</v>
      </c>
      <c r="X965" t="s">
        <v>832</v>
      </c>
      <c r="AC965" s="13">
        <v>44834</v>
      </c>
      <c r="AD965" s="13">
        <v>44834</v>
      </c>
      <c r="AI965">
        <v>39</v>
      </c>
      <c r="AN965" t="s">
        <v>31</v>
      </c>
      <c r="AO965">
        <v>0</v>
      </c>
      <c r="AS965" t="s">
        <v>385</v>
      </c>
      <c r="AX965" t="s">
        <v>57</v>
      </c>
      <c r="AY965" t="s">
        <v>386</v>
      </c>
      <c r="AZ965" t="s">
        <v>721</v>
      </c>
      <c r="BF965">
        <v>0</v>
      </c>
      <c r="BK965" t="s">
        <v>31</v>
      </c>
      <c r="BS965" t="s">
        <v>412</v>
      </c>
      <c r="CI965" t="s">
        <v>388</v>
      </c>
      <c r="CJ965" s="14">
        <v>45014</v>
      </c>
      <c r="CK965">
        <v>1</v>
      </c>
    </row>
    <row r="966" spans="1:89">
      <c r="A966" t="s">
        <v>819</v>
      </c>
      <c r="B966" t="s">
        <v>374</v>
      </c>
      <c r="C966" t="s">
        <v>820</v>
      </c>
      <c r="D966" t="s">
        <v>835</v>
      </c>
      <c r="E966" t="s">
        <v>836</v>
      </c>
      <c r="F966" s="13">
        <v>44795.50545138889</v>
      </c>
      <c r="G966" t="s">
        <v>641</v>
      </c>
      <c r="H966" t="s">
        <v>642</v>
      </c>
      <c r="I966" s="13">
        <v>44795.505462962959</v>
      </c>
      <c r="K966" t="s">
        <v>412</v>
      </c>
      <c r="M966" s="13">
        <v>44742</v>
      </c>
      <c r="R966">
        <v>0</v>
      </c>
      <c r="S966" t="s">
        <v>380</v>
      </c>
      <c r="T966" t="s">
        <v>57</v>
      </c>
      <c r="V966" t="s">
        <v>381</v>
      </c>
      <c r="W966" t="s">
        <v>832</v>
      </c>
      <c r="X966" t="s">
        <v>832</v>
      </c>
      <c r="AC966" s="13">
        <v>44742</v>
      </c>
      <c r="AD966" s="13">
        <v>44742</v>
      </c>
      <c r="AI966">
        <v>-53</v>
      </c>
      <c r="AN966" t="s">
        <v>31</v>
      </c>
      <c r="AO966">
        <v>0</v>
      </c>
      <c r="AS966" t="s">
        <v>385</v>
      </c>
      <c r="AX966" t="s">
        <v>57</v>
      </c>
      <c r="AY966" t="s">
        <v>442</v>
      </c>
      <c r="AZ966" t="s">
        <v>721</v>
      </c>
      <c r="BF966">
        <v>0</v>
      </c>
      <c r="BK966" t="s">
        <v>31</v>
      </c>
      <c r="BS966" t="s">
        <v>412</v>
      </c>
      <c r="CI966" t="s">
        <v>388</v>
      </c>
      <c r="CJ966" s="14">
        <v>45014</v>
      </c>
      <c r="CK966">
        <v>1</v>
      </c>
    </row>
    <row r="967" spans="1:89">
      <c r="A967" t="s">
        <v>819</v>
      </c>
      <c r="B967" t="s">
        <v>374</v>
      </c>
      <c r="C967" t="s">
        <v>820</v>
      </c>
      <c r="D967" t="s">
        <v>837</v>
      </c>
      <c r="E967" t="s">
        <v>838</v>
      </c>
      <c r="F967" s="13">
        <v>44795.505428240744</v>
      </c>
      <c r="G967" t="s">
        <v>641</v>
      </c>
      <c r="H967" t="s">
        <v>642</v>
      </c>
      <c r="I967" s="13">
        <v>44795.505439814813</v>
      </c>
      <c r="K967" t="s">
        <v>412</v>
      </c>
      <c r="M967" s="13">
        <v>44742</v>
      </c>
      <c r="R967">
        <v>0</v>
      </c>
      <c r="S967" t="s">
        <v>380</v>
      </c>
      <c r="T967" t="s">
        <v>57</v>
      </c>
      <c r="V967" t="s">
        <v>381</v>
      </c>
      <c r="W967" t="s">
        <v>832</v>
      </c>
      <c r="X967" t="s">
        <v>832</v>
      </c>
      <c r="AC967" s="13">
        <v>44742</v>
      </c>
      <c r="AD967" s="13">
        <v>44742</v>
      </c>
      <c r="AI967">
        <v>-53</v>
      </c>
      <c r="AN967" t="s">
        <v>31</v>
      </c>
      <c r="AO967">
        <v>0</v>
      </c>
      <c r="AS967" t="s">
        <v>538</v>
      </c>
      <c r="AX967" t="s">
        <v>57</v>
      </c>
      <c r="AY967" t="s">
        <v>386</v>
      </c>
      <c r="AZ967" t="s">
        <v>721</v>
      </c>
      <c r="BF967">
        <v>0</v>
      </c>
      <c r="BK967" t="s">
        <v>31</v>
      </c>
      <c r="BS967" t="s">
        <v>412</v>
      </c>
      <c r="CI967" t="s">
        <v>388</v>
      </c>
      <c r="CJ967" s="14">
        <v>45014</v>
      </c>
      <c r="CK967">
        <v>1</v>
      </c>
    </row>
    <row r="968" spans="1:89">
      <c r="A968" t="s">
        <v>797</v>
      </c>
      <c r="B968" t="s">
        <v>374</v>
      </c>
      <c r="C968" t="s">
        <v>607</v>
      </c>
      <c r="D968" t="s">
        <v>839</v>
      </c>
      <c r="E968" t="s">
        <v>840</v>
      </c>
      <c r="F968" s="13">
        <v>44795.505416666667</v>
      </c>
      <c r="G968" t="s">
        <v>641</v>
      </c>
      <c r="H968" t="s">
        <v>642</v>
      </c>
      <c r="I968" s="13">
        <v>44795.505428240744</v>
      </c>
      <c r="K968" t="s">
        <v>412</v>
      </c>
      <c r="M968" s="13">
        <v>44651</v>
      </c>
      <c r="R968">
        <v>0</v>
      </c>
      <c r="S968" t="s">
        <v>380</v>
      </c>
      <c r="T968" t="s">
        <v>57</v>
      </c>
      <c r="V968" t="s">
        <v>381</v>
      </c>
      <c r="W968" t="s">
        <v>832</v>
      </c>
      <c r="X968" t="s">
        <v>832</v>
      </c>
      <c r="AC968" s="13">
        <v>44651</v>
      </c>
      <c r="AD968" s="13">
        <v>44651</v>
      </c>
      <c r="AI968">
        <v>-144</v>
      </c>
      <c r="AN968" t="s">
        <v>31</v>
      </c>
      <c r="AO968">
        <v>0</v>
      </c>
      <c r="AS968" t="s">
        <v>385</v>
      </c>
      <c r="AX968" t="s">
        <v>57</v>
      </c>
      <c r="AY968" t="s">
        <v>386</v>
      </c>
      <c r="AZ968" t="s">
        <v>721</v>
      </c>
      <c r="BF968">
        <v>0</v>
      </c>
      <c r="BK968" t="s">
        <v>31</v>
      </c>
      <c r="BS968" t="s">
        <v>412</v>
      </c>
      <c r="CI968" t="s">
        <v>388</v>
      </c>
      <c r="CJ968" s="14">
        <v>45014</v>
      </c>
      <c r="CK968">
        <v>1</v>
      </c>
    </row>
    <row r="969" spans="1:89">
      <c r="A969" t="s">
        <v>841</v>
      </c>
      <c r="B969" t="s">
        <v>374</v>
      </c>
      <c r="C969" t="s">
        <v>842</v>
      </c>
      <c r="D969" t="s">
        <v>843</v>
      </c>
      <c r="E969" t="s">
        <v>844</v>
      </c>
      <c r="F969" s="13">
        <v>44795.505381944444</v>
      </c>
      <c r="G969" t="s">
        <v>641</v>
      </c>
      <c r="H969" t="s">
        <v>642</v>
      </c>
      <c r="I969" s="13">
        <v>44795.505393518521</v>
      </c>
      <c r="K969" t="s">
        <v>412</v>
      </c>
      <c r="M969" s="13">
        <v>44926</v>
      </c>
      <c r="R969">
        <v>0</v>
      </c>
      <c r="S969" t="s">
        <v>380</v>
      </c>
      <c r="T969" t="s">
        <v>57</v>
      </c>
      <c r="V969" t="s">
        <v>381</v>
      </c>
      <c r="W969" t="s">
        <v>845</v>
      </c>
      <c r="X969" t="s">
        <v>845</v>
      </c>
      <c r="AC969" s="13">
        <v>44926</v>
      </c>
      <c r="AD969" s="13">
        <v>44926</v>
      </c>
      <c r="AI969">
        <v>131</v>
      </c>
      <c r="AN969" t="s">
        <v>31</v>
      </c>
      <c r="AO969">
        <v>0</v>
      </c>
      <c r="AS969" t="s">
        <v>538</v>
      </c>
      <c r="AX969" t="s">
        <v>57</v>
      </c>
      <c r="AY969" t="s">
        <v>442</v>
      </c>
      <c r="AZ969" t="s">
        <v>721</v>
      </c>
      <c r="BF969">
        <v>0</v>
      </c>
      <c r="BK969" t="s">
        <v>31</v>
      </c>
      <c r="BS969" t="s">
        <v>412</v>
      </c>
      <c r="CI969" t="s">
        <v>388</v>
      </c>
      <c r="CJ969" s="14">
        <v>45014</v>
      </c>
      <c r="CK969">
        <v>1</v>
      </c>
    </row>
    <row r="970" spans="1:89">
      <c r="A970" t="s">
        <v>841</v>
      </c>
      <c r="B970" t="s">
        <v>374</v>
      </c>
      <c r="C970" t="s">
        <v>842</v>
      </c>
      <c r="D970" t="s">
        <v>846</v>
      </c>
      <c r="E970" t="s">
        <v>847</v>
      </c>
      <c r="F970" s="13">
        <v>44795.505370370367</v>
      </c>
      <c r="G970" t="s">
        <v>641</v>
      </c>
      <c r="H970" t="s">
        <v>642</v>
      </c>
      <c r="I970" s="13">
        <v>44795.505381944444</v>
      </c>
      <c r="K970" t="s">
        <v>412</v>
      </c>
      <c r="M970" s="13">
        <v>44742</v>
      </c>
      <c r="R970">
        <v>0</v>
      </c>
      <c r="S970" t="s">
        <v>380</v>
      </c>
      <c r="T970" t="s">
        <v>57</v>
      </c>
      <c r="V970" t="s">
        <v>381</v>
      </c>
      <c r="W970" t="s">
        <v>845</v>
      </c>
      <c r="X970" t="s">
        <v>845</v>
      </c>
      <c r="AC970" s="13">
        <v>44742</v>
      </c>
      <c r="AD970" s="13">
        <v>44742</v>
      </c>
      <c r="AI970">
        <v>-53</v>
      </c>
      <c r="AN970" t="s">
        <v>31</v>
      </c>
      <c r="AO970">
        <v>0</v>
      </c>
      <c r="AS970" t="s">
        <v>385</v>
      </c>
      <c r="AX970" t="s">
        <v>57</v>
      </c>
      <c r="AY970" t="s">
        <v>386</v>
      </c>
      <c r="AZ970" t="s">
        <v>721</v>
      </c>
      <c r="BF970">
        <v>0</v>
      </c>
      <c r="BK970" t="s">
        <v>31</v>
      </c>
      <c r="BS970" t="s">
        <v>412</v>
      </c>
      <c r="CI970" t="s">
        <v>388</v>
      </c>
      <c r="CJ970" s="14">
        <v>45014</v>
      </c>
      <c r="CK970">
        <v>1</v>
      </c>
    </row>
    <row r="971" spans="1:89">
      <c r="A971" t="s">
        <v>841</v>
      </c>
      <c r="B971" t="s">
        <v>374</v>
      </c>
      <c r="C971" t="s">
        <v>842</v>
      </c>
      <c r="D971" t="s">
        <v>848</v>
      </c>
      <c r="E971" t="s">
        <v>847</v>
      </c>
      <c r="F971" s="13">
        <v>44795.505347222221</v>
      </c>
      <c r="G971" t="s">
        <v>641</v>
      </c>
      <c r="H971" t="s">
        <v>642</v>
      </c>
      <c r="I971" s="13">
        <v>44795.505358796298</v>
      </c>
      <c r="K971" t="s">
        <v>412</v>
      </c>
      <c r="M971" s="13">
        <v>44742</v>
      </c>
      <c r="R971">
        <v>0</v>
      </c>
      <c r="S971" t="s">
        <v>380</v>
      </c>
      <c r="T971" t="s">
        <v>57</v>
      </c>
      <c r="V971" t="s">
        <v>381</v>
      </c>
      <c r="W971" t="s">
        <v>845</v>
      </c>
      <c r="X971" t="s">
        <v>845</v>
      </c>
      <c r="AC971" s="13">
        <v>44742</v>
      </c>
      <c r="AD971" s="13">
        <v>44742</v>
      </c>
      <c r="AI971">
        <v>-53</v>
      </c>
      <c r="AN971" t="s">
        <v>31</v>
      </c>
      <c r="AO971">
        <v>0</v>
      </c>
      <c r="AS971" t="s">
        <v>385</v>
      </c>
      <c r="AX971" t="s">
        <v>57</v>
      </c>
      <c r="AY971" t="s">
        <v>386</v>
      </c>
      <c r="AZ971" t="s">
        <v>721</v>
      </c>
      <c r="BF971">
        <v>0</v>
      </c>
      <c r="BK971" t="s">
        <v>31</v>
      </c>
      <c r="BS971" t="s">
        <v>412</v>
      </c>
      <c r="CI971" t="s">
        <v>388</v>
      </c>
      <c r="CJ971" s="14">
        <v>45014</v>
      </c>
      <c r="CK971">
        <v>1</v>
      </c>
    </row>
    <row r="972" spans="1:89">
      <c r="A972" t="s">
        <v>849</v>
      </c>
      <c r="B972" t="s">
        <v>374</v>
      </c>
      <c r="C972" t="s">
        <v>850</v>
      </c>
      <c r="D972" t="s">
        <v>851</v>
      </c>
      <c r="E972" t="s">
        <v>852</v>
      </c>
      <c r="F972" s="13">
        <v>44795.505324074074</v>
      </c>
      <c r="G972" t="s">
        <v>641</v>
      </c>
      <c r="H972" t="s">
        <v>642</v>
      </c>
      <c r="I972" s="13">
        <v>44795.505335648151</v>
      </c>
      <c r="K972" t="s">
        <v>412</v>
      </c>
      <c r="M972" s="13">
        <v>44651</v>
      </c>
      <c r="R972">
        <v>0</v>
      </c>
      <c r="S972" t="s">
        <v>380</v>
      </c>
      <c r="T972" t="s">
        <v>57</v>
      </c>
      <c r="V972" t="s">
        <v>381</v>
      </c>
      <c r="W972" t="s">
        <v>800</v>
      </c>
      <c r="X972" t="s">
        <v>800</v>
      </c>
      <c r="AC972" s="13">
        <v>44651</v>
      </c>
      <c r="AD972" s="13">
        <v>44651</v>
      </c>
      <c r="AI972">
        <v>-144</v>
      </c>
      <c r="AN972" t="s">
        <v>31</v>
      </c>
      <c r="AO972">
        <v>0</v>
      </c>
      <c r="AS972" t="s">
        <v>730</v>
      </c>
      <c r="AX972" t="s">
        <v>57</v>
      </c>
      <c r="AY972" t="s">
        <v>386</v>
      </c>
      <c r="AZ972" t="s">
        <v>721</v>
      </c>
      <c r="BF972">
        <v>0</v>
      </c>
      <c r="BK972" t="s">
        <v>31</v>
      </c>
      <c r="BS972" t="s">
        <v>412</v>
      </c>
      <c r="CI972" t="s">
        <v>388</v>
      </c>
      <c r="CJ972" s="14">
        <v>45014</v>
      </c>
      <c r="CK972">
        <v>1</v>
      </c>
    </row>
    <row r="973" spans="1:89">
      <c r="A973" t="s">
        <v>849</v>
      </c>
      <c r="B973" t="s">
        <v>374</v>
      </c>
      <c r="C973" t="s">
        <v>850</v>
      </c>
      <c r="D973" t="s">
        <v>853</v>
      </c>
      <c r="E973" t="s">
        <v>854</v>
      </c>
      <c r="F973" s="13">
        <v>44795.505300925928</v>
      </c>
      <c r="G973" t="s">
        <v>641</v>
      </c>
      <c r="H973" t="s">
        <v>642</v>
      </c>
      <c r="I973" s="13">
        <v>44795.505312499998</v>
      </c>
      <c r="K973" t="s">
        <v>412</v>
      </c>
      <c r="M973" s="13">
        <v>44651</v>
      </c>
      <c r="R973">
        <v>0</v>
      </c>
      <c r="S973" t="s">
        <v>380</v>
      </c>
      <c r="T973" t="s">
        <v>57</v>
      </c>
      <c r="V973" t="s">
        <v>381</v>
      </c>
      <c r="W973" t="s">
        <v>855</v>
      </c>
      <c r="X973" t="s">
        <v>855</v>
      </c>
      <c r="AC973" s="13">
        <v>44651</v>
      </c>
      <c r="AD973" s="13">
        <v>44651</v>
      </c>
      <c r="AI973">
        <v>-144</v>
      </c>
      <c r="AN973" t="s">
        <v>31</v>
      </c>
      <c r="AO973">
        <v>0</v>
      </c>
      <c r="AS973" t="s">
        <v>538</v>
      </c>
      <c r="AX973" t="s">
        <v>57</v>
      </c>
      <c r="AY973" t="s">
        <v>386</v>
      </c>
      <c r="AZ973" t="s">
        <v>721</v>
      </c>
      <c r="BF973">
        <v>0</v>
      </c>
      <c r="BK973" t="s">
        <v>31</v>
      </c>
      <c r="BS973" t="s">
        <v>412</v>
      </c>
      <c r="CI973" t="s">
        <v>388</v>
      </c>
      <c r="CJ973" s="14">
        <v>45014</v>
      </c>
      <c r="CK973">
        <v>1</v>
      </c>
    </row>
    <row r="974" spans="1:89">
      <c r="A974" t="s">
        <v>849</v>
      </c>
      <c r="B974" t="s">
        <v>374</v>
      </c>
      <c r="C974" t="s">
        <v>850</v>
      </c>
      <c r="D974" t="s">
        <v>856</v>
      </c>
      <c r="E974" t="s">
        <v>857</v>
      </c>
      <c r="F974" s="13">
        <v>44795.505289351851</v>
      </c>
      <c r="G974" t="s">
        <v>641</v>
      </c>
      <c r="H974" t="s">
        <v>642</v>
      </c>
      <c r="I974" s="13">
        <v>44795.505289351851</v>
      </c>
      <c r="K974" t="s">
        <v>412</v>
      </c>
      <c r="M974" s="13">
        <v>44469</v>
      </c>
      <c r="R974">
        <v>0</v>
      </c>
      <c r="S974" t="s">
        <v>380</v>
      </c>
      <c r="T974" t="s">
        <v>57</v>
      </c>
      <c r="V974" t="s">
        <v>381</v>
      </c>
      <c r="W974" t="s">
        <v>858</v>
      </c>
      <c r="X974" t="s">
        <v>858</v>
      </c>
      <c r="AC974" s="13">
        <v>44469</v>
      </c>
      <c r="AD974" s="13">
        <v>44469</v>
      </c>
      <c r="AI974">
        <v>-326</v>
      </c>
      <c r="AN974" t="s">
        <v>31</v>
      </c>
      <c r="AO974">
        <v>0</v>
      </c>
      <c r="AS974" t="s">
        <v>385</v>
      </c>
      <c r="AX974" t="s">
        <v>57</v>
      </c>
      <c r="AY974" t="s">
        <v>386</v>
      </c>
      <c r="AZ974" t="s">
        <v>721</v>
      </c>
      <c r="BF974">
        <v>0</v>
      </c>
      <c r="BK974" t="s">
        <v>31</v>
      </c>
      <c r="BS974" t="s">
        <v>412</v>
      </c>
      <c r="CI974" t="s">
        <v>388</v>
      </c>
      <c r="CJ974" s="14">
        <v>45014</v>
      </c>
      <c r="CK974">
        <v>1</v>
      </c>
    </row>
    <row r="975" spans="1:89">
      <c r="A975" t="s">
        <v>859</v>
      </c>
      <c r="B975" t="s">
        <v>374</v>
      </c>
      <c r="C975" t="s">
        <v>860</v>
      </c>
      <c r="D975" t="s">
        <v>861</v>
      </c>
      <c r="E975" t="s">
        <v>862</v>
      </c>
      <c r="F975" s="13">
        <v>44795.505266203705</v>
      </c>
      <c r="G975" t="s">
        <v>641</v>
      </c>
      <c r="H975" t="s">
        <v>642</v>
      </c>
      <c r="I975" s="13">
        <v>44795.505277777775</v>
      </c>
      <c r="K975" t="s">
        <v>412</v>
      </c>
      <c r="M975" s="13">
        <v>44469</v>
      </c>
      <c r="R975">
        <v>0</v>
      </c>
      <c r="S975" t="s">
        <v>380</v>
      </c>
      <c r="T975" t="s">
        <v>57</v>
      </c>
      <c r="V975" t="s">
        <v>381</v>
      </c>
      <c r="W975" t="s">
        <v>863</v>
      </c>
      <c r="X975" t="s">
        <v>863</v>
      </c>
      <c r="AC975" s="13">
        <v>44469</v>
      </c>
      <c r="AD975" s="13">
        <v>44469</v>
      </c>
      <c r="AI975">
        <v>-326</v>
      </c>
      <c r="AN975" t="s">
        <v>31</v>
      </c>
      <c r="AO975">
        <v>0</v>
      </c>
      <c r="AS975" t="s">
        <v>385</v>
      </c>
      <c r="AX975" t="s">
        <v>57</v>
      </c>
      <c r="AY975" t="s">
        <v>386</v>
      </c>
      <c r="AZ975" t="s">
        <v>721</v>
      </c>
      <c r="BF975">
        <v>0</v>
      </c>
      <c r="BK975" t="s">
        <v>31</v>
      </c>
      <c r="BS975" t="s">
        <v>412</v>
      </c>
      <c r="CI975" t="s">
        <v>388</v>
      </c>
      <c r="CJ975" s="14">
        <v>45014</v>
      </c>
      <c r="CK975">
        <v>1</v>
      </c>
    </row>
    <row r="976" spans="1:89">
      <c r="A976" t="s">
        <v>859</v>
      </c>
      <c r="B976" t="s">
        <v>374</v>
      </c>
      <c r="C976" t="s">
        <v>860</v>
      </c>
      <c r="D976" t="s">
        <v>864</v>
      </c>
      <c r="E976" t="s">
        <v>865</v>
      </c>
      <c r="F976" s="13">
        <v>44795.505243055559</v>
      </c>
      <c r="G976" t="s">
        <v>641</v>
      </c>
      <c r="H976" t="s">
        <v>642</v>
      </c>
      <c r="I976" s="13">
        <v>44795.505254629628</v>
      </c>
      <c r="K976" t="s">
        <v>412</v>
      </c>
      <c r="M976" s="13">
        <v>44696</v>
      </c>
      <c r="R976">
        <v>0</v>
      </c>
      <c r="S976" t="s">
        <v>380</v>
      </c>
      <c r="T976" t="s">
        <v>57</v>
      </c>
      <c r="V976" t="s">
        <v>381</v>
      </c>
      <c r="W976" t="s">
        <v>866</v>
      </c>
      <c r="X976" t="s">
        <v>866</v>
      </c>
      <c r="AC976" s="13">
        <v>44545</v>
      </c>
      <c r="AD976" s="13">
        <v>44545</v>
      </c>
      <c r="AI976">
        <v>-99</v>
      </c>
      <c r="AN976" t="s">
        <v>31</v>
      </c>
      <c r="AO976">
        <v>0</v>
      </c>
      <c r="AS976" t="s">
        <v>392</v>
      </c>
      <c r="AX976" t="s">
        <v>57</v>
      </c>
      <c r="AY976" t="s">
        <v>386</v>
      </c>
      <c r="AZ976" t="s">
        <v>721</v>
      </c>
      <c r="BF976">
        <v>0</v>
      </c>
      <c r="BK976" t="s">
        <v>31</v>
      </c>
      <c r="BS976" t="s">
        <v>412</v>
      </c>
      <c r="CI976" t="s">
        <v>388</v>
      </c>
      <c r="CJ976" s="14">
        <v>45014</v>
      </c>
      <c r="CK976">
        <v>1</v>
      </c>
    </row>
    <row r="977" spans="1:89">
      <c r="A977" t="s">
        <v>867</v>
      </c>
      <c r="B977" t="s">
        <v>374</v>
      </c>
      <c r="C977" t="s">
        <v>607</v>
      </c>
      <c r="D977" t="s">
        <v>868</v>
      </c>
      <c r="E977" t="s">
        <v>869</v>
      </c>
      <c r="F977" s="13">
        <v>44795.505231481482</v>
      </c>
      <c r="G977" t="s">
        <v>641</v>
      </c>
      <c r="H977" t="s">
        <v>642</v>
      </c>
      <c r="I977" s="13">
        <v>44795.505231481482</v>
      </c>
      <c r="K977" t="s">
        <v>412</v>
      </c>
      <c r="M977" s="13">
        <v>44696</v>
      </c>
      <c r="R977">
        <v>0</v>
      </c>
      <c r="S977" t="s">
        <v>380</v>
      </c>
      <c r="T977" t="s">
        <v>57</v>
      </c>
      <c r="V977" t="s">
        <v>381</v>
      </c>
      <c r="W977" t="s">
        <v>866</v>
      </c>
      <c r="X977" t="s">
        <v>866</v>
      </c>
      <c r="AC977" s="13">
        <v>44545</v>
      </c>
      <c r="AD977" s="13">
        <v>44545</v>
      </c>
      <c r="AI977">
        <v>-99</v>
      </c>
      <c r="AN977" t="s">
        <v>31</v>
      </c>
      <c r="AO977">
        <v>0</v>
      </c>
      <c r="AS977" t="s">
        <v>385</v>
      </c>
      <c r="AX977" t="s">
        <v>57</v>
      </c>
      <c r="AY977" t="s">
        <v>386</v>
      </c>
      <c r="AZ977" t="s">
        <v>721</v>
      </c>
      <c r="BF977">
        <v>0</v>
      </c>
      <c r="BK977" t="s">
        <v>31</v>
      </c>
      <c r="BS977" t="s">
        <v>412</v>
      </c>
      <c r="CI977" t="s">
        <v>388</v>
      </c>
      <c r="CJ977" s="14">
        <v>45014</v>
      </c>
      <c r="CK977">
        <v>1</v>
      </c>
    </row>
    <row r="978" spans="1:89">
      <c r="A978" t="s">
        <v>867</v>
      </c>
      <c r="B978" t="s">
        <v>374</v>
      </c>
      <c r="C978" t="s">
        <v>607</v>
      </c>
      <c r="D978" t="s">
        <v>870</v>
      </c>
      <c r="E978" t="s">
        <v>871</v>
      </c>
      <c r="F978" s="13">
        <v>44795.505208333336</v>
      </c>
      <c r="G978" t="s">
        <v>641</v>
      </c>
      <c r="H978" t="s">
        <v>642</v>
      </c>
      <c r="I978" s="13">
        <v>44795.505219907405</v>
      </c>
      <c r="K978" t="s">
        <v>412</v>
      </c>
      <c r="M978" s="13">
        <v>44651</v>
      </c>
      <c r="R978">
        <v>0</v>
      </c>
      <c r="S978" t="s">
        <v>380</v>
      </c>
      <c r="T978" t="s">
        <v>57</v>
      </c>
      <c r="V978" t="s">
        <v>381</v>
      </c>
      <c r="W978" t="s">
        <v>800</v>
      </c>
      <c r="X978" t="s">
        <v>800</v>
      </c>
      <c r="AC978" s="13">
        <v>44651</v>
      </c>
      <c r="AD978" s="13">
        <v>44651</v>
      </c>
      <c r="AI978">
        <v>-144</v>
      </c>
      <c r="AN978" t="s">
        <v>31</v>
      </c>
      <c r="AO978">
        <v>0</v>
      </c>
      <c r="AS978" t="s">
        <v>730</v>
      </c>
      <c r="AX978" t="s">
        <v>57</v>
      </c>
      <c r="AY978" t="s">
        <v>386</v>
      </c>
      <c r="AZ978" t="s">
        <v>721</v>
      </c>
      <c r="BF978">
        <v>0</v>
      </c>
      <c r="BK978" t="s">
        <v>31</v>
      </c>
      <c r="BS978" t="s">
        <v>412</v>
      </c>
      <c r="CI978" t="s">
        <v>388</v>
      </c>
      <c r="CJ978" s="14">
        <v>45014</v>
      </c>
      <c r="CK978">
        <v>1</v>
      </c>
    </row>
    <row r="979" spans="1:89">
      <c r="A979" t="s">
        <v>714</v>
      </c>
      <c r="B979" t="s">
        <v>374</v>
      </c>
      <c r="C979" t="s">
        <v>715</v>
      </c>
      <c r="D979" t="s">
        <v>872</v>
      </c>
      <c r="E979" t="s">
        <v>873</v>
      </c>
      <c r="F979" s="13">
        <v>44795.505185185182</v>
      </c>
      <c r="G979" t="s">
        <v>641</v>
      </c>
      <c r="H979" t="s">
        <v>642</v>
      </c>
      <c r="I979" s="13">
        <v>44795.505196759259</v>
      </c>
      <c r="K979" t="s">
        <v>412</v>
      </c>
      <c r="M979" s="13">
        <v>44742</v>
      </c>
      <c r="R979">
        <v>0</v>
      </c>
      <c r="S979" t="s">
        <v>416</v>
      </c>
      <c r="T979" t="s">
        <v>57</v>
      </c>
      <c r="V979" t="s">
        <v>381</v>
      </c>
      <c r="W979" t="s">
        <v>874</v>
      </c>
      <c r="X979" t="s">
        <v>874</v>
      </c>
      <c r="AC979" s="13">
        <v>44926</v>
      </c>
      <c r="AD979" s="13">
        <v>44926</v>
      </c>
      <c r="AI979">
        <v>-53</v>
      </c>
      <c r="AN979" t="s">
        <v>31</v>
      </c>
      <c r="AO979">
        <v>0</v>
      </c>
      <c r="AS979" t="s">
        <v>392</v>
      </c>
      <c r="AY979" t="s">
        <v>442</v>
      </c>
      <c r="AZ979" t="s">
        <v>875</v>
      </c>
      <c r="BF979">
        <v>0</v>
      </c>
      <c r="BK979" t="s">
        <v>31</v>
      </c>
      <c r="BS979" t="s">
        <v>412</v>
      </c>
      <c r="CI979" t="s">
        <v>388</v>
      </c>
      <c r="CJ979" s="14">
        <v>45014</v>
      </c>
      <c r="CK979">
        <v>1</v>
      </c>
    </row>
    <row r="980" spans="1:89">
      <c r="A980" t="s">
        <v>714</v>
      </c>
      <c r="B980" t="s">
        <v>374</v>
      </c>
      <c r="C980" t="s">
        <v>715</v>
      </c>
      <c r="D980" t="s">
        <v>876</v>
      </c>
      <c r="E980" t="s">
        <v>877</v>
      </c>
      <c r="F980" s="13">
        <v>44795.505173611113</v>
      </c>
      <c r="G980" t="s">
        <v>641</v>
      </c>
      <c r="H980" t="s">
        <v>642</v>
      </c>
      <c r="I980" s="13">
        <v>44795.505173611113</v>
      </c>
      <c r="K980" t="s">
        <v>412</v>
      </c>
      <c r="M980" s="13">
        <v>44651</v>
      </c>
      <c r="R980">
        <v>0</v>
      </c>
      <c r="S980" t="s">
        <v>416</v>
      </c>
      <c r="T980" t="s">
        <v>57</v>
      </c>
      <c r="V980" t="s">
        <v>381</v>
      </c>
      <c r="W980" t="s">
        <v>874</v>
      </c>
      <c r="X980" t="s">
        <v>874</v>
      </c>
      <c r="AC980" s="13">
        <v>44742</v>
      </c>
      <c r="AD980" s="13">
        <v>44742</v>
      </c>
      <c r="AI980">
        <v>-144</v>
      </c>
      <c r="AN980" t="s">
        <v>31</v>
      </c>
      <c r="AO980">
        <v>0</v>
      </c>
      <c r="AS980" t="s">
        <v>392</v>
      </c>
      <c r="AX980" t="s">
        <v>31</v>
      </c>
      <c r="AY980" t="s">
        <v>442</v>
      </c>
      <c r="AZ980" t="s">
        <v>875</v>
      </c>
      <c r="BF980">
        <v>0</v>
      </c>
      <c r="BK980" t="s">
        <v>31</v>
      </c>
      <c r="BS980" t="s">
        <v>412</v>
      </c>
      <c r="CI980" t="s">
        <v>388</v>
      </c>
      <c r="CJ980" s="14">
        <v>45014</v>
      </c>
      <c r="CK980">
        <v>1</v>
      </c>
    </row>
    <row r="981" spans="1:89">
      <c r="A981" t="s">
        <v>714</v>
      </c>
      <c r="B981" t="s">
        <v>374</v>
      </c>
      <c r="C981" t="s">
        <v>715</v>
      </c>
      <c r="D981" t="s">
        <v>878</v>
      </c>
      <c r="E981" t="s">
        <v>879</v>
      </c>
      <c r="F981" s="13">
        <v>44795.505150462966</v>
      </c>
      <c r="G981" t="s">
        <v>641</v>
      </c>
      <c r="H981" t="s">
        <v>642</v>
      </c>
      <c r="I981" s="13">
        <v>44795.505162037036</v>
      </c>
      <c r="K981" t="s">
        <v>412</v>
      </c>
      <c r="M981" s="13">
        <v>44957</v>
      </c>
      <c r="R981">
        <v>0</v>
      </c>
      <c r="S981" t="s">
        <v>416</v>
      </c>
      <c r="T981" t="s">
        <v>57</v>
      </c>
      <c r="V981" t="s">
        <v>381</v>
      </c>
      <c r="W981" t="s">
        <v>880</v>
      </c>
      <c r="X981" t="s">
        <v>880</v>
      </c>
      <c r="AC981" s="13">
        <v>44957</v>
      </c>
      <c r="AD981" s="13">
        <v>44957</v>
      </c>
      <c r="AI981">
        <v>162</v>
      </c>
      <c r="AN981" t="s">
        <v>31</v>
      </c>
      <c r="AO981">
        <v>0</v>
      </c>
      <c r="AS981" t="s">
        <v>881</v>
      </c>
      <c r="AX981" t="s">
        <v>57</v>
      </c>
      <c r="AY981" t="s">
        <v>442</v>
      </c>
      <c r="AZ981" t="s">
        <v>882</v>
      </c>
      <c r="BF981">
        <v>0</v>
      </c>
      <c r="BK981" t="s">
        <v>31</v>
      </c>
      <c r="BS981" t="s">
        <v>412</v>
      </c>
      <c r="CI981" t="s">
        <v>388</v>
      </c>
      <c r="CJ981" s="14">
        <v>45014</v>
      </c>
      <c r="CK981">
        <v>1</v>
      </c>
    </row>
    <row r="982" spans="1:89">
      <c r="A982" t="s">
        <v>883</v>
      </c>
      <c r="B982" t="s">
        <v>374</v>
      </c>
      <c r="C982" t="s">
        <v>473</v>
      </c>
      <c r="D982" t="s">
        <v>884</v>
      </c>
      <c r="E982" t="s">
        <v>885</v>
      </c>
      <c r="F982" s="13">
        <v>44795.505127314813</v>
      </c>
      <c r="G982" t="s">
        <v>641</v>
      </c>
      <c r="H982" t="s">
        <v>642</v>
      </c>
      <c r="I982" s="13">
        <v>44795.50513888889</v>
      </c>
      <c r="K982" t="s">
        <v>412</v>
      </c>
      <c r="M982" s="13">
        <v>44576</v>
      </c>
      <c r="R982">
        <v>0</v>
      </c>
      <c r="S982" t="s">
        <v>380</v>
      </c>
      <c r="T982" t="s">
        <v>57</v>
      </c>
      <c r="V982" t="s">
        <v>381</v>
      </c>
      <c r="W982" t="s">
        <v>886</v>
      </c>
      <c r="X982" t="s">
        <v>886</v>
      </c>
      <c r="AC982" s="13">
        <v>44576</v>
      </c>
      <c r="AD982" s="13">
        <v>44576</v>
      </c>
      <c r="AI982">
        <v>-219</v>
      </c>
      <c r="AN982" t="s">
        <v>31</v>
      </c>
      <c r="AO982">
        <v>0</v>
      </c>
      <c r="AS982" t="s">
        <v>385</v>
      </c>
      <c r="AX982" t="s">
        <v>57</v>
      </c>
      <c r="AY982" t="s">
        <v>386</v>
      </c>
      <c r="AZ982" t="s">
        <v>721</v>
      </c>
      <c r="BF982">
        <v>0</v>
      </c>
      <c r="BK982" t="s">
        <v>31</v>
      </c>
      <c r="BS982" t="s">
        <v>412</v>
      </c>
      <c r="CI982" t="s">
        <v>388</v>
      </c>
      <c r="CJ982" s="14">
        <v>45014</v>
      </c>
      <c r="CK982">
        <v>1</v>
      </c>
    </row>
    <row r="983" spans="1:89">
      <c r="A983" t="s">
        <v>883</v>
      </c>
      <c r="B983" t="s">
        <v>374</v>
      </c>
      <c r="C983" t="s">
        <v>473</v>
      </c>
      <c r="D983" t="s">
        <v>887</v>
      </c>
      <c r="E983" t="s">
        <v>888</v>
      </c>
      <c r="F983" s="13">
        <v>44795.505104166667</v>
      </c>
      <c r="G983" t="s">
        <v>641</v>
      </c>
      <c r="H983" t="s">
        <v>642</v>
      </c>
      <c r="I983" s="13">
        <v>44795.505115740743</v>
      </c>
      <c r="K983" t="s">
        <v>412</v>
      </c>
      <c r="M983" s="13">
        <v>44576</v>
      </c>
      <c r="R983">
        <v>0</v>
      </c>
      <c r="S983" t="s">
        <v>380</v>
      </c>
      <c r="T983" t="s">
        <v>57</v>
      </c>
      <c r="V983" t="s">
        <v>381</v>
      </c>
      <c r="W983" t="s">
        <v>886</v>
      </c>
      <c r="X983" t="s">
        <v>886</v>
      </c>
      <c r="AC983" s="13">
        <v>44576</v>
      </c>
      <c r="AD983" s="13">
        <v>44576</v>
      </c>
      <c r="AI983">
        <v>-219</v>
      </c>
      <c r="AN983" t="s">
        <v>31</v>
      </c>
      <c r="AO983">
        <v>0</v>
      </c>
      <c r="AS983" t="s">
        <v>385</v>
      </c>
      <c r="AX983" t="s">
        <v>57</v>
      </c>
      <c r="AY983" t="s">
        <v>386</v>
      </c>
      <c r="AZ983" t="s">
        <v>721</v>
      </c>
      <c r="BF983">
        <v>0</v>
      </c>
      <c r="BK983" t="s">
        <v>31</v>
      </c>
      <c r="BS983" t="s">
        <v>412</v>
      </c>
      <c r="CI983" t="s">
        <v>388</v>
      </c>
      <c r="CJ983" s="14">
        <v>45014</v>
      </c>
      <c r="CK983">
        <v>1</v>
      </c>
    </row>
    <row r="984" spans="1:89">
      <c r="A984" t="s">
        <v>883</v>
      </c>
      <c r="B984" t="s">
        <v>374</v>
      </c>
      <c r="C984" t="s">
        <v>473</v>
      </c>
      <c r="D984" t="s">
        <v>889</v>
      </c>
      <c r="E984" t="s">
        <v>890</v>
      </c>
      <c r="F984" s="13">
        <v>44795.50509259259</v>
      </c>
      <c r="G984" t="s">
        <v>641</v>
      </c>
      <c r="H984" t="s">
        <v>642</v>
      </c>
      <c r="I984" s="13">
        <v>44795.505104166667</v>
      </c>
      <c r="K984" t="s">
        <v>412</v>
      </c>
      <c r="M984" s="13">
        <v>44576</v>
      </c>
      <c r="R984">
        <v>0</v>
      </c>
      <c r="S984" t="s">
        <v>380</v>
      </c>
      <c r="T984" t="s">
        <v>57</v>
      </c>
      <c r="V984" t="s">
        <v>381</v>
      </c>
      <c r="W984" t="s">
        <v>886</v>
      </c>
      <c r="X984" t="s">
        <v>886</v>
      </c>
      <c r="AC984" s="13">
        <v>44576</v>
      </c>
      <c r="AD984" s="13">
        <v>44576</v>
      </c>
      <c r="AI984">
        <v>-219</v>
      </c>
      <c r="AN984" t="s">
        <v>31</v>
      </c>
      <c r="AO984">
        <v>0</v>
      </c>
      <c r="AS984" t="s">
        <v>385</v>
      </c>
      <c r="AX984" t="s">
        <v>57</v>
      </c>
      <c r="AY984" t="s">
        <v>386</v>
      </c>
      <c r="AZ984" t="s">
        <v>721</v>
      </c>
      <c r="BF984">
        <v>0</v>
      </c>
      <c r="BK984" t="s">
        <v>31</v>
      </c>
      <c r="BS984" t="s">
        <v>412</v>
      </c>
      <c r="CI984" t="s">
        <v>388</v>
      </c>
      <c r="CJ984" s="14">
        <v>45014</v>
      </c>
      <c r="CK984">
        <v>1</v>
      </c>
    </row>
    <row r="985" spans="1:89">
      <c r="A985" t="s">
        <v>883</v>
      </c>
      <c r="B985" t="s">
        <v>374</v>
      </c>
      <c r="C985" t="s">
        <v>473</v>
      </c>
      <c r="D985" t="s">
        <v>891</v>
      </c>
      <c r="E985" t="s">
        <v>892</v>
      </c>
      <c r="F985" s="13">
        <v>44795.505069444444</v>
      </c>
      <c r="G985" t="s">
        <v>641</v>
      </c>
      <c r="H985" t="s">
        <v>642</v>
      </c>
      <c r="I985" s="13">
        <v>44795.50508101852</v>
      </c>
      <c r="K985" t="s">
        <v>412</v>
      </c>
      <c r="M985" s="13">
        <v>44576</v>
      </c>
      <c r="R985">
        <v>0</v>
      </c>
      <c r="S985" t="s">
        <v>380</v>
      </c>
      <c r="T985" t="s">
        <v>57</v>
      </c>
      <c r="V985" t="s">
        <v>381</v>
      </c>
      <c r="W985" t="s">
        <v>886</v>
      </c>
      <c r="X985" t="s">
        <v>886</v>
      </c>
      <c r="AC985" s="13">
        <v>44576</v>
      </c>
      <c r="AD985" s="13">
        <v>44576</v>
      </c>
      <c r="AI985">
        <v>-219</v>
      </c>
      <c r="AN985" t="s">
        <v>31</v>
      </c>
      <c r="AO985">
        <v>0</v>
      </c>
      <c r="AS985" t="s">
        <v>385</v>
      </c>
      <c r="AX985" t="s">
        <v>57</v>
      </c>
      <c r="AY985" t="s">
        <v>386</v>
      </c>
      <c r="AZ985" t="s">
        <v>721</v>
      </c>
      <c r="BF985">
        <v>0</v>
      </c>
      <c r="BK985" t="s">
        <v>31</v>
      </c>
      <c r="BS985" t="s">
        <v>412</v>
      </c>
      <c r="CI985" t="s">
        <v>388</v>
      </c>
      <c r="CJ985" s="14">
        <v>45014</v>
      </c>
      <c r="CK985">
        <v>1</v>
      </c>
    </row>
    <row r="986" spans="1:89">
      <c r="A986" t="s">
        <v>883</v>
      </c>
      <c r="B986" t="s">
        <v>374</v>
      </c>
      <c r="C986" t="s">
        <v>473</v>
      </c>
      <c r="D986" t="s">
        <v>893</v>
      </c>
      <c r="E986" t="s">
        <v>894</v>
      </c>
      <c r="F986" s="13">
        <v>44795.50503472222</v>
      </c>
      <c r="G986" t="s">
        <v>641</v>
      </c>
      <c r="H986" t="s">
        <v>642</v>
      </c>
      <c r="I986" s="13">
        <v>44795.505057870374</v>
      </c>
      <c r="K986" t="s">
        <v>412</v>
      </c>
      <c r="M986" s="13">
        <v>44576</v>
      </c>
      <c r="R986">
        <v>0</v>
      </c>
      <c r="S986" t="s">
        <v>380</v>
      </c>
      <c r="T986" t="s">
        <v>57</v>
      </c>
      <c r="V986" t="s">
        <v>381</v>
      </c>
      <c r="W986" t="s">
        <v>886</v>
      </c>
      <c r="X986" t="s">
        <v>886</v>
      </c>
      <c r="AC986" s="13">
        <v>44576</v>
      </c>
      <c r="AD986" s="13">
        <v>44576</v>
      </c>
      <c r="AI986">
        <v>-219</v>
      </c>
      <c r="AN986" t="s">
        <v>31</v>
      </c>
      <c r="AO986">
        <v>0</v>
      </c>
      <c r="AS986" t="s">
        <v>385</v>
      </c>
      <c r="AX986" t="s">
        <v>57</v>
      </c>
      <c r="AY986" t="s">
        <v>386</v>
      </c>
      <c r="AZ986" t="s">
        <v>721</v>
      </c>
      <c r="BF986">
        <v>0</v>
      </c>
      <c r="BK986" t="s">
        <v>31</v>
      </c>
      <c r="BS986" t="s">
        <v>412</v>
      </c>
      <c r="CI986" t="s">
        <v>388</v>
      </c>
      <c r="CJ986" s="14">
        <v>45014</v>
      </c>
      <c r="CK986">
        <v>1</v>
      </c>
    </row>
    <row r="987" spans="1:89">
      <c r="A987" t="s">
        <v>895</v>
      </c>
      <c r="B987" t="s">
        <v>374</v>
      </c>
      <c r="C987" t="s">
        <v>896</v>
      </c>
      <c r="D987" t="s">
        <v>897</v>
      </c>
      <c r="E987" t="s">
        <v>898</v>
      </c>
      <c r="F987" s="13">
        <v>44795.505011574074</v>
      </c>
      <c r="G987" t="s">
        <v>641</v>
      </c>
      <c r="H987" t="s">
        <v>642</v>
      </c>
      <c r="I987" s="13">
        <v>44795.50503472222</v>
      </c>
      <c r="K987" t="s">
        <v>412</v>
      </c>
      <c r="M987" s="13">
        <v>44545</v>
      </c>
      <c r="R987">
        <v>0</v>
      </c>
      <c r="S987" t="s">
        <v>380</v>
      </c>
      <c r="T987" t="s">
        <v>57</v>
      </c>
      <c r="V987" t="s">
        <v>381</v>
      </c>
      <c r="W987" t="s">
        <v>899</v>
      </c>
      <c r="X987" t="s">
        <v>899</v>
      </c>
      <c r="AC987" s="13">
        <v>44545</v>
      </c>
      <c r="AD987" s="13">
        <v>44545</v>
      </c>
      <c r="AI987">
        <v>-250</v>
      </c>
      <c r="AN987" t="s">
        <v>31</v>
      </c>
      <c r="AO987">
        <v>0</v>
      </c>
      <c r="AS987" t="s">
        <v>461</v>
      </c>
      <c r="AX987" t="s">
        <v>57</v>
      </c>
      <c r="AY987" t="s">
        <v>386</v>
      </c>
      <c r="AZ987" t="s">
        <v>721</v>
      </c>
      <c r="BF987">
        <v>0</v>
      </c>
      <c r="BK987" t="s">
        <v>31</v>
      </c>
      <c r="BS987" t="s">
        <v>412</v>
      </c>
      <c r="CI987" t="s">
        <v>388</v>
      </c>
      <c r="CJ987" s="14">
        <v>45014</v>
      </c>
      <c r="CK987">
        <v>1</v>
      </c>
    </row>
    <row r="988" spans="1:89">
      <c r="A988" t="s">
        <v>895</v>
      </c>
      <c r="B988" t="s">
        <v>374</v>
      </c>
      <c r="C988" t="s">
        <v>896</v>
      </c>
      <c r="D988" t="s">
        <v>900</v>
      </c>
      <c r="E988" t="s">
        <v>901</v>
      </c>
      <c r="F988" s="13">
        <v>44795.504988425928</v>
      </c>
      <c r="G988" t="s">
        <v>641</v>
      </c>
      <c r="H988" t="s">
        <v>642</v>
      </c>
      <c r="I988" s="13">
        <v>44795.505011574074</v>
      </c>
      <c r="K988" t="s">
        <v>412</v>
      </c>
      <c r="M988" s="13">
        <v>44545</v>
      </c>
      <c r="R988">
        <v>0</v>
      </c>
      <c r="S988" t="s">
        <v>380</v>
      </c>
      <c r="T988" t="s">
        <v>57</v>
      </c>
      <c r="V988" t="s">
        <v>381</v>
      </c>
      <c r="W988" t="s">
        <v>899</v>
      </c>
      <c r="X988" t="s">
        <v>899</v>
      </c>
      <c r="AC988" s="13">
        <v>44545</v>
      </c>
      <c r="AD988" s="13">
        <v>44545</v>
      </c>
      <c r="AI988">
        <v>-250</v>
      </c>
      <c r="AN988" t="s">
        <v>31</v>
      </c>
      <c r="AO988">
        <v>0</v>
      </c>
      <c r="AS988" t="s">
        <v>385</v>
      </c>
      <c r="AX988" t="s">
        <v>57</v>
      </c>
      <c r="AY988" t="s">
        <v>386</v>
      </c>
      <c r="AZ988" t="s">
        <v>721</v>
      </c>
      <c r="BF988">
        <v>0</v>
      </c>
      <c r="BK988" t="s">
        <v>31</v>
      </c>
      <c r="BS988" t="s">
        <v>412</v>
      </c>
      <c r="CI988" t="s">
        <v>388</v>
      </c>
      <c r="CJ988" s="14">
        <v>45014</v>
      </c>
      <c r="CK988">
        <v>1</v>
      </c>
    </row>
    <row r="989" spans="1:89">
      <c r="A989" t="s">
        <v>902</v>
      </c>
      <c r="B989" t="s">
        <v>374</v>
      </c>
      <c r="C989" t="s">
        <v>903</v>
      </c>
      <c r="D989" t="s">
        <v>904</v>
      </c>
      <c r="E989" t="s">
        <v>905</v>
      </c>
      <c r="F989" s="13">
        <v>44795.504965277774</v>
      </c>
      <c r="G989" t="s">
        <v>641</v>
      </c>
      <c r="H989" t="s">
        <v>642</v>
      </c>
      <c r="I989" s="13">
        <v>44795.504976851851</v>
      </c>
      <c r="K989" t="s">
        <v>412</v>
      </c>
      <c r="M989" s="13">
        <v>44545</v>
      </c>
      <c r="R989">
        <v>0</v>
      </c>
      <c r="S989" t="s">
        <v>416</v>
      </c>
      <c r="T989" t="s">
        <v>57</v>
      </c>
      <c r="V989" t="s">
        <v>381</v>
      </c>
      <c r="W989" t="s">
        <v>906</v>
      </c>
      <c r="X989" t="s">
        <v>906</v>
      </c>
      <c r="AC989" s="13">
        <v>44545</v>
      </c>
      <c r="AD989" s="13">
        <v>44545</v>
      </c>
      <c r="AI989">
        <v>-250</v>
      </c>
      <c r="AN989" t="s">
        <v>31</v>
      </c>
      <c r="AO989">
        <v>0</v>
      </c>
      <c r="AS989" t="s">
        <v>385</v>
      </c>
      <c r="AX989" t="s">
        <v>57</v>
      </c>
      <c r="AY989" t="s">
        <v>386</v>
      </c>
      <c r="AZ989" t="s">
        <v>721</v>
      </c>
      <c r="BF989">
        <v>0</v>
      </c>
      <c r="BK989" t="s">
        <v>31</v>
      </c>
      <c r="BS989" t="s">
        <v>412</v>
      </c>
      <c r="CI989" t="s">
        <v>388</v>
      </c>
      <c r="CJ989" s="14">
        <v>45014</v>
      </c>
      <c r="CK989">
        <v>1</v>
      </c>
    </row>
    <row r="990" spans="1:89">
      <c r="A990" t="s">
        <v>902</v>
      </c>
      <c r="B990" t="s">
        <v>374</v>
      </c>
      <c r="C990" t="s">
        <v>903</v>
      </c>
      <c r="D990" t="s">
        <v>907</v>
      </c>
      <c r="E990" t="s">
        <v>908</v>
      </c>
      <c r="F990" s="13">
        <v>44795.504942129628</v>
      </c>
      <c r="G990" t="s">
        <v>641</v>
      </c>
      <c r="H990" t="s">
        <v>642</v>
      </c>
      <c r="I990" s="13">
        <v>44795.504953703705</v>
      </c>
      <c r="K990" t="s">
        <v>412</v>
      </c>
      <c r="M990" s="13">
        <v>44545</v>
      </c>
      <c r="R990">
        <v>0</v>
      </c>
      <c r="S990" t="s">
        <v>380</v>
      </c>
      <c r="T990" t="s">
        <v>57</v>
      </c>
      <c r="V990" t="s">
        <v>381</v>
      </c>
      <c r="W990" t="s">
        <v>909</v>
      </c>
      <c r="X990" t="s">
        <v>909</v>
      </c>
      <c r="AC990" s="13">
        <v>44545</v>
      </c>
      <c r="AD990" s="13">
        <v>44545</v>
      </c>
      <c r="AI990">
        <v>-250</v>
      </c>
      <c r="AN990" t="s">
        <v>31</v>
      </c>
      <c r="AO990">
        <v>0</v>
      </c>
      <c r="AS990" t="s">
        <v>702</v>
      </c>
      <c r="AX990" t="s">
        <v>57</v>
      </c>
      <c r="AY990" t="s">
        <v>386</v>
      </c>
      <c r="AZ990" t="s">
        <v>721</v>
      </c>
      <c r="BF990">
        <v>0</v>
      </c>
      <c r="BK990" t="s">
        <v>31</v>
      </c>
      <c r="BS990" t="s">
        <v>412</v>
      </c>
      <c r="CI990" t="s">
        <v>388</v>
      </c>
      <c r="CJ990" s="14">
        <v>45014</v>
      </c>
      <c r="CK990">
        <v>1</v>
      </c>
    </row>
    <row r="991" spans="1:89">
      <c r="A991" t="s">
        <v>895</v>
      </c>
      <c r="B991" t="s">
        <v>374</v>
      </c>
      <c r="C991" t="s">
        <v>896</v>
      </c>
      <c r="D991" t="s">
        <v>910</v>
      </c>
      <c r="E991" t="s">
        <v>911</v>
      </c>
      <c r="F991" s="13">
        <v>44795.504918981482</v>
      </c>
      <c r="G991" t="s">
        <v>641</v>
      </c>
      <c r="H991" t="s">
        <v>642</v>
      </c>
      <c r="I991" s="13">
        <v>44795.504930555559</v>
      </c>
      <c r="K991" t="s">
        <v>412</v>
      </c>
      <c r="M991" s="13">
        <v>44576</v>
      </c>
      <c r="R991">
        <v>0</v>
      </c>
      <c r="S991" t="s">
        <v>380</v>
      </c>
      <c r="T991" t="s">
        <v>57</v>
      </c>
      <c r="V991" t="s">
        <v>381</v>
      </c>
      <c r="W991" t="s">
        <v>912</v>
      </c>
      <c r="X991" t="s">
        <v>912</v>
      </c>
      <c r="AC991" s="13">
        <v>44576</v>
      </c>
      <c r="AD991" s="13">
        <v>44576</v>
      </c>
      <c r="AI991">
        <v>-219</v>
      </c>
      <c r="AN991" t="s">
        <v>31</v>
      </c>
      <c r="AO991">
        <v>0</v>
      </c>
      <c r="AS991" t="s">
        <v>702</v>
      </c>
      <c r="AX991" t="s">
        <v>57</v>
      </c>
      <c r="AY991" t="s">
        <v>386</v>
      </c>
      <c r="AZ991" t="s">
        <v>721</v>
      </c>
      <c r="BF991">
        <v>0</v>
      </c>
      <c r="BK991" t="s">
        <v>31</v>
      </c>
      <c r="BS991" t="s">
        <v>412</v>
      </c>
      <c r="CI991" t="s">
        <v>388</v>
      </c>
      <c r="CJ991" s="14">
        <v>45014</v>
      </c>
      <c r="CK991">
        <v>1</v>
      </c>
    </row>
    <row r="992" spans="1:89">
      <c r="A992" t="s">
        <v>895</v>
      </c>
      <c r="B992" t="s">
        <v>374</v>
      </c>
      <c r="C992" t="s">
        <v>896</v>
      </c>
      <c r="D992" t="s">
        <v>913</v>
      </c>
      <c r="E992" t="s">
        <v>914</v>
      </c>
      <c r="F992" s="13">
        <v>44795.504895833335</v>
      </c>
      <c r="G992" t="s">
        <v>641</v>
      </c>
      <c r="H992" t="s">
        <v>642</v>
      </c>
      <c r="I992" s="13">
        <v>44795.504907407405</v>
      </c>
      <c r="K992" t="s">
        <v>412</v>
      </c>
      <c r="M992" s="13">
        <v>44545</v>
      </c>
      <c r="R992">
        <v>0</v>
      </c>
      <c r="S992" t="s">
        <v>380</v>
      </c>
      <c r="T992" t="s">
        <v>57</v>
      </c>
      <c r="V992" t="s">
        <v>381</v>
      </c>
      <c r="W992" t="s">
        <v>912</v>
      </c>
      <c r="X992" t="s">
        <v>912</v>
      </c>
      <c r="AC992" s="13">
        <v>44545</v>
      </c>
      <c r="AD992" s="13">
        <v>44545</v>
      </c>
      <c r="AI992">
        <v>-250</v>
      </c>
      <c r="AN992" t="s">
        <v>31</v>
      </c>
      <c r="AO992">
        <v>0</v>
      </c>
      <c r="AS992" t="s">
        <v>385</v>
      </c>
      <c r="AX992" t="s">
        <v>57</v>
      </c>
      <c r="AY992" t="s">
        <v>386</v>
      </c>
      <c r="AZ992" t="s">
        <v>721</v>
      </c>
      <c r="BF992">
        <v>0</v>
      </c>
      <c r="BK992" t="s">
        <v>31</v>
      </c>
      <c r="BS992" t="s">
        <v>412</v>
      </c>
      <c r="CI992" t="s">
        <v>388</v>
      </c>
      <c r="CJ992" s="14">
        <v>45014</v>
      </c>
      <c r="CK992">
        <v>1</v>
      </c>
    </row>
    <row r="993" spans="1:89">
      <c r="A993" t="s">
        <v>915</v>
      </c>
      <c r="B993" t="s">
        <v>374</v>
      </c>
      <c r="C993" t="s">
        <v>916</v>
      </c>
      <c r="D993" t="s">
        <v>917</v>
      </c>
      <c r="E993" t="s">
        <v>918</v>
      </c>
      <c r="F993" s="13">
        <v>44795.504872685182</v>
      </c>
      <c r="G993" t="s">
        <v>641</v>
      </c>
      <c r="H993" t="s">
        <v>642</v>
      </c>
      <c r="I993" s="13">
        <v>44795.504884259259</v>
      </c>
      <c r="K993" t="s">
        <v>412</v>
      </c>
      <c r="M993" s="13">
        <v>44456</v>
      </c>
      <c r="R993">
        <v>0</v>
      </c>
      <c r="S993" t="s">
        <v>380</v>
      </c>
      <c r="T993" t="s">
        <v>57</v>
      </c>
      <c r="V993" t="s">
        <v>381</v>
      </c>
      <c r="W993" t="s">
        <v>912</v>
      </c>
      <c r="X993" t="s">
        <v>912</v>
      </c>
      <c r="AC993" s="13">
        <v>44456</v>
      </c>
      <c r="AD993" s="13">
        <v>44456</v>
      </c>
      <c r="AI993">
        <v>-339</v>
      </c>
      <c r="AN993" t="s">
        <v>31</v>
      </c>
      <c r="AO993">
        <v>0</v>
      </c>
      <c r="AS993" t="s">
        <v>385</v>
      </c>
      <c r="AX993" t="s">
        <v>57</v>
      </c>
      <c r="AY993" t="s">
        <v>386</v>
      </c>
      <c r="AZ993" t="s">
        <v>721</v>
      </c>
      <c r="BF993">
        <v>0</v>
      </c>
      <c r="BK993" t="s">
        <v>31</v>
      </c>
      <c r="BS993" t="s">
        <v>412</v>
      </c>
      <c r="CI993" t="s">
        <v>388</v>
      </c>
      <c r="CJ993" s="14">
        <v>45014</v>
      </c>
      <c r="CK993">
        <v>1</v>
      </c>
    </row>
    <row r="994" spans="1:89">
      <c r="A994" t="s">
        <v>895</v>
      </c>
      <c r="B994" t="s">
        <v>374</v>
      </c>
      <c r="C994" t="s">
        <v>896</v>
      </c>
      <c r="D994" t="s">
        <v>919</v>
      </c>
      <c r="E994" t="s">
        <v>920</v>
      </c>
      <c r="F994" s="13">
        <v>44795.504849537036</v>
      </c>
      <c r="G994" t="s">
        <v>641</v>
      </c>
      <c r="H994" t="s">
        <v>642</v>
      </c>
      <c r="I994" s="13">
        <v>44795.504861111112</v>
      </c>
      <c r="K994" t="s">
        <v>412</v>
      </c>
      <c r="M994" s="13">
        <v>44484</v>
      </c>
      <c r="R994">
        <v>0</v>
      </c>
      <c r="S994" t="s">
        <v>380</v>
      </c>
      <c r="T994" t="s">
        <v>57</v>
      </c>
      <c r="V994" t="s">
        <v>381</v>
      </c>
      <c r="W994" t="s">
        <v>921</v>
      </c>
      <c r="X994" t="s">
        <v>921</v>
      </c>
      <c r="AC994" s="13">
        <v>44484</v>
      </c>
      <c r="AD994" s="13">
        <v>44484</v>
      </c>
      <c r="AI994">
        <v>-311</v>
      </c>
      <c r="AN994" t="s">
        <v>31</v>
      </c>
      <c r="AO994">
        <v>0</v>
      </c>
      <c r="AS994" t="s">
        <v>385</v>
      </c>
      <c r="AX994" t="s">
        <v>57</v>
      </c>
      <c r="AY994" t="s">
        <v>386</v>
      </c>
      <c r="AZ994" t="s">
        <v>721</v>
      </c>
      <c r="BF994">
        <v>0</v>
      </c>
      <c r="BK994" t="s">
        <v>31</v>
      </c>
      <c r="BS994" t="s">
        <v>412</v>
      </c>
      <c r="CI994" t="s">
        <v>388</v>
      </c>
      <c r="CJ994" s="14">
        <v>45014</v>
      </c>
      <c r="CK994">
        <v>1</v>
      </c>
    </row>
    <row r="995" spans="1:89">
      <c r="A995" t="s">
        <v>895</v>
      </c>
      <c r="B995" t="s">
        <v>374</v>
      </c>
      <c r="C995" t="s">
        <v>896</v>
      </c>
      <c r="D995" t="s">
        <v>922</v>
      </c>
      <c r="E995" t="s">
        <v>923</v>
      </c>
      <c r="F995" s="13">
        <v>44795.504826388889</v>
      </c>
      <c r="G995" t="s">
        <v>641</v>
      </c>
      <c r="H995" t="s">
        <v>642</v>
      </c>
      <c r="I995" s="13">
        <v>44795.504837962966</v>
      </c>
      <c r="K995" t="s">
        <v>412</v>
      </c>
      <c r="M995" s="13">
        <v>44530</v>
      </c>
      <c r="R995">
        <v>0</v>
      </c>
      <c r="S995" t="s">
        <v>380</v>
      </c>
      <c r="T995" t="s">
        <v>57</v>
      </c>
      <c r="V995" t="s">
        <v>381</v>
      </c>
      <c r="W995" t="s">
        <v>924</v>
      </c>
      <c r="X995" t="s">
        <v>924</v>
      </c>
      <c r="AC995" s="13">
        <v>44530</v>
      </c>
      <c r="AD995" s="13">
        <v>44530</v>
      </c>
      <c r="AI995">
        <v>-265</v>
      </c>
      <c r="AN995" t="s">
        <v>31</v>
      </c>
      <c r="AO995">
        <v>0</v>
      </c>
      <c r="AS995" t="s">
        <v>385</v>
      </c>
      <c r="AX995" t="s">
        <v>57</v>
      </c>
      <c r="AY995" t="s">
        <v>386</v>
      </c>
      <c r="AZ995" t="s">
        <v>721</v>
      </c>
      <c r="BF995">
        <v>0</v>
      </c>
      <c r="BK995" t="s">
        <v>31</v>
      </c>
      <c r="BS995" t="s">
        <v>412</v>
      </c>
      <c r="CI995" t="s">
        <v>388</v>
      </c>
      <c r="CJ995" s="14">
        <v>45014</v>
      </c>
      <c r="CK995">
        <v>1</v>
      </c>
    </row>
    <row r="996" spans="1:89">
      <c r="A996" t="s">
        <v>895</v>
      </c>
      <c r="B996" t="s">
        <v>374</v>
      </c>
      <c r="C996" t="s">
        <v>896</v>
      </c>
      <c r="D996" t="s">
        <v>925</v>
      </c>
      <c r="E996" t="s">
        <v>926</v>
      </c>
      <c r="F996" s="13">
        <v>44795.504803240743</v>
      </c>
      <c r="G996" t="s">
        <v>641</v>
      </c>
      <c r="H996" t="s">
        <v>642</v>
      </c>
      <c r="I996" s="13">
        <v>44795.504814814813</v>
      </c>
      <c r="K996" t="s">
        <v>412</v>
      </c>
      <c r="M996" s="13">
        <v>44484</v>
      </c>
      <c r="R996">
        <v>0</v>
      </c>
      <c r="S996" t="s">
        <v>380</v>
      </c>
      <c r="T996" t="s">
        <v>57</v>
      </c>
      <c r="V996" t="s">
        <v>381</v>
      </c>
      <c r="W996" t="s">
        <v>927</v>
      </c>
      <c r="X996" t="s">
        <v>927</v>
      </c>
      <c r="AC996" s="13">
        <v>44484</v>
      </c>
      <c r="AD996" s="13">
        <v>44484</v>
      </c>
      <c r="AI996">
        <v>-311</v>
      </c>
      <c r="AN996" t="s">
        <v>31</v>
      </c>
      <c r="AO996">
        <v>0</v>
      </c>
      <c r="AS996" t="s">
        <v>385</v>
      </c>
      <c r="AX996" t="s">
        <v>57</v>
      </c>
      <c r="AY996" t="s">
        <v>386</v>
      </c>
      <c r="AZ996" t="s">
        <v>721</v>
      </c>
      <c r="BF996">
        <v>0</v>
      </c>
      <c r="BK996" t="s">
        <v>31</v>
      </c>
      <c r="BS996" t="s">
        <v>412</v>
      </c>
      <c r="CI996" t="s">
        <v>388</v>
      </c>
      <c r="CJ996" s="14">
        <v>45014</v>
      </c>
      <c r="CK996">
        <v>1</v>
      </c>
    </row>
    <row r="997" spans="1:89">
      <c r="A997" t="s">
        <v>928</v>
      </c>
      <c r="B997" t="s">
        <v>374</v>
      </c>
      <c r="C997" t="s">
        <v>392</v>
      </c>
      <c r="D997" t="s">
        <v>929</v>
      </c>
      <c r="E997" t="s">
        <v>930</v>
      </c>
      <c r="F997" s="13">
        <v>44795.504780092589</v>
      </c>
      <c r="G997" t="s">
        <v>641</v>
      </c>
      <c r="H997" t="s">
        <v>642</v>
      </c>
      <c r="I997" s="13">
        <v>44795.504791666666</v>
      </c>
      <c r="K997" t="s">
        <v>412</v>
      </c>
      <c r="M997" s="13">
        <v>44484</v>
      </c>
      <c r="R997">
        <v>0</v>
      </c>
      <c r="S997" t="s">
        <v>416</v>
      </c>
      <c r="T997" t="s">
        <v>57</v>
      </c>
      <c r="V997" t="s">
        <v>381</v>
      </c>
      <c r="W997" t="s">
        <v>931</v>
      </c>
      <c r="X997" t="s">
        <v>931</v>
      </c>
      <c r="AC997" s="13">
        <v>44484</v>
      </c>
      <c r="AD997" s="13">
        <v>44484</v>
      </c>
      <c r="AI997">
        <v>-311</v>
      </c>
      <c r="AN997" t="s">
        <v>31</v>
      </c>
      <c r="AO997">
        <v>0</v>
      </c>
      <c r="AS997" t="s">
        <v>385</v>
      </c>
      <c r="AX997" t="s">
        <v>57</v>
      </c>
      <c r="AY997" t="s">
        <v>386</v>
      </c>
      <c r="AZ997" t="s">
        <v>721</v>
      </c>
      <c r="BF997">
        <v>0</v>
      </c>
      <c r="BK997" t="s">
        <v>31</v>
      </c>
      <c r="BS997" t="s">
        <v>412</v>
      </c>
      <c r="CI997" t="s">
        <v>388</v>
      </c>
      <c r="CJ997" s="14">
        <v>45014</v>
      </c>
      <c r="CK997">
        <v>1</v>
      </c>
    </row>
    <row r="998" spans="1:89">
      <c r="A998" t="s">
        <v>928</v>
      </c>
      <c r="B998" t="s">
        <v>374</v>
      </c>
      <c r="C998" t="s">
        <v>392</v>
      </c>
      <c r="D998" t="s">
        <v>932</v>
      </c>
      <c r="E998" t="s">
        <v>933</v>
      </c>
      <c r="F998" s="13">
        <v>44795.504756944443</v>
      </c>
      <c r="G998" t="s">
        <v>641</v>
      </c>
      <c r="H998" t="s">
        <v>642</v>
      </c>
      <c r="I998" s="13">
        <v>44795.50476851852</v>
      </c>
      <c r="K998" t="s">
        <v>412</v>
      </c>
      <c r="M998" s="13">
        <v>44484</v>
      </c>
      <c r="R998">
        <v>0</v>
      </c>
      <c r="S998" t="s">
        <v>416</v>
      </c>
      <c r="T998" t="s">
        <v>57</v>
      </c>
      <c r="V998" t="s">
        <v>381</v>
      </c>
      <c r="W998" t="s">
        <v>934</v>
      </c>
      <c r="X998" t="s">
        <v>934</v>
      </c>
      <c r="AC998" s="13">
        <v>44484</v>
      </c>
      <c r="AD998" s="13">
        <v>44484</v>
      </c>
      <c r="AI998">
        <v>-311</v>
      </c>
      <c r="AN998" t="s">
        <v>31</v>
      </c>
      <c r="AO998">
        <v>0</v>
      </c>
      <c r="AS998" t="s">
        <v>392</v>
      </c>
      <c r="AX998" t="s">
        <v>57</v>
      </c>
      <c r="AY998" t="s">
        <v>386</v>
      </c>
      <c r="AZ998" t="s">
        <v>721</v>
      </c>
      <c r="BF998">
        <v>0</v>
      </c>
      <c r="BK998" t="s">
        <v>31</v>
      </c>
      <c r="BS998" t="s">
        <v>412</v>
      </c>
      <c r="CI998" t="s">
        <v>388</v>
      </c>
      <c r="CJ998" s="14">
        <v>45014</v>
      </c>
      <c r="CK998">
        <v>1</v>
      </c>
    </row>
    <row r="999" spans="1:89">
      <c r="A999" t="s">
        <v>902</v>
      </c>
      <c r="B999" t="s">
        <v>374</v>
      </c>
      <c r="C999" t="s">
        <v>903</v>
      </c>
      <c r="D999" t="s">
        <v>935</v>
      </c>
      <c r="E999" t="s">
        <v>936</v>
      </c>
      <c r="F999" s="13">
        <v>44795.504733796297</v>
      </c>
      <c r="G999" t="s">
        <v>641</v>
      </c>
      <c r="H999" t="s">
        <v>642</v>
      </c>
      <c r="I999" s="13">
        <v>44795.504745370374</v>
      </c>
      <c r="K999" t="s">
        <v>412</v>
      </c>
      <c r="M999" s="13">
        <v>44458</v>
      </c>
      <c r="R999">
        <v>0</v>
      </c>
      <c r="S999" t="s">
        <v>416</v>
      </c>
      <c r="T999" t="s">
        <v>57</v>
      </c>
      <c r="V999" t="s">
        <v>381</v>
      </c>
      <c r="W999" t="s">
        <v>934</v>
      </c>
      <c r="X999" t="s">
        <v>934</v>
      </c>
      <c r="AC999" s="13">
        <v>44458</v>
      </c>
      <c r="AD999" s="13">
        <v>44458</v>
      </c>
      <c r="AI999">
        <v>-337</v>
      </c>
      <c r="AN999" t="s">
        <v>31</v>
      </c>
      <c r="AO999">
        <v>0</v>
      </c>
      <c r="AS999" t="s">
        <v>392</v>
      </c>
      <c r="AX999" t="s">
        <v>57</v>
      </c>
      <c r="AY999" t="s">
        <v>386</v>
      </c>
      <c r="AZ999" t="s">
        <v>721</v>
      </c>
      <c r="BF999">
        <v>0</v>
      </c>
      <c r="BK999" t="s">
        <v>31</v>
      </c>
      <c r="BS999" t="s">
        <v>412</v>
      </c>
      <c r="CI999" t="s">
        <v>388</v>
      </c>
      <c r="CJ999" s="14">
        <v>45014</v>
      </c>
      <c r="CK999">
        <v>1</v>
      </c>
    </row>
    <row r="1000" spans="1:89">
      <c r="A1000" t="s">
        <v>902</v>
      </c>
      <c r="B1000" t="s">
        <v>374</v>
      </c>
      <c r="C1000" t="s">
        <v>903</v>
      </c>
      <c r="D1000" t="s">
        <v>937</v>
      </c>
      <c r="E1000" t="s">
        <v>936</v>
      </c>
      <c r="F1000" s="13">
        <v>44795.504710648151</v>
      </c>
      <c r="G1000" t="s">
        <v>641</v>
      </c>
      <c r="H1000" t="s">
        <v>642</v>
      </c>
      <c r="I1000" s="13">
        <v>44795.50472222222</v>
      </c>
      <c r="K1000" t="s">
        <v>412</v>
      </c>
      <c r="M1000" s="13">
        <v>44458</v>
      </c>
      <c r="R1000">
        <v>0</v>
      </c>
      <c r="S1000" t="s">
        <v>416</v>
      </c>
      <c r="T1000" t="s">
        <v>57</v>
      </c>
      <c r="V1000" t="s">
        <v>381</v>
      </c>
      <c r="W1000" t="s">
        <v>938</v>
      </c>
      <c r="X1000" t="s">
        <v>938</v>
      </c>
      <c r="AC1000" s="13">
        <v>44458</v>
      </c>
      <c r="AD1000" s="13">
        <v>44458</v>
      </c>
      <c r="AI1000">
        <v>-337</v>
      </c>
      <c r="AN1000" t="s">
        <v>31</v>
      </c>
      <c r="AO1000">
        <v>0</v>
      </c>
      <c r="AS1000" t="s">
        <v>385</v>
      </c>
      <c r="AX1000" t="s">
        <v>57</v>
      </c>
      <c r="AY1000" t="s">
        <v>386</v>
      </c>
      <c r="AZ1000" t="s">
        <v>721</v>
      </c>
      <c r="BF1000">
        <v>0</v>
      </c>
      <c r="BK1000" t="s">
        <v>31</v>
      </c>
      <c r="BS1000" t="s">
        <v>412</v>
      </c>
      <c r="CI1000" t="s">
        <v>388</v>
      </c>
      <c r="CJ1000" s="14">
        <v>45014</v>
      </c>
      <c r="CK1000">
        <v>1</v>
      </c>
    </row>
    <row r="1001" spans="1:89">
      <c r="A1001" t="s">
        <v>928</v>
      </c>
      <c r="B1001" t="s">
        <v>374</v>
      </c>
      <c r="C1001" t="s">
        <v>392</v>
      </c>
      <c r="D1001" t="s">
        <v>939</v>
      </c>
      <c r="E1001" t="s">
        <v>940</v>
      </c>
      <c r="F1001" s="13">
        <v>44795.504687499997</v>
      </c>
      <c r="G1001" t="s">
        <v>641</v>
      </c>
      <c r="H1001" t="s">
        <v>642</v>
      </c>
      <c r="I1001" s="13">
        <v>44795.504699074074</v>
      </c>
      <c r="K1001" t="s">
        <v>412</v>
      </c>
      <c r="M1001" s="13">
        <v>44484</v>
      </c>
      <c r="R1001">
        <v>0</v>
      </c>
      <c r="S1001" t="s">
        <v>416</v>
      </c>
      <c r="T1001" t="s">
        <v>57</v>
      </c>
      <c r="V1001" t="s">
        <v>381</v>
      </c>
      <c r="W1001" t="s">
        <v>938</v>
      </c>
      <c r="X1001" t="s">
        <v>938</v>
      </c>
      <c r="AC1001" s="13">
        <v>44484</v>
      </c>
      <c r="AD1001" s="13">
        <v>44484</v>
      </c>
      <c r="AI1001">
        <v>-311</v>
      </c>
      <c r="AN1001" t="s">
        <v>31</v>
      </c>
      <c r="AO1001">
        <v>0</v>
      </c>
      <c r="AS1001" t="s">
        <v>385</v>
      </c>
      <c r="AX1001" t="s">
        <v>57</v>
      </c>
      <c r="AY1001" t="s">
        <v>386</v>
      </c>
      <c r="AZ1001" t="s">
        <v>721</v>
      </c>
      <c r="BF1001">
        <v>0</v>
      </c>
      <c r="BK1001" t="s">
        <v>31</v>
      </c>
      <c r="BS1001" t="s">
        <v>412</v>
      </c>
      <c r="CI1001" t="s">
        <v>388</v>
      </c>
      <c r="CJ1001" s="14">
        <v>45014</v>
      </c>
      <c r="CK1001">
        <v>1</v>
      </c>
    </row>
    <row r="1002" spans="1:89">
      <c r="A1002" t="s">
        <v>928</v>
      </c>
      <c r="B1002" t="s">
        <v>374</v>
      </c>
      <c r="C1002" t="s">
        <v>392</v>
      </c>
      <c r="D1002" t="s">
        <v>941</v>
      </c>
      <c r="E1002" t="s">
        <v>942</v>
      </c>
      <c r="F1002" s="13">
        <v>44795.504664351851</v>
      </c>
      <c r="G1002" t="s">
        <v>641</v>
      </c>
      <c r="H1002" t="s">
        <v>642</v>
      </c>
      <c r="I1002" s="13">
        <v>44795.504675925928</v>
      </c>
      <c r="K1002" t="s">
        <v>412</v>
      </c>
      <c r="M1002" s="13">
        <v>44484</v>
      </c>
      <c r="R1002">
        <v>0</v>
      </c>
      <c r="S1002" t="s">
        <v>416</v>
      </c>
      <c r="T1002" t="s">
        <v>57</v>
      </c>
      <c r="V1002" t="s">
        <v>381</v>
      </c>
      <c r="W1002" t="s">
        <v>934</v>
      </c>
      <c r="X1002" t="s">
        <v>934</v>
      </c>
      <c r="AC1002" s="13">
        <v>44484</v>
      </c>
      <c r="AD1002" s="13">
        <v>44484</v>
      </c>
      <c r="AI1002">
        <v>-311</v>
      </c>
      <c r="AN1002" t="s">
        <v>31</v>
      </c>
      <c r="AO1002">
        <v>0</v>
      </c>
      <c r="AS1002" t="s">
        <v>392</v>
      </c>
      <c r="AX1002" t="s">
        <v>57</v>
      </c>
      <c r="AY1002" t="s">
        <v>386</v>
      </c>
      <c r="AZ1002" t="s">
        <v>721</v>
      </c>
      <c r="BF1002">
        <v>0</v>
      </c>
      <c r="BK1002" t="s">
        <v>31</v>
      </c>
      <c r="BS1002" t="s">
        <v>412</v>
      </c>
      <c r="CI1002" t="s">
        <v>388</v>
      </c>
      <c r="CJ1002" s="14">
        <v>45014</v>
      </c>
      <c r="CK1002">
        <v>1</v>
      </c>
    </row>
    <row r="1003" spans="1:89">
      <c r="A1003" t="s">
        <v>928</v>
      </c>
      <c r="B1003" t="s">
        <v>374</v>
      </c>
      <c r="C1003" t="s">
        <v>392</v>
      </c>
      <c r="D1003" t="s">
        <v>943</v>
      </c>
      <c r="E1003" t="s">
        <v>944</v>
      </c>
      <c r="F1003" s="13">
        <v>44795.504641203705</v>
      </c>
      <c r="G1003" t="s">
        <v>641</v>
      </c>
      <c r="H1003" t="s">
        <v>642</v>
      </c>
      <c r="I1003" s="13">
        <v>44795.504652777781</v>
      </c>
      <c r="K1003" t="s">
        <v>412</v>
      </c>
      <c r="M1003" s="13">
        <v>44484</v>
      </c>
      <c r="R1003">
        <v>0</v>
      </c>
      <c r="S1003" t="s">
        <v>416</v>
      </c>
      <c r="T1003" t="s">
        <v>57</v>
      </c>
      <c r="V1003" t="s">
        <v>381</v>
      </c>
      <c r="W1003" t="s">
        <v>934</v>
      </c>
      <c r="X1003" t="s">
        <v>934</v>
      </c>
      <c r="AC1003" s="13">
        <v>44484</v>
      </c>
      <c r="AD1003" s="13">
        <v>44484</v>
      </c>
      <c r="AI1003">
        <v>-311</v>
      </c>
      <c r="AN1003" t="s">
        <v>31</v>
      </c>
      <c r="AO1003">
        <v>0</v>
      </c>
      <c r="AS1003" t="s">
        <v>392</v>
      </c>
      <c r="AX1003" t="s">
        <v>57</v>
      </c>
      <c r="AY1003" t="s">
        <v>386</v>
      </c>
      <c r="AZ1003" t="s">
        <v>721</v>
      </c>
      <c r="BF1003">
        <v>0</v>
      </c>
      <c r="BK1003" t="s">
        <v>31</v>
      </c>
      <c r="BS1003" t="s">
        <v>412</v>
      </c>
      <c r="CI1003" t="s">
        <v>388</v>
      </c>
      <c r="CJ1003" s="14">
        <v>45014</v>
      </c>
      <c r="CK1003">
        <v>1</v>
      </c>
    </row>
    <row r="1004" spans="1:89">
      <c r="A1004" t="s">
        <v>928</v>
      </c>
      <c r="B1004" t="s">
        <v>374</v>
      </c>
      <c r="C1004" t="s">
        <v>392</v>
      </c>
      <c r="D1004" t="s">
        <v>945</v>
      </c>
      <c r="E1004" t="s">
        <v>946</v>
      </c>
      <c r="F1004" s="13">
        <v>44795.504618055558</v>
      </c>
      <c r="G1004" t="s">
        <v>641</v>
      </c>
      <c r="H1004" t="s">
        <v>642</v>
      </c>
      <c r="I1004" s="13">
        <v>44795.504629629628</v>
      </c>
      <c r="K1004" t="s">
        <v>412</v>
      </c>
      <c r="M1004" s="13">
        <v>44484</v>
      </c>
      <c r="R1004">
        <v>0</v>
      </c>
      <c r="S1004" t="s">
        <v>416</v>
      </c>
      <c r="T1004" t="s">
        <v>57</v>
      </c>
      <c r="V1004" t="s">
        <v>381</v>
      </c>
      <c r="W1004" t="s">
        <v>934</v>
      </c>
      <c r="X1004" t="s">
        <v>934</v>
      </c>
      <c r="AC1004" s="13">
        <v>44484</v>
      </c>
      <c r="AD1004" s="13">
        <v>44484</v>
      </c>
      <c r="AI1004">
        <v>-311</v>
      </c>
      <c r="AN1004" t="s">
        <v>31</v>
      </c>
      <c r="AO1004">
        <v>0</v>
      </c>
      <c r="AS1004" t="s">
        <v>392</v>
      </c>
      <c r="AX1004" t="s">
        <v>57</v>
      </c>
      <c r="AY1004" t="s">
        <v>386</v>
      </c>
      <c r="AZ1004" t="s">
        <v>721</v>
      </c>
      <c r="BF1004">
        <v>0</v>
      </c>
      <c r="BK1004" t="s">
        <v>31</v>
      </c>
      <c r="BS1004" t="s">
        <v>412</v>
      </c>
      <c r="CI1004" t="s">
        <v>388</v>
      </c>
      <c r="CJ1004" s="14">
        <v>45014</v>
      </c>
      <c r="CK1004">
        <v>1</v>
      </c>
    </row>
    <row r="1005" spans="1:89">
      <c r="A1005" t="s">
        <v>902</v>
      </c>
      <c r="B1005" t="s">
        <v>374</v>
      </c>
      <c r="C1005" t="s">
        <v>903</v>
      </c>
      <c r="D1005" t="s">
        <v>947</v>
      </c>
      <c r="E1005" t="s">
        <v>948</v>
      </c>
      <c r="F1005" s="13">
        <v>44795.504594907405</v>
      </c>
      <c r="G1005" t="s">
        <v>641</v>
      </c>
      <c r="H1005" t="s">
        <v>642</v>
      </c>
      <c r="I1005" s="13">
        <v>44795.504606481481</v>
      </c>
      <c r="K1005" t="s">
        <v>412</v>
      </c>
      <c r="M1005" s="13">
        <v>44458</v>
      </c>
      <c r="R1005">
        <v>0</v>
      </c>
      <c r="S1005" t="s">
        <v>416</v>
      </c>
      <c r="T1005" t="s">
        <v>57</v>
      </c>
      <c r="V1005" t="s">
        <v>381</v>
      </c>
      <c r="W1005" t="s">
        <v>934</v>
      </c>
      <c r="X1005" t="s">
        <v>934</v>
      </c>
      <c r="AC1005" s="13">
        <v>44458</v>
      </c>
      <c r="AD1005" s="13">
        <v>44458</v>
      </c>
      <c r="AI1005">
        <v>-337</v>
      </c>
      <c r="AN1005" t="s">
        <v>31</v>
      </c>
      <c r="AO1005">
        <v>0</v>
      </c>
      <c r="AS1005" t="s">
        <v>392</v>
      </c>
      <c r="AX1005" t="s">
        <v>57</v>
      </c>
      <c r="AY1005" t="s">
        <v>386</v>
      </c>
      <c r="AZ1005" t="s">
        <v>721</v>
      </c>
      <c r="BF1005">
        <v>0</v>
      </c>
      <c r="BK1005" t="s">
        <v>31</v>
      </c>
      <c r="BS1005" t="s">
        <v>412</v>
      </c>
      <c r="CI1005" t="s">
        <v>388</v>
      </c>
      <c r="CJ1005" s="14">
        <v>45014</v>
      </c>
      <c r="CK1005">
        <v>1</v>
      </c>
    </row>
    <row r="1006" spans="1:89">
      <c r="A1006" t="s">
        <v>902</v>
      </c>
      <c r="B1006" t="s">
        <v>374</v>
      </c>
      <c r="C1006" t="s">
        <v>903</v>
      </c>
      <c r="D1006" t="s">
        <v>949</v>
      </c>
      <c r="E1006" t="s">
        <v>950</v>
      </c>
      <c r="F1006" s="13">
        <v>44795.504571759258</v>
      </c>
      <c r="G1006" t="s">
        <v>641</v>
      </c>
      <c r="H1006" t="s">
        <v>642</v>
      </c>
      <c r="I1006" s="13">
        <v>44795.504583333335</v>
      </c>
      <c r="K1006" t="s">
        <v>412</v>
      </c>
      <c r="M1006" s="13">
        <v>44458</v>
      </c>
      <c r="R1006">
        <v>0</v>
      </c>
      <c r="S1006" t="s">
        <v>416</v>
      </c>
      <c r="T1006" t="s">
        <v>57</v>
      </c>
      <c r="V1006" t="s">
        <v>381</v>
      </c>
      <c r="W1006" t="s">
        <v>938</v>
      </c>
      <c r="X1006" t="s">
        <v>938</v>
      </c>
      <c r="AC1006" s="13">
        <v>44458</v>
      </c>
      <c r="AD1006" s="13">
        <v>44458</v>
      </c>
      <c r="AI1006">
        <v>-337</v>
      </c>
      <c r="AN1006" t="s">
        <v>31</v>
      </c>
      <c r="AO1006">
        <v>0</v>
      </c>
      <c r="AS1006" t="s">
        <v>385</v>
      </c>
      <c r="AX1006" t="s">
        <v>57</v>
      </c>
      <c r="AY1006" t="s">
        <v>386</v>
      </c>
      <c r="AZ1006" t="s">
        <v>721</v>
      </c>
      <c r="BF1006">
        <v>0</v>
      </c>
      <c r="BK1006" t="s">
        <v>31</v>
      </c>
      <c r="BS1006" t="s">
        <v>412</v>
      </c>
      <c r="CI1006" t="s">
        <v>388</v>
      </c>
      <c r="CJ1006" s="14">
        <v>45014</v>
      </c>
      <c r="CK1006">
        <v>1</v>
      </c>
    </row>
    <row r="1007" spans="1:89">
      <c r="A1007" t="s">
        <v>928</v>
      </c>
      <c r="B1007" t="s">
        <v>374</v>
      </c>
      <c r="C1007" t="s">
        <v>392</v>
      </c>
      <c r="D1007" t="s">
        <v>951</v>
      </c>
      <c r="E1007" t="s">
        <v>952</v>
      </c>
      <c r="F1007" s="13">
        <v>44795.504548611112</v>
      </c>
      <c r="G1007" t="s">
        <v>641</v>
      </c>
      <c r="H1007" t="s">
        <v>642</v>
      </c>
      <c r="I1007" s="13">
        <v>44795.504560185182</v>
      </c>
      <c r="K1007" t="s">
        <v>412</v>
      </c>
      <c r="M1007" s="13">
        <v>44484</v>
      </c>
      <c r="R1007">
        <v>0</v>
      </c>
      <c r="S1007" t="s">
        <v>416</v>
      </c>
      <c r="T1007" t="s">
        <v>57</v>
      </c>
      <c r="V1007" t="s">
        <v>381</v>
      </c>
      <c r="W1007" t="s">
        <v>938</v>
      </c>
      <c r="X1007" t="s">
        <v>938</v>
      </c>
      <c r="AC1007" s="13">
        <v>44484</v>
      </c>
      <c r="AD1007" s="13">
        <v>44484</v>
      </c>
      <c r="AI1007">
        <v>-311</v>
      </c>
      <c r="AN1007" t="s">
        <v>31</v>
      </c>
      <c r="AO1007">
        <v>0</v>
      </c>
      <c r="AS1007" t="s">
        <v>385</v>
      </c>
      <c r="AX1007" t="s">
        <v>57</v>
      </c>
      <c r="AY1007" t="s">
        <v>386</v>
      </c>
      <c r="AZ1007" t="s">
        <v>721</v>
      </c>
      <c r="BF1007">
        <v>0</v>
      </c>
      <c r="BK1007" t="s">
        <v>31</v>
      </c>
      <c r="BS1007" t="s">
        <v>412</v>
      </c>
      <c r="CI1007" t="s">
        <v>388</v>
      </c>
      <c r="CJ1007" s="14">
        <v>45014</v>
      </c>
      <c r="CK1007">
        <v>1</v>
      </c>
    </row>
    <row r="1008" spans="1:89">
      <c r="A1008" t="s">
        <v>902</v>
      </c>
      <c r="B1008" t="s">
        <v>374</v>
      </c>
      <c r="C1008" t="s">
        <v>903</v>
      </c>
      <c r="D1008" t="s">
        <v>953</v>
      </c>
      <c r="E1008" t="s">
        <v>954</v>
      </c>
      <c r="F1008" s="13">
        <v>44795.504537037035</v>
      </c>
      <c r="G1008" t="s">
        <v>641</v>
      </c>
      <c r="H1008" t="s">
        <v>642</v>
      </c>
      <c r="I1008" s="13">
        <v>44795.504548611112</v>
      </c>
      <c r="K1008" t="s">
        <v>412</v>
      </c>
      <c r="M1008" s="13">
        <v>44458</v>
      </c>
      <c r="R1008">
        <v>0</v>
      </c>
      <c r="S1008" t="s">
        <v>416</v>
      </c>
      <c r="T1008" t="s">
        <v>57</v>
      </c>
      <c r="V1008" t="s">
        <v>381</v>
      </c>
      <c r="W1008" t="s">
        <v>934</v>
      </c>
      <c r="X1008" t="s">
        <v>934</v>
      </c>
      <c r="AC1008" s="13">
        <v>44458</v>
      </c>
      <c r="AD1008" s="13">
        <v>44458</v>
      </c>
      <c r="AI1008">
        <v>-337</v>
      </c>
      <c r="AN1008" t="s">
        <v>31</v>
      </c>
      <c r="AO1008">
        <v>0</v>
      </c>
      <c r="AS1008" t="s">
        <v>392</v>
      </c>
      <c r="AX1008" t="s">
        <v>57</v>
      </c>
      <c r="AY1008" t="s">
        <v>386</v>
      </c>
      <c r="AZ1008" t="s">
        <v>721</v>
      </c>
      <c r="BF1008">
        <v>0</v>
      </c>
      <c r="BK1008" t="s">
        <v>31</v>
      </c>
      <c r="BS1008" t="s">
        <v>412</v>
      </c>
      <c r="CI1008" t="s">
        <v>388</v>
      </c>
      <c r="CJ1008" s="14">
        <v>45014</v>
      </c>
      <c r="CK1008">
        <v>1</v>
      </c>
    </row>
    <row r="1009" spans="1:89">
      <c r="A1009" t="s">
        <v>928</v>
      </c>
      <c r="B1009" t="s">
        <v>374</v>
      </c>
      <c r="C1009" t="s">
        <v>392</v>
      </c>
      <c r="D1009" t="s">
        <v>955</v>
      </c>
      <c r="E1009" t="s">
        <v>956</v>
      </c>
      <c r="F1009" s="13">
        <v>44795.504513888889</v>
      </c>
      <c r="G1009" t="s">
        <v>641</v>
      </c>
      <c r="H1009" t="s">
        <v>642</v>
      </c>
      <c r="I1009" s="13">
        <v>44795.504525462966</v>
      </c>
      <c r="K1009" t="s">
        <v>412</v>
      </c>
      <c r="M1009" s="13">
        <v>44484</v>
      </c>
      <c r="R1009">
        <v>0</v>
      </c>
      <c r="S1009" t="s">
        <v>416</v>
      </c>
      <c r="T1009" t="s">
        <v>57</v>
      </c>
      <c r="V1009" t="s">
        <v>381</v>
      </c>
      <c r="W1009" t="s">
        <v>938</v>
      </c>
      <c r="X1009" t="s">
        <v>938</v>
      </c>
      <c r="AC1009" s="13">
        <v>44484</v>
      </c>
      <c r="AD1009" s="13">
        <v>44484</v>
      </c>
      <c r="AI1009">
        <v>-311</v>
      </c>
      <c r="AN1009" t="s">
        <v>31</v>
      </c>
      <c r="AO1009">
        <v>0</v>
      </c>
      <c r="AS1009" t="s">
        <v>385</v>
      </c>
      <c r="AX1009" t="s">
        <v>57</v>
      </c>
      <c r="AY1009" t="s">
        <v>386</v>
      </c>
      <c r="AZ1009" t="s">
        <v>721</v>
      </c>
      <c r="BF1009">
        <v>0</v>
      </c>
      <c r="BK1009" t="s">
        <v>31</v>
      </c>
      <c r="BS1009" t="s">
        <v>412</v>
      </c>
      <c r="CI1009" t="s">
        <v>388</v>
      </c>
      <c r="CJ1009" s="14">
        <v>45014</v>
      </c>
      <c r="CK1009">
        <v>1</v>
      </c>
    </row>
    <row r="1010" spans="1:89">
      <c r="A1010" t="s">
        <v>902</v>
      </c>
      <c r="B1010" t="s">
        <v>374</v>
      </c>
      <c r="C1010" t="s">
        <v>903</v>
      </c>
      <c r="D1010" t="s">
        <v>957</v>
      </c>
      <c r="E1010" t="s">
        <v>958</v>
      </c>
      <c r="F1010" s="13">
        <v>44795.504490740743</v>
      </c>
      <c r="G1010" t="s">
        <v>641</v>
      </c>
      <c r="H1010" t="s">
        <v>642</v>
      </c>
      <c r="I1010" s="13">
        <v>44795.504502314812</v>
      </c>
      <c r="K1010" t="s">
        <v>412</v>
      </c>
      <c r="M1010" s="13">
        <v>44456</v>
      </c>
      <c r="R1010">
        <v>0</v>
      </c>
      <c r="S1010" t="s">
        <v>416</v>
      </c>
      <c r="T1010" t="s">
        <v>57</v>
      </c>
      <c r="V1010" t="s">
        <v>381</v>
      </c>
      <c r="W1010" t="s">
        <v>934</v>
      </c>
      <c r="X1010" t="s">
        <v>934</v>
      </c>
      <c r="AC1010" s="13">
        <v>44456</v>
      </c>
      <c r="AD1010" s="13">
        <v>44456</v>
      </c>
      <c r="AI1010">
        <v>-339</v>
      </c>
      <c r="AN1010" t="s">
        <v>31</v>
      </c>
      <c r="AO1010">
        <v>0</v>
      </c>
      <c r="AS1010" t="s">
        <v>392</v>
      </c>
      <c r="AX1010" t="s">
        <v>57</v>
      </c>
      <c r="AY1010" t="s">
        <v>386</v>
      </c>
      <c r="AZ1010" t="s">
        <v>721</v>
      </c>
      <c r="BF1010">
        <v>0</v>
      </c>
      <c r="BK1010" t="s">
        <v>31</v>
      </c>
      <c r="BS1010" t="s">
        <v>412</v>
      </c>
      <c r="CI1010" t="s">
        <v>388</v>
      </c>
      <c r="CJ1010" s="14">
        <v>45014</v>
      </c>
      <c r="CK1010">
        <v>1</v>
      </c>
    </row>
    <row r="1011" spans="1:89">
      <c r="A1011" t="s">
        <v>928</v>
      </c>
      <c r="B1011" t="s">
        <v>374</v>
      </c>
      <c r="C1011" t="s">
        <v>392</v>
      </c>
      <c r="D1011" t="s">
        <v>959</v>
      </c>
      <c r="E1011" t="s">
        <v>960</v>
      </c>
      <c r="F1011" s="13">
        <v>44795.504467592589</v>
      </c>
      <c r="G1011" t="s">
        <v>641</v>
      </c>
      <c r="H1011" t="s">
        <v>642</v>
      </c>
      <c r="I1011" s="13">
        <v>44795.504479166666</v>
      </c>
      <c r="K1011" t="s">
        <v>412</v>
      </c>
      <c r="M1011" s="13">
        <v>44484</v>
      </c>
      <c r="R1011">
        <v>0</v>
      </c>
      <c r="S1011" t="s">
        <v>416</v>
      </c>
      <c r="T1011" t="s">
        <v>57</v>
      </c>
      <c r="V1011" t="s">
        <v>381</v>
      </c>
      <c r="W1011" t="s">
        <v>938</v>
      </c>
      <c r="X1011" t="s">
        <v>938</v>
      </c>
      <c r="AC1011" s="13">
        <v>44484</v>
      </c>
      <c r="AD1011" s="13">
        <v>44484</v>
      </c>
      <c r="AI1011">
        <v>-311</v>
      </c>
      <c r="AN1011" t="s">
        <v>31</v>
      </c>
      <c r="AO1011">
        <v>0</v>
      </c>
      <c r="AS1011" t="s">
        <v>385</v>
      </c>
      <c r="AX1011" t="s">
        <v>57</v>
      </c>
      <c r="AY1011" t="s">
        <v>386</v>
      </c>
      <c r="AZ1011" t="s">
        <v>721</v>
      </c>
      <c r="BF1011">
        <v>0</v>
      </c>
      <c r="BK1011" t="s">
        <v>31</v>
      </c>
      <c r="BS1011" t="s">
        <v>412</v>
      </c>
      <c r="CI1011" t="s">
        <v>388</v>
      </c>
      <c r="CJ1011" s="14">
        <v>45014</v>
      </c>
      <c r="CK1011">
        <v>1</v>
      </c>
    </row>
    <row r="1012" spans="1:89">
      <c r="A1012" t="s">
        <v>928</v>
      </c>
      <c r="B1012" t="s">
        <v>374</v>
      </c>
      <c r="C1012" t="s">
        <v>392</v>
      </c>
      <c r="D1012" t="s">
        <v>961</v>
      </c>
      <c r="E1012" t="s">
        <v>962</v>
      </c>
      <c r="F1012" s="13">
        <v>44795.504444444443</v>
      </c>
      <c r="G1012" t="s">
        <v>641</v>
      </c>
      <c r="H1012" t="s">
        <v>642</v>
      </c>
      <c r="I1012" s="13">
        <v>44795.50445601852</v>
      </c>
      <c r="K1012" t="s">
        <v>412</v>
      </c>
      <c r="M1012" s="13">
        <v>44484</v>
      </c>
      <c r="R1012">
        <v>0</v>
      </c>
      <c r="S1012" t="s">
        <v>416</v>
      </c>
      <c r="T1012" t="s">
        <v>57</v>
      </c>
      <c r="V1012" t="s">
        <v>381</v>
      </c>
      <c r="W1012" t="s">
        <v>934</v>
      </c>
      <c r="X1012" t="s">
        <v>934</v>
      </c>
      <c r="AC1012" s="13">
        <v>44484</v>
      </c>
      <c r="AD1012" s="13">
        <v>44484</v>
      </c>
      <c r="AI1012">
        <v>-311</v>
      </c>
      <c r="AN1012" t="s">
        <v>31</v>
      </c>
      <c r="AO1012">
        <v>0</v>
      </c>
      <c r="AS1012" t="s">
        <v>392</v>
      </c>
      <c r="AX1012" t="s">
        <v>57</v>
      </c>
      <c r="AY1012" t="s">
        <v>386</v>
      </c>
      <c r="AZ1012" t="s">
        <v>721</v>
      </c>
      <c r="BF1012">
        <v>0</v>
      </c>
      <c r="BK1012" t="s">
        <v>31</v>
      </c>
      <c r="BS1012" t="s">
        <v>412</v>
      </c>
      <c r="CI1012" t="s">
        <v>388</v>
      </c>
      <c r="CJ1012" s="14">
        <v>45014</v>
      </c>
      <c r="CK1012">
        <v>1</v>
      </c>
    </row>
    <row r="1013" spans="1:89">
      <c r="A1013" t="s">
        <v>928</v>
      </c>
      <c r="B1013" t="s">
        <v>374</v>
      </c>
      <c r="C1013" t="s">
        <v>392</v>
      </c>
      <c r="D1013" t="s">
        <v>963</v>
      </c>
      <c r="E1013" t="s">
        <v>964</v>
      </c>
      <c r="F1013" s="13">
        <v>44795.504432870373</v>
      </c>
      <c r="G1013" t="s">
        <v>641</v>
      </c>
      <c r="H1013" t="s">
        <v>642</v>
      </c>
      <c r="I1013" s="13">
        <v>44795.504444444443</v>
      </c>
      <c r="K1013" t="s">
        <v>412</v>
      </c>
      <c r="M1013" s="13">
        <v>44484</v>
      </c>
      <c r="R1013">
        <v>0</v>
      </c>
      <c r="S1013" t="s">
        <v>416</v>
      </c>
      <c r="T1013" t="s">
        <v>57</v>
      </c>
      <c r="V1013" t="s">
        <v>381</v>
      </c>
      <c r="W1013" t="s">
        <v>934</v>
      </c>
      <c r="X1013" t="s">
        <v>934</v>
      </c>
      <c r="AC1013" s="13">
        <v>44484</v>
      </c>
      <c r="AD1013" s="13">
        <v>44484</v>
      </c>
      <c r="AI1013">
        <v>-311</v>
      </c>
      <c r="AN1013" t="s">
        <v>31</v>
      </c>
      <c r="AO1013">
        <v>0</v>
      </c>
      <c r="AS1013" t="s">
        <v>392</v>
      </c>
      <c r="AX1013" t="s">
        <v>57</v>
      </c>
      <c r="AY1013" t="s">
        <v>386</v>
      </c>
      <c r="AZ1013" t="s">
        <v>721</v>
      </c>
      <c r="BF1013">
        <v>0</v>
      </c>
      <c r="BK1013" t="s">
        <v>31</v>
      </c>
      <c r="BS1013" t="s">
        <v>412</v>
      </c>
      <c r="CI1013" t="s">
        <v>388</v>
      </c>
      <c r="CJ1013" s="14">
        <v>45014</v>
      </c>
      <c r="CK1013">
        <v>1</v>
      </c>
    </row>
    <row r="1014" spans="1:89">
      <c r="A1014" t="s">
        <v>965</v>
      </c>
      <c r="B1014" t="s">
        <v>374</v>
      </c>
      <c r="C1014" t="s">
        <v>966</v>
      </c>
      <c r="D1014" t="s">
        <v>967</v>
      </c>
      <c r="E1014" t="s">
        <v>968</v>
      </c>
      <c r="F1014" s="13">
        <v>44795.50440972222</v>
      </c>
      <c r="G1014" t="s">
        <v>641</v>
      </c>
      <c r="H1014" t="s">
        <v>642</v>
      </c>
      <c r="I1014" s="13">
        <v>44795.504421296297</v>
      </c>
      <c r="K1014" t="s">
        <v>412</v>
      </c>
      <c r="M1014" s="13">
        <v>44454</v>
      </c>
      <c r="R1014">
        <v>0</v>
      </c>
      <c r="S1014" t="s">
        <v>380</v>
      </c>
      <c r="T1014" t="s">
        <v>57</v>
      </c>
      <c r="V1014" t="s">
        <v>381</v>
      </c>
      <c r="W1014" t="s">
        <v>934</v>
      </c>
      <c r="X1014" t="s">
        <v>934</v>
      </c>
      <c r="AC1014" s="13">
        <v>44454</v>
      </c>
      <c r="AD1014" s="13">
        <v>44454</v>
      </c>
      <c r="AI1014">
        <v>-341</v>
      </c>
      <c r="AN1014" t="s">
        <v>31</v>
      </c>
      <c r="AO1014">
        <v>0</v>
      </c>
      <c r="AS1014" t="s">
        <v>392</v>
      </c>
      <c r="AX1014" t="s">
        <v>57</v>
      </c>
      <c r="AY1014" t="s">
        <v>386</v>
      </c>
      <c r="AZ1014" t="s">
        <v>721</v>
      </c>
      <c r="BF1014">
        <v>0</v>
      </c>
      <c r="BK1014" t="s">
        <v>31</v>
      </c>
      <c r="BS1014" t="s">
        <v>412</v>
      </c>
      <c r="CI1014" t="s">
        <v>388</v>
      </c>
      <c r="CJ1014" s="14">
        <v>45014</v>
      </c>
      <c r="CK1014">
        <v>1</v>
      </c>
    </row>
    <row r="1015" spans="1:89">
      <c r="A1015" t="s">
        <v>902</v>
      </c>
      <c r="B1015" t="s">
        <v>374</v>
      </c>
      <c r="C1015" t="s">
        <v>903</v>
      </c>
      <c r="D1015" t="s">
        <v>969</v>
      </c>
      <c r="E1015" t="s">
        <v>970</v>
      </c>
      <c r="F1015" s="13">
        <v>44795.504386574074</v>
      </c>
      <c r="G1015" t="s">
        <v>641</v>
      </c>
      <c r="H1015" t="s">
        <v>642</v>
      </c>
      <c r="I1015" s="13">
        <v>44795.50439814815</v>
      </c>
      <c r="K1015" t="s">
        <v>412</v>
      </c>
      <c r="M1015" s="13">
        <v>44331</v>
      </c>
      <c r="R1015">
        <v>0</v>
      </c>
      <c r="S1015" t="s">
        <v>380</v>
      </c>
      <c r="T1015" t="s">
        <v>57</v>
      </c>
      <c r="V1015" t="s">
        <v>381</v>
      </c>
      <c r="W1015" t="s">
        <v>971</v>
      </c>
      <c r="X1015" t="s">
        <v>971</v>
      </c>
      <c r="AC1015" s="13">
        <v>44331</v>
      </c>
      <c r="AD1015" s="13">
        <v>44331</v>
      </c>
      <c r="AI1015">
        <v>-464</v>
      </c>
      <c r="AN1015" t="s">
        <v>31</v>
      </c>
      <c r="AO1015">
        <v>0</v>
      </c>
      <c r="AS1015" t="s">
        <v>385</v>
      </c>
      <c r="AX1015" t="s">
        <v>57</v>
      </c>
      <c r="AY1015" t="s">
        <v>386</v>
      </c>
      <c r="AZ1015" t="s">
        <v>721</v>
      </c>
      <c r="BF1015">
        <v>0</v>
      </c>
      <c r="BK1015" t="s">
        <v>31</v>
      </c>
      <c r="BS1015" t="s">
        <v>412</v>
      </c>
      <c r="CI1015" t="s">
        <v>388</v>
      </c>
      <c r="CJ1015" s="14">
        <v>45014</v>
      </c>
      <c r="CK1015">
        <v>1</v>
      </c>
    </row>
    <row r="1016" spans="1:89">
      <c r="A1016" t="s">
        <v>883</v>
      </c>
      <c r="B1016" t="s">
        <v>374</v>
      </c>
      <c r="C1016" t="s">
        <v>473</v>
      </c>
      <c r="D1016" t="s">
        <v>972</v>
      </c>
      <c r="E1016" t="s">
        <v>973</v>
      </c>
      <c r="F1016" s="13">
        <v>44795.504363425927</v>
      </c>
      <c r="G1016" t="s">
        <v>641</v>
      </c>
      <c r="H1016" t="s">
        <v>642</v>
      </c>
      <c r="I1016" s="13">
        <v>44795.504374999997</v>
      </c>
      <c r="K1016" t="s">
        <v>412</v>
      </c>
      <c r="M1016" s="13">
        <v>44301</v>
      </c>
      <c r="R1016">
        <v>0</v>
      </c>
      <c r="S1016" t="s">
        <v>380</v>
      </c>
      <c r="T1016" t="s">
        <v>57</v>
      </c>
      <c r="V1016" t="s">
        <v>381</v>
      </c>
      <c r="W1016" t="s">
        <v>931</v>
      </c>
      <c r="X1016" t="s">
        <v>931</v>
      </c>
      <c r="AC1016" s="13">
        <v>44301</v>
      </c>
      <c r="AD1016" s="13">
        <v>44301</v>
      </c>
      <c r="AI1016">
        <v>-494</v>
      </c>
      <c r="AN1016" t="s">
        <v>31</v>
      </c>
      <c r="AO1016">
        <v>0</v>
      </c>
      <c r="AS1016" t="s">
        <v>385</v>
      </c>
      <c r="AX1016" t="s">
        <v>57</v>
      </c>
      <c r="AY1016" t="s">
        <v>386</v>
      </c>
      <c r="AZ1016" t="s">
        <v>721</v>
      </c>
      <c r="BF1016">
        <v>0</v>
      </c>
      <c r="BK1016" t="s">
        <v>31</v>
      </c>
      <c r="BS1016" t="s">
        <v>412</v>
      </c>
      <c r="CI1016" t="s">
        <v>388</v>
      </c>
      <c r="CJ1016" s="14">
        <v>45014</v>
      </c>
      <c r="CK1016">
        <v>1</v>
      </c>
    </row>
    <row r="1017" spans="1:89">
      <c r="A1017" t="s">
        <v>915</v>
      </c>
      <c r="B1017" t="s">
        <v>374</v>
      </c>
      <c r="C1017" t="s">
        <v>916</v>
      </c>
      <c r="D1017" t="s">
        <v>974</v>
      </c>
      <c r="E1017" t="s">
        <v>975</v>
      </c>
      <c r="F1017" s="13">
        <v>44795.504340277781</v>
      </c>
      <c r="G1017" t="s">
        <v>641</v>
      </c>
      <c r="H1017" t="s">
        <v>642</v>
      </c>
      <c r="I1017" s="13">
        <v>44795.504351851851</v>
      </c>
      <c r="K1017" t="s">
        <v>412</v>
      </c>
      <c r="M1017" s="13">
        <v>44135</v>
      </c>
      <c r="R1017">
        <v>0</v>
      </c>
      <c r="S1017" t="s">
        <v>380</v>
      </c>
      <c r="T1017" t="s">
        <v>57</v>
      </c>
      <c r="V1017" t="s">
        <v>381</v>
      </c>
      <c r="W1017" t="s">
        <v>931</v>
      </c>
      <c r="X1017" t="s">
        <v>931</v>
      </c>
      <c r="AC1017" s="13">
        <v>44135</v>
      </c>
      <c r="AD1017" s="13">
        <v>44135</v>
      </c>
      <c r="AI1017">
        <v>-660</v>
      </c>
      <c r="AN1017" t="s">
        <v>31</v>
      </c>
      <c r="AO1017">
        <v>0</v>
      </c>
      <c r="AS1017" t="s">
        <v>385</v>
      </c>
      <c r="AX1017" t="s">
        <v>57</v>
      </c>
      <c r="AY1017" t="s">
        <v>386</v>
      </c>
      <c r="AZ1017" t="s">
        <v>976</v>
      </c>
      <c r="BF1017">
        <v>0</v>
      </c>
      <c r="BK1017" t="s">
        <v>31</v>
      </c>
      <c r="BS1017" t="s">
        <v>412</v>
      </c>
      <c r="CI1017" t="s">
        <v>388</v>
      </c>
      <c r="CJ1017" s="14">
        <v>45014</v>
      </c>
      <c r="CK1017">
        <v>1</v>
      </c>
    </row>
    <row r="1018" spans="1:89">
      <c r="A1018" t="s">
        <v>915</v>
      </c>
      <c r="B1018" t="s">
        <v>374</v>
      </c>
      <c r="C1018" t="s">
        <v>916</v>
      </c>
      <c r="D1018" t="s">
        <v>977</v>
      </c>
      <c r="E1018" t="s">
        <v>978</v>
      </c>
      <c r="F1018" s="13">
        <v>44795.504328703704</v>
      </c>
      <c r="G1018" t="s">
        <v>641</v>
      </c>
      <c r="H1018" t="s">
        <v>642</v>
      </c>
      <c r="I1018" s="13">
        <v>44795.504328703704</v>
      </c>
      <c r="K1018" t="s">
        <v>412</v>
      </c>
      <c r="M1018" s="13">
        <v>44135</v>
      </c>
      <c r="R1018">
        <v>0</v>
      </c>
      <c r="S1018" t="s">
        <v>380</v>
      </c>
      <c r="T1018" t="s">
        <v>57</v>
      </c>
      <c r="V1018" t="s">
        <v>381</v>
      </c>
      <c r="W1018" t="s">
        <v>979</v>
      </c>
      <c r="X1018" t="s">
        <v>979</v>
      </c>
      <c r="AC1018" s="13">
        <v>44135</v>
      </c>
      <c r="AD1018" s="13">
        <v>44135</v>
      </c>
      <c r="AI1018">
        <v>-660</v>
      </c>
      <c r="AN1018" t="s">
        <v>31</v>
      </c>
      <c r="AO1018">
        <v>0</v>
      </c>
      <c r="AS1018" t="s">
        <v>385</v>
      </c>
      <c r="AX1018" t="s">
        <v>57</v>
      </c>
      <c r="AY1018" t="s">
        <v>386</v>
      </c>
      <c r="AZ1018" t="s">
        <v>745</v>
      </c>
      <c r="BF1018">
        <v>0</v>
      </c>
      <c r="BK1018" t="s">
        <v>31</v>
      </c>
      <c r="BS1018" t="s">
        <v>412</v>
      </c>
      <c r="CI1018" t="s">
        <v>388</v>
      </c>
      <c r="CJ1018" s="14">
        <v>45014</v>
      </c>
      <c r="CK1018">
        <v>1</v>
      </c>
    </row>
    <row r="1019" spans="1:89">
      <c r="A1019" t="s">
        <v>915</v>
      </c>
      <c r="B1019" t="s">
        <v>374</v>
      </c>
      <c r="C1019" t="s">
        <v>916</v>
      </c>
      <c r="D1019" t="s">
        <v>980</v>
      </c>
      <c r="E1019" t="s">
        <v>981</v>
      </c>
      <c r="F1019" s="13">
        <v>44795.504305555558</v>
      </c>
      <c r="G1019" t="s">
        <v>641</v>
      </c>
      <c r="H1019" t="s">
        <v>642</v>
      </c>
      <c r="I1019" s="13">
        <v>44795.504317129627</v>
      </c>
      <c r="K1019" t="s">
        <v>412</v>
      </c>
      <c r="M1019" s="13">
        <v>44135</v>
      </c>
      <c r="R1019">
        <v>0</v>
      </c>
      <c r="S1019" t="s">
        <v>380</v>
      </c>
      <c r="T1019" t="s">
        <v>57</v>
      </c>
      <c r="V1019" t="s">
        <v>381</v>
      </c>
      <c r="W1019" t="s">
        <v>979</v>
      </c>
      <c r="X1019" t="s">
        <v>979</v>
      </c>
      <c r="AC1019" s="13">
        <v>44135</v>
      </c>
      <c r="AD1019" s="13">
        <v>44135</v>
      </c>
      <c r="AI1019">
        <v>-660</v>
      </c>
      <c r="AN1019" t="s">
        <v>31</v>
      </c>
      <c r="AO1019">
        <v>0</v>
      </c>
      <c r="AS1019" t="s">
        <v>385</v>
      </c>
      <c r="AX1019" t="s">
        <v>57</v>
      </c>
      <c r="AY1019" t="s">
        <v>386</v>
      </c>
      <c r="AZ1019" t="s">
        <v>721</v>
      </c>
      <c r="BF1019">
        <v>0</v>
      </c>
      <c r="BK1019" t="s">
        <v>31</v>
      </c>
      <c r="BS1019" t="s">
        <v>412</v>
      </c>
      <c r="CI1019" t="s">
        <v>388</v>
      </c>
      <c r="CJ1019" s="14">
        <v>45014</v>
      </c>
      <c r="CK1019">
        <v>1</v>
      </c>
    </row>
    <row r="1020" spans="1:89">
      <c r="A1020" t="s">
        <v>895</v>
      </c>
      <c r="B1020" t="s">
        <v>374</v>
      </c>
      <c r="C1020" t="s">
        <v>896</v>
      </c>
      <c r="D1020" t="s">
        <v>982</v>
      </c>
      <c r="E1020" t="s">
        <v>983</v>
      </c>
      <c r="F1020" s="13">
        <v>44795.504282407404</v>
      </c>
      <c r="G1020" t="s">
        <v>641</v>
      </c>
      <c r="H1020" t="s">
        <v>642</v>
      </c>
      <c r="I1020" s="13">
        <v>44795.504293981481</v>
      </c>
      <c r="K1020" t="s">
        <v>412</v>
      </c>
      <c r="M1020" s="13">
        <v>44586</v>
      </c>
      <c r="R1020">
        <v>0</v>
      </c>
      <c r="S1020" t="s">
        <v>380</v>
      </c>
      <c r="T1020" t="s">
        <v>57</v>
      </c>
      <c r="V1020" t="s">
        <v>381</v>
      </c>
      <c r="W1020" t="s">
        <v>931</v>
      </c>
      <c r="X1020" t="s">
        <v>931</v>
      </c>
      <c r="AC1020" s="13">
        <v>44586</v>
      </c>
      <c r="AD1020" s="13">
        <v>44586</v>
      </c>
      <c r="AI1020">
        <v>-209</v>
      </c>
      <c r="AN1020" t="s">
        <v>31</v>
      </c>
      <c r="AO1020">
        <v>0</v>
      </c>
      <c r="AS1020" t="s">
        <v>385</v>
      </c>
      <c r="AX1020" t="s">
        <v>57</v>
      </c>
      <c r="AY1020" t="s">
        <v>386</v>
      </c>
      <c r="AZ1020" t="s">
        <v>721</v>
      </c>
      <c r="BF1020">
        <v>0</v>
      </c>
      <c r="BK1020" t="s">
        <v>31</v>
      </c>
      <c r="BS1020" t="s">
        <v>412</v>
      </c>
      <c r="CI1020" t="s">
        <v>388</v>
      </c>
      <c r="CJ1020" s="14">
        <v>45014</v>
      </c>
      <c r="CK1020">
        <v>1</v>
      </c>
    </row>
    <row r="1021" spans="1:89">
      <c r="A1021" t="s">
        <v>915</v>
      </c>
      <c r="B1021" t="s">
        <v>374</v>
      </c>
      <c r="C1021" t="s">
        <v>916</v>
      </c>
      <c r="D1021" t="s">
        <v>984</v>
      </c>
      <c r="E1021" t="s">
        <v>985</v>
      </c>
      <c r="F1021" s="13">
        <v>44795.504270833335</v>
      </c>
      <c r="G1021" t="s">
        <v>641</v>
      </c>
      <c r="H1021" t="s">
        <v>642</v>
      </c>
      <c r="I1021" s="13">
        <v>44795.504270833335</v>
      </c>
      <c r="K1021" t="s">
        <v>412</v>
      </c>
      <c r="M1021" s="13">
        <v>44638</v>
      </c>
      <c r="R1021">
        <v>0</v>
      </c>
      <c r="S1021" t="s">
        <v>380</v>
      </c>
      <c r="T1021" t="s">
        <v>57</v>
      </c>
      <c r="V1021" t="s">
        <v>381</v>
      </c>
      <c r="W1021" t="s">
        <v>921</v>
      </c>
      <c r="X1021" t="s">
        <v>921</v>
      </c>
      <c r="AC1021" s="13">
        <v>44638</v>
      </c>
      <c r="AD1021" s="13">
        <v>44638</v>
      </c>
      <c r="AI1021">
        <v>-157</v>
      </c>
      <c r="AN1021" t="s">
        <v>31</v>
      </c>
      <c r="AO1021">
        <v>0</v>
      </c>
      <c r="AS1021" t="s">
        <v>648</v>
      </c>
      <c r="AX1021" t="s">
        <v>57</v>
      </c>
      <c r="AY1021" t="s">
        <v>386</v>
      </c>
      <c r="AZ1021" t="s">
        <v>745</v>
      </c>
      <c r="BF1021">
        <v>0</v>
      </c>
      <c r="BK1021" t="s">
        <v>31</v>
      </c>
      <c r="BS1021" t="s">
        <v>412</v>
      </c>
      <c r="CI1021" t="s">
        <v>388</v>
      </c>
      <c r="CJ1021" s="14">
        <v>45014</v>
      </c>
      <c r="CK1021">
        <v>1</v>
      </c>
    </row>
    <row r="1022" spans="1:89">
      <c r="A1022" t="s">
        <v>915</v>
      </c>
      <c r="B1022" t="s">
        <v>374</v>
      </c>
      <c r="C1022" t="s">
        <v>916</v>
      </c>
      <c r="D1022" t="s">
        <v>986</v>
      </c>
      <c r="E1022" t="s">
        <v>987</v>
      </c>
      <c r="F1022" s="13">
        <v>44795.504247685189</v>
      </c>
      <c r="G1022" t="s">
        <v>641</v>
      </c>
      <c r="H1022" t="s">
        <v>642</v>
      </c>
      <c r="I1022" s="13">
        <v>44795.504259259258</v>
      </c>
      <c r="K1022" t="s">
        <v>412</v>
      </c>
      <c r="M1022" s="13">
        <v>44638</v>
      </c>
      <c r="R1022">
        <v>0</v>
      </c>
      <c r="S1022" t="s">
        <v>380</v>
      </c>
      <c r="T1022" t="s">
        <v>57</v>
      </c>
      <c r="V1022" t="s">
        <v>381</v>
      </c>
      <c r="W1022" t="s">
        <v>921</v>
      </c>
      <c r="X1022" t="s">
        <v>921</v>
      </c>
      <c r="AC1022" s="13">
        <v>44638</v>
      </c>
      <c r="AD1022" s="13">
        <v>44638</v>
      </c>
      <c r="AI1022">
        <v>-157</v>
      </c>
      <c r="AN1022" t="s">
        <v>31</v>
      </c>
      <c r="AO1022">
        <v>0</v>
      </c>
      <c r="AS1022" t="s">
        <v>526</v>
      </c>
      <c r="AX1022" t="s">
        <v>57</v>
      </c>
      <c r="AY1022" t="s">
        <v>386</v>
      </c>
      <c r="AZ1022" t="s">
        <v>721</v>
      </c>
      <c r="BF1022">
        <v>0</v>
      </c>
      <c r="BK1022" t="s">
        <v>31</v>
      </c>
      <c r="BS1022" t="s">
        <v>412</v>
      </c>
      <c r="CI1022" t="s">
        <v>388</v>
      </c>
      <c r="CJ1022" s="14">
        <v>45014</v>
      </c>
      <c r="CK1022">
        <v>1</v>
      </c>
    </row>
    <row r="1023" spans="1:89">
      <c r="A1023" t="s">
        <v>915</v>
      </c>
      <c r="B1023" t="s">
        <v>374</v>
      </c>
      <c r="C1023" t="s">
        <v>916</v>
      </c>
      <c r="D1023" t="s">
        <v>988</v>
      </c>
      <c r="E1023" t="s">
        <v>989</v>
      </c>
      <c r="F1023" s="13">
        <v>44795.504224537035</v>
      </c>
      <c r="G1023" t="s">
        <v>641</v>
      </c>
      <c r="H1023" t="s">
        <v>642</v>
      </c>
      <c r="I1023" s="13">
        <v>44795.504236111112</v>
      </c>
      <c r="K1023" t="s">
        <v>412</v>
      </c>
      <c r="M1023" s="13">
        <v>44610</v>
      </c>
      <c r="R1023">
        <v>0</v>
      </c>
      <c r="S1023" t="s">
        <v>380</v>
      </c>
      <c r="T1023" t="s">
        <v>57</v>
      </c>
      <c r="V1023" t="s">
        <v>381</v>
      </c>
      <c r="W1023" t="s">
        <v>921</v>
      </c>
      <c r="X1023" t="s">
        <v>921</v>
      </c>
      <c r="AC1023" s="13">
        <v>44610</v>
      </c>
      <c r="AD1023" s="13">
        <v>44610</v>
      </c>
      <c r="AI1023">
        <v>-185</v>
      </c>
      <c r="AN1023" t="s">
        <v>31</v>
      </c>
      <c r="AO1023">
        <v>0</v>
      </c>
      <c r="AS1023" t="s">
        <v>385</v>
      </c>
      <c r="AX1023" t="s">
        <v>57</v>
      </c>
      <c r="AY1023" t="s">
        <v>386</v>
      </c>
      <c r="AZ1023" t="s">
        <v>745</v>
      </c>
      <c r="BF1023">
        <v>0</v>
      </c>
      <c r="BK1023" t="s">
        <v>31</v>
      </c>
      <c r="BS1023" t="s">
        <v>412</v>
      </c>
      <c r="CI1023" t="s">
        <v>388</v>
      </c>
      <c r="CJ1023" s="14">
        <v>45014</v>
      </c>
      <c r="CK1023">
        <v>1</v>
      </c>
    </row>
    <row r="1024" spans="1:89">
      <c r="A1024" t="s">
        <v>915</v>
      </c>
      <c r="B1024" t="s">
        <v>374</v>
      </c>
      <c r="C1024" t="s">
        <v>916</v>
      </c>
      <c r="D1024" t="s">
        <v>990</v>
      </c>
      <c r="E1024" t="s">
        <v>991</v>
      </c>
      <c r="F1024" s="13">
        <v>44795.504212962966</v>
      </c>
      <c r="G1024" t="s">
        <v>641</v>
      </c>
      <c r="H1024" t="s">
        <v>642</v>
      </c>
      <c r="I1024" s="13">
        <v>44795.504212962966</v>
      </c>
      <c r="K1024" t="s">
        <v>412</v>
      </c>
      <c r="M1024" s="13">
        <v>44610</v>
      </c>
      <c r="R1024">
        <v>0</v>
      </c>
      <c r="S1024" t="s">
        <v>380</v>
      </c>
      <c r="T1024" t="s">
        <v>57</v>
      </c>
      <c r="V1024" t="s">
        <v>381</v>
      </c>
      <c r="W1024" t="s">
        <v>921</v>
      </c>
      <c r="X1024" t="s">
        <v>921</v>
      </c>
      <c r="AC1024" s="13">
        <v>44610</v>
      </c>
      <c r="AD1024" s="13">
        <v>44610</v>
      </c>
      <c r="AI1024">
        <v>-185</v>
      </c>
      <c r="AN1024" t="s">
        <v>31</v>
      </c>
      <c r="AO1024">
        <v>0</v>
      </c>
      <c r="AS1024" t="s">
        <v>385</v>
      </c>
      <c r="AX1024" t="s">
        <v>57</v>
      </c>
      <c r="AY1024" t="s">
        <v>386</v>
      </c>
      <c r="AZ1024" t="s">
        <v>721</v>
      </c>
      <c r="BF1024">
        <v>0</v>
      </c>
      <c r="BK1024" t="s">
        <v>31</v>
      </c>
      <c r="BS1024" t="s">
        <v>412</v>
      </c>
      <c r="CI1024" t="s">
        <v>388</v>
      </c>
      <c r="CJ1024" s="14">
        <v>45014</v>
      </c>
      <c r="CK1024">
        <v>1</v>
      </c>
    </row>
    <row r="1025" spans="1:89">
      <c r="A1025" t="s">
        <v>915</v>
      </c>
      <c r="B1025" t="s">
        <v>374</v>
      </c>
      <c r="C1025" t="s">
        <v>916</v>
      </c>
      <c r="D1025" t="s">
        <v>992</v>
      </c>
      <c r="E1025" t="s">
        <v>993</v>
      </c>
      <c r="F1025" s="13">
        <v>44795.504189814812</v>
      </c>
      <c r="G1025" t="s">
        <v>641</v>
      </c>
      <c r="H1025" t="s">
        <v>642</v>
      </c>
      <c r="I1025" s="13">
        <v>44795.504201388889</v>
      </c>
      <c r="K1025" t="s">
        <v>412</v>
      </c>
      <c r="M1025" s="13">
        <v>44638</v>
      </c>
      <c r="R1025">
        <v>0</v>
      </c>
      <c r="S1025" t="s">
        <v>380</v>
      </c>
      <c r="T1025" t="s">
        <v>57</v>
      </c>
      <c r="V1025" t="s">
        <v>381</v>
      </c>
      <c r="W1025" t="s">
        <v>921</v>
      </c>
      <c r="X1025" t="s">
        <v>921</v>
      </c>
      <c r="AC1025" s="13">
        <v>44638</v>
      </c>
      <c r="AD1025" s="13">
        <v>44638</v>
      </c>
      <c r="AI1025">
        <v>-157</v>
      </c>
      <c r="AN1025" t="s">
        <v>31</v>
      </c>
      <c r="AO1025">
        <v>0</v>
      </c>
      <c r="AS1025" t="s">
        <v>385</v>
      </c>
      <c r="AX1025" t="s">
        <v>57</v>
      </c>
      <c r="AY1025" t="s">
        <v>386</v>
      </c>
      <c r="AZ1025" t="s">
        <v>976</v>
      </c>
      <c r="BF1025">
        <v>0</v>
      </c>
      <c r="BK1025" t="s">
        <v>31</v>
      </c>
      <c r="BS1025" t="s">
        <v>412</v>
      </c>
      <c r="CI1025" t="s">
        <v>388</v>
      </c>
      <c r="CJ1025" s="14">
        <v>45014</v>
      </c>
      <c r="CK1025">
        <v>1</v>
      </c>
    </row>
    <row r="1026" spans="1:89">
      <c r="A1026" t="s">
        <v>915</v>
      </c>
      <c r="B1026" t="s">
        <v>374</v>
      </c>
      <c r="C1026" t="s">
        <v>916</v>
      </c>
      <c r="D1026" t="s">
        <v>994</v>
      </c>
      <c r="E1026" t="s">
        <v>995</v>
      </c>
      <c r="F1026" s="13">
        <v>44795.504166666666</v>
      </c>
      <c r="G1026" t="s">
        <v>641</v>
      </c>
      <c r="H1026" t="s">
        <v>642</v>
      </c>
      <c r="I1026" s="13">
        <v>44795.504178240742</v>
      </c>
      <c r="K1026" t="s">
        <v>412</v>
      </c>
      <c r="M1026" s="13">
        <v>44638</v>
      </c>
      <c r="R1026">
        <v>0</v>
      </c>
      <c r="S1026" t="s">
        <v>380</v>
      </c>
      <c r="T1026" t="s">
        <v>57</v>
      </c>
      <c r="V1026" t="s">
        <v>381</v>
      </c>
      <c r="W1026" t="s">
        <v>921</v>
      </c>
      <c r="X1026" t="s">
        <v>921</v>
      </c>
      <c r="AC1026" s="13">
        <v>44638</v>
      </c>
      <c r="AD1026" s="13">
        <v>44638</v>
      </c>
      <c r="AI1026">
        <v>-157</v>
      </c>
      <c r="AN1026" t="s">
        <v>31</v>
      </c>
      <c r="AO1026">
        <v>0</v>
      </c>
      <c r="AS1026" t="s">
        <v>385</v>
      </c>
      <c r="AX1026" t="s">
        <v>57</v>
      </c>
      <c r="AY1026" t="s">
        <v>386</v>
      </c>
      <c r="AZ1026" t="s">
        <v>745</v>
      </c>
      <c r="BF1026">
        <v>0</v>
      </c>
      <c r="BK1026" t="s">
        <v>31</v>
      </c>
      <c r="BS1026" t="s">
        <v>412</v>
      </c>
      <c r="CI1026" t="s">
        <v>388</v>
      </c>
      <c r="CJ1026" s="14">
        <v>45014</v>
      </c>
      <c r="CK1026">
        <v>1</v>
      </c>
    </row>
    <row r="1027" spans="1:89">
      <c r="A1027" t="s">
        <v>915</v>
      </c>
      <c r="B1027" t="s">
        <v>374</v>
      </c>
      <c r="C1027" t="s">
        <v>916</v>
      </c>
      <c r="D1027" t="s">
        <v>996</v>
      </c>
      <c r="E1027" t="s">
        <v>997</v>
      </c>
      <c r="F1027" s="13">
        <v>44795.504143518519</v>
      </c>
      <c r="G1027" t="s">
        <v>641</v>
      </c>
      <c r="H1027" t="s">
        <v>642</v>
      </c>
      <c r="I1027" s="13">
        <v>44795.504155092596</v>
      </c>
      <c r="K1027" t="s">
        <v>412</v>
      </c>
      <c r="M1027" s="13">
        <v>44638</v>
      </c>
      <c r="R1027">
        <v>0</v>
      </c>
      <c r="S1027" t="s">
        <v>416</v>
      </c>
      <c r="T1027" t="s">
        <v>57</v>
      </c>
      <c r="V1027" t="s">
        <v>381</v>
      </c>
      <c r="W1027" t="s">
        <v>998</v>
      </c>
      <c r="X1027" t="s">
        <v>998</v>
      </c>
      <c r="AC1027" s="13">
        <v>44638</v>
      </c>
      <c r="AD1027" s="13">
        <v>44638</v>
      </c>
      <c r="AI1027">
        <v>-157</v>
      </c>
      <c r="AN1027" t="s">
        <v>31</v>
      </c>
      <c r="AO1027">
        <v>0</v>
      </c>
      <c r="AS1027" t="s">
        <v>385</v>
      </c>
      <c r="AX1027" t="s">
        <v>57</v>
      </c>
      <c r="AY1027" t="s">
        <v>386</v>
      </c>
      <c r="AZ1027" t="s">
        <v>721</v>
      </c>
      <c r="BF1027">
        <v>0</v>
      </c>
      <c r="BK1027" t="s">
        <v>31</v>
      </c>
      <c r="BS1027" t="s">
        <v>412</v>
      </c>
      <c r="CI1027" t="s">
        <v>388</v>
      </c>
      <c r="CJ1027" s="14">
        <v>45014</v>
      </c>
      <c r="CK1027">
        <v>1</v>
      </c>
    </row>
    <row r="1028" spans="1:89">
      <c r="A1028" t="s">
        <v>883</v>
      </c>
      <c r="B1028" t="s">
        <v>374</v>
      </c>
      <c r="C1028" t="s">
        <v>473</v>
      </c>
      <c r="D1028" t="s">
        <v>999</v>
      </c>
      <c r="E1028" t="s">
        <v>1000</v>
      </c>
      <c r="F1028" s="13">
        <v>44795.504120370373</v>
      </c>
      <c r="G1028" t="s">
        <v>641</v>
      </c>
      <c r="H1028" t="s">
        <v>642</v>
      </c>
      <c r="I1028" s="13">
        <v>44795.504131944443</v>
      </c>
      <c r="K1028" t="s">
        <v>412</v>
      </c>
      <c r="M1028" s="13">
        <v>44651</v>
      </c>
      <c r="R1028">
        <v>0</v>
      </c>
      <c r="S1028" t="s">
        <v>380</v>
      </c>
      <c r="T1028" t="s">
        <v>57</v>
      </c>
      <c r="V1028" t="s">
        <v>381</v>
      </c>
      <c r="W1028" t="s">
        <v>1001</v>
      </c>
      <c r="X1028" t="s">
        <v>1001</v>
      </c>
      <c r="AC1028" s="13">
        <v>44651</v>
      </c>
      <c r="AD1028" s="13">
        <v>44651</v>
      </c>
      <c r="AI1028">
        <v>-144</v>
      </c>
      <c r="AN1028" t="s">
        <v>31</v>
      </c>
      <c r="AO1028">
        <v>0</v>
      </c>
      <c r="AS1028" t="s">
        <v>392</v>
      </c>
      <c r="AX1028" t="s">
        <v>57</v>
      </c>
      <c r="AY1028" t="s">
        <v>386</v>
      </c>
      <c r="AZ1028" t="s">
        <v>721</v>
      </c>
      <c r="BF1028">
        <v>0</v>
      </c>
      <c r="BK1028" t="s">
        <v>31</v>
      </c>
      <c r="BS1028" t="s">
        <v>412</v>
      </c>
      <c r="CI1028" t="s">
        <v>388</v>
      </c>
      <c r="CJ1028" s="14">
        <v>45014</v>
      </c>
      <c r="CK1028">
        <v>1</v>
      </c>
    </row>
    <row r="1029" spans="1:89">
      <c r="A1029" t="s">
        <v>714</v>
      </c>
      <c r="B1029" t="s">
        <v>374</v>
      </c>
      <c r="C1029" t="s">
        <v>715</v>
      </c>
      <c r="D1029" t="s">
        <v>1002</v>
      </c>
      <c r="E1029" t="s">
        <v>1003</v>
      </c>
      <c r="F1029" s="13">
        <v>44795.504108796296</v>
      </c>
      <c r="G1029" t="s">
        <v>641</v>
      </c>
      <c r="H1029" t="s">
        <v>642</v>
      </c>
      <c r="I1029" s="13">
        <v>44795.504120370373</v>
      </c>
      <c r="K1029" t="s">
        <v>412</v>
      </c>
      <c r="M1029" s="13">
        <v>44635</v>
      </c>
      <c r="R1029">
        <v>0</v>
      </c>
      <c r="S1029" t="s">
        <v>380</v>
      </c>
      <c r="T1029" t="s">
        <v>57</v>
      </c>
      <c r="V1029" t="s">
        <v>381</v>
      </c>
      <c r="W1029" t="s">
        <v>1004</v>
      </c>
      <c r="X1029" t="s">
        <v>1004</v>
      </c>
      <c r="AC1029" s="13">
        <v>44635</v>
      </c>
      <c r="AD1029" s="13">
        <v>44635</v>
      </c>
      <c r="AI1029">
        <v>-160</v>
      </c>
      <c r="AN1029" t="s">
        <v>31</v>
      </c>
      <c r="AO1029">
        <v>0</v>
      </c>
      <c r="AS1029" t="s">
        <v>730</v>
      </c>
      <c r="AX1029" t="s">
        <v>57</v>
      </c>
      <c r="AY1029" t="s">
        <v>386</v>
      </c>
      <c r="AZ1029" t="s">
        <v>745</v>
      </c>
      <c r="BF1029">
        <v>0</v>
      </c>
      <c r="BK1029" t="s">
        <v>31</v>
      </c>
      <c r="BS1029" t="s">
        <v>412</v>
      </c>
      <c r="CI1029" t="s">
        <v>388</v>
      </c>
      <c r="CJ1029" s="14">
        <v>45014</v>
      </c>
      <c r="CK1029">
        <v>1</v>
      </c>
    </row>
    <row r="1030" spans="1:89">
      <c r="A1030" t="s">
        <v>714</v>
      </c>
      <c r="B1030" t="s">
        <v>374</v>
      </c>
      <c r="C1030" t="s">
        <v>715</v>
      </c>
      <c r="D1030" t="s">
        <v>1005</v>
      </c>
      <c r="E1030" t="s">
        <v>1006</v>
      </c>
      <c r="F1030" s="13">
        <v>44795.50408564815</v>
      </c>
      <c r="G1030" t="s">
        <v>641</v>
      </c>
      <c r="H1030" t="s">
        <v>642</v>
      </c>
      <c r="I1030" s="13">
        <v>44795.50409722222</v>
      </c>
      <c r="K1030" t="s">
        <v>412</v>
      </c>
      <c r="M1030" s="13">
        <v>44635</v>
      </c>
      <c r="R1030">
        <v>0</v>
      </c>
      <c r="S1030" t="s">
        <v>380</v>
      </c>
      <c r="T1030" t="s">
        <v>57</v>
      </c>
      <c r="V1030" t="s">
        <v>381</v>
      </c>
      <c r="W1030" t="s">
        <v>1004</v>
      </c>
      <c r="X1030" t="s">
        <v>1004</v>
      </c>
      <c r="AC1030" s="13">
        <v>44635</v>
      </c>
      <c r="AD1030" s="13">
        <v>44635</v>
      </c>
      <c r="AI1030">
        <v>-160</v>
      </c>
      <c r="AN1030" t="s">
        <v>31</v>
      </c>
      <c r="AO1030">
        <v>0</v>
      </c>
      <c r="AS1030" t="s">
        <v>730</v>
      </c>
      <c r="AX1030" t="s">
        <v>57</v>
      </c>
      <c r="AY1030" t="s">
        <v>386</v>
      </c>
      <c r="AZ1030" t="s">
        <v>721</v>
      </c>
      <c r="BF1030">
        <v>0</v>
      </c>
      <c r="BK1030" t="s">
        <v>31</v>
      </c>
      <c r="BS1030" t="s">
        <v>412</v>
      </c>
      <c r="CI1030" t="s">
        <v>388</v>
      </c>
      <c r="CJ1030" s="14">
        <v>45014</v>
      </c>
      <c r="CK1030">
        <v>1</v>
      </c>
    </row>
    <row r="1031" spans="1:89">
      <c r="A1031" t="s">
        <v>714</v>
      </c>
      <c r="B1031" t="s">
        <v>374</v>
      </c>
      <c r="C1031" t="s">
        <v>715</v>
      </c>
      <c r="D1031" t="s">
        <v>1007</v>
      </c>
      <c r="E1031" t="s">
        <v>1008</v>
      </c>
      <c r="F1031" s="13">
        <v>44795.504062499997</v>
      </c>
      <c r="G1031" t="s">
        <v>641</v>
      </c>
      <c r="H1031" t="s">
        <v>642</v>
      </c>
      <c r="I1031" s="13">
        <v>44795.504074074073</v>
      </c>
      <c r="K1031" t="s">
        <v>412</v>
      </c>
      <c r="M1031" s="13">
        <v>44666</v>
      </c>
      <c r="R1031">
        <v>0</v>
      </c>
      <c r="S1031" t="s">
        <v>380</v>
      </c>
      <c r="T1031" t="s">
        <v>57</v>
      </c>
      <c r="V1031" t="s">
        <v>381</v>
      </c>
      <c r="W1031" t="s">
        <v>1004</v>
      </c>
      <c r="X1031" t="s">
        <v>1004</v>
      </c>
      <c r="AC1031" s="13">
        <v>44666</v>
      </c>
      <c r="AD1031" s="13">
        <v>44666</v>
      </c>
      <c r="AI1031">
        <v>-129</v>
      </c>
      <c r="AN1031" t="s">
        <v>31</v>
      </c>
      <c r="AO1031">
        <v>0</v>
      </c>
      <c r="AS1031" t="s">
        <v>730</v>
      </c>
      <c r="AX1031" t="s">
        <v>57</v>
      </c>
      <c r="AY1031" t="s">
        <v>386</v>
      </c>
      <c r="AZ1031" t="s">
        <v>745</v>
      </c>
      <c r="BF1031">
        <v>0</v>
      </c>
      <c r="BK1031" t="s">
        <v>31</v>
      </c>
      <c r="BS1031" t="s">
        <v>412</v>
      </c>
      <c r="CI1031" t="s">
        <v>388</v>
      </c>
      <c r="CJ1031" s="14">
        <v>45014</v>
      </c>
      <c r="CK1031">
        <v>1</v>
      </c>
    </row>
    <row r="1032" spans="1:89">
      <c r="A1032" t="s">
        <v>714</v>
      </c>
      <c r="B1032" t="s">
        <v>374</v>
      </c>
      <c r="C1032" t="s">
        <v>715</v>
      </c>
      <c r="D1032" t="s">
        <v>1009</v>
      </c>
      <c r="E1032" t="s">
        <v>1010</v>
      </c>
      <c r="F1032" s="13">
        <v>44795.50403935185</v>
      </c>
      <c r="G1032" t="s">
        <v>641</v>
      </c>
      <c r="H1032" t="s">
        <v>642</v>
      </c>
      <c r="I1032" s="13">
        <v>44795.504050925927</v>
      </c>
      <c r="K1032" t="s">
        <v>412</v>
      </c>
      <c r="M1032" s="13">
        <v>44666</v>
      </c>
      <c r="R1032">
        <v>0</v>
      </c>
      <c r="S1032" t="s">
        <v>380</v>
      </c>
      <c r="T1032" t="s">
        <v>57</v>
      </c>
      <c r="V1032" t="s">
        <v>381</v>
      </c>
      <c r="W1032" t="s">
        <v>1004</v>
      </c>
      <c r="X1032" t="s">
        <v>1004</v>
      </c>
      <c r="AC1032" s="13">
        <v>44666</v>
      </c>
      <c r="AD1032" s="13">
        <v>44666</v>
      </c>
      <c r="AI1032">
        <v>-129</v>
      </c>
      <c r="AN1032" t="s">
        <v>31</v>
      </c>
      <c r="AO1032">
        <v>0</v>
      </c>
      <c r="AS1032" t="s">
        <v>730</v>
      </c>
      <c r="AX1032" t="s">
        <v>57</v>
      </c>
      <c r="AY1032" t="s">
        <v>386</v>
      </c>
      <c r="AZ1032" t="s">
        <v>721</v>
      </c>
      <c r="BF1032">
        <v>0</v>
      </c>
      <c r="BK1032" t="s">
        <v>31</v>
      </c>
      <c r="BS1032" t="s">
        <v>412</v>
      </c>
      <c r="CI1032" t="s">
        <v>388</v>
      </c>
      <c r="CJ1032" s="14">
        <v>45014</v>
      </c>
      <c r="CK1032">
        <v>1</v>
      </c>
    </row>
    <row r="1033" spans="1:89">
      <c r="A1033" t="s">
        <v>714</v>
      </c>
      <c r="B1033" t="s">
        <v>374</v>
      </c>
      <c r="C1033" t="s">
        <v>715</v>
      </c>
      <c r="D1033" t="s">
        <v>1011</v>
      </c>
      <c r="E1033" t="s">
        <v>1012</v>
      </c>
      <c r="F1033" s="13">
        <v>44795.504016203704</v>
      </c>
      <c r="G1033" t="s">
        <v>641</v>
      </c>
      <c r="H1033" t="s">
        <v>642</v>
      </c>
      <c r="I1033" s="13">
        <v>44795.504027777781</v>
      </c>
      <c r="K1033" t="s">
        <v>412</v>
      </c>
      <c r="M1033" s="13">
        <v>44666</v>
      </c>
      <c r="R1033">
        <v>0</v>
      </c>
      <c r="S1033" t="s">
        <v>380</v>
      </c>
      <c r="T1033" t="s">
        <v>57</v>
      </c>
      <c r="V1033" t="s">
        <v>381</v>
      </c>
      <c r="W1033" t="s">
        <v>1004</v>
      </c>
      <c r="X1033" t="s">
        <v>1004</v>
      </c>
      <c r="AC1033" s="13">
        <v>44666</v>
      </c>
      <c r="AD1033" s="13">
        <v>44666</v>
      </c>
      <c r="AI1033">
        <v>-129</v>
      </c>
      <c r="AN1033" t="s">
        <v>31</v>
      </c>
      <c r="AO1033">
        <v>0</v>
      </c>
      <c r="AS1033" t="s">
        <v>730</v>
      </c>
      <c r="AX1033" t="s">
        <v>57</v>
      </c>
      <c r="AY1033" t="s">
        <v>386</v>
      </c>
      <c r="AZ1033" t="s">
        <v>721</v>
      </c>
      <c r="BF1033">
        <v>0</v>
      </c>
      <c r="BK1033" t="s">
        <v>31</v>
      </c>
      <c r="BS1033" t="s">
        <v>412</v>
      </c>
      <c r="CI1033" t="s">
        <v>388</v>
      </c>
      <c r="CJ1033" s="14">
        <v>45014</v>
      </c>
      <c r="CK1033">
        <v>1</v>
      </c>
    </row>
    <row r="1034" spans="1:89">
      <c r="A1034" t="s">
        <v>714</v>
      </c>
      <c r="B1034" t="s">
        <v>374</v>
      </c>
      <c r="C1034" t="s">
        <v>715</v>
      </c>
      <c r="D1034" t="s">
        <v>1013</v>
      </c>
      <c r="E1034" t="s">
        <v>1014</v>
      </c>
      <c r="F1034" s="13">
        <v>44795.503993055558</v>
      </c>
      <c r="G1034" t="s">
        <v>641</v>
      </c>
      <c r="H1034" t="s">
        <v>642</v>
      </c>
      <c r="I1034" s="13">
        <v>44795.504004629627</v>
      </c>
      <c r="K1034" t="s">
        <v>412</v>
      </c>
      <c r="M1034" s="13">
        <v>44635</v>
      </c>
      <c r="R1034">
        <v>0</v>
      </c>
      <c r="S1034" t="s">
        <v>380</v>
      </c>
      <c r="T1034" t="s">
        <v>57</v>
      </c>
      <c r="V1034" t="s">
        <v>381</v>
      </c>
      <c r="W1034" t="s">
        <v>1004</v>
      </c>
      <c r="X1034" t="s">
        <v>1004</v>
      </c>
      <c r="AC1034" s="13">
        <v>44635</v>
      </c>
      <c r="AD1034" s="13">
        <v>44635</v>
      </c>
      <c r="AI1034">
        <v>-160</v>
      </c>
      <c r="AN1034" t="s">
        <v>31</v>
      </c>
      <c r="AO1034">
        <v>0</v>
      </c>
      <c r="AS1034" t="s">
        <v>730</v>
      </c>
      <c r="AX1034" t="s">
        <v>57</v>
      </c>
      <c r="AY1034" t="s">
        <v>386</v>
      </c>
      <c r="AZ1034" t="s">
        <v>745</v>
      </c>
      <c r="BF1034">
        <v>0</v>
      </c>
      <c r="BK1034" t="s">
        <v>31</v>
      </c>
      <c r="BS1034" t="s">
        <v>412</v>
      </c>
      <c r="CI1034" t="s">
        <v>388</v>
      </c>
      <c r="CJ1034" s="14">
        <v>45014</v>
      </c>
      <c r="CK1034">
        <v>1</v>
      </c>
    </row>
    <row r="1035" spans="1:89">
      <c r="A1035" t="s">
        <v>714</v>
      </c>
      <c r="B1035" t="s">
        <v>374</v>
      </c>
      <c r="C1035" t="s">
        <v>715</v>
      </c>
      <c r="D1035" t="s">
        <v>1015</v>
      </c>
      <c r="E1035" t="s">
        <v>1016</v>
      </c>
      <c r="F1035" s="13">
        <v>44795.503969907404</v>
      </c>
      <c r="G1035" t="s">
        <v>641</v>
      </c>
      <c r="H1035" t="s">
        <v>642</v>
      </c>
      <c r="I1035" s="13">
        <v>44795.503981481481</v>
      </c>
      <c r="K1035" t="s">
        <v>412</v>
      </c>
      <c r="M1035" s="13">
        <v>44696</v>
      </c>
      <c r="R1035">
        <v>0</v>
      </c>
      <c r="S1035" t="s">
        <v>380</v>
      </c>
      <c r="T1035" t="s">
        <v>57</v>
      </c>
      <c r="V1035" t="s">
        <v>381</v>
      </c>
      <c r="W1035" t="s">
        <v>1004</v>
      </c>
      <c r="X1035" t="s">
        <v>1004</v>
      </c>
      <c r="AC1035" s="13">
        <v>44696</v>
      </c>
      <c r="AD1035" s="13">
        <v>44696</v>
      </c>
      <c r="AI1035">
        <v>-99</v>
      </c>
      <c r="AN1035" t="s">
        <v>31</v>
      </c>
      <c r="AO1035">
        <v>0</v>
      </c>
      <c r="AS1035" t="s">
        <v>730</v>
      </c>
      <c r="AX1035" t="s">
        <v>57</v>
      </c>
      <c r="AY1035" t="s">
        <v>386</v>
      </c>
      <c r="AZ1035" t="s">
        <v>721</v>
      </c>
      <c r="BF1035">
        <v>0</v>
      </c>
      <c r="BK1035" t="s">
        <v>31</v>
      </c>
      <c r="BS1035" t="s">
        <v>412</v>
      </c>
      <c r="CI1035" t="s">
        <v>388</v>
      </c>
      <c r="CJ1035" s="14">
        <v>45014</v>
      </c>
      <c r="CK1035">
        <v>1</v>
      </c>
    </row>
    <row r="1036" spans="1:89">
      <c r="A1036" t="s">
        <v>714</v>
      </c>
      <c r="B1036" t="s">
        <v>374</v>
      </c>
      <c r="C1036" t="s">
        <v>715</v>
      </c>
      <c r="D1036" t="s">
        <v>1017</v>
      </c>
      <c r="E1036" t="s">
        <v>1018</v>
      </c>
      <c r="F1036" s="13">
        <v>44795.503946759258</v>
      </c>
      <c r="G1036" t="s">
        <v>641</v>
      </c>
      <c r="H1036" t="s">
        <v>642</v>
      </c>
      <c r="I1036" s="13">
        <v>44795.503958333335</v>
      </c>
      <c r="K1036" t="s">
        <v>412</v>
      </c>
      <c r="M1036" s="13">
        <v>44788</v>
      </c>
      <c r="R1036">
        <v>0</v>
      </c>
      <c r="S1036" t="s">
        <v>380</v>
      </c>
      <c r="T1036" t="s">
        <v>57</v>
      </c>
      <c r="V1036" t="s">
        <v>381</v>
      </c>
      <c r="W1036" t="s">
        <v>1019</v>
      </c>
      <c r="X1036" t="s">
        <v>1019</v>
      </c>
      <c r="AC1036" s="13">
        <v>44788</v>
      </c>
      <c r="AD1036" s="13">
        <v>44788</v>
      </c>
      <c r="AI1036">
        <v>-7</v>
      </c>
      <c r="AN1036" t="s">
        <v>31</v>
      </c>
      <c r="AO1036">
        <v>0</v>
      </c>
      <c r="AS1036" t="s">
        <v>744</v>
      </c>
      <c r="AX1036" t="s">
        <v>57</v>
      </c>
      <c r="AY1036" t="s">
        <v>386</v>
      </c>
      <c r="AZ1036" t="s">
        <v>721</v>
      </c>
      <c r="BF1036">
        <v>0</v>
      </c>
      <c r="BK1036" t="s">
        <v>31</v>
      </c>
      <c r="BS1036" t="s">
        <v>412</v>
      </c>
      <c r="CI1036" t="s">
        <v>388</v>
      </c>
      <c r="CJ1036" s="14">
        <v>45014</v>
      </c>
      <c r="CK1036">
        <v>1</v>
      </c>
    </row>
    <row r="1037" spans="1:89">
      <c r="A1037" t="s">
        <v>895</v>
      </c>
      <c r="B1037" t="s">
        <v>374</v>
      </c>
      <c r="C1037" t="s">
        <v>896</v>
      </c>
      <c r="D1037" t="s">
        <v>1020</v>
      </c>
      <c r="E1037" t="s">
        <v>1021</v>
      </c>
      <c r="F1037" s="13">
        <v>44795.503923611112</v>
      </c>
      <c r="G1037" t="s">
        <v>641</v>
      </c>
      <c r="H1037" t="s">
        <v>642</v>
      </c>
      <c r="I1037" s="13">
        <v>44795.503935185188</v>
      </c>
      <c r="K1037" t="s">
        <v>412</v>
      </c>
      <c r="M1037" s="13">
        <v>44666</v>
      </c>
      <c r="R1037">
        <v>0</v>
      </c>
      <c r="S1037" t="s">
        <v>380</v>
      </c>
      <c r="T1037" t="s">
        <v>57</v>
      </c>
      <c r="V1037" t="s">
        <v>381</v>
      </c>
      <c r="W1037" t="s">
        <v>924</v>
      </c>
      <c r="X1037" t="s">
        <v>924</v>
      </c>
      <c r="AC1037" s="13">
        <v>44666</v>
      </c>
      <c r="AD1037" s="13">
        <v>44666</v>
      </c>
      <c r="AI1037">
        <v>-129</v>
      </c>
      <c r="AN1037" t="s">
        <v>31</v>
      </c>
      <c r="AO1037">
        <v>0</v>
      </c>
      <c r="AS1037" t="s">
        <v>707</v>
      </c>
      <c r="AX1037" t="s">
        <v>57</v>
      </c>
      <c r="AY1037" t="s">
        <v>386</v>
      </c>
      <c r="AZ1037" t="s">
        <v>745</v>
      </c>
      <c r="BF1037">
        <v>0</v>
      </c>
      <c r="BK1037" t="s">
        <v>31</v>
      </c>
      <c r="BS1037" t="s">
        <v>412</v>
      </c>
      <c r="CI1037" t="s">
        <v>388</v>
      </c>
      <c r="CJ1037" s="14">
        <v>45014</v>
      </c>
      <c r="CK1037">
        <v>1</v>
      </c>
    </row>
    <row r="1038" spans="1:89">
      <c r="A1038" t="s">
        <v>895</v>
      </c>
      <c r="B1038" t="s">
        <v>374</v>
      </c>
      <c r="C1038" t="s">
        <v>896</v>
      </c>
      <c r="D1038" t="s">
        <v>1022</v>
      </c>
      <c r="E1038" t="s">
        <v>1023</v>
      </c>
      <c r="F1038" s="13">
        <v>44795.503900462965</v>
      </c>
      <c r="G1038" t="s">
        <v>641</v>
      </c>
      <c r="H1038" t="s">
        <v>642</v>
      </c>
      <c r="I1038" s="13">
        <v>44795.503912037035</v>
      </c>
      <c r="K1038" t="s">
        <v>412</v>
      </c>
      <c r="M1038" s="13">
        <v>44666</v>
      </c>
      <c r="R1038">
        <v>0</v>
      </c>
      <c r="S1038" t="s">
        <v>380</v>
      </c>
      <c r="T1038" t="s">
        <v>57</v>
      </c>
      <c r="V1038" t="s">
        <v>381</v>
      </c>
      <c r="W1038" t="s">
        <v>924</v>
      </c>
      <c r="X1038" t="s">
        <v>924</v>
      </c>
      <c r="AC1038" s="13">
        <v>44666</v>
      </c>
      <c r="AD1038" s="13">
        <v>44666</v>
      </c>
      <c r="AI1038">
        <v>-129</v>
      </c>
      <c r="AN1038" t="s">
        <v>31</v>
      </c>
      <c r="AO1038">
        <v>0</v>
      </c>
      <c r="AS1038" t="s">
        <v>385</v>
      </c>
      <c r="AX1038" t="s">
        <v>57</v>
      </c>
      <c r="AY1038" t="s">
        <v>386</v>
      </c>
      <c r="AZ1038" t="s">
        <v>721</v>
      </c>
      <c r="BF1038">
        <v>0</v>
      </c>
      <c r="BK1038" t="s">
        <v>31</v>
      </c>
      <c r="BS1038" t="s">
        <v>412</v>
      </c>
      <c r="CI1038" t="s">
        <v>388</v>
      </c>
      <c r="CJ1038" s="14">
        <v>45014</v>
      </c>
      <c r="CK1038">
        <v>1</v>
      </c>
    </row>
    <row r="1039" spans="1:89">
      <c r="A1039" t="s">
        <v>895</v>
      </c>
      <c r="B1039" t="s">
        <v>374</v>
      </c>
      <c r="C1039" t="s">
        <v>896</v>
      </c>
      <c r="D1039" t="s">
        <v>1024</v>
      </c>
      <c r="E1039" t="s">
        <v>1025</v>
      </c>
      <c r="F1039" s="13">
        <v>44795.503865740742</v>
      </c>
      <c r="G1039" t="s">
        <v>641</v>
      </c>
      <c r="H1039" t="s">
        <v>642</v>
      </c>
      <c r="I1039" s="13">
        <v>44795.503888888888</v>
      </c>
      <c r="K1039" t="s">
        <v>412</v>
      </c>
      <c r="M1039" s="13">
        <v>44666</v>
      </c>
      <c r="R1039">
        <v>0</v>
      </c>
      <c r="S1039" t="s">
        <v>380</v>
      </c>
      <c r="T1039" t="s">
        <v>57</v>
      </c>
      <c r="V1039" t="s">
        <v>381</v>
      </c>
      <c r="W1039" t="s">
        <v>924</v>
      </c>
      <c r="X1039" t="s">
        <v>924</v>
      </c>
      <c r="AC1039" s="13">
        <v>44666</v>
      </c>
      <c r="AD1039" s="13">
        <v>44666</v>
      </c>
      <c r="AI1039">
        <v>-129</v>
      </c>
      <c r="AN1039" t="s">
        <v>31</v>
      </c>
      <c r="AO1039">
        <v>0</v>
      </c>
      <c r="AS1039" t="s">
        <v>648</v>
      </c>
      <c r="AX1039" t="s">
        <v>57</v>
      </c>
      <c r="AY1039" t="s">
        <v>386</v>
      </c>
      <c r="AZ1039" t="s">
        <v>721</v>
      </c>
      <c r="BF1039">
        <v>0</v>
      </c>
      <c r="BK1039" t="s">
        <v>31</v>
      </c>
      <c r="BS1039" t="s">
        <v>412</v>
      </c>
      <c r="CI1039" t="s">
        <v>388</v>
      </c>
      <c r="CJ1039" s="14">
        <v>45014</v>
      </c>
      <c r="CK1039">
        <v>1</v>
      </c>
    </row>
    <row r="1040" spans="1:89">
      <c r="A1040" t="s">
        <v>895</v>
      </c>
      <c r="B1040" t="s">
        <v>374</v>
      </c>
      <c r="C1040" t="s">
        <v>896</v>
      </c>
      <c r="D1040" t="s">
        <v>1026</v>
      </c>
      <c r="E1040" t="s">
        <v>1027</v>
      </c>
      <c r="F1040" s="13">
        <v>44795.503842592596</v>
      </c>
      <c r="G1040" t="s">
        <v>641</v>
      </c>
      <c r="H1040" t="s">
        <v>642</v>
      </c>
      <c r="I1040" s="13">
        <v>44795.503854166665</v>
      </c>
      <c r="K1040" t="s">
        <v>412</v>
      </c>
      <c r="M1040" s="13">
        <v>44666</v>
      </c>
      <c r="R1040">
        <v>0</v>
      </c>
      <c r="S1040" t="s">
        <v>380</v>
      </c>
      <c r="T1040" t="s">
        <v>57</v>
      </c>
      <c r="V1040" t="s">
        <v>381</v>
      </c>
      <c r="W1040" t="s">
        <v>924</v>
      </c>
      <c r="X1040" t="s">
        <v>924</v>
      </c>
      <c r="AC1040" s="13">
        <v>44666</v>
      </c>
      <c r="AD1040" s="13">
        <v>44666</v>
      </c>
      <c r="AI1040">
        <v>-129</v>
      </c>
      <c r="AN1040" t="s">
        <v>31</v>
      </c>
      <c r="AO1040">
        <v>0</v>
      </c>
      <c r="AS1040" t="s">
        <v>385</v>
      </c>
      <c r="AX1040" t="s">
        <v>57</v>
      </c>
      <c r="AY1040" t="s">
        <v>386</v>
      </c>
      <c r="AZ1040" t="s">
        <v>721</v>
      </c>
      <c r="BF1040">
        <v>0</v>
      </c>
      <c r="BK1040" t="s">
        <v>31</v>
      </c>
      <c r="BS1040" t="s">
        <v>412</v>
      </c>
      <c r="CI1040" t="s">
        <v>388</v>
      </c>
      <c r="CJ1040" s="14">
        <v>45014</v>
      </c>
      <c r="CK1040">
        <v>1</v>
      </c>
    </row>
    <row r="1041" spans="1:89">
      <c r="A1041" t="s">
        <v>883</v>
      </c>
      <c r="B1041" t="s">
        <v>374</v>
      </c>
      <c r="C1041" t="s">
        <v>473</v>
      </c>
      <c r="D1041" t="s">
        <v>1028</v>
      </c>
      <c r="E1041" t="s">
        <v>1029</v>
      </c>
      <c r="F1041" s="13">
        <v>44795.503819444442</v>
      </c>
      <c r="G1041" t="s">
        <v>641</v>
      </c>
      <c r="H1041" t="s">
        <v>642</v>
      </c>
      <c r="I1041" s="13">
        <v>44795.503831018519</v>
      </c>
      <c r="K1041" t="s">
        <v>412</v>
      </c>
      <c r="M1041" s="13">
        <v>44635</v>
      </c>
      <c r="R1041">
        <v>0</v>
      </c>
      <c r="S1041" t="s">
        <v>380</v>
      </c>
      <c r="T1041" t="s">
        <v>57</v>
      </c>
      <c r="V1041" t="s">
        <v>381</v>
      </c>
      <c r="W1041" t="s">
        <v>1030</v>
      </c>
      <c r="X1041" t="s">
        <v>1030</v>
      </c>
      <c r="AC1041" s="13">
        <v>44635</v>
      </c>
      <c r="AD1041" s="13">
        <v>44635</v>
      </c>
      <c r="AI1041">
        <v>-160</v>
      </c>
      <c r="AN1041" t="s">
        <v>31</v>
      </c>
      <c r="AO1041">
        <v>0</v>
      </c>
      <c r="AS1041" t="s">
        <v>385</v>
      </c>
      <c r="AX1041" t="s">
        <v>57</v>
      </c>
      <c r="AY1041" t="s">
        <v>386</v>
      </c>
      <c r="AZ1041" t="s">
        <v>721</v>
      </c>
      <c r="BF1041">
        <v>0</v>
      </c>
      <c r="BK1041" t="s">
        <v>31</v>
      </c>
      <c r="BS1041" t="s">
        <v>412</v>
      </c>
      <c r="CI1041" t="s">
        <v>388</v>
      </c>
      <c r="CJ1041" s="14">
        <v>45014</v>
      </c>
      <c r="CK1041">
        <v>1</v>
      </c>
    </row>
    <row r="1042" spans="1:89">
      <c r="A1042" t="s">
        <v>883</v>
      </c>
      <c r="B1042" t="s">
        <v>374</v>
      </c>
      <c r="C1042" t="s">
        <v>473</v>
      </c>
      <c r="D1042" t="s">
        <v>1031</v>
      </c>
      <c r="E1042" t="s">
        <v>1032</v>
      </c>
      <c r="F1042" s="13">
        <v>44795.503796296296</v>
      </c>
      <c r="G1042" t="s">
        <v>641</v>
      </c>
      <c r="H1042" t="s">
        <v>642</v>
      </c>
      <c r="I1042" s="13">
        <v>44795.503807870373</v>
      </c>
      <c r="K1042" t="s">
        <v>412</v>
      </c>
      <c r="M1042" s="13">
        <v>44635</v>
      </c>
      <c r="R1042">
        <v>0</v>
      </c>
      <c r="S1042" t="s">
        <v>380</v>
      </c>
      <c r="T1042" t="s">
        <v>57</v>
      </c>
      <c r="V1042" t="s">
        <v>381</v>
      </c>
      <c r="W1042" t="s">
        <v>1033</v>
      </c>
      <c r="X1042" t="s">
        <v>1033</v>
      </c>
      <c r="AC1042" s="13">
        <v>44635</v>
      </c>
      <c r="AD1042" s="13">
        <v>44635</v>
      </c>
      <c r="AI1042">
        <v>-160</v>
      </c>
      <c r="AN1042" t="s">
        <v>31</v>
      </c>
      <c r="AO1042">
        <v>0</v>
      </c>
      <c r="AS1042" t="s">
        <v>385</v>
      </c>
      <c r="AX1042" t="s">
        <v>57</v>
      </c>
      <c r="AY1042" t="s">
        <v>386</v>
      </c>
      <c r="AZ1042" t="s">
        <v>721</v>
      </c>
      <c r="BF1042">
        <v>0</v>
      </c>
      <c r="BK1042" t="s">
        <v>31</v>
      </c>
      <c r="BS1042" t="s">
        <v>412</v>
      </c>
      <c r="CI1042" t="s">
        <v>388</v>
      </c>
      <c r="CJ1042" s="14">
        <v>45014</v>
      </c>
      <c r="CK1042">
        <v>1</v>
      </c>
    </row>
    <row r="1043" spans="1:89">
      <c r="A1043" t="s">
        <v>883</v>
      </c>
      <c r="B1043" t="s">
        <v>374</v>
      </c>
      <c r="C1043" t="s">
        <v>473</v>
      </c>
      <c r="D1043" t="s">
        <v>1034</v>
      </c>
      <c r="E1043" t="s">
        <v>1035</v>
      </c>
      <c r="F1043" s="13">
        <v>44795.50377314815</v>
      </c>
      <c r="G1043" t="s">
        <v>641</v>
      </c>
      <c r="H1043" t="s">
        <v>642</v>
      </c>
      <c r="I1043" s="13">
        <v>44795.503784722219</v>
      </c>
      <c r="K1043" t="s">
        <v>412</v>
      </c>
      <c r="M1043" s="13">
        <v>44635</v>
      </c>
      <c r="R1043">
        <v>0</v>
      </c>
      <c r="S1043" t="s">
        <v>380</v>
      </c>
      <c r="T1043" t="s">
        <v>57</v>
      </c>
      <c r="V1043" t="s">
        <v>381</v>
      </c>
      <c r="W1043" t="s">
        <v>1033</v>
      </c>
      <c r="X1043" t="s">
        <v>1033</v>
      </c>
      <c r="AC1043" s="13">
        <v>44635</v>
      </c>
      <c r="AD1043" s="13">
        <v>44635</v>
      </c>
      <c r="AI1043">
        <v>-160</v>
      </c>
      <c r="AN1043" t="s">
        <v>31</v>
      </c>
      <c r="AO1043">
        <v>0</v>
      </c>
      <c r="AS1043" t="s">
        <v>385</v>
      </c>
      <c r="AX1043" t="s">
        <v>57</v>
      </c>
      <c r="AY1043" t="s">
        <v>386</v>
      </c>
      <c r="AZ1043" t="s">
        <v>721</v>
      </c>
      <c r="BF1043">
        <v>0</v>
      </c>
      <c r="BK1043" t="s">
        <v>31</v>
      </c>
      <c r="BS1043" t="s">
        <v>412</v>
      </c>
      <c r="CI1043" t="s">
        <v>388</v>
      </c>
      <c r="CJ1043" s="14">
        <v>45014</v>
      </c>
      <c r="CK1043">
        <v>1</v>
      </c>
    </row>
    <row r="1044" spans="1:89">
      <c r="A1044" t="s">
        <v>883</v>
      </c>
      <c r="B1044" t="s">
        <v>374</v>
      </c>
      <c r="C1044" t="s">
        <v>473</v>
      </c>
      <c r="D1044" t="s">
        <v>1036</v>
      </c>
      <c r="E1044" t="s">
        <v>1035</v>
      </c>
      <c r="F1044" s="13">
        <v>44795.503750000003</v>
      </c>
      <c r="G1044" t="s">
        <v>641</v>
      </c>
      <c r="H1044" t="s">
        <v>642</v>
      </c>
      <c r="I1044" s="13">
        <v>44795.503761574073</v>
      </c>
      <c r="K1044" t="s">
        <v>412</v>
      </c>
      <c r="M1044" s="13">
        <v>44635</v>
      </c>
      <c r="R1044">
        <v>0</v>
      </c>
      <c r="S1044" t="s">
        <v>380</v>
      </c>
      <c r="T1044" t="s">
        <v>57</v>
      </c>
      <c r="V1044" t="s">
        <v>381</v>
      </c>
      <c r="W1044" t="s">
        <v>1033</v>
      </c>
      <c r="X1044" t="s">
        <v>1033</v>
      </c>
      <c r="AC1044" s="13">
        <v>44635</v>
      </c>
      <c r="AD1044" s="13">
        <v>44635</v>
      </c>
      <c r="AI1044">
        <v>-160</v>
      </c>
      <c r="AN1044" t="s">
        <v>31</v>
      </c>
      <c r="AO1044">
        <v>0</v>
      </c>
      <c r="AS1044" t="s">
        <v>385</v>
      </c>
      <c r="AX1044" t="s">
        <v>57</v>
      </c>
      <c r="AY1044" t="s">
        <v>386</v>
      </c>
      <c r="AZ1044" t="s">
        <v>721</v>
      </c>
      <c r="BF1044">
        <v>0</v>
      </c>
      <c r="BK1044" t="s">
        <v>31</v>
      </c>
      <c r="BS1044" t="s">
        <v>412</v>
      </c>
      <c r="CI1044" t="s">
        <v>388</v>
      </c>
      <c r="CJ1044" s="14">
        <v>45014</v>
      </c>
      <c r="CK1044">
        <v>1</v>
      </c>
    </row>
    <row r="1045" spans="1:89">
      <c r="A1045" t="s">
        <v>883</v>
      </c>
      <c r="B1045" t="s">
        <v>374</v>
      </c>
      <c r="C1045" t="s">
        <v>473</v>
      </c>
      <c r="D1045" t="s">
        <v>1037</v>
      </c>
      <c r="E1045" t="s">
        <v>1038</v>
      </c>
      <c r="F1045" s="13">
        <v>44795.50372685185</v>
      </c>
      <c r="G1045" t="s">
        <v>641</v>
      </c>
      <c r="H1045" t="s">
        <v>642</v>
      </c>
      <c r="I1045" s="13">
        <v>44795.503738425927</v>
      </c>
      <c r="K1045" t="s">
        <v>412</v>
      </c>
      <c r="M1045" s="13">
        <v>44607</v>
      </c>
      <c r="R1045">
        <v>0</v>
      </c>
      <c r="S1045" t="s">
        <v>380</v>
      </c>
      <c r="T1045" t="s">
        <v>57</v>
      </c>
      <c r="V1045" t="s">
        <v>381</v>
      </c>
      <c r="W1045" t="s">
        <v>886</v>
      </c>
      <c r="X1045" t="s">
        <v>886</v>
      </c>
      <c r="AC1045" s="13">
        <v>44607</v>
      </c>
      <c r="AD1045" s="13">
        <v>44607</v>
      </c>
      <c r="AI1045">
        <v>-188</v>
      </c>
      <c r="AN1045" t="s">
        <v>31</v>
      </c>
      <c r="AO1045">
        <v>0</v>
      </c>
      <c r="AS1045" t="s">
        <v>385</v>
      </c>
      <c r="AX1045" t="s">
        <v>57</v>
      </c>
      <c r="AY1045" t="s">
        <v>386</v>
      </c>
      <c r="AZ1045" t="s">
        <v>721</v>
      </c>
      <c r="BF1045">
        <v>0</v>
      </c>
      <c r="BK1045" t="s">
        <v>31</v>
      </c>
      <c r="BS1045" t="s">
        <v>412</v>
      </c>
      <c r="CI1045" t="s">
        <v>388</v>
      </c>
      <c r="CJ1045" s="14">
        <v>45014</v>
      </c>
      <c r="CK1045">
        <v>1</v>
      </c>
    </row>
    <row r="1046" spans="1:89">
      <c r="A1046" t="s">
        <v>883</v>
      </c>
      <c r="B1046" t="s">
        <v>374</v>
      </c>
      <c r="C1046" t="s">
        <v>473</v>
      </c>
      <c r="D1046" t="s">
        <v>1039</v>
      </c>
      <c r="E1046" t="s">
        <v>1040</v>
      </c>
      <c r="F1046" s="13">
        <v>44795.503703703704</v>
      </c>
      <c r="G1046" t="s">
        <v>641</v>
      </c>
      <c r="H1046" t="s">
        <v>642</v>
      </c>
      <c r="I1046" s="13">
        <v>44795.50371527778</v>
      </c>
      <c r="K1046" t="s">
        <v>412</v>
      </c>
      <c r="M1046" s="13">
        <v>44607</v>
      </c>
      <c r="R1046">
        <v>0</v>
      </c>
      <c r="S1046" t="s">
        <v>380</v>
      </c>
      <c r="T1046" t="s">
        <v>57</v>
      </c>
      <c r="V1046" t="s">
        <v>381</v>
      </c>
      <c r="W1046" t="s">
        <v>886</v>
      </c>
      <c r="X1046" t="s">
        <v>886</v>
      </c>
      <c r="AC1046" s="13">
        <v>44607</v>
      </c>
      <c r="AD1046" s="13">
        <v>44607</v>
      </c>
      <c r="AI1046">
        <v>-188</v>
      </c>
      <c r="AN1046" t="s">
        <v>31</v>
      </c>
      <c r="AO1046">
        <v>0</v>
      </c>
      <c r="AS1046" t="s">
        <v>385</v>
      </c>
      <c r="AX1046" t="s">
        <v>57</v>
      </c>
      <c r="AY1046" t="s">
        <v>386</v>
      </c>
      <c r="AZ1046" t="s">
        <v>721</v>
      </c>
      <c r="BF1046">
        <v>0</v>
      </c>
      <c r="BK1046" t="s">
        <v>31</v>
      </c>
      <c r="BS1046" t="s">
        <v>412</v>
      </c>
      <c r="CI1046" t="s">
        <v>388</v>
      </c>
      <c r="CJ1046" s="14">
        <v>45014</v>
      </c>
      <c r="CK1046">
        <v>1</v>
      </c>
    </row>
    <row r="1047" spans="1:89">
      <c r="A1047" t="s">
        <v>883</v>
      </c>
      <c r="B1047" t="s">
        <v>374</v>
      </c>
      <c r="C1047" t="s">
        <v>473</v>
      </c>
      <c r="D1047" t="s">
        <v>1041</v>
      </c>
      <c r="E1047" t="s">
        <v>1042</v>
      </c>
      <c r="F1047" s="13">
        <v>44795.503680555557</v>
      </c>
      <c r="G1047" t="s">
        <v>641</v>
      </c>
      <c r="H1047" t="s">
        <v>642</v>
      </c>
      <c r="I1047" s="13">
        <v>44795.503692129627</v>
      </c>
      <c r="K1047" t="s">
        <v>412</v>
      </c>
      <c r="M1047" s="13">
        <v>44607</v>
      </c>
      <c r="R1047">
        <v>0</v>
      </c>
      <c r="S1047" t="s">
        <v>380</v>
      </c>
      <c r="T1047" t="s">
        <v>57</v>
      </c>
      <c r="V1047" t="s">
        <v>381</v>
      </c>
      <c r="W1047" t="s">
        <v>886</v>
      </c>
      <c r="X1047" t="s">
        <v>886</v>
      </c>
      <c r="AC1047" s="13">
        <v>44607</v>
      </c>
      <c r="AD1047" s="13">
        <v>44607</v>
      </c>
      <c r="AI1047">
        <v>-188</v>
      </c>
      <c r="AN1047" t="s">
        <v>31</v>
      </c>
      <c r="AO1047">
        <v>0</v>
      </c>
      <c r="AS1047" t="s">
        <v>385</v>
      </c>
      <c r="AX1047" t="s">
        <v>57</v>
      </c>
      <c r="AY1047" t="s">
        <v>386</v>
      </c>
      <c r="AZ1047" t="s">
        <v>721</v>
      </c>
      <c r="BF1047">
        <v>0</v>
      </c>
      <c r="BK1047" t="s">
        <v>31</v>
      </c>
      <c r="BS1047" t="s">
        <v>412</v>
      </c>
      <c r="CI1047" t="s">
        <v>388</v>
      </c>
      <c r="CJ1047" s="14">
        <v>45014</v>
      </c>
      <c r="CK1047">
        <v>1</v>
      </c>
    </row>
    <row r="1048" spans="1:89">
      <c r="A1048" t="s">
        <v>883</v>
      </c>
      <c r="B1048" t="s">
        <v>374</v>
      </c>
      <c r="C1048" t="s">
        <v>473</v>
      </c>
      <c r="D1048" t="s">
        <v>1043</v>
      </c>
      <c r="E1048" t="s">
        <v>1040</v>
      </c>
      <c r="F1048" s="13">
        <v>44795.503657407404</v>
      </c>
      <c r="G1048" t="s">
        <v>641</v>
      </c>
      <c r="H1048" t="s">
        <v>642</v>
      </c>
      <c r="I1048" s="13">
        <v>44795.503668981481</v>
      </c>
      <c r="K1048" t="s">
        <v>412</v>
      </c>
      <c r="M1048" s="13">
        <v>44607</v>
      </c>
      <c r="R1048">
        <v>0</v>
      </c>
      <c r="S1048" t="s">
        <v>380</v>
      </c>
      <c r="T1048" t="s">
        <v>57</v>
      </c>
      <c r="V1048" t="s">
        <v>381</v>
      </c>
      <c r="W1048" t="s">
        <v>886</v>
      </c>
      <c r="X1048" t="s">
        <v>886</v>
      </c>
      <c r="AC1048" s="13">
        <v>44607</v>
      </c>
      <c r="AD1048" s="13">
        <v>44607</v>
      </c>
      <c r="AI1048">
        <v>-188</v>
      </c>
      <c r="AN1048" t="s">
        <v>31</v>
      </c>
      <c r="AO1048">
        <v>0</v>
      </c>
      <c r="AS1048" t="s">
        <v>385</v>
      </c>
      <c r="AX1048" t="s">
        <v>57</v>
      </c>
      <c r="AY1048" t="s">
        <v>386</v>
      </c>
      <c r="AZ1048" t="s">
        <v>721</v>
      </c>
      <c r="BF1048">
        <v>0</v>
      </c>
      <c r="BK1048" t="s">
        <v>31</v>
      </c>
      <c r="BS1048" t="s">
        <v>412</v>
      </c>
      <c r="CI1048" t="s">
        <v>388</v>
      </c>
      <c r="CJ1048" s="14">
        <v>45014</v>
      </c>
      <c r="CK1048">
        <v>1</v>
      </c>
    </row>
    <row r="1049" spans="1:89">
      <c r="A1049" t="s">
        <v>895</v>
      </c>
      <c r="B1049" t="s">
        <v>374</v>
      </c>
      <c r="C1049" t="s">
        <v>896</v>
      </c>
      <c r="D1049" t="s">
        <v>1044</v>
      </c>
      <c r="E1049" t="s">
        <v>1045</v>
      </c>
      <c r="F1049" s="13">
        <v>44795.503634259258</v>
      </c>
      <c r="G1049" t="s">
        <v>641</v>
      </c>
      <c r="H1049" t="s">
        <v>642</v>
      </c>
      <c r="I1049" s="13">
        <v>44795.503645833334</v>
      </c>
      <c r="K1049" t="s">
        <v>412</v>
      </c>
      <c r="M1049" s="13">
        <v>44696</v>
      </c>
      <c r="R1049">
        <v>0</v>
      </c>
      <c r="S1049" t="s">
        <v>416</v>
      </c>
      <c r="T1049" t="s">
        <v>57</v>
      </c>
      <c r="V1049" t="s">
        <v>381</v>
      </c>
      <c r="W1049" t="s">
        <v>899</v>
      </c>
      <c r="X1049" t="s">
        <v>899</v>
      </c>
      <c r="AC1049" s="13">
        <v>44696</v>
      </c>
      <c r="AD1049" s="13">
        <v>44696</v>
      </c>
      <c r="AI1049">
        <v>-99</v>
      </c>
      <c r="AN1049" t="s">
        <v>31</v>
      </c>
      <c r="AO1049">
        <v>0</v>
      </c>
      <c r="AS1049" t="s">
        <v>385</v>
      </c>
      <c r="AX1049" t="s">
        <v>57</v>
      </c>
      <c r="AY1049" t="s">
        <v>386</v>
      </c>
      <c r="AZ1049" t="s">
        <v>721</v>
      </c>
      <c r="BF1049">
        <v>0</v>
      </c>
      <c r="BK1049" t="s">
        <v>31</v>
      </c>
      <c r="BS1049" t="s">
        <v>412</v>
      </c>
      <c r="CI1049" t="s">
        <v>388</v>
      </c>
      <c r="CJ1049" s="14">
        <v>45014</v>
      </c>
      <c r="CK1049">
        <v>1</v>
      </c>
    </row>
    <row r="1050" spans="1:89">
      <c r="A1050" t="s">
        <v>895</v>
      </c>
      <c r="B1050" t="s">
        <v>374</v>
      </c>
      <c r="C1050" t="s">
        <v>896</v>
      </c>
      <c r="D1050" t="s">
        <v>1046</v>
      </c>
      <c r="E1050" t="s">
        <v>1047</v>
      </c>
      <c r="F1050" s="13">
        <v>44795.503611111111</v>
      </c>
      <c r="G1050" t="s">
        <v>641</v>
      </c>
      <c r="H1050" t="s">
        <v>642</v>
      </c>
      <c r="I1050" s="13">
        <v>44795.503622685188</v>
      </c>
      <c r="K1050" t="s">
        <v>412</v>
      </c>
      <c r="M1050" s="13">
        <v>44696</v>
      </c>
      <c r="R1050">
        <v>0</v>
      </c>
      <c r="S1050" t="s">
        <v>380</v>
      </c>
      <c r="T1050" t="s">
        <v>57</v>
      </c>
      <c r="V1050" t="s">
        <v>381</v>
      </c>
      <c r="W1050" t="s">
        <v>899</v>
      </c>
      <c r="X1050" t="s">
        <v>899</v>
      </c>
      <c r="AC1050" s="13">
        <v>44696</v>
      </c>
      <c r="AD1050" s="13">
        <v>44696</v>
      </c>
      <c r="AI1050">
        <v>-99</v>
      </c>
      <c r="AN1050" t="s">
        <v>31</v>
      </c>
      <c r="AO1050">
        <v>0</v>
      </c>
      <c r="AS1050" t="s">
        <v>385</v>
      </c>
      <c r="AX1050" t="s">
        <v>57</v>
      </c>
      <c r="AY1050" t="s">
        <v>386</v>
      </c>
      <c r="AZ1050" t="s">
        <v>745</v>
      </c>
      <c r="BF1050">
        <v>0</v>
      </c>
      <c r="BK1050" t="s">
        <v>31</v>
      </c>
      <c r="BS1050" t="s">
        <v>412</v>
      </c>
      <c r="CI1050" t="s">
        <v>388</v>
      </c>
      <c r="CJ1050" s="14">
        <v>45014</v>
      </c>
      <c r="CK1050">
        <v>1</v>
      </c>
    </row>
    <row r="1051" spans="1:89">
      <c r="A1051" t="s">
        <v>895</v>
      </c>
      <c r="B1051" t="s">
        <v>374</v>
      </c>
      <c r="C1051" t="s">
        <v>896</v>
      </c>
      <c r="D1051" t="s">
        <v>1048</v>
      </c>
      <c r="E1051" t="s">
        <v>1049</v>
      </c>
      <c r="F1051" s="13">
        <v>44795.503587962965</v>
      </c>
      <c r="G1051" t="s">
        <v>641</v>
      </c>
      <c r="H1051" t="s">
        <v>642</v>
      </c>
      <c r="I1051" s="13">
        <v>44795.503599537034</v>
      </c>
      <c r="K1051" t="s">
        <v>412</v>
      </c>
      <c r="M1051" s="13">
        <v>44607</v>
      </c>
      <c r="R1051">
        <v>0</v>
      </c>
      <c r="S1051" t="s">
        <v>416</v>
      </c>
      <c r="T1051" t="s">
        <v>57</v>
      </c>
      <c r="V1051" t="s">
        <v>381</v>
      </c>
      <c r="W1051" t="s">
        <v>899</v>
      </c>
      <c r="X1051" t="s">
        <v>899</v>
      </c>
      <c r="AC1051" s="13">
        <v>44607</v>
      </c>
      <c r="AD1051" s="13">
        <v>44607</v>
      </c>
      <c r="AI1051">
        <v>-188</v>
      </c>
      <c r="AN1051" t="s">
        <v>31</v>
      </c>
      <c r="AO1051">
        <v>0</v>
      </c>
      <c r="AS1051" t="s">
        <v>385</v>
      </c>
      <c r="AX1051" t="s">
        <v>57</v>
      </c>
      <c r="AY1051" t="s">
        <v>386</v>
      </c>
      <c r="AZ1051" t="s">
        <v>721</v>
      </c>
      <c r="BF1051">
        <v>0</v>
      </c>
      <c r="BK1051" t="s">
        <v>31</v>
      </c>
      <c r="BS1051" t="s">
        <v>412</v>
      </c>
      <c r="CI1051" t="s">
        <v>388</v>
      </c>
      <c r="CJ1051" s="14">
        <v>45014</v>
      </c>
      <c r="CK1051">
        <v>1</v>
      </c>
    </row>
    <row r="1052" spans="1:89">
      <c r="A1052" t="s">
        <v>895</v>
      </c>
      <c r="B1052" t="s">
        <v>374</v>
      </c>
      <c r="C1052" t="s">
        <v>896</v>
      </c>
      <c r="D1052" t="s">
        <v>1050</v>
      </c>
      <c r="E1052" t="s">
        <v>1051</v>
      </c>
      <c r="F1052" s="13">
        <v>44795.503564814811</v>
      </c>
      <c r="G1052" t="s">
        <v>641</v>
      </c>
      <c r="H1052" t="s">
        <v>642</v>
      </c>
      <c r="I1052" s="13">
        <v>44795.503576388888</v>
      </c>
      <c r="K1052" t="s">
        <v>412</v>
      </c>
      <c r="M1052" s="13">
        <v>44607</v>
      </c>
      <c r="R1052">
        <v>0</v>
      </c>
      <c r="S1052" t="s">
        <v>416</v>
      </c>
      <c r="T1052" t="s">
        <v>57</v>
      </c>
      <c r="V1052" t="s">
        <v>381</v>
      </c>
      <c r="W1052" t="s">
        <v>899</v>
      </c>
      <c r="X1052" t="s">
        <v>899</v>
      </c>
      <c r="AC1052" s="13">
        <v>44607</v>
      </c>
      <c r="AD1052" s="13">
        <v>44607</v>
      </c>
      <c r="AI1052">
        <v>-188</v>
      </c>
      <c r="AN1052" t="s">
        <v>31</v>
      </c>
      <c r="AO1052">
        <v>0</v>
      </c>
      <c r="AS1052" t="s">
        <v>385</v>
      </c>
      <c r="AX1052" t="s">
        <v>57</v>
      </c>
      <c r="AY1052" t="s">
        <v>386</v>
      </c>
      <c r="AZ1052" t="s">
        <v>721</v>
      </c>
      <c r="BF1052">
        <v>0</v>
      </c>
      <c r="BK1052" t="s">
        <v>31</v>
      </c>
      <c r="BS1052" t="s">
        <v>412</v>
      </c>
      <c r="CI1052" t="s">
        <v>388</v>
      </c>
      <c r="CJ1052" s="14">
        <v>45014</v>
      </c>
      <c r="CK1052">
        <v>1</v>
      </c>
    </row>
    <row r="1053" spans="1:89">
      <c r="A1053" t="s">
        <v>895</v>
      </c>
      <c r="B1053" t="s">
        <v>374</v>
      </c>
      <c r="C1053" t="s">
        <v>896</v>
      </c>
      <c r="D1053" t="s">
        <v>1052</v>
      </c>
      <c r="E1053" t="s">
        <v>1053</v>
      </c>
      <c r="F1053" s="13">
        <v>44795.503541666665</v>
      </c>
      <c r="G1053" t="s">
        <v>641</v>
      </c>
      <c r="H1053" t="s">
        <v>642</v>
      </c>
      <c r="I1053" s="13">
        <v>44795.503553240742</v>
      </c>
      <c r="K1053" t="s">
        <v>412</v>
      </c>
      <c r="M1053" s="13">
        <v>44607</v>
      </c>
      <c r="R1053">
        <v>0</v>
      </c>
      <c r="S1053" t="s">
        <v>416</v>
      </c>
      <c r="T1053" t="s">
        <v>57</v>
      </c>
      <c r="V1053" t="s">
        <v>381</v>
      </c>
      <c r="W1053" t="s">
        <v>899</v>
      </c>
      <c r="X1053" t="s">
        <v>899</v>
      </c>
      <c r="AC1053" s="13">
        <v>44607</v>
      </c>
      <c r="AD1053" s="13">
        <v>44607</v>
      </c>
      <c r="AI1053">
        <v>-188</v>
      </c>
      <c r="AN1053" t="s">
        <v>31</v>
      </c>
      <c r="AO1053">
        <v>0</v>
      </c>
      <c r="AS1053" t="s">
        <v>385</v>
      </c>
      <c r="AX1053" t="s">
        <v>57</v>
      </c>
      <c r="AY1053" t="s">
        <v>386</v>
      </c>
      <c r="AZ1053" t="s">
        <v>721</v>
      </c>
      <c r="BF1053">
        <v>0</v>
      </c>
      <c r="BK1053" t="s">
        <v>31</v>
      </c>
      <c r="BS1053" t="s">
        <v>412</v>
      </c>
      <c r="CI1053" t="s">
        <v>388</v>
      </c>
      <c r="CJ1053" s="14">
        <v>45014</v>
      </c>
      <c r="CK1053">
        <v>1</v>
      </c>
    </row>
    <row r="1054" spans="1:89">
      <c r="A1054" t="s">
        <v>902</v>
      </c>
      <c r="B1054" t="s">
        <v>374</v>
      </c>
      <c r="C1054" t="s">
        <v>903</v>
      </c>
      <c r="D1054" t="s">
        <v>1054</v>
      </c>
      <c r="E1054" t="s">
        <v>1055</v>
      </c>
      <c r="F1054" s="13">
        <v>44795.503518518519</v>
      </c>
      <c r="G1054" t="s">
        <v>641</v>
      </c>
      <c r="H1054" t="s">
        <v>642</v>
      </c>
      <c r="I1054" s="13">
        <v>44795.503530092596</v>
      </c>
      <c r="K1054" t="s">
        <v>412</v>
      </c>
      <c r="M1054" s="13">
        <v>44635</v>
      </c>
      <c r="R1054">
        <v>0</v>
      </c>
      <c r="S1054" t="s">
        <v>380</v>
      </c>
      <c r="T1054" t="s">
        <v>57</v>
      </c>
      <c r="V1054" t="s">
        <v>381</v>
      </c>
      <c r="W1054" t="s">
        <v>1056</v>
      </c>
      <c r="X1054" t="s">
        <v>1056</v>
      </c>
      <c r="AC1054" s="13">
        <v>44635</v>
      </c>
      <c r="AD1054" s="13">
        <v>44635</v>
      </c>
      <c r="AI1054">
        <v>-160</v>
      </c>
      <c r="AN1054" t="s">
        <v>31</v>
      </c>
      <c r="AO1054">
        <v>0</v>
      </c>
      <c r="AS1054" t="s">
        <v>385</v>
      </c>
      <c r="AX1054" t="s">
        <v>57</v>
      </c>
      <c r="AY1054" t="s">
        <v>386</v>
      </c>
      <c r="AZ1054" t="s">
        <v>721</v>
      </c>
      <c r="BF1054">
        <v>0</v>
      </c>
      <c r="BK1054" t="s">
        <v>31</v>
      </c>
      <c r="BS1054" t="s">
        <v>412</v>
      </c>
      <c r="CI1054" t="s">
        <v>388</v>
      </c>
      <c r="CJ1054" s="14">
        <v>45014</v>
      </c>
      <c r="CK1054">
        <v>1</v>
      </c>
    </row>
    <row r="1055" spans="1:89">
      <c r="A1055" t="s">
        <v>902</v>
      </c>
      <c r="B1055" t="s">
        <v>374</v>
      </c>
      <c r="C1055" t="s">
        <v>903</v>
      </c>
      <c r="D1055" t="s">
        <v>1057</v>
      </c>
      <c r="E1055" t="s">
        <v>1058</v>
      </c>
      <c r="F1055" s="13">
        <v>44795.503495370373</v>
      </c>
      <c r="G1055" t="s">
        <v>641</v>
      </c>
      <c r="H1055" t="s">
        <v>642</v>
      </c>
      <c r="I1055" s="13">
        <v>44795.503506944442</v>
      </c>
      <c r="K1055" t="s">
        <v>412</v>
      </c>
      <c r="M1055" s="13">
        <v>44681</v>
      </c>
      <c r="R1055">
        <v>0</v>
      </c>
      <c r="S1055" t="s">
        <v>380</v>
      </c>
      <c r="T1055" t="s">
        <v>57</v>
      </c>
      <c r="V1055" t="s">
        <v>381</v>
      </c>
      <c r="W1055" t="s">
        <v>1059</v>
      </c>
      <c r="X1055" t="s">
        <v>1059</v>
      </c>
      <c r="AC1055" s="13">
        <v>44681</v>
      </c>
      <c r="AD1055" s="13">
        <v>44681</v>
      </c>
      <c r="AI1055">
        <v>-114</v>
      </c>
      <c r="AN1055" t="s">
        <v>31</v>
      </c>
      <c r="AO1055">
        <v>0</v>
      </c>
      <c r="AS1055" t="s">
        <v>385</v>
      </c>
      <c r="AX1055" t="s">
        <v>57</v>
      </c>
      <c r="AY1055" t="s">
        <v>386</v>
      </c>
      <c r="AZ1055" t="s">
        <v>745</v>
      </c>
      <c r="BF1055">
        <v>0</v>
      </c>
      <c r="BK1055" t="s">
        <v>31</v>
      </c>
      <c r="BS1055" t="s">
        <v>412</v>
      </c>
      <c r="CI1055" t="s">
        <v>388</v>
      </c>
      <c r="CJ1055" s="14">
        <v>45014</v>
      </c>
      <c r="CK1055">
        <v>1</v>
      </c>
    </row>
    <row r="1056" spans="1:89">
      <c r="A1056" t="s">
        <v>902</v>
      </c>
      <c r="B1056" t="s">
        <v>374</v>
      </c>
      <c r="C1056" t="s">
        <v>903</v>
      </c>
      <c r="D1056" t="s">
        <v>1060</v>
      </c>
      <c r="E1056" t="s">
        <v>1061</v>
      </c>
      <c r="F1056" s="13">
        <v>44795.503483796296</v>
      </c>
      <c r="G1056" t="s">
        <v>641</v>
      </c>
      <c r="H1056" t="s">
        <v>642</v>
      </c>
      <c r="I1056" s="13">
        <v>44795.503495370373</v>
      </c>
      <c r="K1056" t="s">
        <v>412</v>
      </c>
      <c r="M1056" s="13">
        <v>44620</v>
      </c>
      <c r="R1056">
        <v>0</v>
      </c>
      <c r="S1056" t="s">
        <v>380</v>
      </c>
      <c r="T1056" t="s">
        <v>57</v>
      </c>
      <c r="V1056" t="s">
        <v>381</v>
      </c>
      <c r="W1056" t="s">
        <v>1059</v>
      </c>
      <c r="X1056" t="s">
        <v>1059</v>
      </c>
      <c r="AC1056" s="13">
        <v>44620</v>
      </c>
      <c r="AD1056" s="13">
        <v>44620</v>
      </c>
      <c r="AI1056">
        <v>-175</v>
      </c>
      <c r="AN1056" t="s">
        <v>31</v>
      </c>
      <c r="AO1056">
        <v>0</v>
      </c>
      <c r="AS1056" t="s">
        <v>385</v>
      </c>
      <c r="AX1056" t="s">
        <v>57</v>
      </c>
      <c r="AY1056" t="s">
        <v>386</v>
      </c>
      <c r="AZ1056" t="s">
        <v>721</v>
      </c>
      <c r="BF1056">
        <v>0</v>
      </c>
      <c r="BK1056" t="s">
        <v>31</v>
      </c>
      <c r="BS1056" t="s">
        <v>412</v>
      </c>
      <c r="CI1056" t="s">
        <v>388</v>
      </c>
      <c r="CJ1056" s="14">
        <v>45014</v>
      </c>
      <c r="CK1056">
        <v>1</v>
      </c>
    </row>
    <row r="1057" spans="1:89">
      <c r="A1057" t="s">
        <v>1062</v>
      </c>
      <c r="B1057" t="s">
        <v>374</v>
      </c>
      <c r="C1057" t="s">
        <v>1063</v>
      </c>
      <c r="D1057" t="s">
        <v>1064</v>
      </c>
      <c r="E1057" t="s">
        <v>1065</v>
      </c>
      <c r="F1057" s="13">
        <v>44795.503460648149</v>
      </c>
      <c r="G1057" t="s">
        <v>641</v>
      </c>
      <c r="H1057" t="s">
        <v>642</v>
      </c>
      <c r="I1057" s="13">
        <v>44795.503472222219</v>
      </c>
      <c r="K1057" t="s">
        <v>412</v>
      </c>
      <c r="M1057" s="13">
        <v>44607</v>
      </c>
      <c r="R1057">
        <v>0</v>
      </c>
      <c r="S1057" t="s">
        <v>380</v>
      </c>
      <c r="T1057" t="s">
        <v>57</v>
      </c>
      <c r="V1057" t="s">
        <v>381</v>
      </c>
      <c r="W1057" t="s">
        <v>1066</v>
      </c>
      <c r="X1057" t="s">
        <v>1066</v>
      </c>
      <c r="AC1057" s="13">
        <v>44607</v>
      </c>
      <c r="AD1057" s="13">
        <v>44607</v>
      </c>
      <c r="AI1057">
        <v>-188</v>
      </c>
      <c r="AN1057" t="s">
        <v>31</v>
      </c>
      <c r="AO1057">
        <v>0</v>
      </c>
      <c r="AS1057" t="s">
        <v>730</v>
      </c>
      <c r="AX1057" t="s">
        <v>57</v>
      </c>
      <c r="AY1057" t="s">
        <v>386</v>
      </c>
      <c r="AZ1057" t="s">
        <v>721</v>
      </c>
      <c r="BF1057">
        <v>0</v>
      </c>
      <c r="BK1057" t="s">
        <v>31</v>
      </c>
      <c r="BS1057" t="s">
        <v>412</v>
      </c>
      <c r="CI1057" t="s">
        <v>388</v>
      </c>
      <c r="CJ1057" s="14">
        <v>45014</v>
      </c>
      <c r="CK1057">
        <v>1</v>
      </c>
    </row>
    <row r="1058" spans="1:89">
      <c r="A1058" t="s">
        <v>883</v>
      </c>
      <c r="B1058" t="s">
        <v>374</v>
      </c>
      <c r="C1058" t="s">
        <v>473</v>
      </c>
      <c r="D1058" t="s">
        <v>1067</v>
      </c>
      <c r="E1058" t="s">
        <v>1068</v>
      </c>
      <c r="F1058" s="13">
        <v>44795.503437500003</v>
      </c>
      <c r="G1058" t="s">
        <v>641</v>
      </c>
      <c r="H1058" t="s">
        <v>642</v>
      </c>
      <c r="I1058" s="13">
        <v>44795.503449074073</v>
      </c>
      <c r="K1058" t="s">
        <v>412</v>
      </c>
      <c r="M1058" s="13">
        <v>44645</v>
      </c>
      <c r="R1058">
        <v>0</v>
      </c>
      <c r="S1058" t="s">
        <v>380</v>
      </c>
      <c r="T1058" t="s">
        <v>57</v>
      </c>
      <c r="V1058" t="s">
        <v>381</v>
      </c>
      <c r="W1058" t="s">
        <v>1069</v>
      </c>
      <c r="X1058" t="s">
        <v>1069</v>
      </c>
      <c r="AC1058" s="13">
        <v>44645</v>
      </c>
      <c r="AD1058" s="13">
        <v>44645</v>
      </c>
      <c r="AI1058">
        <v>-150</v>
      </c>
      <c r="AN1058" t="s">
        <v>31</v>
      </c>
      <c r="AO1058">
        <v>0</v>
      </c>
      <c r="AS1058" t="s">
        <v>385</v>
      </c>
      <c r="AX1058" t="s">
        <v>57</v>
      </c>
      <c r="AY1058" t="s">
        <v>386</v>
      </c>
      <c r="AZ1058" t="s">
        <v>721</v>
      </c>
      <c r="BF1058">
        <v>0</v>
      </c>
      <c r="BK1058" t="s">
        <v>31</v>
      </c>
      <c r="BS1058" t="s">
        <v>412</v>
      </c>
      <c r="CI1058" t="s">
        <v>388</v>
      </c>
      <c r="CJ1058" s="14">
        <v>45014</v>
      </c>
      <c r="CK1058">
        <v>1</v>
      </c>
    </row>
    <row r="1059" spans="1:89">
      <c r="A1059" t="s">
        <v>883</v>
      </c>
      <c r="B1059" t="s">
        <v>374</v>
      </c>
      <c r="C1059" t="s">
        <v>473</v>
      </c>
      <c r="D1059" t="s">
        <v>1070</v>
      </c>
      <c r="E1059" t="s">
        <v>1071</v>
      </c>
      <c r="F1059" s="13">
        <v>44795.50341435185</v>
      </c>
      <c r="G1059" t="s">
        <v>641</v>
      </c>
      <c r="H1059" t="s">
        <v>642</v>
      </c>
      <c r="I1059" s="13">
        <v>44795.503425925926</v>
      </c>
      <c r="K1059" t="s">
        <v>412</v>
      </c>
      <c r="M1059" s="13">
        <v>44671</v>
      </c>
      <c r="R1059">
        <v>0</v>
      </c>
      <c r="S1059" t="s">
        <v>416</v>
      </c>
      <c r="T1059" t="s">
        <v>57</v>
      </c>
      <c r="V1059" t="s">
        <v>381</v>
      </c>
      <c r="W1059" t="s">
        <v>1069</v>
      </c>
      <c r="X1059" t="s">
        <v>1069</v>
      </c>
      <c r="AC1059" s="13">
        <v>44671</v>
      </c>
      <c r="AD1059" s="13">
        <v>44671</v>
      </c>
      <c r="AI1059">
        <v>-124</v>
      </c>
      <c r="AN1059" t="s">
        <v>31</v>
      </c>
      <c r="AO1059">
        <v>0</v>
      </c>
      <c r="AS1059" t="s">
        <v>385</v>
      </c>
      <c r="AX1059" t="s">
        <v>57</v>
      </c>
      <c r="AY1059" t="s">
        <v>386</v>
      </c>
      <c r="AZ1059" t="s">
        <v>721</v>
      </c>
      <c r="BF1059">
        <v>0</v>
      </c>
      <c r="BK1059" t="s">
        <v>31</v>
      </c>
      <c r="BS1059" t="s">
        <v>412</v>
      </c>
      <c r="CI1059" t="s">
        <v>388</v>
      </c>
      <c r="CJ1059" s="14">
        <v>45014</v>
      </c>
      <c r="CK1059">
        <v>1</v>
      </c>
    </row>
    <row r="1060" spans="1:89">
      <c r="A1060" t="s">
        <v>895</v>
      </c>
      <c r="B1060" t="s">
        <v>374</v>
      </c>
      <c r="C1060" t="s">
        <v>896</v>
      </c>
      <c r="D1060" t="s">
        <v>1072</v>
      </c>
      <c r="E1060" t="s">
        <v>1073</v>
      </c>
      <c r="F1060" s="13">
        <v>44795.503391203703</v>
      </c>
      <c r="G1060" t="s">
        <v>641</v>
      </c>
      <c r="H1060" t="s">
        <v>642</v>
      </c>
      <c r="I1060" s="13">
        <v>44795.50340277778</v>
      </c>
      <c r="K1060" t="s">
        <v>412</v>
      </c>
      <c r="M1060" s="13">
        <v>44609</v>
      </c>
      <c r="R1060">
        <v>0</v>
      </c>
      <c r="S1060" t="s">
        <v>380</v>
      </c>
      <c r="T1060" t="s">
        <v>57</v>
      </c>
      <c r="V1060" t="s">
        <v>381</v>
      </c>
      <c r="W1060" t="s">
        <v>855</v>
      </c>
      <c r="X1060" t="s">
        <v>855</v>
      </c>
      <c r="AC1060" s="13">
        <v>44609</v>
      </c>
      <c r="AD1060" s="13">
        <v>44609</v>
      </c>
      <c r="AI1060">
        <v>-186</v>
      </c>
      <c r="AN1060" t="s">
        <v>31</v>
      </c>
      <c r="AO1060">
        <v>0</v>
      </c>
      <c r="AS1060" t="s">
        <v>385</v>
      </c>
      <c r="AX1060" t="s">
        <v>57</v>
      </c>
      <c r="AY1060" t="s">
        <v>386</v>
      </c>
      <c r="AZ1060" t="s">
        <v>721</v>
      </c>
      <c r="BF1060">
        <v>0</v>
      </c>
      <c r="BK1060" t="s">
        <v>31</v>
      </c>
      <c r="BS1060" t="s">
        <v>412</v>
      </c>
      <c r="CI1060" t="s">
        <v>388</v>
      </c>
      <c r="CJ1060" s="14">
        <v>45014</v>
      </c>
      <c r="CK1060">
        <v>1</v>
      </c>
    </row>
    <row r="1061" spans="1:89">
      <c r="A1061" t="s">
        <v>902</v>
      </c>
      <c r="B1061" t="s">
        <v>374</v>
      </c>
      <c r="C1061" t="s">
        <v>903</v>
      </c>
      <c r="D1061" t="s">
        <v>1074</v>
      </c>
      <c r="E1061" t="s">
        <v>1075</v>
      </c>
      <c r="F1061" s="13">
        <v>44795.503368055557</v>
      </c>
      <c r="G1061" t="s">
        <v>641</v>
      </c>
      <c r="H1061" t="s">
        <v>642</v>
      </c>
      <c r="I1061" s="13">
        <v>44795.503379629627</v>
      </c>
      <c r="K1061" t="s">
        <v>412</v>
      </c>
      <c r="M1061" s="13">
        <v>44635</v>
      </c>
      <c r="R1061">
        <v>0</v>
      </c>
      <c r="S1061" t="s">
        <v>380</v>
      </c>
      <c r="T1061" t="s">
        <v>57</v>
      </c>
      <c r="V1061" t="s">
        <v>381</v>
      </c>
      <c r="W1061" t="s">
        <v>1076</v>
      </c>
      <c r="X1061" t="s">
        <v>1076</v>
      </c>
      <c r="AC1061" s="13">
        <v>44635</v>
      </c>
      <c r="AD1061" s="13">
        <v>44635</v>
      </c>
      <c r="AI1061">
        <v>-160</v>
      </c>
      <c r="AN1061" t="s">
        <v>31</v>
      </c>
      <c r="AO1061">
        <v>0</v>
      </c>
      <c r="AS1061" t="s">
        <v>385</v>
      </c>
      <c r="AX1061" t="s">
        <v>57</v>
      </c>
      <c r="AY1061" t="s">
        <v>386</v>
      </c>
      <c r="AZ1061" t="s">
        <v>721</v>
      </c>
      <c r="BF1061">
        <v>0</v>
      </c>
      <c r="BK1061" t="s">
        <v>31</v>
      </c>
      <c r="BS1061" t="s">
        <v>412</v>
      </c>
      <c r="CI1061" t="s">
        <v>388</v>
      </c>
      <c r="CJ1061" s="14">
        <v>45014</v>
      </c>
      <c r="CK1061">
        <v>1</v>
      </c>
    </row>
    <row r="1062" spans="1:89">
      <c r="A1062" t="s">
        <v>902</v>
      </c>
      <c r="B1062" t="s">
        <v>374</v>
      </c>
      <c r="C1062" t="s">
        <v>903</v>
      </c>
      <c r="D1062" t="s">
        <v>1077</v>
      </c>
      <c r="E1062" t="s">
        <v>1078</v>
      </c>
      <c r="F1062" s="13">
        <v>44795.50335648148</v>
      </c>
      <c r="G1062" t="s">
        <v>641</v>
      </c>
      <c r="H1062" t="s">
        <v>642</v>
      </c>
      <c r="I1062" s="13">
        <v>44795.503368055557</v>
      </c>
      <c r="K1062" t="s">
        <v>412</v>
      </c>
      <c r="M1062" s="13">
        <v>44607</v>
      </c>
      <c r="R1062">
        <v>0</v>
      </c>
      <c r="S1062" t="s">
        <v>380</v>
      </c>
      <c r="T1062" t="s">
        <v>57</v>
      </c>
      <c r="V1062" t="s">
        <v>381</v>
      </c>
      <c r="W1062" t="s">
        <v>938</v>
      </c>
      <c r="X1062" t="s">
        <v>938</v>
      </c>
      <c r="AC1062" s="13">
        <v>44607</v>
      </c>
      <c r="AD1062" s="13">
        <v>44607</v>
      </c>
      <c r="AI1062">
        <v>-188</v>
      </c>
      <c r="AN1062" t="s">
        <v>31</v>
      </c>
      <c r="AO1062">
        <v>0</v>
      </c>
      <c r="AS1062" t="s">
        <v>385</v>
      </c>
      <c r="AX1062" t="s">
        <v>57</v>
      </c>
      <c r="AY1062" t="s">
        <v>386</v>
      </c>
      <c r="AZ1062" t="s">
        <v>721</v>
      </c>
      <c r="BF1062">
        <v>0</v>
      </c>
      <c r="BK1062" t="s">
        <v>31</v>
      </c>
      <c r="BS1062" t="s">
        <v>412</v>
      </c>
      <c r="CI1062" t="s">
        <v>388</v>
      </c>
      <c r="CJ1062" s="14">
        <v>45014</v>
      </c>
      <c r="CK1062">
        <v>1</v>
      </c>
    </row>
    <row r="1063" spans="1:89">
      <c r="A1063" t="s">
        <v>1062</v>
      </c>
      <c r="B1063" t="s">
        <v>374</v>
      </c>
      <c r="C1063" t="s">
        <v>1063</v>
      </c>
      <c r="D1063" t="s">
        <v>1079</v>
      </c>
      <c r="E1063" t="s">
        <v>1080</v>
      </c>
      <c r="F1063" s="13">
        <v>44795.503333333334</v>
      </c>
      <c r="G1063" t="s">
        <v>641</v>
      </c>
      <c r="H1063" t="s">
        <v>642</v>
      </c>
      <c r="I1063" s="13">
        <v>44795.503344907411</v>
      </c>
      <c r="K1063" t="s">
        <v>412</v>
      </c>
      <c r="M1063" s="13">
        <v>44609</v>
      </c>
      <c r="R1063">
        <v>0</v>
      </c>
      <c r="S1063" t="s">
        <v>416</v>
      </c>
      <c r="T1063" t="s">
        <v>57</v>
      </c>
      <c r="V1063" t="s">
        <v>381</v>
      </c>
      <c r="W1063" t="s">
        <v>1081</v>
      </c>
      <c r="X1063" t="s">
        <v>1081</v>
      </c>
      <c r="AC1063" s="13">
        <v>44609</v>
      </c>
      <c r="AD1063" s="13">
        <v>44609</v>
      </c>
      <c r="AI1063">
        <v>-186</v>
      </c>
      <c r="AN1063" t="s">
        <v>31</v>
      </c>
      <c r="AO1063">
        <v>0</v>
      </c>
      <c r="AS1063" t="s">
        <v>385</v>
      </c>
      <c r="AX1063" t="s">
        <v>57</v>
      </c>
      <c r="AY1063" t="s">
        <v>386</v>
      </c>
      <c r="AZ1063" t="s">
        <v>721</v>
      </c>
      <c r="BF1063">
        <v>0</v>
      </c>
      <c r="BK1063" t="s">
        <v>31</v>
      </c>
      <c r="BS1063" t="s">
        <v>412</v>
      </c>
      <c r="CI1063" t="s">
        <v>388</v>
      </c>
      <c r="CJ1063" s="14">
        <v>45014</v>
      </c>
      <c r="CK1063">
        <v>1</v>
      </c>
    </row>
    <row r="1064" spans="1:89">
      <c r="A1064" t="s">
        <v>1082</v>
      </c>
      <c r="B1064" t="s">
        <v>374</v>
      </c>
      <c r="C1064" t="s">
        <v>1083</v>
      </c>
      <c r="D1064" t="s">
        <v>1084</v>
      </c>
      <c r="E1064" t="s">
        <v>1085</v>
      </c>
      <c r="F1064" s="13">
        <v>44795.503310185188</v>
      </c>
      <c r="G1064" t="s">
        <v>641</v>
      </c>
      <c r="H1064" t="s">
        <v>642</v>
      </c>
      <c r="I1064" s="13">
        <v>44795.503321759257</v>
      </c>
      <c r="K1064" t="s">
        <v>412</v>
      </c>
      <c r="M1064" s="13">
        <v>44666</v>
      </c>
      <c r="R1064">
        <v>0</v>
      </c>
      <c r="S1064" t="s">
        <v>380</v>
      </c>
      <c r="T1064" t="s">
        <v>57</v>
      </c>
      <c r="V1064" t="s">
        <v>381</v>
      </c>
      <c r="W1064" t="s">
        <v>1086</v>
      </c>
      <c r="X1064" t="s">
        <v>1086</v>
      </c>
      <c r="AC1064" s="13">
        <v>44666</v>
      </c>
      <c r="AD1064" s="13">
        <v>44666</v>
      </c>
      <c r="AI1064">
        <v>-129</v>
      </c>
      <c r="AN1064" t="s">
        <v>31</v>
      </c>
      <c r="AO1064">
        <v>0</v>
      </c>
      <c r="AS1064" t="s">
        <v>461</v>
      </c>
      <c r="AX1064" t="s">
        <v>57</v>
      </c>
      <c r="AY1064" t="s">
        <v>386</v>
      </c>
      <c r="AZ1064" t="s">
        <v>721</v>
      </c>
      <c r="BF1064">
        <v>0</v>
      </c>
      <c r="BK1064" t="s">
        <v>31</v>
      </c>
      <c r="BS1064" t="s">
        <v>412</v>
      </c>
      <c r="CI1064" t="s">
        <v>388</v>
      </c>
      <c r="CJ1064" s="14">
        <v>45014</v>
      </c>
      <c r="CK1064">
        <v>1</v>
      </c>
    </row>
    <row r="1065" spans="1:89">
      <c r="A1065" t="s">
        <v>849</v>
      </c>
      <c r="B1065" t="s">
        <v>374</v>
      </c>
      <c r="C1065" t="s">
        <v>850</v>
      </c>
      <c r="D1065" t="s">
        <v>1087</v>
      </c>
      <c r="E1065" t="s">
        <v>1088</v>
      </c>
      <c r="F1065" s="13">
        <v>44795.503287037034</v>
      </c>
      <c r="G1065" t="s">
        <v>641</v>
      </c>
      <c r="H1065" t="s">
        <v>642</v>
      </c>
      <c r="I1065" s="13">
        <v>44795.503298611111</v>
      </c>
      <c r="K1065" t="s">
        <v>412</v>
      </c>
      <c r="M1065" s="13">
        <v>44701</v>
      </c>
      <c r="R1065">
        <v>0</v>
      </c>
      <c r="S1065" t="s">
        <v>380</v>
      </c>
      <c r="T1065" t="s">
        <v>57</v>
      </c>
      <c r="V1065" t="s">
        <v>381</v>
      </c>
      <c r="W1065" t="s">
        <v>858</v>
      </c>
      <c r="X1065" t="s">
        <v>858</v>
      </c>
      <c r="AC1065" s="13">
        <v>44701</v>
      </c>
      <c r="AD1065" s="13">
        <v>44701</v>
      </c>
      <c r="AI1065">
        <v>-94</v>
      </c>
      <c r="AN1065" t="s">
        <v>31</v>
      </c>
      <c r="AO1065">
        <v>0</v>
      </c>
      <c r="AS1065" t="s">
        <v>385</v>
      </c>
      <c r="AX1065" t="s">
        <v>31</v>
      </c>
      <c r="AY1065" t="s">
        <v>442</v>
      </c>
      <c r="AZ1065" t="s">
        <v>1089</v>
      </c>
      <c r="BF1065">
        <v>0</v>
      </c>
      <c r="BK1065" t="s">
        <v>31</v>
      </c>
      <c r="BS1065" t="s">
        <v>412</v>
      </c>
      <c r="CI1065" t="s">
        <v>388</v>
      </c>
      <c r="CJ1065" s="14">
        <v>45014</v>
      </c>
      <c r="CK1065">
        <v>1</v>
      </c>
    </row>
    <row r="1066" spans="1:89">
      <c r="A1066" t="s">
        <v>849</v>
      </c>
      <c r="B1066" t="s">
        <v>374</v>
      </c>
      <c r="C1066" t="s">
        <v>850</v>
      </c>
      <c r="D1066" t="s">
        <v>1090</v>
      </c>
      <c r="E1066" t="s">
        <v>1091</v>
      </c>
      <c r="F1066" s="13">
        <v>44795.503263888888</v>
      </c>
      <c r="G1066" t="s">
        <v>641</v>
      </c>
      <c r="H1066" t="s">
        <v>642</v>
      </c>
      <c r="I1066" s="13">
        <v>44795.503275462965</v>
      </c>
      <c r="K1066" t="s">
        <v>412</v>
      </c>
      <c r="M1066" s="13">
        <v>44635</v>
      </c>
      <c r="R1066">
        <v>0</v>
      </c>
      <c r="S1066" t="s">
        <v>380</v>
      </c>
      <c r="T1066" t="s">
        <v>57</v>
      </c>
      <c r="V1066" t="s">
        <v>381</v>
      </c>
      <c r="W1066" t="s">
        <v>1092</v>
      </c>
      <c r="X1066" t="s">
        <v>1092</v>
      </c>
      <c r="AC1066" s="13">
        <v>44635</v>
      </c>
      <c r="AD1066" s="13">
        <v>44635</v>
      </c>
      <c r="AI1066">
        <v>-160</v>
      </c>
      <c r="AN1066" t="s">
        <v>31</v>
      </c>
      <c r="AO1066">
        <v>0</v>
      </c>
      <c r="AS1066" t="s">
        <v>648</v>
      </c>
      <c r="AX1066" t="s">
        <v>31</v>
      </c>
      <c r="AY1066" t="s">
        <v>442</v>
      </c>
      <c r="AZ1066" t="s">
        <v>1093</v>
      </c>
      <c r="BF1066">
        <v>0</v>
      </c>
      <c r="BK1066" t="s">
        <v>31</v>
      </c>
      <c r="BS1066" t="s">
        <v>412</v>
      </c>
      <c r="CI1066" t="s">
        <v>388</v>
      </c>
      <c r="CJ1066" s="14">
        <v>45014</v>
      </c>
      <c r="CK1066">
        <v>1</v>
      </c>
    </row>
    <row r="1067" spans="1:89">
      <c r="A1067" t="s">
        <v>849</v>
      </c>
      <c r="B1067" t="s">
        <v>374</v>
      </c>
      <c r="C1067" t="s">
        <v>850</v>
      </c>
      <c r="D1067" t="s">
        <v>1094</v>
      </c>
      <c r="E1067" t="s">
        <v>1095</v>
      </c>
      <c r="F1067" s="13">
        <v>44795.503252314818</v>
      </c>
      <c r="G1067" t="s">
        <v>641</v>
      </c>
      <c r="H1067" t="s">
        <v>642</v>
      </c>
      <c r="I1067" s="13">
        <v>44795.503252314818</v>
      </c>
      <c r="K1067" t="s">
        <v>412</v>
      </c>
      <c r="M1067" s="13">
        <v>44666</v>
      </c>
      <c r="R1067">
        <v>0</v>
      </c>
      <c r="S1067" t="s">
        <v>380</v>
      </c>
      <c r="T1067" t="s">
        <v>57</v>
      </c>
      <c r="V1067" t="s">
        <v>381</v>
      </c>
      <c r="W1067" t="s">
        <v>1092</v>
      </c>
      <c r="X1067" t="s">
        <v>1092</v>
      </c>
      <c r="AC1067" s="13">
        <v>44666</v>
      </c>
      <c r="AD1067" s="13">
        <v>44666</v>
      </c>
      <c r="AI1067">
        <v>-129</v>
      </c>
      <c r="AN1067" t="s">
        <v>31</v>
      </c>
      <c r="AO1067">
        <v>0</v>
      </c>
      <c r="AS1067" t="s">
        <v>385</v>
      </c>
      <c r="AX1067" t="s">
        <v>31</v>
      </c>
      <c r="AY1067" t="s">
        <v>442</v>
      </c>
      <c r="AZ1067" t="s">
        <v>1093</v>
      </c>
      <c r="BF1067">
        <v>0</v>
      </c>
      <c r="BK1067" t="s">
        <v>31</v>
      </c>
      <c r="BS1067" t="s">
        <v>412</v>
      </c>
      <c r="CI1067" t="s">
        <v>388</v>
      </c>
      <c r="CJ1067" s="14">
        <v>45014</v>
      </c>
      <c r="CK1067">
        <v>1</v>
      </c>
    </row>
    <row r="1068" spans="1:89">
      <c r="A1068" t="s">
        <v>849</v>
      </c>
      <c r="B1068" t="s">
        <v>374</v>
      </c>
      <c r="C1068" t="s">
        <v>850</v>
      </c>
      <c r="D1068" t="s">
        <v>1096</v>
      </c>
      <c r="E1068" t="s">
        <v>1097</v>
      </c>
      <c r="F1068" s="13">
        <v>44795.503229166665</v>
      </c>
      <c r="G1068" t="s">
        <v>641</v>
      </c>
      <c r="H1068" t="s">
        <v>642</v>
      </c>
      <c r="I1068" s="13">
        <v>44795.503240740742</v>
      </c>
      <c r="K1068" t="s">
        <v>412</v>
      </c>
      <c r="M1068" s="13">
        <v>44651</v>
      </c>
      <c r="R1068">
        <v>0</v>
      </c>
      <c r="S1068" t="s">
        <v>380</v>
      </c>
      <c r="T1068" t="s">
        <v>57</v>
      </c>
      <c r="V1068" t="s">
        <v>381</v>
      </c>
      <c r="W1068" t="s">
        <v>858</v>
      </c>
      <c r="X1068" t="s">
        <v>858</v>
      </c>
      <c r="AC1068" s="13">
        <v>44651</v>
      </c>
      <c r="AD1068" s="13">
        <v>44651</v>
      </c>
      <c r="AI1068">
        <v>-144</v>
      </c>
      <c r="AN1068" t="s">
        <v>31</v>
      </c>
      <c r="AO1068">
        <v>0</v>
      </c>
      <c r="AS1068" t="s">
        <v>385</v>
      </c>
      <c r="AX1068" t="s">
        <v>31</v>
      </c>
      <c r="AY1068" t="s">
        <v>442</v>
      </c>
      <c r="AZ1068" t="s">
        <v>1098</v>
      </c>
      <c r="BF1068">
        <v>0</v>
      </c>
      <c r="BK1068" t="s">
        <v>31</v>
      </c>
      <c r="BS1068" t="s">
        <v>412</v>
      </c>
      <c r="CI1068" t="s">
        <v>388</v>
      </c>
      <c r="CJ1068" s="14">
        <v>45014</v>
      </c>
      <c r="CK1068">
        <v>1</v>
      </c>
    </row>
    <row r="1069" spans="1:89">
      <c r="A1069" t="s">
        <v>849</v>
      </c>
      <c r="B1069" t="s">
        <v>374</v>
      </c>
      <c r="C1069" t="s">
        <v>850</v>
      </c>
      <c r="D1069" t="s">
        <v>1099</v>
      </c>
      <c r="E1069" t="s">
        <v>1100</v>
      </c>
      <c r="F1069" s="13">
        <v>44795.503206018519</v>
      </c>
      <c r="G1069" t="s">
        <v>641</v>
      </c>
      <c r="H1069" t="s">
        <v>642</v>
      </c>
      <c r="I1069" s="13">
        <v>44795.503217592595</v>
      </c>
      <c r="K1069" t="s">
        <v>412</v>
      </c>
      <c r="M1069" s="13">
        <v>44651</v>
      </c>
      <c r="R1069">
        <v>0</v>
      </c>
      <c r="S1069" t="s">
        <v>380</v>
      </c>
      <c r="T1069" t="s">
        <v>57</v>
      </c>
      <c r="V1069" t="s">
        <v>381</v>
      </c>
      <c r="W1069" t="s">
        <v>1101</v>
      </c>
      <c r="X1069" t="s">
        <v>1101</v>
      </c>
      <c r="AC1069" s="13">
        <v>44651</v>
      </c>
      <c r="AD1069" s="13">
        <v>44651</v>
      </c>
      <c r="AI1069">
        <v>-144</v>
      </c>
      <c r="AN1069" t="s">
        <v>31</v>
      </c>
      <c r="AO1069">
        <v>0</v>
      </c>
      <c r="AS1069" t="s">
        <v>385</v>
      </c>
      <c r="AX1069" t="s">
        <v>31</v>
      </c>
      <c r="AY1069" t="s">
        <v>442</v>
      </c>
      <c r="AZ1069" t="s">
        <v>1102</v>
      </c>
      <c r="BF1069">
        <v>0</v>
      </c>
      <c r="BK1069" t="s">
        <v>31</v>
      </c>
      <c r="BS1069" t="s">
        <v>412</v>
      </c>
      <c r="CI1069" t="s">
        <v>388</v>
      </c>
      <c r="CJ1069" s="14">
        <v>45014</v>
      </c>
      <c r="CK1069">
        <v>1</v>
      </c>
    </row>
    <row r="1070" spans="1:89">
      <c r="A1070" t="s">
        <v>859</v>
      </c>
      <c r="B1070" t="s">
        <v>374</v>
      </c>
      <c r="C1070" t="s">
        <v>860</v>
      </c>
      <c r="D1070" t="s">
        <v>1103</v>
      </c>
      <c r="E1070" t="s">
        <v>1104</v>
      </c>
      <c r="F1070" s="13">
        <v>44795.503182870372</v>
      </c>
      <c r="G1070" t="s">
        <v>641</v>
      </c>
      <c r="H1070" t="s">
        <v>642</v>
      </c>
      <c r="I1070" s="13">
        <v>44795.503194444442</v>
      </c>
      <c r="K1070" t="s">
        <v>412</v>
      </c>
      <c r="M1070" s="13">
        <v>44591</v>
      </c>
      <c r="R1070">
        <v>0</v>
      </c>
      <c r="S1070" t="s">
        <v>380</v>
      </c>
      <c r="T1070" t="s">
        <v>57</v>
      </c>
      <c r="V1070" t="s">
        <v>381</v>
      </c>
      <c r="W1070" t="s">
        <v>1105</v>
      </c>
      <c r="X1070" t="s">
        <v>1105</v>
      </c>
      <c r="AC1070" s="13">
        <v>44592</v>
      </c>
      <c r="AD1070" s="13">
        <v>44592</v>
      </c>
      <c r="AI1070">
        <v>-204</v>
      </c>
      <c r="AN1070" t="s">
        <v>31</v>
      </c>
      <c r="AO1070">
        <v>0</v>
      </c>
      <c r="AS1070" t="s">
        <v>385</v>
      </c>
      <c r="AX1070" t="s">
        <v>31</v>
      </c>
      <c r="AY1070" t="s">
        <v>442</v>
      </c>
      <c r="AZ1070" t="s">
        <v>1106</v>
      </c>
      <c r="BF1070">
        <v>0</v>
      </c>
      <c r="BK1070" t="s">
        <v>31</v>
      </c>
      <c r="BS1070" t="s">
        <v>412</v>
      </c>
      <c r="CI1070" t="s">
        <v>388</v>
      </c>
      <c r="CJ1070" s="14">
        <v>45014</v>
      </c>
      <c r="CK1070">
        <v>1</v>
      </c>
    </row>
    <row r="1071" spans="1:89">
      <c r="A1071" t="s">
        <v>859</v>
      </c>
      <c r="B1071" t="s">
        <v>374</v>
      </c>
      <c r="C1071" t="s">
        <v>860</v>
      </c>
      <c r="D1071" t="s">
        <v>1107</v>
      </c>
      <c r="E1071" t="s">
        <v>1108</v>
      </c>
      <c r="F1071" s="13">
        <v>44795.503159722219</v>
      </c>
      <c r="G1071" t="s">
        <v>641</v>
      </c>
      <c r="H1071" t="s">
        <v>642</v>
      </c>
      <c r="I1071" s="13">
        <v>44795.503171296295</v>
      </c>
      <c r="K1071" t="s">
        <v>412</v>
      </c>
      <c r="M1071" s="13">
        <v>44591</v>
      </c>
      <c r="R1071">
        <v>0</v>
      </c>
      <c r="S1071" t="s">
        <v>380</v>
      </c>
      <c r="T1071" t="s">
        <v>57</v>
      </c>
      <c r="V1071" t="s">
        <v>381</v>
      </c>
      <c r="W1071" t="s">
        <v>1105</v>
      </c>
      <c r="X1071" t="s">
        <v>1105</v>
      </c>
      <c r="AC1071" s="13">
        <v>44592</v>
      </c>
      <c r="AD1071" s="13">
        <v>44592</v>
      </c>
      <c r="AI1071">
        <v>-204</v>
      </c>
      <c r="AN1071" t="s">
        <v>31</v>
      </c>
      <c r="AO1071">
        <v>0</v>
      </c>
      <c r="AS1071" t="s">
        <v>385</v>
      </c>
      <c r="AX1071" t="s">
        <v>31</v>
      </c>
      <c r="AY1071" t="s">
        <v>442</v>
      </c>
      <c r="AZ1071" t="s">
        <v>1109</v>
      </c>
      <c r="BF1071">
        <v>0</v>
      </c>
      <c r="BK1071" t="s">
        <v>31</v>
      </c>
      <c r="BS1071" t="s">
        <v>412</v>
      </c>
      <c r="CI1071" t="s">
        <v>388</v>
      </c>
      <c r="CJ1071" s="14">
        <v>45014</v>
      </c>
      <c r="CK1071">
        <v>1</v>
      </c>
    </row>
    <row r="1072" spans="1:89">
      <c r="A1072" t="s">
        <v>859</v>
      </c>
      <c r="B1072" t="s">
        <v>374</v>
      </c>
      <c r="C1072" t="s">
        <v>860</v>
      </c>
      <c r="D1072" t="s">
        <v>1110</v>
      </c>
      <c r="E1072" t="s">
        <v>1111</v>
      </c>
      <c r="F1072" s="13">
        <v>44795.503136574072</v>
      </c>
      <c r="G1072" t="s">
        <v>641</v>
      </c>
      <c r="H1072" t="s">
        <v>642</v>
      </c>
      <c r="I1072" s="13">
        <v>44795.503148148149</v>
      </c>
      <c r="K1072" t="s">
        <v>412</v>
      </c>
      <c r="M1072" s="13">
        <v>44591</v>
      </c>
      <c r="R1072">
        <v>0</v>
      </c>
      <c r="S1072" t="s">
        <v>380</v>
      </c>
      <c r="T1072" t="s">
        <v>57</v>
      </c>
      <c r="V1072" t="s">
        <v>381</v>
      </c>
      <c r="W1072" t="s">
        <v>1105</v>
      </c>
      <c r="X1072" t="s">
        <v>1105</v>
      </c>
      <c r="AC1072" s="13">
        <v>44592</v>
      </c>
      <c r="AD1072" s="13">
        <v>44592</v>
      </c>
      <c r="AI1072">
        <v>-204</v>
      </c>
      <c r="AN1072" t="s">
        <v>31</v>
      </c>
      <c r="AO1072">
        <v>0</v>
      </c>
      <c r="AS1072" t="s">
        <v>385</v>
      </c>
      <c r="AX1072" t="s">
        <v>31</v>
      </c>
      <c r="AY1072" t="s">
        <v>442</v>
      </c>
      <c r="AZ1072" t="s">
        <v>1112</v>
      </c>
      <c r="BF1072">
        <v>0</v>
      </c>
      <c r="BK1072" t="s">
        <v>31</v>
      </c>
      <c r="BS1072" t="s">
        <v>412</v>
      </c>
      <c r="CI1072" t="s">
        <v>388</v>
      </c>
      <c r="CJ1072" s="14">
        <v>45014</v>
      </c>
      <c r="CK1072">
        <v>1</v>
      </c>
    </row>
    <row r="1073" spans="1:89">
      <c r="A1073" t="s">
        <v>859</v>
      </c>
      <c r="B1073" t="s">
        <v>374</v>
      </c>
      <c r="C1073" t="s">
        <v>860</v>
      </c>
      <c r="D1073" t="s">
        <v>1113</v>
      </c>
      <c r="E1073" t="s">
        <v>1114</v>
      </c>
      <c r="F1073" s="13">
        <v>44795.503113425926</v>
      </c>
      <c r="G1073" t="s">
        <v>641</v>
      </c>
      <c r="H1073" t="s">
        <v>642</v>
      </c>
      <c r="I1073" s="13">
        <v>44795.503125000003</v>
      </c>
      <c r="K1073" t="s">
        <v>412</v>
      </c>
      <c r="M1073" s="13">
        <v>44545</v>
      </c>
      <c r="R1073">
        <v>0</v>
      </c>
      <c r="S1073" t="s">
        <v>380</v>
      </c>
      <c r="T1073" t="s">
        <v>57</v>
      </c>
      <c r="V1073" t="s">
        <v>381</v>
      </c>
      <c r="W1073" t="s">
        <v>1115</v>
      </c>
      <c r="X1073" t="s">
        <v>1115</v>
      </c>
      <c r="AC1073" s="13">
        <v>44545</v>
      </c>
      <c r="AD1073" s="13">
        <v>44545</v>
      </c>
      <c r="AI1073">
        <v>-250</v>
      </c>
      <c r="AN1073" t="s">
        <v>31</v>
      </c>
      <c r="AO1073">
        <v>0</v>
      </c>
      <c r="AS1073" t="s">
        <v>385</v>
      </c>
      <c r="AX1073" t="s">
        <v>31</v>
      </c>
      <c r="AY1073" t="s">
        <v>442</v>
      </c>
      <c r="AZ1073" t="s">
        <v>1116</v>
      </c>
      <c r="BF1073">
        <v>0</v>
      </c>
      <c r="BK1073" t="s">
        <v>31</v>
      </c>
      <c r="BS1073" t="s">
        <v>412</v>
      </c>
      <c r="CI1073" t="s">
        <v>388</v>
      </c>
      <c r="CJ1073" s="14">
        <v>45014</v>
      </c>
      <c r="CK1073">
        <v>1</v>
      </c>
    </row>
    <row r="1074" spans="1:89">
      <c r="A1074" t="s">
        <v>867</v>
      </c>
      <c r="B1074" t="s">
        <v>374</v>
      </c>
      <c r="C1074" t="s">
        <v>607</v>
      </c>
      <c r="D1074" t="s">
        <v>1117</v>
      </c>
      <c r="E1074" t="s">
        <v>857</v>
      </c>
      <c r="F1074" s="13">
        <v>44795.50309027778</v>
      </c>
      <c r="G1074" t="s">
        <v>641</v>
      </c>
      <c r="H1074" t="s">
        <v>642</v>
      </c>
      <c r="I1074" s="13">
        <v>44795.503101851849</v>
      </c>
      <c r="K1074" t="s">
        <v>412</v>
      </c>
      <c r="M1074" s="13">
        <v>44469</v>
      </c>
      <c r="R1074">
        <v>0</v>
      </c>
      <c r="S1074" t="s">
        <v>380</v>
      </c>
      <c r="T1074" t="s">
        <v>57</v>
      </c>
      <c r="V1074" t="s">
        <v>381</v>
      </c>
      <c r="W1074" t="s">
        <v>863</v>
      </c>
      <c r="X1074" t="s">
        <v>863</v>
      </c>
      <c r="AC1074" s="13">
        <v>44469</v>
      </c>
      <c r="AD1074" s="13">
        <v>44469</v>
      </c>
      <c r="AI1074">
        <v>-326</v>
      </c>
      <c r="AN1074" t="s">
        <v>31</v>
      </c>
      <c r="AO1074">
        <v>0</v>
      </c>
      <c r="AS1074" t="s">
        <v>385</v>
      </c>
      <c r="AX1074" t="s">
        <v>31</v>
      </c>
      <c r="AY1074" t="s">
        <v>442</v>
      </c>
      <c r="AZ1074" t="s">
        <v>1118</v>
      </c>
      <c r="BF1074">
        <v>0</v>
      </c>
      <c r="BK1074" t="s">
        <v>31</v>
      </c>
      <c r="BS1074" t="s">
        <v>412</v>
      </c>
      <c r="CI1074" t="s">
        <v>388</v>
      </c>
      <c r="CJ1074" s="14">
        <v>45014</v>
      </c>
      <c r="CK1074">
        <v>1</v>
      </c>
    </row>
    <row r="1075" spans="1:89">
      <c r="A1075" t="s">
        <v>867</v>
      </c>
      <c r="B1075" t="s">
        <v>374</v>
      </c>
      <c r="C1075" t="s">
        <v>607</v>
      </c>
      <c r="D1075" t="s">
        <v>1119</v>
      </c>
      <c r="E1075" t="s">
        <v>862</v>
      </c>
      <c r="F1075" s="13">
        <v>44795.503032407411</v>
      </c>
      <c r="G1075" t="s">
        <v>641</v>
      </c>
      <c r="H1075" t="s">
        <v>642</v>
      </c>
      <c r="I1075" s="13">
        <v>44795.503055555557</v>
      </c>
      <c r="K1075" t="s">
        <v>412</v>
      </c>
      <c r="M1075" s="13">
        <v>44469</v>
      </c>
      <c r="R1075">
        <v>0</v>
      </c>
      <c r="S1075" t="s">
        <v>380</v>
      </c>
      <c r="T1075" t="s">
        <v>57</v>
      </c>
      <c r="V1075" t="s">
        <v>381</v>
      </c>
      <c r="W1075" t="s">
        <v>863</v>
      </c>
      <c r="X1075" t="s">
        <v>863</v>
      </c>
      <c r="AC1075" s="13">
        <v>44469</v>
      </c>
      <c r="AD1075" s="13">
        <v>44469</v>
      </c>
      <c r="AI1075">
        <v>-326</v>
      </c>
      <c r="AN1075" t="s">
        <v>31</v>
      </c>
      <c r="AO1075">
        <v>0</v>
      </c>
      <c r="AS1075" t="s">
        <v>385</v>
      </c>
      <c r="AX1075" t="s">
        <v>31</v>
      </c>
      <c r="AY1075" t="s">
        <v>442</v>
      </c>
      <c r="AZ1075" t="s">
        <v>1120</v>
      </c>
      <c r="BF1075">
        <v>0</v>
      </c>
      <c r="BK1075" t="s">
        <v>31</v>
      </c>
      <c r="BS1075" t="s">
        <v>412</v>
      </c>
      <c r="CI1075" t="s">
        <v>388</v>
      </c>
      <c r="CJ1075" s="14">
        <v>45014</v>
      </c>
      <c r="CK1075">
        <v>1</v>
      </c>
    </row>
    <row r="1076" spans="1:89">
      <c r="A1076" t="s">
        <v>1121</v>
      </c>
      <c r="B1076" t="s">
        <v>374</v>
      </c>
      <c r="C1076" t="s">
        <v>1122</v>
      </c>
      <c r="D1076" t="s">
        <v>1123</v>
      </c>
      <c r="E1076" t="s">
        <v>1124</v>
      </c>
      <c r="F1076" s="13">
        <v>44790.677453703705</v>
      </c>
      <c r="G1076" t="s">
        <v>1125</v>
      </c>
      <c r="H1076" t="s">
        <v>1126</v>
      </c>
      <c r="I1076" s="13">
        <v>44790.677916666667</v>
      </c>
      <c r="K1076" t="s">
        <v>412</v>
      </c>
      <c r="R1076">
        <v>0</v>
      </c>
      <c r="S1076" t="s">
        <v>380</v>
      </c>
      <c r="T1076" t="s">
        <v>57</v>
      </c>
      <c r="V1076" t="s">
        <v>381</v>
      </c>
      <c r="W1076" t="s">
        <v>1127</v>
      </c>
      <c r="X1076" t="s">
        <v>1127</v>
      </c>
      <c r="AI1076">
        <v>23</v>
      </c>
      <c r="AL1076" t="s">
        <v>1128</v>
      </c>
      <c r="AN1076" t="s">
        <v>31</v>
      </c>
      <c r="AO1076">
        <v>0</v>
      </c>
      <c r="AZ1076" t="s">
        <v>1129</v>
      </c>
      <c r="BF1076">
        <v>0</v>
      </c>
      <c r="BK1076" t="s">
        <v>31</v>
      </c>
      <c r="BS1076" t="s">
        <v>412</v>
      </c>
      <c r="BT1076" t="s">
        <v>412</v>
      </c>
      <c r="CI1076" t="s">
        <v>388</v>
      </c>
      <c r="CJ1076" s="14">
        <v>45014</v>
      </c>
      <c r="CK1076">
        <v>1</v>
      </c>
    </row>
    <row r="1077" spans="1:89">
      <c r="A1077" t="s">
        <v>1130</v>
      </c>
      <c r="B1077" t="s">
        <v>374</v>
      </c>
      <c r="C1077" t="s">
        <v>1131</v>
      </c>
      <c r="D1077" t="s">
        <v>1132</v>
      </c>
      <c r="E1077" t="s">
        <v>406</v>
      </c>
      <c r="F1077" s="13">
        <v>44784.473414351851</v>
      </c>
      <c r="G1077" t="s">
        <v>1133</v>
      </c>
      <c r="H1077" t="s">
        <v>1134</v>
      </c>
      <c r="I1077" s="13">
        <v>44784.476620370369</v>
      </c>
      <c r="K1077" t="s">
        <v>379</v>
      </c>
      <c r="M1077" s="13">
        <v>44784</v>
      </c>
      <c r="R1077">
        <v>100</v>
      </c>
      <c r="S1077" t="s">
        <v>380</v>
      </c>
      <c r="T1077" t="s">
        <v>31</v>
      </c>
      <c r="V1077" t="s">
        <v>381</v>
      </c>
      <c r="W1077" t="s">
        <v>406</v>
      </c>
      <c r="X1077" t="s">
        <v>406</v>
      </c>
      <c r="AC1077" s="13">
        <v>44784</v>
      </c>
      <c r="AD1077" s="13">
        <v>44784</v>
      </c>
      <c r="AF1077" t="s">
        <v>382</v>
      </c>
      <c r="AG1077" t="s">
        <v>406</v>
      </c>
      <c r="AI1077">
        <v>0</v>
      </c>
      <c r="AL1077" t="s">
        <v>1135</v>
      </c>
      <c r="AN1077" t="s">
        <v>31</v>
      </c>
      <c r="AO1077">
        <v>0</v>
      </c>
      <c r="AS1077" t="s">
        <v>526</v>
      </c>
      <c r="AX1077" t="s">
        <v>57</v>
      </c>
      <c r="AY1077" t="s">
        <v>386</v>
      </c>
      <c r="AZ1077" t="s">
        <v>406</v>
      </c>
      <c r="BF1077">
        <v>0</v>
      </c>
      <c r="BK1077" t="s">
        <v>31</v>
      </c>
      <c r="BS1077" t="s">
        <v>379</v>
      </c>
      <c r="BT1077" t="s">
        <v>379</v>
      </c>
      <c r="CI1077" t="s">
        <v>388</v>
      </c>
      <c r="CJ1077" s="14">
        <v>45014</v>
      </c>
      <c r="CK1077">
        <v>1</v>
      </c>
    </row>
    <row r="1078" spans="1:89">
      <c r="A1078" t="s">
        <v>1136</v>
      </c>
      <c r="B1078" t="s">
        <v>374</v>
      </c>
      <c r="C1078" t="s">
        <v>1137</v>
      </c>
      <c r="D1078" t="s">
        <v>1138</v>
      </c>
      <c r="E1078" t="s">
        <v>438</v>
      </c>
      <c r="F1078" s="13">
        <v>44783.450891203705</v>
      </c>
      <c r="G1078" t="s">
        <v>1139</v>
      </c>
      <c r="H1078" t="s">
        <v>1140</v>
      </c>
      <c r="I1078" s="13">
        <v>44785.595879629633</v>
      </c>
      <c r="K1078" t="s">
        <v>379</v>
      </c>
      <c r="M1078" s="13">
        <v>44813</v>
      </c>
      <c r="R1078">
        <v>100</v>
      </c>
      <c r="S1078" t="s">
        <v>380</v>
      </c>
      <c r="V1078" t="s">
        <v>381</v>
      </c>
      <c r="W1078" t="s">
        <v>1141</v>
      </c>
      <c r="X1078" t="s">
        <v>1141</v>
      </c>
      <c r="AF1078" t="s">
        <v>382</v>
      </c>
      <c r="AG1078" t="s">
        <v>1142</v>
      </c>
      <c r="AI1078">
        <v>30</v>
      </c>
      <c r="AL1078" t="s">
        <v>1143</v>
      </c>
      <c r="AN1078" t="s">
        <v>31</v>
      </c>
      <c r="AO1078">
        <v>0</v>
      </c>
      <c r="AS1078" t="s">
        <v>385</v>
      </c>
      <c r="AX1078" t="s">
        <v>57</v>
      </c>
      <c r="AY1078" t="s">
        <v>386</v>
      </c>
      <c r="AZ1078" t="s">
        <v>438</v>
      </c>
      <c r="BF1078">
        <v>0</v>
      </c>
      <c r="BK1078" t="s">
        <v>31</v>
      </c>
      <c r="BS1078" t="s">
        <v>379</v>
      </c>
      <c r="BT1078" t="s">
        <v>379</v>
      </c>
      <c r="CI1078" t="s">
        <v>388</v>
      </c>
      <c r="CJ1078" s="14">
        <v>45014</v>
      </c>
      <c r="CK1078">
        <v>1</v>
      </c>
    </row>
    <row r="1079" spans="1:89">
      <c r="A1079" t="s">
        <v>404</v>
      </c>
      <c r="B1079" t="s">
        <v>374</v>
      </c>
      <c r="C1079" t="s">
        <v>375</v>
      </c>
      <c r="D1079" t="s">
        <v>1144</v>
      </c>
      <c r="E1079" t="s">
        <v>1145</v>
      </c>
      <c r="F1079" s="13">
        <v>44748.352326388886</v>
      </c>
      <c r="G1079" t="s">
        <v>1146</v>
      </c>
      <c r="H1079" t="s">
        <v>1147</v>
      </c>
      <c r="I1079" s="13">
        <v>45012.044421296298</v>
      </c>
      <c r="K1079" t="s">
        <v>415</v>
      </c>
      <c r="M1079" s="13">
        <v>44771</v>
      </c>
      <c r="R1079">
        <v>0</v>
      </c>
      <c r="S1079" t="s">
        <v>380</v>
      </c>
      <c r="T1079" t="s">
        <v>57</v>
      </c>
      <c r="V1079" t="s">
        <v>478</v>
      </c>
      <c r="W1079" t="s">
        <v>1145</v>
      </c>
      <c r="X1079" t="s">
        <v>1145</v>
      </c>
      <c r="AF1079" t="s">
        <v>451</v>
      </c>
      <c r="AI1079">
        <v>-241</v>
      </c>
      <c r="AL1079" t="s">
        <v>1148</v>
      </c>
      <c r="AN1079" t="s">
        <v>31</v>
      </c>
      <c r="AO1079">
        <v>0</v>
      </c>
      <c r="AY1079" t="s">
        <v>442</v>
      </c>
      <c r="AZ1079" t="s">
        <v>1149</v>
      </c>
      <c r="BE1079" t="s">
        <v>1150</v>
      </c>
      <c r="BF1079">
        <v>0</v>
      </c>
      <c r="BK1079" t="s">
        <v>31</v>
      </c>
      <c r="BS1079" t="s">
        <v>419</v>
      </c>
      <c r="BT1079" t="s">
        <v>419</v>
      </c>
      <c r="CI1079" t="s">
        <v>388</v>
      </c>
      <c r="CJ1079" s="14">
        <v>45014</v>
      </c>
      <c r="CK1079">
        <v>1</v>
      </c>
    </row>
    <row r="1080" spans="1:89">
      <c r="A1080" t="s">
        <v>1151</v>
      </c>
      <c r="B1080" t="s">
        <v>374</v>
      </c>
      <c r="C1080" t="s">
        <v>1152</v>
      </c>
      <c r="D1080" t="s">
        <v>1153</v>
      </c>
      <c r="E1080" t="s">
        <v>1154</v>
      </c>
      <c r="F1080" s="13">
        <v>44715.646168981482</v>
      </c>
      <c r="G1080" t="s">
        <v>1155</v>
      </c>
      <c r="H1080" t="s">
        <v>1156</v>
      </c>
      <c r="I1080" s="13">
        <v>44715.646585648145</v>
      </c>
      <c r="K1080" t="s">
        <v>412</v>
      </c>
      <c r="R1080">
        <v>0</v>
      </c>
      <c r="S1080" t="s">
        <v>380</v>
      </c>
      <c r="T1080" t="s">
        <v>57</v>
      </c>
      <c r="V1080" t="s">
        <v>381</v>
      </c>
      <c r="W1080" t="s">
        <v>1157</v>
      </c>
      <c r="X1080" t="s">
        <v>1157</v>
      </c>
      <c r="AI1080">
        <v>58</v>
      </c>
      <c r="AL1080" t="s">
        <v>1158</v>
      </c>
      <c r="AN1080" t="s">
        <v>31</v>
      </c>
      <c r="AO1080">
        <v>0</v>
      </c>
      <c r="AZ1080" t="s">
        <v>1159</v>
      </c>
      <c r="BF1080">
        <v>0</v>
      </c>
      <c r="BK1080" t="s">
        <v>31</v>
      </c>
      <c r="BS1080" t="s">
        <v>412</v>
      </c>
      <c r="BT1080" t="s">
        <v>412</v>
      </c>
      <c r="CI1080" t="s">
        <v>388</v>
      </c>
      <c r="CJ1080" s="14">
        <v>45014</v>
      </c>
      <c r="CK1080">
        <v>1</v>
      </c>
    </row>
    <row r="1081" spans="1:89">
      <c r="A1081" t="s">
        <v>1151</v>
      </c>
      <c r="B1081" t="s">
        <v>374</v>
      </c>
      <c r="C1081" t="s">
        <v>1152</v>
      </c>
      <c r="D1081" t="s">
        <v>1160</v>
      </c>
      <c r="E1081" t="s">
        <v>1161</v>
      </c>
      <c r="F1081" s="13">
        <v>44715.63622685185</v>
      </c>
      <c r="G1081" t="s">
        <v>1155</v>
      </c>
      <c r="H1081" t="s">
        <v>1156</v>
      </c>
      <c r="I1081" s="13">
        <v>44715.638981481483</v>
      </c>
      <c r="K1081" t="s">
        <v>412</v>
      </c>
      <c r="R1081">
        <v>0</v>
      </c>
      <c r="S1081" t="s">
        <v>380</v>
      </c>
      <c r="T1081" t="s">
        <v>57</v>
      </c>
      <c r="V1081" t="s">
        <v>381</v>
      </c>
      <c r="W1081" t="s">
        <v>1162</v>
      </c>
      <c r="X1081" t="s">
        <v>1162</v>
      </c>
      <c r="AI1081">
        <v>58</v>
      </c>
      <c r="AL1081" t="s">
        <v>1163</v>
      </c>
      <c r="AN1081" t="s">
        <v>31</v>
      </c>
      <c r="AO1081">
        <v>0</v>
      </c>
      <c r="AZ1081" t="s">
        <v>1164</v>
      </c>
      <c r="BF1081">
        <v>0</v>
      </c>
      <c r="BK1081" t="s">
        <v>31</v>
      </c>
      <c r="BS1081" t="s">
        <v>412</v>
      </c>
      <c r="BT1081" t="s">
        <v>412</v>
      </c>
      <c r="CI1081" t="s">
        <v>388</v>
      </c>
      <c r="CJ1081" s="14">
        <v>45014</v>
      </c>
      <c r="CK1081">
        <v>1</v>
      </c>
    </row>
    <row r="1082" spans="1:89">
      <c r="A1082" t="s">
        <v>404</v>
      </c>
      <c r="B1082" t="s">
        <v>374</v>
      </c>
      <c r="C1082" t="s">
        <v>375</v>
      </c>
      <c r="D1082" t="s">
        <v>1165</v>
      </c>
      <c r="E1082" t="s">
        <v>406</v>
      </c>
      <c r="F1082" s="13">
        <v>44713.519189814811</v>
      </c>
      <c r="G1082" t="s">
        <v>407</v>
      </c>
      <c r="H1082" t="s">
        <v>408</v>
      </c>
      <c r="I1082" s="13">
        <v>45012.619733796295</v>
      </c>
      <c r="K1082" t="s">
        <v>379</v>
      </c>
      <c r="L1082" t="s">
        <v>570</v>
      </c>
      <c r="M1082" s="13">
        <v>44755</v>
      </c>
      <c r="O1082" s="13">
        <v>45012</v>
      </c>
      <c r="R1082">
        <v>100</v>
      </c>
      <c r="S1082" t="s">
        <v>416</v>
      </c>
      <c r="T1082" t="s">
        <v>57</v>
      </c>
      <c r="V1082" t="s">
        <v>478</v>
      </c>
      <c r="W1082" t="s">
        <v>406</v>
      </c>
      <c r="X1082" t="s">
        <v>406</v>
      </c>
      <c r="AF1082" t="s">
        <v>451</v>
      </c>
      <c r="AI1082">
        <v>4</v>
      </c>
      <c r="AL1082" t="s">
        <v>1166</v>
      </c>
      <c r="AN1082" t="s">
        <v>31</v>
      </c>
      <c r="AO1082">
        <v>0</v>
      </c>
      <c r="AZ1082" t="s">
        <v>406</v>
      </c>
      <c r="BF1082">
        <v>0</v>
      </c>
      <c r="BK1082" t="s">
        <v>31</v>
      </c>
      <c r="BS1082" t="s">
        <v>419</v>
      </c>
      <c r="BT1082" t="s">
        <v>412</v>
      </c>
      <c r="CI1082" t="s">
        <v>388</v>
      </c>
      <c r="CJ1082" s="14">
        <v>45014</v>
      </c>
      <c r="CK1082">
        <v>1</v>
      </c>
    </row>
    <row r="1083" spans="1:89">
      <c r="A1083" t="s">
        <v>404</v>
      </c>
      <c r="B1083" t="s">
        <v>374</v>
      </c>
      <c r="C1083" t="s">
        <v>375</v>
      </c>
      <c r="D1083" t="s">
        <v>1167</v>
      </c>
      <c r="E1083" t="s">
        <v>1168</v>
      </c>
      <c r="F1083" s="13">
        <v>44706.526238425926</v>
      </c>
      <c r="G1083" t="s">
        <v>407</v>
      </c>
      <c r="H1083" t="s">
        <v>408</v>
      </c>
      <c r="I1083" s="13">
        <v>45012.044409722221</v>
      </c>
      <c r="K1083" t="s">
        <v>415</v>
      </c>
      <c r="M1083" s="13">
        <v>44741</v>
      </c>
      <c r="R1083">
        <v>0</v>
      </c>
      <c r="S1083" t="s">
        <v>380</v>
      </c>
      <c r="T1083" t="s">
        <v>57</v>
      </c>
      <c r="V1083" t="s">
        <v>478</v>
      </c>
      <c r="W1083" t="s">
        <v>1169</v>
      </c>
      <c r="X1083" t="s">
        <v>1169</v>
      </c>
      <c r="AF1083" t="s">
        <v>451</v>
      </c>
      <c r="AG1083" t="s">
        <v>406</v>
      </c>
      <c r="AI1083">
        <v>-271</v>
      </c>
      <c r="AJ1083" s="13">
        <v>44926</v>
      </c>
      <c r="AL1083" t="s">
        <v>1170</v>
      </c>
      <c r="AN1083" t="s">
        <v>31</v>
      </c>
      <c r="AO1083">
        <v>0</v>
      </c>
      <c r="AR1083" t="s">
        <v>574</v>
      </c>
      <c r="AS1083" t="s">
        <v>385</v>
      </c>
      <c r="AX1083" t="s">
        <v>31</v>
      </c>
      <c r="AZ1083" t="s">
        <v>1168</v>
      </c>
      <c r="BF1083">
        <v>0</v>
      </c>
      <c r="BK1083" t="s">
        <v>31</v>
      </c>
      <c r="BS1083" t="s">
        <v>419</v>
      </c>
      <c r="BT1083" t="s">
        <v>419</v>
      </c>
      <c r="CI1083" t="s">
        <v>388</v>
      </c>
      <c r="CJ1083" s="14">
        <v>45014</v>
      </c>
      <c r="CK1083">
        <v>1</v>
      </c>
    </row>
    <row r="1084" spans="1:89">
      <c r="A1084" t="s">
        <v>404</v>
      </c>
      <c r="B1084" t="s">
        <v>374</v>
      </c>
      <c r="C1084" t="s">
        <v>375</v>
      </c>
      <c r="D1084" t="s">
        <v>1171</v>
      </c>
      <c r="E1084" t="s">
        <v>406</v>
      </c>
      <c r="F1084" s="13">
        <v>44699.435590277775</v>
      </c>
      <c r="G1084" t="s">
        <v>407</v>
      </c>
      <c r="H1084" t="s">
        <v>408</v>
      </c>
      <c r="I1084" s="13">
        <v>45012.044409722221</v>
      </c>
      <c r="K1084" t="s">
        <v>415</v>
      </c>
      <c r="M1084" s="13">
        <v>44742</v>
      </c>
      <c r="R1084">
        <v>100</v>
      </c>
      <c r="S1084" t="s">
        <v>380</v>
      </c>
      <c r="T1084" t="s">
        <v>57</v>
      </c>
      <c r="V1084" t="s">
        <v>478</v>
      </c>
      <c r="W1084" t="s">
        <v>603</v>
      </c>
      <c r="X1084" t="s">
        <v>603</v>
      </c>
      <c r="AF1084" t="s">
        <v>382</v>
      </c>
      <c r="AG1084" t="s">
        <v>406</v>
      </c>
      <c r="AI1084">
        <v>-270</v>
      </c>
      <c r="AL1084" t="s">
        <v>1172</v>
      </c>
      <c r="AN1084" t="s">
        <v>31</v>
      </c>
      <c r="AO1084">
        <v>0</v>
      </c>
      <c r="AZ1084" t="s">
        <v>406</v>
      </c>
      <c r="BF1084">
        <v>0</v>
      </c>
      <c r="BK1084" t="s">
        <v>31</v>
      </c>
      <c r="BS1084" t="s">
        <v>419</v>
      </c>
      <c r="BT1084" t="s">
        <v>419</v>
      </c>
      <c r="CI1084" t="s">
        <v>388</v>
      </c>
      <c r="CJ1084" s="14">
        <v>45014</v>
      </c>
      <c r="CK1084">
        <v>1</v>
      </c>
    </row>
    <row r="1085" spans="1:89">
      <c r="A1085" t="s">
        <v>637</v>
      </c>
      <c r="B1085" t="s">
        <v>374</v>
      </c>
      <c r="C1085" t="s">
        <v>638</v>
      </c>
      <c r="D1085" t="s">
        <v>1173</v>
      </c>
      <c r="E1085" t="s">
        <v>640</v>
      </c>
      <c r="F1085" s="13">
        <v>44696.931226851855</v>
      </c>
      <c r="G1085" t="s">
        <v>641</v>
      </c>
      <c r="H1085" t="s">
        <v>642</v>
      </c>
      <c r="I1085" s="13">
        <v>44833.703101851854</v>
      </c>
      <c r="K1085" t="s">
        <v>412</v>
      </c>
      <c r="M1085" s="13">
        <v>44742</v>
      </c>
      <c r="R1085">
        <v>0</v>
      </c>
      <c r="S1085" t="s">
        <v>380</v>
      </c>
      <c r="T1085" t="s">
        <v>57</v>
      </c>
      <c r="V1085" t="s">
        <v>381</v>
      </c>
      <c r="W1085" t="s">
        <v>643</v>
      </c>
      <c r="X1085" t="s">
        <v>643</v>
      </c>
      <c r="AC1085" s="13">
        <v>44834</v>
      </c>
      <c r="AD1085" s="13">
        <v>44834</v>
      </c>
      <c r="AI1085">
        <v>46</v>
      </c>
      <c r="AN1085" t="s">
        <v>31</v>
      </c>
      <c r="AO1085">
        <v>0</v>
      </c>
      <c r="AS1085" t="s">
        <v>538</v>
      </c>
      <c r="AX1085" t="s">
        <v>57</v>
      </c>
      <c r="AY1085" t="s">
        <v>442</v>
      </c>
      <c r="AZ1085" t="s">
        <v>644</v>
      </c>
      <c r="BF1085">
        <v>0</v>
      </c>
      <c r="BK1085" t="s">
        <v>31</v>
      </c>
      <c r="BS1085" t="s">
        <v>412</v>
      </c>
      <c r="CI1085" t="s">
        <v>388</v>
      </c>
      <c r="CJ1085" s="14">
        <v>45014</v>
      </c>
      <c r="CK1085">
        <v>1</v>
      </c>
    </row>
    <row r="1086" spans="1:89">
      <c r="A1086" t="s">
        <v>637</v>
      </c>
      <c r="B1086" t="s">
        <v>374</v>
      </c>
      <c r="C1086" t="s">
        <v>638</v>
      </c>
      <c r="D1086" t="s">
        <v>1174</v>
      </c>
      <c r="E1086" t="s">
        <v>646</v>
      </c>
      <c r="F1086" s="13">
        <v>44696.931215277778</v>
      </c>
      <c r="G1086" t="s">
        <v>641</v>
      </c>
      <c r="H1086" t="s">
        <v>642</v>
      </c>
      <c r="I1086" s="13">
        <v>44833.703101851854</v>
      </c>
      <c r="K1086" t="s">
        <v>412</v>
      </c>
      <c r="M1086" s="13">
        <v>44620</v>
      </c>
      <c r="R1086">
        <v>0</v>
      </c>
      <c r="S1086" t="s">
        <v>416</v>
      </c>
      <c r="T1086" t="s">
        <v>57</v>
      </c>
      <c r="V1086" t="s">
        <v>381</v>
      </c>
      <c r="W1086" t="s">
        <v>647</v>
      </c>
      <c r="X1086" t="s">
        <v>647</v>
      </c>
      <c r="AC1086" s="13">
        <v>44711</v>
      </c>
      <c r="AD1086" s="13">
        <v>44711</v>
      </c>
      <c r="AI1086">
        <v>-76</v>
      </c>
      <c r="AN1086" t="s">
        <v>31</v>
      </c>
      <c r="AO1086">
        <v>0</v>
      </c>
      <c r="AS1086" t="s">
        <v>648</v>
      </c>
      <c r="AX1086" t="s">
        <v>31</v>
      </c>
      <c r="AY1086" t="s">
        <v>386</v>
      </c>
      <c r="AZ1086" t="s">
        <v>649</v>
      </c>
      <c r="BF1086">
        <v>0</v>
      </c>
      <c r="BK1086" t="s">
        <v>31</v>
      </c>
      <c r="BS1086" t="s">
        <v>412</v>
      </c>
      <c r="CI1086" t="s">
        <v>388</v>
      </c>
      <c r="CJ1086" s="14">
        <v>45014</v>
      </c>
      <c r="CK1086">
        <v>1</v>
      </c>
    </row>
    <row r="1087" spans="1:89">
      <c r="A1087" t="s">
        <v>637</v>
      </c>
      <c r="B1087" t="s">
        <v>374</v>
      </c>
      <c r="C1087" t="s">
        <v>638</v>
      </c>
      <c r="D1087" t="s">
        <v>1175</v>
      </c>
      <c r="E1087" t="s">
        <v>651</v>
      </c>
      <c r="F1087" s="13">
        <v>44696.931203703702</v>
      </c>
      <c r="G1087" t="s">
        <v>641</v>
      </c>
      <c r="H1087" t="s">
        <v>642</v>
      </c>
      <c r="I1087" s="13">
        <v>44833.703101851854</v>
      </c>
      <c r="K1087" t="s">
        <v>412</v>
      </c>
      <c r="M1087" s="13">
        <v>44620</v>
      </c>
      <c r="R1087">
        <v>0</v>
      </c>
      <c r="S1087" t="s">
        <v>416</v>
      </c>
      <c r="T1087" t="s">
        <v>57</v>
      </c>
      <c r="V1087" t="s">
        <v>381</v>
      </c>
      <c r="W1087" t="s">
        <v>647</v>
      </c>
      <c r="X1087" t="s">
        <v>647</v>
      </c>
      <c r="AC1087" s="13">
        <v>44711</v>
      </c>
      <c r="AD1087" s="13">
        <v>44711</v>
      </c>
      <c r="AI1087">
        <v>-76</v>
      </c>
      <c r="AN1087" t="s">
        <v>31</v>
      </c>
      <c r="AO1087">
        <v>0</v>
      </c>
      <c r="AS1087" t="s">
        <v>392</v>
      </c>
      <c r="AX1087" t="s">
        <v>31</v>
      </c>
      <c r="AY1087" t="s">
        <v>386</v>
      </c>
      <c r="AZ1087" t="s">
        <v>652</v>
      </c>
      <c r="BF1087">
        <v>0</v>
      </c>
      <c r="BK1087" t="s">
        <v>31</v>
      </c>
      <c r="BS1087" t="s">
        <v>412</v>
      </c>
      <c r="CI1087" t="s">
        <v>388</v>
      </c>
      <c r="CJ1087" s="14">
        <v>45014</v>
      </c>
      <c r="CK1087">
        <v>1</v>
      </c>
    </row>
    <row r="1088" spans="1:89">
      <c r="A1088" t="s">
        <v>637</v>
      </c>
      <c r="B1088" t="s">
        <v>374</v>
      </c>
      <c r="C1088" t="s">
        <v>638</v>
      </c>
      <c r="D1088" t="s">
        <v>1176</v>
      </c>
      <c r="E1088" t="s">
        <v>654</v>
      </c>
      <c r="F1088" s="13">
        <v>44696.931192129632</v>
      </c>
      <c r="G1088" t="s">
        <v>641</v>
      </c>
      <c r="H1088" t="s">
        <v>642</v>
      </c>
      <c r="I1088" s="13">
        <v>44833.703101851854</v>
      </c>
      <c r="K1088" t="s">
        <v>412</v>
      </c>
      <c r="M1088" s="13">
        <v>44620</v>
      </c>
      <c r="R1088">
        <v>0</v>
      </c>
      <c r="S1088" t="s">
        <v>380</v>
      </c>
      <c r="T1088" t="s">
        <v>57</v>
      </c>
      <c r="V1088" t="s">
        <v>381</v>
      </c>
      <c r="W1088" t="s">
        <v>647</v>
      </c>
      <c r="X1088" t="s">
        <v>647</v>
      </c>
      <c r="AC1088" s="13">
        <v>44711</v>
      </c>
      <c r="AD1088" s="13">
        <v>44711</v>
      </c>
      <c r="AI1088">
        <v>-76</v>
      </c>
      <c r="AN1088" t="s">
        <v>31</v>
      </c>
      <c r="AO1088">
        <v>0</v>
      </c>
      <c r="AS1088" t="s">
        <v>385</v>
      </c>
      <c r="AX1088" t="s">
        <v>31</v>
      </c>
      <c r="AY1088" t="s">
        <v>442</v>
      </c>
      <c r="AZ1088" t="s">
        <v>655</v>
      </c>
      <c r="BF1088">
        <v>0</v>
      </c>
      <c r="BK1088" t="s">
        <v>31</v>
      </c>
      <c r="BS1088" t="s">
        <v>412</v>
      </c>
      <c r="CI1088" t="s">
        <v>388</v>
      </c>
      <c r="CJ1088" s="14">
        <v>45014</v>
      </c>
      <c r="CK1088">
        <v>1</v>
      </c>
    </row>
    <row r="1089" spans="1:89">
      <c r="A1089" t="s">
        <v>637</v>
      </c>
      <c r="B1089" t="s">
        <v>374</v>
      </c>
      <c r="C1089" t="s">
        <v>638</v>
      </c>
      <c r="D1089" t="s">
        <v>1177</v>
      </c>
      <c r="E1089" t="s">
        <v>657</v>
      </c>
      <c r="F1089" s="13">
        <v>44696.931180555555</v>
      </c>
      <c r="G1089" t="s">
        <v>641</v>
      </c>
      <c r="H1089" t="s">
        <v>642</v>
      </c>
      <c r="I1089" s="13">
        <v>44833.703101851854</v>
      </c>
      <c r="K1089" t="s">
        <v>412</v>
      </c>
      <c r="M1089" s="13">
        <v>44620</v>
      </c>
      <c r="R1089">
        <v>0</v>
      </c>
      <c r="S1089" t="s">
        <v>380</v>
      </c>
      <c r="T1089" t="s">
        <v>57</v>
      </c>
      <c r="V1089" t="s">
        <v>381</v>
      </c>
      <c r="W1089" t="s">
        <v>647</v>
      </c>
      <c r="X1089" t="s">
        <v>647</v>
      </c>
      <c r="AC1089" s="13">
        <v>44711</v>
      </c>
      <c r="AD1089" s="13">
        <v>44711</v>
      </c>
      <c r="AI1089">
        <v>-76</v>
      </c>
      <c r="AN1089" t="s">
        <v>31</v>
      </c>
      <c r="AO1089">
        <v>0</v>
      </c>
      <c r="AS1089" t="s">
        <v>385</v>
      </c>
      <c r="AX1089" t="s">
        <v>31</v>
      </c>
      <c r="AY1089" t="s">
        <v>442</v>
      </c>
      <c r="AZ1089" t="s">
        <v>658</v>
      </c>
      <c r="BF1089">
        <v>0</v>
      </c>
      <c r="BK1089" t="s">
        <v>31</v>
      </c>
      <c r="BS1089" t="s">
        <v>412</v>
      </c>
      <c r="CI1089" t="s">
        <v>388</v>
      </c>
      <c r="CJ1089" s="14">
        <v>45014</v>
      </c>
      <c r="CK1089">
        <v>1</v>
      </c>
    </row>
    <row r="1090" spans="1:89">
      <c r="A1090" t="s">
        <v>637</v>
      </c>
      <c r="B1090" t="s">
        <v>374</v>
      </c>
      <c r="C1090" t="s">
        <v>638</v>
      </c>
      <c r="D1090" t="s">
        <v>1178</v>
      </c>
      <c r="E1090" t="s">
        <v>660</v>
      </c>
      <c r="F1090" s="13">
        <v>44696.931168981479</v>
      </c>
      <c r="G1090" t="s">
        <v>641</v>
      </c>
      <c r="H1090" t="s">
        <v>642</v>
      </c>
      <c r="I1090" s="13">
        <v>44833.703101851854</v>
      </c>
      <c r="K1090" t="s">
        <v>412</v>
      </c>
      <c r="M1090" s="13">
        <v>44620</v>
      </c>
      <c r="R1090">
        <v>0</v>
      </c>
      <c r="S1090" t="s">
        <v>380</v>
      </c>
      <c r="T1090" t="s">
        <v>57</v>
      </c>
      <c r="V1090" t="s">
        <v>381</v>
      </c>
      <c r="W1090" t="s">
        <v>647</v>
      </c>
      <c r="X1090" t="s">
        <v>647</v>
      </c>
      <c r="AC1090" s="13">
        <v>44711</v>
      </c>
      <c r="AD1090" s="13">
        <v>44711</v>
      </c>
      <c r="AI1090">
        <v>-76</v>
      </c>
      <c r="AN1090" t="s">
        <v>31</v>
      </c>
      <c r="AO1090">
        <v>0</v>
      </c>
      <c r="AS1090" t="s">
        <v>526</v>
      </c>
      <c r="AX1090" t="s">
        <v>31</v>
      </c>
      <c r="AY1090" t="s">
        <v>442</v>
      </c>
      <c r="AZ1090" t="s">
        <v>661</v>
      </c>
      <c r="BF1090">
        <v>0</v>
      </c>
      <c r="BK1090" t="s">
        <v>31</v>
      </c>
      <c r="BS1090" t="s">
        <v>412</v>
      </c>
      <c r="CI1090" t="s">
        <v>388</v>
      </c>
      <c r="CJ1090" s="14">
        <v>45014</v>
      </c>
      <c r="CK1090">
        <v>1</v>
      </c>
    </row>
    <row r="1091" spans="1:89">
      <c r="A1091" t="s">
        <v>637</v>
      </c>
      <c r="B1091" t="s">
        <v>374</v>
      </c>
      <c r="C1091" t="s">
        <v>638</v>
      </c>
      <c r="D1091" t="s">
        <v>1179</v>
      </c>
      <c r="E1091" t="s">
        <v>663</v>
      </c>
      <c r="F1091" s="13">
        <v>44696.931157407409</v>
      </c>
      <c r="G1091" t="s">
        <v>641</v>
      </c>
      <c r="H1091" t="s">
        <v>642</v>
      </c>
      <c r="I1091" s="13">
        <v>44833.703101851854</v>
      </c>
      <c r="K1091" t="s">
        <v>412</v>
      </c>
      <c r="M1091" s="13">
        <v>44620</v>
      </c>
      <c r="R1091">
        <v>0</v>
      </c>
      <c r="S1091" t="s">
        <v>380</v>
      </c>
      <c r="T1091" t="s">
        <v>57</v>
      </c>
      <c r="V1091" t="s">
        <v>381</v>
      </c>
      <c r="W1091" t="s">
        <v>647</v>
      </c>
      <c r="X1091" t="s">
        <v>647</v>
      </c>
      <c r="AC1091" s="13">
        <v>44711</v>
      </c>
      <c r="AD1091" s="13">
        <v>44711</v>
      </c>
      <c r="AI1091">
        <v>-76</v>
      </c>
      <c r="AN1091" t="s">
        <v>31</v>
      </c>
      <c r="AO1091">
        <v>0</v>
      </c>
      <c r="AS1091" t="s">
        <v>648</v>
      </c>
      <c r="AX1091" t="s">
        <v>31</v>
      </c>
      <c r="AY1091" t="s">
        <v>442</v>
      </c>
      <c r="AZ1091" t="s">
        <v>648</v>
      </c>
      <c r="BF1091">
        <v>0</v>
      </c>
      <c r="BK1091" t="s">
        <v>31</v>
      </c>
      <c r="BS1091" t="s">
        <v>412</v>
      </c>
      <c r="CI1091" t="s">
        <v>388</v>
      </c>
      <c r="CJ1091" s="14">
        <v>45014</v>
      </c>
      <c r="CK1091">
        <v>1</v>
      </c>
    </row>
    <row r="1092" spans="1:89">
      <c r="A1092" t="s">
        <v>637</v>
      </c>
      <c r="B1092" t="s">
        <v>374</v>
      </c>
      <c r="C1092" t="s">
        <v>638</v>
      </c>
      <c r="D1092" t="s">
        <v>1180</v>
      </c>
      <c r="E1092" t="s">
        <v>665</v>
      </c>
      <c r="F1092" s="13">
        <v>44696.931145833332</v>
      </c>
      <c r="G1092" t="s">
        <v>641</v>
      </c>
      <c r="H1092" t="s">
        <v>642</v>
      </c>
      <c r="I1092" s="13">
        <v>44833.703101851854</v>
      </c>
      <c r="K1092" t="s">
        <v>412</v>
      </c>
      <c r="M1092" s="13">
        <v>44620</v>
      </c>
      <c r="R1092">
        <v>0</v>
      </c>
      <c r="S1092" t="s">
        <v>380</v>
      </c>
      <c r="T1092" t="s">
        <v>57</v>
      </c>
      <c r="V1092" t="s">
        <v>381</v>
      </c>
      <c r="W1092" t="s">
        <v>647</v>
      </c>
      <c r="X1092" t="s">
        <v>647</v>
      </c>
      <c r="AC1092" s="13">
        <v>44711</v>
      </c>
      <c r="AD1092" s="13">
        <v>44711</v>
      </c>
      <c r="AI1092">
        <v>-76</v>
      </c>
      <c r="AN1092" t="s">
        <v>31</v>
      </c>
      <c r="AO1092">
        <v>0</v>
      </c>
      <c r="AS1092" t="s">
        <v>385</v>
      </c>
      <c r="AX1092" t="s">
        <v>31</v>
      </c>
      <c r="AY1092" t="s">
        <v>442</v>
      </c>
      <c r="AZ1092" t="s">
        <v>666</v>
      </c>
      <c r="BF1092">
        <v>0</v>
      </c>
      <c r="BK1092" t="s">
        <v>31</v>
      </c>
      <c r="BS1092" t="s">
        <v>412</v>
      </c>
      <c r="CI1092" t="s">
        <v>388</v>
      </c>
      <c r="CJ1092" s="14">
        <v>45014</v>
      </c>
      <c r="CK1092">
        <v>1</v>
      </c>
    </row>
    <row r="1093" spans="1:89">
      <c r="A1093" t="s">
        <v>1181</v>
      </c>
      <c r="B1093" t="s">
        <v>374</v>
      </c>
      <c r="C1093" t="s">
        <v>1182</v>
      </c>
      <c r="D1093" t="s">
        <v>1183</v>
      </c>
      <c r="E1093" t="s">
        <v>668</v>
      </c>
      <c r="F1093" s="13">
        <v>44696.931134259263</v>
      </c>
      <c r="G1093" t="s">
        <v>641</v>
      </c>
      <c r="H1093" t="s">
        <v>642</v>
      </c>
      <c r="I1093" s="13">
        <v>44833.703101851854</v>
      </c>
      <c r="K1093" t="s">
        <v>412</v>
      </c>
      <c r="M1093" s="13">
        <v>44620</v>
      </c>
      <c r="R1093">
        <v>0</v>
      </c>
      <c r="S1093" t="s">
        <v>380</v>
      </c>
      <c r="T1093" t="s">
        <v>57</v>
      </c>
      <c r="V1093" t="s">
        <v>381</v>
      </c>
      <c r="W1093" t="s">
        <v>647</v>
      </c>
      <c r="X1093" t="s">
        <v>647</v>
      </c>
      <c r="AC1093" s="13">
        <v>44711</v>
      </c>
      <c r="AD1093" s="13">
        <v>44711</v>
      </c>
      <c r="AI1093">
        <v>-76</v>
      </c>
      <c r="AN1093" t="s">
        <v>31</v>
      </c>
      <c r="AO1093">
        <v>0</v>
      </c>
      <c r="AS1093" t="s">
        <v>648</v>
      </c>
      <c r="AX1093" t="s">
        <v>31</v>
      </c>
      <c r="AY1093" t="s">
        <v>442</v>
      </c>
      <c r="AZ1093" t="s">
        <v>669</v>
      </c>
      <c r="BF1093">
        <v>0</v>
      </c>
      <c r="BK1093" t="s">
        <v>31</v>
      </c>
      <c r="BS1093" t="s">
        <v>412</v>
      </c>
      <c r="CI1093" t="s">
        <v>388</v>
      </c>
      <c r="CJ1093" s="14">
        <v>45014</v>
      </c>
      <c r="CK1093">
        <v>1</v>
      </c>
    </row>
    <row r="1094" spans="1:89">
      <c r="A1094" t="s">
        <v>1181</v>
      </c>
      <c r="B1094" t="s">
        <v>374</v>
      </c>
      <c r="C1094" t="s">
        <v>1182</v>
      </c>
      <c r="D1094" t="s">
        <v>1184</v>
      </c>
      <c r="E1094" t="s">
        <v>671</v>
      </c>
      <c r="F1094" s="13">
        <v>44696.931087962963</v>
      </c>
      <c r="G1094" t="s">
        <v>641</v>
      </c>
      <c r="H1094" t="s">
        <v>642</v>
      </c>
      <c r="I1094" s="13">
        <v>44833.703101851854</v>
      </c>
      <c r="K1094" t="s">
        <v>412</v>
      </c>
      <c r="M1094" s="13">
        <v>44620</v>
      </c>
      <c r="R1094">
        <v>0</v>
      </c>
      <c r="S1094" t="s">
        <v>380</v>
      </c>
      <c r="T1094" t="s">
        <v>57</v>
      </c>
      <c r="V1094" t="s">
        <v>381</v>
      </c>
      <c r="W1094" t="s">
        <v>647</v>
      </c>
      <c r="X1094" t="s">
        <v>647</v>
      </c>
      <c r="AC1094" s="13">
        <v>44711</v>
      </c>
      <c r="AD1094" s="13">
        <v>44711</v>
      </c>
      <c r="AI1094">
        <v>-76</v>
      </c>
      <c r="AN1094" t="s">
        <v>31</v>
      </c>
      <c r="AO1094">
        <v>0</v>
      </c>
      <c r="AS1094" t="s">
        <v>538</v>
      </c>
      <c r="AX1094" t="s">
        <v>31</v>
      </c>
      <c r="AY1094" t="s">
        <v>442</v>
      </c>
      <c r="AZ1094" t="s">
        <v>672</v>
      </c>
      <c r="BF1094">
        <v>0</v>
      </c>
      <c r="BK1094" t="s">
        <v>31</v>
      </c>
      <c r="BS1094" t="s">
        <v>412</v>
      </c>
      <c r="CI1094" t="s">
        <v>388</v>
      </c>
      <c r="CJ1094" s="14">
        <v>45014</v>
      </c>
      <c r="CK1094">
        <v>1</v>
      </c>
    </row>
    <row r="1095" spans="1:89">
      <c r="A1095" t="s">
        <v>1185</v>
      </c>
      <c r="B1095" t="s">
        <v>374</v>
      </c>
      <c r="C1095" t="s">
        <v>1186</v>
      </c>
      <c r="D1095" t="s">
        <v>1187</v>
      </c>
      <c r="E1095" t="s">
        <v>1188</v>
      </c>
      <c r="F1095" s="13">
        <v>44694.775405092594</v>
      </c>
      <c r="G1095" t="s">
        <v>1189</v>
      </c>
      <c r="H1095" t="s">
        <v>1190</v>
      </c>
      <c r="I1095" s="13">
        <v>44694.775439814817</v>
      </c>
      <c r="K1095" t="s">
        <v>412</v>
      </c>
      <c r="R1095">
        <v>0</v>
      </c>
      <c r="S1095" t="s">
        <v>380</v>
      </c>
      <c r="V1095" t="s">
        <v>381</v>
      </c>
      <c r="W1095" t="s">
        <v>1191</v>
      </c>
      <c r="X1095" t="s">
        <v>1191</v>
      </c>
      <c r="AI1095">
        <v>0</v>
      </c>
      <c r="AL1095" t="s">
        <v>1192</v>
      </c>
      <c r="AN1095" t="s">
        <v>31</v>
      </c>
      <c r="AO1095">
        <v>0</v>
      </c>
      <c r="AZ1095" t="s">
        <v>1193</v>
      </c>
      <c r="BF1095">
        <v>0</v>
      </c>
      <c r="BK1095" t="s">
        <v>31</v>
      </c>
      <c r="BS1095" t="s">
        <v>412</v>
      </c>
      <c r="BT1095" t="s">
        <v>412</v>
      </c>
      <c r="CI1095" t="s">
        <v>388</v>
      </c>
      <c r="CJ1095" s="14">
        <v>45014</v>
      </c>
      <c r="CK1095">
        <v>1</v>
      </c>
    </row>
    <row r="1096" spans="1:89">
      <c r="A1096" t="s">
        <v>1185</v>
      </c>
      <c r="B1096" t="s">
        <v>374</v>
      </c>
      <c r="C1096" t="s">
        <v>1186</v>
      </c>
      <c r="D1096" t="s">
        <v>1194</v>
      </c>
      <c r="E1096" t="s">
        <v>1188</v>
      </c>
      <c r="F1096" s="13">
        <v>44694.736921296295</v>
      </c>
      <c r="G1096" t="s">
        <v>1189</v>
      </c>
      <c r="H1096" t="s">
        <v>1190</v>
      </c>
      <c r="I1096" s="13">
        <v>44694.736944444441</v>
      </c>
      <c r="K1096" t="s">
        <v>412</v>
      </c>
      <c r="R1096">
        <v>0</v>
      </c>
      <c r="S1096" t="s">
        <v>380</v>
      </c>
      <c r="V1096" t="s">
        <v>381</v>
      </c>
      <c r="W1096" t="s">
        <v>1191</v>
      </c>
      <c r="X1096" t="s">
        <v>1191</v>
      </c>
      <c r="AI1096">
        <v>109</v>
      </c>
      <c r="AL1096" t="s">
        <v>1192</v>
      </c>
      <c r="AN1096" t="s">
        <v>31</v>
      </c>
      <c r="AO1096">
        <v>0</v>
      </c>
      <c r="AZ1096" t="s">
        <v>1195</v>
      </c>
      <c r="BF1096">
        <v>0</v>
      </c>
      <c r="BK1096" t="s">
        <v>31</v>
      </c>
      <c r="BS1096" t="s">
        <v>412</v>
      </c>
      <c r="BT1096" t="s">
        <v>412</v>
      </c>
      <c r="CI1096" t="s">
        <v>388</v>
      </c>
      <c r="CJ1096" s="14">
        <v>45014</v>
      </c>
      <c r="CK1096">
        <v>1</v>
      </c>
    </row>
    <row r="1097" spans="1:89">
      <c r="A1097" t="s">
        <v>1196</v>
      </c>
      <c r="B1097" t="s">
        <v>374</v>
      </c>
      <c r="C1097" t="s">
        <v>1182</v>
      </c>
      <c r="D1097" t="s">
        <v>1197</v>
      </c>
      <c r="E1097" t="s">
        <v>1198</v>
      </c>
      <c r="F1097" s="13">
        <v>44694.566168981481</v>
      </c>
      <c r="G1097" t="s">
        <v>1125</v>
      </c>
      <c r="H1097" t="s">
        <v>1126</v>
      </c>
      <c r="I1097" s="13">
        <v>45012.044398148151</v>
      </c>
      <c r="K1097" t="s">
        <v>415</v>
      </c>
      <c r="M1097" s="13">
        <v>44740</v>
      </c>
      <c r="R1097">
        <v>100</v>
      </c>
      <c r="S1097" t="s">
        <v>380</v>
      </c>
      <c r="T1097" t="s">
        <v>57</v>
      </c>
      <c r="V1097" t="s">
        <v>478</v>
      </c>
      <c r="W1097" t="s">
        <v>1126</v>
      </c>
      <c r="X1097" t="s">
        <v>1126</v>
      </c>
      <c r="AF1097" t="s">
        <v>382</v>
      </c>
      <c r="AG1097" t="s">
        <v>1199</v>
      </c>
      <c r="AI1097">
        <v>-272</v>
      </c>
      <c r="AL1097" t="s">
        <v>1200</v>
      </c>
      <c r="AN1097" t="s">
        <v>57</v>
      </c>
      <c r="AO1097">
        <v>0</v>
      </c>
      <c r="AS1097" t="s">
        <v>385</v>
      </c>
      <c r="AX1097" t="s">
        <v>57</v>
      </c>
      <c r="AY1097" t="s">
        <v>442</v>
      </c>
      <c r="AZ1097" t="s">
        <v>745</v>
      </c>
      <c r="BF1097">
        <v>0</v>
      </c>
      <c r="BK1097" t="s">
        <v>31</v>
      </c>
      <c r="BS1097" t="s">
        <v>1201</v>
      </c>
      <c r="BT1097" t="s">
        <v>1202</v>
      </c>
      <c r="CI1097" t="s">
        <v>388</v>
      </c>
      <c r="CJ1097" s="14">
        <v>45014</v>
      </c>
      <c r="CK1097">
        <v>1</v>
      </c>
    </row>
    <row r="1098" spans="1:89">
      <c r="A1098" t="s">
        <v>1196</v>
      </c>
      <c r="B1098" t="s">
        <v>374</v>
      </c>
      <c r="C1098" t="s">
        <v>1182</v>
      </c>
      <c r="D1098" t="s">
        <v>1203</v>
      </c>
      <c r="E1098" t="s">
        <v>1204</v>
      </c>
      <c r="F1098" s="13">
        <v>44694.551689814813</v>
      </c>
      <c r="G1098" t="s">
        <v>1125</v>
      </c>
      <c r="H1098" t="s">
        <v>1126</v>
      </c>
      <c r="I1098" s="13">
        <v>44694.673750000002</v>
      </c>
      <c r="K1098" t="s">
        <v>379</v>
      </c>
      <c r="M1098" s="13">
        <v>44770</v>
      </c>
      <c r="R1098">
        <v>100</v>
      </c>
      <c r="S1098" t="s">
        <v>416</v>
      </c>
      <c r="T1098" t="s">
        <v>57</v>
      </c>
      <c r="V1098" t="s">
        <v>381</v>
      </c>
      <c r="W1098" t="s">
        <v>1205</v>
      </c>
      <c r="X1098" t="s">
        <v>1205</v>
      </c>
      <c r="AF1098" t="s">
        <v>382</v>
      </c>
      <c r="AG1098" t="s">
        <v>1206</v>
      </c>
      <c r="AI1098">
        <v>76</v>
      </c>
      <c r="AL1098" t="s">
        <v>1200</v>
      </c>
      <c r="AM1098">
        <v>1</v>
      </c>
      <c r="AN1098" t="s">
        <v>31</v>
      </c>
      <c r="AO1098">
        <v>0</v>
      </c>
      <c r="AS1098" t="s">
        <v>385</v>
      </c>
      <c r="AX1098" t="s">
        <v>57</v>
      </c>
      <c r="AY1098" t="s">
        <v>442</v>
      </c>
      <c r="AZ1098" t="s">
        <v>1204</v>
      </c>
      <c r="BF1098">
        <v>0</v>
      </c>
      <c r="BK1098" t="s">
        <v>31</v>
      </c>
      <c r="BS1098" t="s">
        <v>379</v>
      </c>
      <c r="BT1098" t="s">
        <v>379</v>
      </c>
      <c r="CI1098" t="s">
        <v>388</v>
      </c>
      <c r="CJ1098" s="14">
        <v>45014</v>
      </c>
      <c r="CK1098">
        <v>1</v>
      </c>
    </row>
    <row r="1099" spans="1:89">
      <c r="A1099" t="s">
        <v>673</v>
      </c>
      <c r="B1099" t="s">
        <v>374</v>
      </c>
      <c r="C1099" t="s">
        <v>674</v>
      </c>
      <c r="D1099" t="s">
        <v>1207</v>
      </c>
      <c r="E1099" t="s">
        <v>406</v>
      </c>
      <c r="F1099" s="13">
        <v>44694.483888888892</v>
      </c>
      <c r="G1099" t="s">
        <v>1208</v>
      </c>
      <c r="H1099" t="s">
        <v>1209</v>
      </c>
      <c r="I1099" s="13">
        <v>44694.56821759259</v>
      </c>
      <c r="K1099" t="s">
        <v>379</v>
      </c>
      <c r="M1099" s="13">
        <v>44784</v>
      </c>
      <c r="R1099">
        <v>100</v>
      </c>
      <c r="S1099" t="s">
        <v>380</v>
      </c>
      <c r="T1099" t="s">
        <v>57</v>
      </c>
      <c r="V1099" t="s">
        <v>381</v>
      </c>
      <c r="W1099" t="s">
        <v>1210</v>
      </c>
      <c r="X1099" t="s">
        <v>1210</v>
      </c>
      <c r="AB1099" t="s">
        <v>57</v>
      </c>
      <c r="AC1099" s="13">
        <v>44809</v>
      </c>
      <c r="AD1099" s="13">
        <v>44788</v>
      </c>
      <c r="AF1099" t="s">
        <v>382</v>
      </c>
      <c r="AG1099" t="s">
        <v>406</v>
      </c>
      <c r="AI1099">
        <v>90</v>
      </c>
      <c r="AL1099" t="s">
        <v>1211</v>
      </c>
      <c r="AN1099" t="s">
        <v>57</v>
      </c>
      <c r="AO1099">
        <v>0</v>
      </c>
      <c r="AS1099" t="s">
        <v>461</v>
      </c>
      <c r="AX1099" t="s">
        <v>57</v>
      </c>
      <c r="AY1099" t="s">
        <v>386</v>
      </c>
      <c r="AZ1099" t="s">
        <v>1212</v>
      </c>
      <c r="BC1099" t="s">
        <v>480</v>
      </c>
      <c r="BD1099" t="s">
        <v>406</v>
      </c>
      <c r="BF1099">
        <v>0</v>
      </c>
      <c r="BK1099" t="s">
        <v>31</v>
      </c>
      <c r="BS1099" t="s">
        <v>379</v>
      </c>
      <c r="BT1099" t="s">
        <v>379</v>
      </c>
      <c r="CC1099" t="s">
        <v>1213</v>
      </c>
      <c r="CI1099" t="s">
        <v>388</v>
      </c>
      <c r="CJ1099" s="14">
        <v>45014</v>
      </c>
      <c r="CK1099">
        <v>1</v>
      </c>
    </row>
    <row r="1100" spans="1:89">
      <c r="A1100" t="s">
        <v>673</v>
      </c>
      <c r="B1100" t="s">
        <v>374</v>
      </c>
      <c r="C1100" t="s">
        <v>674</v>
      </c>
      <c r="D1100" t="s">
        <v>1214</v>
      </c>
      <c r="E1100" t="s">
        <v>406</v>
      </c>
      <c r="F1100" s="13">
        <v>44694.477835648147</v>
      </c>
      <c r="G1100" t="s">
        <v>1208</v>
      </c>
      <c r="H1100" t="s">
        <v>1209</v>
      </c>
      <c r="I1100" s="13">
        <v>44694.495983796296</v>
      </c>
      <c r="K1100" t="s">
        <v>379</v>
      </c>
      <c r="M1100" s="13">
        <v>44784</v>
      </c>
      <c r="R1100">
        <v>100</v>
      </c>
      <c r="S1100" t="s">
        <v>416</v>
      </c>
      <c r="T1100" t="s">
        <v>31</v>
      </c>
      <c r="V1100" t="s">
        <v>381</v>
      </c>
      <c r="W1100" t="s">
        <v>1209</v>
      </c>
      <c r="X1100" t="s">
        <v>1209</v>
      </c>
      <c r="AF1100" t="s">
        <v>382</v>
      </c>
      <c r="AG1100" t="s">
        <v>406</v>
      </c>
      <c r="AI1100">
        <v>90</v>
      </c>
      <c r="AL1100" t="s">
        <v>1211</v>
      </c>
      <c r="AM1100">
        <v>1</v>
      </c>
      <c r="AN1100" t="s">
        <v>31</v>
      </c>
      <c r="AO1100">
        <v>0</v>
      </c>
      <c r="AS1100" t="s">
        <v>522</v>
      </c>
      <c r="AX1100" t="s">
        <v>31</v>
      </c>
      <c r="AY1100" t="s">
        <v>442</v>
      </c>
      <c r="AZ1100" t="s">
        <v>1215</v>
      </c>
      <c r="BF1100">
        <v>0</v>
      </c>
      <c r="BK1100" t="s">
        <v>31</v>
      </c>
      <c r="BS1100" t="s">
        <v>379</v>
      </c>
      <c r="BT1100" t="s">
        <v>379</v>
      </c>
      <c r="CI1100" t="s">
        <v>388</v>
      </c>
      <c r="CJ1100" s="14">
        <v>45014</v>
      </c>
      <c r="CK1100">
        <v>1</v>
      </c>
    </row>
    <row r="1101" spans="1:89">
      <c r="A1101" t="s">
        <v>673</v>
      </c>
      <c r="B1101" t="s">
        <v>374</v>
      </c>
      <c r="C1101" t="s">
        <v>674</v>
      </c>
      <c r="D1101" t="s">
        <v>1216</v>
      </c>
      <c r="E1101" t="s">
        <v>406</v>
      </c>
      <c r="F1101" s="13">
        <v>44694.476412037038</v>
      </c>
      <c r="G1101" t="s">
        <v>1208</v>
      </c>
      <c r="H1101" t="s">
        <v>1209</v>
      </c>
      <c r="I1101" s="13">
        <v>44694.569525462961</v>
      </c>
      <c r="K1101" t="s">
        <v>379</v>
      </c>
      <c r="M1101" s="13">
        <v>44819</v>
      </c>
      <c r="R1101">
        <v>100</v>
      </c>
      <c r="S1101" t="s">
        <v>380</v>
      </c>
      <c r="T1101" t="s">
        <v>57</v>
      </c>
      <c r="V1101" t="s">
        <v>381</v>
      </c>
      <c r="W1101" t="s">
        <v>1209</v>
      </c>
      <c r="X1101" t="s">
        <v>1209</v>
      </c>
      <c r="AF1101" t="s">
        <v>382</v>
      </c>
      <c r="AG1101" t="s">
        <v>406</v>
      </c>
      <c r="AI1101">
        <v>125</v>
      </c>
      <c r="AL1101" t="s">
        <v>1211</v>
      </c>
      <c r="AN1101" t="s">
        <v>31</v>
      </c>
      <c r="AO1101">
        <v>0</v>
      </c>
      <c r="AS1101" t="s">
        <v>385</v>
      </c>
      <c r="AX1101" t="s">
        <v>31</v>
      </c>
      <c r="AY1101" t="s">
        <v>442</v>
      </c>
      <c r="AZ1101" t="s">
        <v>1217</v>
      </c>
      <c r="BF1101">
        <v>0</v>
      </c>
      <c r="BK1101" t="s">
        <v>31</v>
      </c>
      <c r="BS1101" t="s">
        <v>379</v>
      </c>
      <c r="BT1101" t="s">
        <v>379</v>
      </c>
      <c r="CI1101" t="s">
        <v>388</v>
      </c>
      <c r="CJ1101" s="14">
        <v>45014</v>
      </c>
      <c r="CK1101">
        <v>1</v>
      </c>
    </row>
    <row r="1102" spans="1:89">
      <c r="A1102" t="s">
        <v>1218</v>
      </c>
      <c r="B1102" t="s">
        <v>374</v>
      </c>
      <c r="C1102" t="s">
        <v>1219</v>
      </c>
      <c r="D1102" t="s">
        <v>1220</v>
      </c>
      <c r="E1102" t="s">
        <v>406</v>
      </c>
      <c r="F1102" s="13">
        <v>44694.440717592595</v>
      </c>
      <c r="G1102" t="s">
        <v>1208</v>
      </c>
      <c r="H1102" t="s">
        <v>1209</v>
      </c>
      <c r="I1102" s="13">
        <v>44694.451631944445</v>
      </c>
      <c r="K1102" t="s">
        <v>379</v>
      </c>
      <c r="M1102" s="13">
        <v>44917</v>
      </c>
      <c r="R1102">
        <v>100</v>
      </c>
      <c r="S1102" t="s">
        <v>380</v>
      </c>
      <c r="T1102" t="s">
        <v>57</v>
      </c>
      <c r="V1102" t="s">
        <v>381</v>
      </c>
      <c r="W1102" t="s">
        <v>1209</v>
      </c>
      <c r="X1102" t="s">
        <v>1209</v>
      </c>
      <c r="AF1102" t="s">
        <v>382</v>
      </c>
      <c r="AG1102" t="s">
        <v>406</v>
      </c>
      <c r="AI1102">
        <v>223</v>
      </c>
      <c r="AL1102" t="s">
        <v>1221</v>
      </c>
      <c r="AN1102" t="s">
        <v>31</v>
      </c>
      <c r="AO1102">
        <v>0</v>
      </c>
      <c r="AS1102" t="s">
        <v>522</v>
      </c>
      <c r="AX1102" t="s">
        <v>57</v>
      </c>
      <c r="AY1102" t="s">
        <v>386</v>
      </c>
      <c r="AZ1102" t="s">
        <v>1222</v>
      </c>
      <c r="BF1102">
        <v>0</v>
      </c>
      <c r="BK1102" t="s">
        <v>31</v>
      </c>
      <c r="BS1102" t="s">
        <v>379</v>
      </c>
      <c r="BT1102" t="s">
        <v>379</v>
      </c>
      <c r="CI1102" t="s">
        <v>388</v>
      </c>
      <c r="CJ1102" s="14">
        <v>45014</v>
      </c>
      <c r="CK1102">
        <v>1</v>
      </c>
    </row>
    <row r="1103" spans="1:89">
      <c r="A1103" t="s">
        <v>1218</v>
      </c>
      <c r="B1103" t="s">
        <v>374</v>
      </c>
      <c r="C1103" t="s">
        <v>1219</v>
      </c>
      <c r="D1103" t="s">
        <v>1223</v>
      </c>
      <c r="E1103" t="s">
        <v>406</v>
      </c>
      <c r="F1103" s="13">
        <v>44694.423657407409</v>
      </c>
      <c r="G1103" t="s">
        <v>1208</v>
      </c>
      <c r="H1103" t="s">
        <v>1209</v>
      </c>
      <c r="I1103" s="13">
        <v>44694.445833333331</v>
      </c>
      <c r="K1103" t="s">
        <v>379</v>
      </c>
      <c r="M1103" s="13">
        <v>44784</v>
      </c>
      <c r="R1103">
        <v>100</v>
      </c>
      <c r="S1103" t="s">
        <v>416</v>
      </c>
      <c r="T1103" t="s">
        <v>57</v>
      </c>
      <c r="V1103" t="s">
        <v>381</v>
      </c>
      <c r="W1103" t="s">
        <v>1209</v>
      </c>
      <c r="X1103" t="s">
        <v>1209</v>
      </c>
      <c r="AF1103" t="s">
        <v>382</v>
      </c>
      <c r="AG1103" t="s">
        <v>406</v>
      </c>
      <c r="AI1103">
        <v>90</v>
      </c>
      <c r="AL1103" t="s">
        <v>1221</v>
      </c>
      <c r="AM1103">
        <v>1</v>
      </c>
      <c r="AN1103" t="s">
        <v>31</v>
      </c>
      <c r="AO1103">
        <v>0</v>
      </c>
      <c r="AS1103" t="s">
        <v>526</v>
      </c>
      <c r="AX1103" t="s">
        <v>31</v>
      </c>
      <c r="AY1103" t="s">
        <v>386</v>
      </c>
      <c r="AZ1103" t="s">
        <v>1215</v>
      </c>
      <c r="BF1103">
        <v>0</v>
      </c>
      <c r="BK1103" t="s">
        <v>31</v>
      </c>
      <c r="BS1103" t="s">
        <v>379</v>
      </c>
      <c r="BT1103" t="s">
        <v>379</v>
      </c>
      <c r="CI1103" t="s">
        <v>388</v>
      </c>
      <c r="CJ1103" s="14">
        <v>45014</v>
      </c>
      <c r="CK1103">
        <v>1</v>
      </c>
    </row>
    <row r="1104" spans="1:89">
      <c r="A1104" t="s">
        <v>1224</v>
      </c>
      <c r="B1104" t="s">
        <v>374</v>
      </c>
      <c r="C1104" t="s">
        <v>1225</v>
      </c>
      <c r="D1104" t="s">
        <v>1226</v>
      </c>
      <c r="E1104" t="s">
        <v>1227</v>
      </c>
      <c r="F1104" s="13">
        <v>44693.673796296294</v>
      </c>
      <c r="G1104" t="s">
        <v>1228</v>
      </c>
      <c r="H1104" t="s">
        <v>1229</v>
      </c>
      <c r="I1104" s="13">
        <v>44694.511446759258</v>
      </c>
      <c r="K1104" t="s">
        <v>379</v>
      </c>
      <c r="M1104" s="13">
        <v>44784</v>
      </c>
      <c r="R1104">
        <v>100</v>
      </c>
      <c r="S1104" t="s">
        <v>380</v>
      </c>
      <c r="T1104" t="s">
        <v>57</v>
      </c>
      <c r="V1104" t="s">
        <v>381</v>
      </c>
      <c r="W1104" t="s">
        <v>1230</v>
      </c>
      <c r="X1104" t="s">
        <v>1230</v>
      </c>
      <c r="AB1104" t="s">
        <v>57</v>
      </c>
      <c r="AF1104" t="s">
        <v>382</v>
      </c>
      <c r="AG1104" t="s">
        <v>383</v>
      </c>
      <c r="AI1104">
        <v>91</v>
      </c>
      <c r="AL1104" t="s">
        <v>1231</v>
      </c>
      <c r="AN1104" t="s">
        <v>57</v>
      </c>
      <c r="AO1104">
        <v>0</v>
      </c>
      <c r="AS1104" t="s">
        <v>526</v>
      </c>
      <c r="AX1104" t="s">
        <v>57</v>
      </c>
      <c r="AY1104" t="s">
        <v>386</v>
      </c>
      <c r="AZ1104" t="s">
        <v>1232</v>
      </c>
      <c r="BC1104" t="s">
        <v>480</v>
      </c>
      <c r="BD1104" t="s">
        <v>1233</v>
      </c>
      <c r="BF1104">
        <v>0</v>
      </c>
      <c r="BK1104" t="s">
        <v>31</v>
      </c>
      <c r="BS1104" t="s">
        <v>379</v>
      </c>
      <c r="BT1104" t="s">
        <v>379</v>
      </c>
      <c r="CC1104" t="s">
        <v>1234</v>
      </c>
      <c r="CI1104" t="s">
        <v>388</v>
      </c>
      <c r="CJ1104" s="14">
        <v>45014</v>
      </c>
      <c r="CK1104">
        <v>1</v>
      </c>
    </row>
    <row r="1105" spans="1:89">
      <c r="A1105" t="s">
        <v>1235</v>
      </c>
      <c r="B1105" t="s">
        <v>374</v>
      </c>
      <c r="C1105" t="s">
        <v>1236</v>
      </c>
      <c r="D1105" t="s">
        <v>1237</v>
      </c>
      <c r="E1105" t="s">
        <v>1238</v>
      </c>
      <c r="F1105" s="13">
        <v>44693.670543981483</v>
      </c>
      <c r="G1105" t="s">
        <v>1239</v>
      </c>
      <c r="H1105" t="s">
        <v>1240</v>
      </c>
      <c r="I1105" s="13">
        <v>44694.509363425925</v>
      </c>
      <c r="K1105" t="s">
        <v>379</v>
      </c>
      <c r="M1105" s="13">
        <v>44960</v>
      </c>
      <c r="R1105">
        <v>100</v>
      </c>
      <c r="S1105" t="s">
        <v>380</v>
      </c>
      <c r="T1105" t="s">
        <v>57</v>
      </c>
      <c r="V1105" t="s">
        <v>381</v>
      </c>
      <c r="W1105" t="s">
        <v>1240</v>
      </c>
      <c r="X1105" t="s">
        <v>1240</v>
      </c>
      <c r="AB1105" t="s">
        <v>57</v>
      </c>
      <c r="AF1105" t="s">
        <v>382</v>
      </c>
      <c r="AG1105" t="s">
        <v>1241</v>
      </c>
      <c r="AI1105">
        <v>267</v>
      </c>
      <c r="AL1105" t="s">
        <v>1242</v>
      </c>
      <c r="AN1105" t="s">
        <v>31</v>
      </c>
      <c r="AO1105">
        <v>0</v>
      </c>
      <c r="AS1105" t="s">
        <v>385</v>
      </c>
      <c r="AX1105" t="s">
        <v>31</v>
      </c>
      <c r="AY1105" t="s">
        <v>386</v>
      </c>
      <c r="AZ1105" t="s">
        <v>1243</v>
      </c>
      <c r="BC1105" t="s">
        <v>480</v>
      </c>
      <c r="BD1105" t="s">
        <v>1244</v>
      </c>
      <c r="BF1105">
        <v>0</v>
      </c>
      <c r="BK1105" t="s">
        <v>31</v>
      </c>
      <c r="BS1105" t="s">
        <v>379</v>
      </c>
      <c r="BT1105" t="s">
        <v>379</v>
      </c>
      <c r="CC1105" t="s">
        <v>1245</v>
      </c>
      <c r="CI1105" t="s">
        <v>388</v>
      </c>
      <c r="CJ1105" s="14">
        <v>45014</v>
      </c>
      <c r="CK1105">
        <v>1</v>
      </c>
    </row>
    <row r="1106" spans="1:89">
      <c r="A1106" t="s">
        <v>1224</v>
      </c>
      <c r="B1106" t="s">
        <v>374</v>
      </c>
      <c r="C1106" t="s">
        <v>1225</v>
      </c>
      <c r="D1106" t="s">
        <v>1246</v>
      </c>
      <c r="E1106" t="s">
        <v>1247</v>
      </c>
      <c r="F1106" s="13">
        <v>44693.657916666663</v>
      </c>
      <c r="G1106" t="s">
        <v>1228</v>
      </c>
      <c r="H1106" t="s">
        <v>1229</v>
      </c>
      <c r="I1106" s="13">
        <v>44693.689259259256</v>
      </c>
      <c r="K1106" t="s">
        <v>379</v>
      </c>
      <c r="M1106" s="13">
        <v>44781</v>
      </c>
      <c r="R1106">
        <v>100</v>
      </c>
      <c r="S1106" t="s">
        <v>416</v>
      </c>
      <c r="T1106" t="s">
        <v>57</v>
      </c>
      <c r="V1106" t="s">
        <v>381</v>
      </c>
      <c r="W1106" t="s">
        <v>1240</v>
      </c>
      <c r="X1106" t="s">
        <v>1240</v>
      </c>
      <c r="AF1106" t="s">
        <v>382</v>
      </c>
      <c r="AG1106" t="s">
        <v>1248</v>
      </c>
      <c r="AI1106">
        <v>88</v>
      </c>
      <c r="AL1106" t="s">
        <v>1231</v>
      </c>
      <c r="AM1106">
        <v>1</v>
      </c>
      <c r="AN1106" t="s">
        <v>31</v>
      </c>
      <c r="AO1106">
        <v>0</v>
      </c>
      <c r="AS1106" t="s">
        <v>526</v>
      </c>
      <c r="AX1106" t="s">
        <v>31</v>
      </c>
      <c r="AY1106" t="s">
        <v>386</v>
      </c>
      <c r="AZ1106" t="s">
        <v>1249</v>
      </c>
      <c r="BF1106">
        <v>0</v>
      </c>
      <c r="BK1106" t="s">
        <v>31</v>
      </c>
      <c r="BS1106" t="s">
        <v>379</v>
      </c>
      <c r="BT1106" t="s">
        <v>379</v>
      </c>
      <c r="CI1106" t="s">
        <v>388</v>
      </c>
      <c r="CJ1106" s="14">
        <v>45014</v>
      </c>
      <c r="CK1106">
        <v>1</v>
      </c>
    </row>
    <row r="1107" spans="1:89">
      <c r="A1107" t="s">
        <v>1235</v>
      </c>
      <c r="B1107" t="s">
        <v>374</v>
      </c>
      <c r="C1107" t="s">
        <v>1236</v>
      </c>
      <c r="D1107" t="s">
        <v>1250</v>
      </c>
      <c r="E1107" t="s">
        <v>1251</v>
      </c>
      <c r="F1107" s="13">
        <v>44693.657442129632</v>
      </c>
      <c r="G1107" t="s">
        <v>1239</v>
      </c>
      <c r="H1107" t="s">
        <v>1240</v>
      </c>
      <c r="I1107" s="13">
        <v>44693.687673611108</v>
      </c>
      <c r="K1107" t="s">
        <v>379</v>
      </c>
      <c r="M1107" s="13">
        <v>44776</v>
      </c>
      <c r="R1107">
        <v>100</v>
      </c>
      <c r="S1107" t="s">
        <v>416</v>
      </c>
      <c r="T1107" t="s">
        <v>57</v>
      </c>
      <c r="V1107" t="s">
        <v>381</v>
      </c>
      <c r="W1107" t="s">
        <v>1240</v>
      </c>
      <c r="X1107" t="s">
        <v>1240</v>
      </c>
      <c r="AF1107" t="s">
        <v>382</v>
      </c>
      <c r="AG1107" t="s">
        <v>1252</v>
      </c>
      <c r="AI1107">
        <v>83</v>
      </c>
      <c r="AL1107" t="s">
        <v>1242</v>
      </c>
      <c r="AM1107">
        <v>1</v>
      </c>
      <c r="AN1107" t="s">
        <v>31</v>
      </c>
      <c r="AO1107">
        <v>0</v>
      </c>
      <c r="AS1107" t="s">
        <v>461</v>
      </c>
      <c r="AX1107" t="s">
        <v>31</v>
      </c>
      <c r="AY1107" t="s">
        <v>386</v>
      </c>
      <c r="AZ1107" t="s">
        <v>1253</v>
      </c>
      <c r="BF1107">
        <v>0</v>
      </c>
      <c r="BK1107" t="s">
        <v>31</v>
      </c>
      <c r="BS1107" t="s">
        <v>379</v>
      </c>
      <c r="BT1107" t="s">
        <v>379</v>
      </c>
      <c r="CI1107" t="s">
        <v>388</v>
      </c>
      <c r="CJ1107" s="14">
        <v>45014</v>
      </c>
      <c r="CK1107">
        <v>1</v>
      </c>
    </row>
    <row r="1108" spans="1:89">
      <c r="A1108" t="s">
        <v>1235</v>
      </c>
      <c r="B1108" t="s">
        <v>374</v>
      </c>
      <c r="C1108" t="s">
        <v>1236</v>
      </c>
      <c r="D1108" t="s">
        <v>1254</v>
      </c>
      <c r="E1108" t="s">
        <v>1255</v>
      </c>
      <c r="F1108" s="13">
        <v>44693.653969907406</v>
      </c>
      <c r="G1108" t="s">
        <v>1239</v>
      </c>
      <c r="H1108" t="s">
        <v>1240</v>
      </c>
      <c r="I1108" s="13">
        <v>44694.491446759261</v>
      </c>
      <c r="K1108" t="s">
        <v>379</v>
      </c>
      <c r="M1108" s="13">
        <v>44778</v>
      </c>
      <c r="R1108">
        <v>100</v>
      </c>
      <c r="S1108" t="s">
        <v>380</v>
      </c>
      <c r="T1108" t="s">
        <v>57</v>
      </c>
      <c r="V1108" t="s">
        <v>381</v>
      </c>
      <c r="W1108" t="s">
        <v>1240</v>
      </c>
      <c r="X1108" t="s">
        <v>1240</v>
      </c>
      <c r="AF1108" t="s">
        <v>382</v>
      </c>
      <c r="AG1108" t="s">
        <v>1256</v>
      </c>
      <c r="AI1108">
        <v>85</v>
      </c>
      <c r="AL1108" t="s">
        <v>1242</v>
      </c>
      <c r="AN1108" t="s">
        <v>31</v>
      </c>
      <c r="AO1108">
        <v>0</v>
      </c>
      <c r="AS1108" t="s">
        <v>648</v>
      </c>
      <c r="AX1108" t="s">
        <v>31</v>
      </c>
      <c r="AY1108" t="s">
        <v>386</v>
      </c>
      <c r="AZ1108" t="s">
        <v>1257</v>
      </c>
      <c r="BF1108">
        <v>0</v>
      </c>
      <c r="BK1108" t="s">
        <v>31</v>
      </c>
      <c r="BS1108" t="s">
        <v>379</v>
      </c>
      <c r="BT1108" t="s">
        <v>379</v>
      </c>
      <c r="CI1108" t="s">
        <v>388</v>
      </c>
      <c r="CJ1108" s="14">
        <v>45014</v>
      </c>
      <c r="CK1108">
        <v>1</v>
      </c>
    </row>
    <row r="1109" spans="1:89">
      <c r="A1109" t="s">
        <v>1224</v>
      </c>
      <c r="B1109" t="s">
        <v>374</v>
      </c>
      <c r="C1109" t="s">
        <v>1225</v>
      </c>
      <c r="D1109" t="s">
        <v>1258</v>
      </c>
      <c r="E1109" t="s">
        <v>1259</v>
      </c>
      <c r="F1109" s="13">
        <v>44693.653599537036</v>
      </c>
      <c r="G1109" t="s">
        <v>1228</v>
      </c>
      <c r="H1109" t="s">
        <v>1229</v>
      </c>
      <c r="I1109" s="13">
        <v>44694.492048611108</v>
      </c>
      <c r="K1109" t="s">
        <v>379</v>
      </c>
      <c r="M1109" s="13">
        <v>44784</v>
      </c>
      <c r="R1109">
        <v>100</v>
      </c>
      <c r="S1109" t="s">
        <v>380</v>
      </c>
      <c r="T1109" t="s">
        <v>57</v>
      </c>
      <c r="V1109" t="s">
        <v>381</v>
      </c>
      <c r="W1109" t="s">
        <v>1240</v>
      </c>
      <c r="X1109" t="s">
        <v>1240</v>
      </c>
      <c r="AF1109" t="s">
        <v>382</v>
      </c>
      <c r="AG1109" t="s">
        <v>1260</v>
      </c>
      <c r="AI1109">
        <v>91</v>
      </c>
      <c r="AJ1109" s="13">
        <v>44785</v>
      </c>
      <c r="AL1109" t="s">
        <v>1231</v>
      </c>
      <c r="AN1109" t="s">
        <v>31</v>
      </c>
      <c r="AO1109">
        <v>0</v>
      </c>
      <c r="AS1109" t="s">
        <v>385</v>
      </c>
      <c r="AX1109" t="s">
        <v>31</v>
      </c>
      <c r="AY1109" t="s">
        <v>386</v>
      </c>
      <c r="AZ1109" t="s">
        <v>1261</v>
      </c>
      <c r="BF1109">
        <v>0</v>
      </c>
      <c r="BK1109" t="s">
        <v>31</v>
      </c>
      <c r="BS1109" t="s">
        <v>379</v>
      </c>
      <c r="BT1109" t="s">
        <v>379</v>
      </c>
      <c r="CI1109" t="s">
        <v>388</v>
      </c>
      <c r="CJ1109" s="14">
        <v>45014</v>
      </c>
      <c r="CK1109">
        <v>1</v>
      </c>
    </row>
    <row r="1110" spans="1:89">
      <c r="A1110" t="s">
        <v>454</v>
      </c>
      <c r="B1110" t="s">
        <v>374</v>
      </c>
      <c r="C1110" t="s">
        <v>455</v>
      </c>
      <c r="D1110" t="s">
        <v>1262</v>
      </c>
      <c r="E1110" t="s">
        <v>1263</v>
      </c>
      <c r="F1110" s="13">
        <v>44693.577951388892</v>
      </c>
      <c r="G1110" t="s">
        <v>1264</v>
      </c>
      <c r="H1110" t="s">
        <v>1265</v>
      </c>
      <c r="I1110" s="13">
        <v>44693.579050925924</v>
      </c>
      <c r="K1110" t="s">
        <v>412</v>
      </c>
      <c r="R1110">
        <v>0</v>
      </c>
      <c r="S1110" t="s">
        <v>380</v>
      </c>
      <c r="T1110" t="s">
        <v>57</v>
      </c>
      <c r="V1110" t="s">
        <v>381</v>
      </c>
      <c r="W1110" t="s">
        <v>1266</v>
      </c>
      <c r="X1110" t="s">
        <v>1266</v>
      </c>
      <c r="AI1110">
        <v>49</v>
      </c>
      <c r="AL1110" t="s">
        <v>1267</v>
      </c>
      <c r="AN1110" t="s">
        <v>31</v>
      </c>
      <c r="AO1110">
        <v>0</v>
      </c>
      <c r="AS1110" t="s">
        <v>385</v>
      </c>
      <c r="AX1110" t="s">
        <v>57</v>
      </c>
      <c r="AY1110" t="s">
        <v>386</v>
      </c>
      <c r="AZ1110" t="s">
        <v>1268</v>
      </c>
      <c r="BE1110" t="s">
        <v>1269</v>
      </c>
      <c r="BF1110">
        <v>0</v>
      </c>
      <c r="BK1110" t="s">
        <v>31</v>
      </c>
      <c r="BS1110" t="s">
        <v>412</v>
      </c>
      <c r="BT1110" t="s">
        <v>412</v>
      </c>
      <c r="CI1110" t="s">
        <v>388</v>
      </c>
      <c r="CJ1110" s="14">
        <v>45014</v>
      </c>
      <c r="CK1110">
        <v>1</v>
      </c>
    </row>
    <row r="1111" spans="1:89">
      <c r="A1111" t="s">
        <v>404</v>
      </c>
      <c r="B1111" t="s">
        <v>374</v>
      </c>
      <c r="C1111" t="s">
        <v>375</v>
      </c>
      <c r="D1111" t="s">
        <v>1270</v>
      </c>
      <c r="E1111" t="s">
        <v>406</v>
      </c>
      <c r="F1111" s="13">
        <v>44693.576689814814</v>
      </c>
      <c r="G1111" t="s">
        <v>1271</v>
      </c>
      <c r="H1111" t="s">
        <v>1272</v>
      </c>
      <c r="I1111" s="13">
        <v>44693.605671296296</v>
      </c>
      <c r="K1111" t="s">
        <v>379</v>
      </c>
      <c r="M1111" s="13">
        <v>44699</v>
      </c>
      <c r="R1111">
        <v>100</v>
      </c>
      <c r="S1111" t="s">
        <v>380</v>
      </c>
      <c r="T1111" t="s">
        <v>57</v>
      </c>
      <c r="V1111" t="s">
        <v>381</v>
      </c>
      <c r="W1111" t="s">
        <v>1273</v>
      </c>
      <c r="X1111" t="s">
        <v>1273</v>
      </c>
      <c r="AF1111" t="s">
        <v>382</v>
      </c>
      <c r="AG1111" t="s">
        <v>406</v>
      </c>
      <c r="AI1111">
        <v>6</v>
      </c>
      <c r="AL1111" t="s">
        <v>1274</v>
      </c>
      <c r="AN1111" t="s">
        <v>31</v>
      </c>
      <c r="AO1111">
        <v>0</v>
      </c>
      <c r="AS1111" t="s">
        <v>526</v>
      </c>
      <c r="AX1111" t="s">
        <v>31</v>
      </c>
      <c r="AY1111" t="s">
        <v>442</v>
      </c>
      <c r="AZ1111" t="s">
        <v>1275</v>
      </c>
      <c r="BF1111">
        <v>0</v>
      </c>
      <c r="BK1111" t="s">
        <v>31</v>
      </c>
      <c r="BS1111" t="s">
        <v>379</v>
      </c>
      <c r="BT1111" t="s">
        <v>379</v>
      </c>
      <c r="CI1111" t="s">
        <v>388</v>
      </c>
      <c r="CJ1111" s="14">
        <v>45014</v>
      </c>
      <c r="CK1111">
        <v>1</v>
      </c>
    </row>
    <row r="1112" spans="1:89">
      <c r="A1112" t="s">
        <v>454</v>
      </c>
      <c r="B1112" t="s">
        <v>374</v>
      </c>
      <c r="C1112" t="s">
        <v>455</v>
      </c>
      <c r="D1112" t="s">
        <v>1276</v>
      </c>
      <c r="E1112" t="s">
        <v>1277</v>
      </c>
      <c r="F1112" s="13">
        <v>44693.576423611114</v>
      </c>
      <c r="G1112" t="s">
        <v>1264</v>
      </c>
      <c r="H1112" t="s">
        <v>1265</v>
      </c>
      <c r="I1112" s="13">
        <v>44693.57707175926</v>
      </c>
      <c r="K1112" t="s">
        <v>412</v>
      </c>
      <c r="R1112">
        <v>0</v>
      </c>
      <c r="S1112" t="s">
        <v>380</v>
      </c>
      <c r="T1112" t="s">
        <v>57</v>
      </c>
      <c r="V1112" t="s">
        <v>381</v>
      </c>
      <c r="W1112" t="s">
        <v>1266</v>
      </c>
      <c r="X1112" t="s">
        <v>1266</v>
      </c>
      <c r="AI1112">
        <v>49</v>
      </c>
      <c r="AL1112" t="s">
        <v>1267</v>
      </c>
      <c r="AN1112" t="s">
        <v>31</v>
      </c>
      <c r="AO1112">
        <v>0</v>
      </c>
      <c r="AS1112" t="s">
        <v>385</v>
      </c>
      <c r="AX1112" t="s">
        <v>57</v>
      </c>
      <c r="AY1112" t="s">
        <v>386</v>
      </c>
      <c r="AZ1112" t="s">
        <v>1278</v>
      </c>
      <c r="BE1112" t="s">
        <v>1279</v>
      </c>
      <c r="BF1112">
        <v>0</v>
      </c>
      <c r="BK1112" t="s">
        <v>31</v>
      </c>
      <c r="BS1112" t="s">
        <v>412</v>
      </c>
      <c r="BT1112" t="s">
        <v>412</v>
      </c>
      <c r="CI1112" t="s">
        <v>388</v>
      </c>
      <c r="CJ1112" s="14">
        <v>45014</v>
      </c>
      <c r="CK1112">
        <v>1</v>
      </c>
    </row>
    <row r="1113" spans="1:89">
      <c r="A1113" t="s">
        <v>454</v>
      </c>
      <c r="B1113" t="s">
        <v>374</v>
      </c>
      <c r="C1113" t="s">
        <v>455</v>
      </c>
      <c r="D1113" t="s">
        <v>1280</v>
      </c>
      <c r="E1113" t="s">
        <v>1281</v>
      </c>
      <c r="F1113" s="13">
        <v>44693.575023148151</v>
      </c>
      <c r="G1113" t="s">
        <v>1264</v>
      </c>
      <c r="H1113" t="s">
        <v>1265</v>
      </c>
      <c r="I1113" s="13">
        <v>44693.575509259259</v>
      </c>
      <c r="K1113" t="s">
        <v>412</v>
      </c>
      <c r="R1113">
        <v>0</v>
      </c>
      <c r="S1113" t="s">
        <v>380</v>
      </c>
      <c r="T1113" t="s">
        <v>57</v>
      </c>
      <c r="V1113" t="s">
        <v>381</v>
      </c>
      <c r="W1113" t="s">
        <v>1266</v>
      </c>
      <c r="X1113" t="s">
        <v>1266</v>
      </c>
      <c r="AI1113">
        <v>49</v>
      </c>
      <c r="AL1113" t="s">
        <v>1267</v>
      </c>
      <c r="AN1113" t="s">
        <v>31</v>
      </c>
      <c r="AO1113">
        <v>0</v>
      </c>
      <c r="AS1113" t="s">
        <v>385</v>
      </c>
      <c r="AX1113" t="s">
        <v>57</v>
      </c>
      <c r="AY1113" t="s">
        <v>386</v>
      </c>
      <c r="AZ1113" t="s">
        <v>1282</v>
      </c>
      <c r="BF1113">
        <v>0</v>
      </c>
      <c r="BK1113" t="s">
        <v>31</v>
      </c>
      <c r="BS1113" t="s">
        <v>412</v>
      </c>
      <c r="BT1113" t="s">
        <v>412</v>
      </c>
      <c r="CI1113" t="s">
        <v>388</v>
      </c>
      <c r="CJ1113" s="14">
        <v>45014</v>
      </c>
      <c r="CK1113">
        <v>1</v>
      </c>
    </row>
    <row r="1114" spans="1:89">
      <c r="A1114" t="s">
        <v>454</v>
      </c>
      <c r="B1114" t="s">
        <v>374</v>
      </c>
      <c r="C1114" t="s">
        <v>455</v>
      </c>
      <c r="D1114" t="s">
        <v>1283</v>
      </c>
      <c r="E1114" t="s">
        <v>1284</v>
      </c>
      <c r="F1114" s="13">
        <v>44693.573182870372</v>
      </c>
      <c r="G1114" t="s">
        <v>1264</v>
      </c>
      <c r="H1114" t="s">
        <v>1265</v>
      </c>
      <c r="I1114" s="13">
        <v>44693.573958333334</v>
      </c>
      <c r="K1114" t="s">
        <v>412</v>
      </c>
      <c r="R1114">
        <v>0</v>
      </c>
      <c r="S1114" t="s">
        <v>380</v>
      </c>
      <c r="T1114" t="s">
        <v>57</v>
      </c>
      <c r="V1114" t="s">
        <v>381</v>
      </c>
      <c r="W1114" t="s">
        <v>1266</v>
      </c>
      <c r="X1114" t="s">
        <v>1266</v>
      </c>
      <c r="AI1114">
        <v>49</v>
      </c>
      <c r="AL1114" t="s">
        <v>1267</v>
      </c>
      <c r="AN1114" t="s">
        <v>31</v>
      </c>
      <c r="AO1114">
        <v>0</v>
      </c>
      <c r="AS1114" t="s">
        <v>385</v>
      </c>
      <c r="AX1114" t="s">
        <v>57</v>
      </c>
      <c r="AY1114" t="s">
        <v>386</v>
      </c>
      <c r="AZ1114" t="s">
        <v>1285</v>
      </c>
      <c r="BE1114" t="s">
        <v>1286</v>
      </c>
      <c r="BF1114">
        <v>0</v>
      </c>
      <c r="BK1114" t="s">
        <v>31</v>
      </c>
      <c r="BS1114" t="s">
        <v>412</v>
      </c>
      <c r="BT1114" t="s">
        <v>412</v>
      </c>
      <c r="CI1114" t="s">
        <v>388</v>
      </c>
      <c r="CJ1114" s="14">
        <v>45014</v>
      </c>
      <c r="CK1114">
        <v>1</v>
      </c>
    </row>
    <row r="1115" spans="1:89">
      <c r="A1115" t="s">
        <v>404</v>
      </c>
      <c r="B1115" t="s">
        <v>374</v>
      </c>
      <c r="C1115" t="s">
        <v>375</v>
      </c>
      <c r="D1115" t="s">
        <v>1287</v>
      </c>
      <c r="E1115" t="s">
        <v>406</v>
      </c>
      <c r="F1115" s="13">
        <v>44693.571053240739</v>
      </c>
      <c r="G1115" t="s">
        <v>1271</v>
      </c>
      <c r="H1115" t="s">
        <v>1272</v>
      </c>
      <c r="I1115" s="13">
        <v>44693.574317129627</v>
      </c>
      <c r="K1115" t="s">
        <v>379</v>
      </c>
      <c r="M1115" s="13">
        <v>44705</v>
      </c>
      <c r="R1115">
        <v>100</v>
      </c>
      <c r="S1115" t="s">
        <v>380</v>
      </c>
      <c r="T1115" t="s">
        <v>57</v>
      </c>
      <c r="V1115" t="s">
        <v>381</v>
      </c>
      <c r="W1115" t="s">
        <v>1273</v>
      </c>
      <c r="X1115" t="s">
        <v>1273</v>
      </c>
      <c r="AF1115" t="s">
        <v>382</v>
      </c>
      <c r="AG1115" t="s">
        <v>1288</v>
      </c>
      <c r="AI1115">
        <v>12</v>
      </c>
      <c r="AL1115" t="s">
        <v>1274</v>
      </c>
      <c r="AN1115" t="s">
        <v>31</v>
      </c>
      <c r="AO1115">
        <v>0</v>
      </c>
      <c r="AS1115" t="s">
        <v>522</v>
      </c>
      <c r="AX1115" t="s">
        <v>31</v>
      </c>
      <c r="AY1115" t="s">
        <v>442</v>
      </c>
      <c r="AZ1115" t="s">
        <v>1275</v>
      </c>
      <c r="BF1115">
        <v>0</v>
      </c>
      <c r="BK1115" t="s">
        <v>31</v>
      </c>
      <c r="BS1115" t="s">
        <v>379</v>
      </c>
      <c r="BT1115" t="s">
        <v>379</v>
      </c>
      <c r="CI1115" t="s">
        <v>388</v>
      </c>
      <c r="CJ1115" s="14">
        <v>45014</v>
      </c>
      <c r="CK1115">
        <v>1</v>
      </c>
    </row>
    <row r="1116" spans="1:89">
      <c r="A1116" t="s">
        <v>454</v>
      </c>
      <c r="B1116" t="s">
        <v>374</v>
      </c>
      <c r="C1116" t="s">
        <v>455</v>
      </c>
      <c r="D1116" t="s">
        <v>1289</v>
      </c>
      <c r="E1116" t="s">
        <v>1290</v>
      </c>
      <c r="F1116" s="13">
        <v>44693.570914351854</v>
      </c>
      <c r="G1116" t="s">
        <v>1264</v>
      </c>
      <c r="H1116" t="s">
        <v>1265</v>
      </c>
      <c r="I1116" s="13">
        <v>44693.572187500002</v>
      </c>
      <c r="K1116" t="s">
        <v>412</v>
      </c>
      <c r="R1116">
        <v>0</v>
      </c>
      <c r="S1116" t="s">
        <v>380</v>
      </c>
      <c r="T1116" t="s">
        <v>57</v>
      </c>
      <c r="V1116" t="s">
        <v>381</v>
      </c>
      <c r="W1116" t="s">
        <v>1291</v>
      </c>
      <c r="X1116" t="s">
        <v>1291</v>
      </c>
      <c r="AI1116">
        <v>49</v>
      </c>
      <c r="AL1116" t="s">
        <v>1267</v>
      </c>
      <c r="AN1116" t="s">
        <v>31</v>
      </c>
      <c r="AO1116">
        <v>0</v>
      </c>
      <c r="AS1116" t="s">
        <v>385</v>
      </c>
      <c r="AX1116" t="s">
        <v>57</v>
      </c>
      <c r="AY1116" t="s">
        <v>386</v>
      </c>
      <c r="AZ1116" t="s">
        <v>1292</v>
      </c>
      <c r="BE1116" t="s">
        <v>1293</v>
      </c>
      <c r="BF1116">
        <v>0</v>
      </c>
      <c r="BK1116" t="s">
        <v>31</v>
      </c>
      <c r="BS1116" t="s">
        <v>412</v>
      </c>
      <c r="BT1116" t="s">
        <v>412</v>
      </c>
      <c r="CI1116" t="s">
        <v>388</v>
      </c>
      <c r="CJ1116" s="14">
        <v>45014</v>
      </c>
      <c r="CK1116">
        <v>1</v>
      </c>
    </row>
    <row r="1117" spans="1:89">
      <c r="A1117" t="s">
        <v>404</v>
      </c>
      <c r="B1117" t="s">
        <v>374</v>
      </c>
      <c r="C1117" t="s">
        <v>375</v>
      </c>
      <c r="D1117" t="s">
        <v>1294</v>
      </c>
      <c r="E1117" t="s">
        <v>406</v>
      </c>
      <c r="F1117" s="13">
        <v>44693.569675925923</v>
      </c>
      <c r="G1117" t="s">
        <v>1271</v>
      </c>
      <c r="H1117" t="s">
        <v>1272</v>
      </c>
      <c r="I1117" s="13">
        <v>44693.604756944442</v>
      </c>
      <c r="K1117" t="s">
        <v>379</v>
      </c>
      <c r="M1117" s="13">
        <v>44708</v>
      </c>
      <c r="R1117">
        <v>100</v>
      </c>
      <c r="S1117" t="s">
        <v>416</v>
      </c>
      <c r="T1117" t="s">
        <v>57</v>
      </c>
      <c r="V1117" t="s">
        <v>381</v>
      </c>
      <c r="W1117" t="s">
        <v>1273</v>
      </c>
      <c r="X1117" t="s">
        <v>1273</v>
      </c>
      <c r="AF1117" t="s">
        <v>382</v>
      </c>
      <c r="AG1117" t="s">
        <v>406</v>
      </c>
      <c r="AI1117">
        <v>15</v>
      </c>
      <c r="AL1117" t="s">
        <v>1274</v>
      </c>
      <c r="AM1117">
        <v>1</v>
      </c>
      <c r="AN1117" t="s">
        <v>31</v>
      </c>
      <c r="AO1117">
        <v>0</v>
      </c>
      <c r="AS1117" t="s">
        <v>522</v>
      </c>
      <c r="AX1117" t="s">
        <v>31</v>
      </c>
      <c r="AY1117" t="s">
        <v>442</v>
      </c>
      <c r="AZ1117" t="s">
        <v>1295</v>
      </c>
      <c r="BF1117">
        <v>0</v>
      </c>
      <c r="BK1117" t="s">
        <v>31</v>
      </c>
      <c r="BS1117" t="s">
        <v>379</v>
      </c>
      <c r="BT1117" t="s">
        <v>379</v>
      </c>
      <c r="CI1117" t="s">
        <v>388</v>
      </c>
      <c r="CJ1117" s="14">
        <v>45014</v>
      </c>
      <c r="CK1117">
        <v>1</v>
      </c>
    </row>
    <row r="1118" spans="1:89">
      <c r="A1118" t="s">
        <v>454</v>
      </c>
      <c r="B1118" t="s">
        <v>374</v>
      </c>
      <c r="C1118" t="s">
        <v>455</v>
      </c>
      <c r="D1118" t="s">
        <v>1296</v>
      </c>
      <c r="E1118" t="s">
        <v>1297</v>
      </c>
      <c r="F1118" s="13">
        <v>44693.568078703705</v>
      </c>
      <c r="G1118" t="s">
        <v>1264</v>
      </c>
      <c r="H1118" t="s">
        <v>1265</v>
      </c>
      <c r="I1118" s="13">
        <v>44693.568877314814</v>
      </c>
      <c r="K1118" t="s">
        <v>412</v>
      </c>
      <c r="R1118">
        <v>0</v>
      </c>
      <c r="S1118" t="s">
        <v>380</v>
      </c>
      <c r="T1118" t="s">
        <v>57</v>
      </c>
      <c r="V1118" t="s">
        <v>381</v>
      </c>
      <c r="W1118" t="s">
        <v>1266</v>
      </c>
      <c r="X1118" t="s">
        <v>1266</v>
      </c>
      <c r="AI1118">
        <v>48</v>
      </c>
      <c r="AL1118" t="s">
        <v>1267</v>
      </c>
      <c r="AN1118" t="s">
        <v>31</v>
      </c>
      <c r="AO1118">
        <v>0</v>
      </c>
      <c r="AS1118" t="s">
        <v>385</v>
      </c>
      <c r="AX1118" t="s">
        <v>57</v>
      </c>
      <c r="AY1118" t="s">
        <v>386</v>
      </c>
      <c r="AZ1118" t="s">
        <v>1298</v>
      </c>
      <c r="BE1118" t="s">
        <v>1299</v>
      </c>
      <c r="BF1118">
        <v>0</v>
      </c>
      <c r="BK1118" t="s">
        <v>31</v>
      </c>
      <c r="BS1118" t="s">
        <v>412</v>
      </c>
      <c r="BT1118" t="s">
        <v>412</v>
      </c>
      <c r="CI1118" t="s">
        <v>388</v>
      </c>
      <c r="CJ1118" s="14">
        <v>45014</v>
      </c>
      <c r="CK1118">
        <v>1</v>
      </c>
    </row>
    <row r="1119" spans="1:89">
      <c r="A1119" t="s">
        <v>687</v>
      </c>
      <c r="B1119" t="s">
        <v>374</v>
      </c>
      <c r="C1119" t="s">
        <v>688</v>
      </c>
      <c r="D1119" t="s">
        <v>1300</v>
      </c>
      <c r="E1119" t="s">
        <v>406</v>
      </c>
      <c r="F1119" s="13">
        <v>44693.566018518519</v>
      </c>
      <c r="G1119" t="s">
        <v>1208</v>
      </c>
      <c r="H1119" t="s">
        <v>1209</v>
      </c>
      <c r="I1119" s="13">
        <v>45012.044398148151</v>
      </c>
      <c r="K1119" t="s">
        <v>415</v>
      </c>
      <c r="M1119" s="13">
        <v>44693</v>
      </c>
      <c r="R1119">
        <v>0</v>
      </c>
      <c r="S1119" t="s">
        <v>380</v>
      </c>
      <c r="T1119" t="s">
        <v>57</v>
      </c>
      <c r="V1119" t="s">
        <v>478</v>
      </c>
      <c r="W1119" t="s">
        <v>1209</v>
      </c>
      <c r="X1119" t="s">
        <v>1209</v>
      </c>
      <c r="Y1119" t="s">
        <v>480</v>
      </c>
      <c r="AF1119" t="s">
        <v>1301</v>
      </c>
      <c r="AG1119" t="s">
        <v>406</v>
      </c>
      <c r="AI1119">
        <v>-319</v>
      </c>
      <c r="AJ1119" s="13">
        <v>44713</v>
      </c>
      <c r="AK1119" t="s">
        <v>480</v>
      </c>
      <c r="AL1119" t="s">
        <v>1302</v>
      </c>
      <c r="AN1119" t="s">
        <v>31</v>
      </c>
      <c r="AO1119">
        <v>0</v>
      </c>
      <c r="AS1119" t="s">
        <v>385</v>
      </c>
      <c r="AX1119" t="s">
        <v>31</v>
      </c>
      <c r="AY1119" t="s">
        <v>442</v>
      </c>
      <c r="AZ1119" t="s">
        <v>406</v>
      </c>
      <c r="BF1119">
        <v>1</v>
      </c>
      <c r="BK1119" t="s">
        <v>57</v>
      </c>
      <c r="BR1119" s="13">
        <v>44713</v>
      </c>
      <c r="BS1119" t="s">
        <v>419</v>
      </c>
      <c r="BT1119" t="s">
        <v>419</v>
      </c>
      <c r="BZ1119" s="13">
        <v>44693</v>
      </c>
      <c r="CI1119" t="s">
        <v>388</v>
      </c>
      <c r="CJ1119" s="14">
        <v>45014</v>
      </c>
      <c r="CK1119">
        <v>1</v>
      </c>
    </row>
    <row r="1120" spans="1:89">
      <c r="A1120" t="s">
        <v>404</v>
      </c>
      <c r="B1120" t="s">
        <v>374</v>
      </c>
      <c r="C1120" t="s">
        <v>375</v>
      </c>
      <c r="D1120" t="s">
        <v>1303</v>
      </c>
      <c r="E1120" t="s">
        <v>406</v>
      </c>
      <c r="F1120" s="13">
        <v>44693.555104166669</v>
      </c>
      <c r="G1120" t="s">
        <v>1271</v>
      </c>
      <c r="H1120" t="s">
        <v>1272</v>
      </c>
      <c r="I1120" s="13">
        <v>44693.565937500003</v>
      </c>
      <c r="K1120" t="s">
        <v>379</v>
      </c>
      <c r="M1120" s="13">
        <v>44701</v>
      </c>
      <c r="R1120">
        <v>100</v>
      </c>
      <c r="S1120" t="s">
        <v>380</v>
      </c>
      <c r="T1120" t="s">
        <v>57</v>
      </c>
      <c r="V1120" t="s">
        <v>381</v>
      </c>
      <c r="W1120" t="s">
        <v>1304</v>
      </c>
      <c r="X1120" t="s">
        <v>1304</v>
      </c>
      <c r="AF1120" t="s">
        <v>382</v>
      </c>
      <c r="AG1120" t="s">
        <v>406</v>
      </c>
      <c r="AI1120">
        <v>8</v>
      </c>
      <c r="AL1120" t="s">
        <v>1305</v>
      </c>
      <c r="AN1120" t="s">
        <v>31</v>
      </c>
      <c r="AO1120">
        <v>0</v>
      </c>
      <c r="AS1120" t="s">
        <v>526</v>
      </c>
      <c r="AX1120" t="s">
        <v>31</v>
      </c>
      <c r="AY1120" t="s">
        <v>442</v>
      </c>
      <c r="AZ1120" t="s">
        <v>1306</v>
      </c>
      <c r="BF1120">
        <v>0</v>
      </c>
      <c r="BK1120" t="s">
        <v>31</v>
      </c>
      <c r="BS1120" t="s">
        <v>379</v>
      </c>
      <c r="BT1120" t="s">
        <v>379</v>
      </c>
      <c r="CI1120" t="s">
        <v>388</v>
      </c>
      <c r="CJ1120" s="14">
        <v>45014</v>
      </c>
      <c r="CK1120">
        <v>1</v>
      </c>
    </row>
    <row r="1121" spans="1:89">
      <c r="A1121" t="s">
        <v>404</v>
      </c>
      <c r="B1121" t="s">
        <v>374</v>
      </c>
      <c r="C1121" t="s">
        <v>375</v>
      </c>
      <c r="D1121" t="s">
        <v>1307</v>
      </c>
      <c r="E1121" t="s">
        <v>406</v>
      </c>
      <c r="F1121" s="13">
        <v>44693.545011574075</v>
      </c>
      <c r="G1121" t="s">
        <v>1271</v>
      </c>
      <c r="H1121" t="s">
        <v>1272</v>
      </c>
      <c r="I1121" s="13">
        <v>44693.561782407407</v>
      </c>
      <c r="K1121" t="s">
        <v>379</v>
      </c>
      <c r="M1121" s="13">
        <v>44728</v>
      </c>
      <c r="R1121">
        <v>100</v>
      </c>
      <c r="S1121" t="s">
        <v>416</v>
      </c>
      <c r="T1121" t="s">
        <v>57</v>
      </c>
      <c r="V1121" t="s">
        <v>381</v>
      </c>
      <c r="W1121" t="s">
        <v>1304</v>
      </c>
      <c r="X1121" t="s">
        <v>1304</v>
      </c>
      <c r="AF1121" t="s">
        <v>382</v>
      </c>
      <c r="AG1121" t="s">
        <v>406</v>
      </c>
      <c r="AI1121">
        <v>35</v>
      </c>
      <c r="AL1121" t="s">
        <v>1305</v>
      </c>
      <c r="AM1121">
        <v>1</v>
      </c>
      <c r="AN1121" t="s">
        <v>31</v>
      </c>
      <c r="AO1121">
        <v>0</v>
      </c>
      <c r="AS1121" t="s">
        <v>526</v>
      </c>
      <c r="AX1121" t="s">
        <v>57</v>
      </c>
      <c r="AY1121" t="s">
        <v>442</v>
      </c>
      <c r="AZ1121" t="s">
        <v>1308</v>
      </c>
      <c r="BF1121">
        <v>0</v>
      </c>
      <c r="BK1121" t="s">
        <v>31</v>
      </c>
      <c r="BS1121" t="s">
        <v>379</v>
      </c>
      <c r="BT1121" t="s">
        <v>379</v>
      </c>
      <c r="CI1121" t="s">
        <v>388</v>
      </c>
      <c r="CJ1121" s="14">
        <v>45014</v>
      </c>
      <c r="CK1121">
        <v>1</v>
      </c>
    </row>
    <row r="1122" spans="1:89">
      <c r="A1122" t="s">
        <v>454</v>
      </c>
      <c r="B1122" t="s">
        <v>374</v>
      </c>
      <c r="C1122" t="s">
        <v>455</v>
      </c>
      <c r="D1122" t="s">
        <v>1309</v>
      </c>
      <c r="E1122" t="s">
        <v>1310</v>
      </c>
      <c r="F1122" s="13">
        <v>44693.536585648151</v>
      </c>
      <c r="G1122" t="s">
        <v>1264</v>
      </c>
      <c r="H1122" t="s">
        <v>1265</v>
      </c>
      <c r="I1122" s="13">
        <v>44693.540289351855</v>
      </c>
      <c r="K1122" t="s">
        <v>379</v>
      </c>
      <c r="M1122" s="13">
        <v>44693</v>
      </c>
      <c r="R1122">
        <v>100</v>
      </c>
      <c r="S1122" t="s">
        <v>380</v>
      </c>
      <c r="T1122" t="s">
        <v>57</v>
      </c>
      <c r="V1122" t="s">
        <v>381</v>
      </c>
      <c r="W1122" t="s">
        <v>1266</v>
      </c>
      <c r="X1122" t="s">
        <v>1266</v>
      </c>
      <c r="AF1122" t="s">
        <v>382</v>
      </c>
      <c r="AG1122" t="s">
        <v>1311</v>
      </c>
      <c r="AI1122">
        <v>0</v>
      </c>
      <c r="AL1122" t="s">
        <v>1312</v>
      </c>
      <c r="AN1122" t="s">
        <v>31</v>
      </c>
      <c r="AO1122">
        <v>0</v>
      </c>
      <c r="AS1122" t="s">
        <v>385</v>
      </c>
      <c r="AX1122" t="s">
        <v>57</v>
      </c>
      <c r="AY1122" t="s">
        <v>386</v>
      </c>
      <c r="AZ1122" t="s">
        <v>1313</v>
      </c>
      <c r="BE1122" t="s">
        <v>1313</v>
      </c>
      <c r="BF1122">
        <v>0</v>
      </c>
      <c r="BK1122" t="s">
        <v>31</v>
      </c>
      <c r="BS1122" t="s">
        <v>379</v>
      </c>
      <c r="BT1122" t="s">
        <v>379</v>
      </c>
      <c r="CI1122" t="s">
        <v>388</v>
      </c>
      <c r="CJ1122" s="14">
        <v>45014</v>
      </c>
      <c r="CK1122">
        <v>1</v>
      </c>
    </row>
    <row r="1123" spans="1:89">
      <c r="A1123" t="s">
        <v>404</v>
      </c>
      <c r="B1123" t="s">
        <v>374</v>
      </c>
      <c r="C1123" t="s">
        <v>375</v>
      </c>
      <c r="D1123" t="s">
        <v>1314</v>
      </c>
      <c r="E1123" t="s">
        <v>406</v>
      </c>
      <c r="F1123" s="13">
        <v>44693.52</v>
      </c>
      <c r="G1123" t="s">
        <v>1271</v>
      </c>
      <c r="H1123" t="s">
        <v>1272</v>
      </c>
      <c r="I1123" s="13">
        <v>44693.539166666669</v>
      </c>
      <c r="K1123" t="s">
        <v>379</v>
      </c>
      <c r="M1123" s="13">
        <v>44701</v>
      </c>
      <c r="R1123">
        <v>100</v>
      </c>
      <c r="S1123" t="s">
        <v>380</v>
      </c>
      <c r="T1123" t="s">
        <v>57</v>
      </c>
      <c r="V1123" t="s">
        <v>381</v>
      </c>
      <c r="W1123" t="s">
        <v>1272</v>
      </c>
      <c r="X1123" t="s">
        <v>1272</v>
      </c>
      <c r="AF1123" t="s">
        <v>382</v>
      </c>
      <c r="AG1123" t="s">
        <v>406</v>
      </c>
      <c r="AI1123">
        <v>8</v>
      </c>
      <c r="AK1123" t="s">
        <v>480</v>
      </c>
      <c r="AL1123" t="s">
        <v>1315</v>
      </c>
      <c r="AN1123" t="s">
        <v>31</v>
      </c>
      <c r="AO1123">
        <v>0</v>
      </c>
      <c r="AS1123" t="s">
        <v>526</v>
      </c>
      <c r="AX1123" t="s">
        <v>31</v>
      </c>
      <c r="AY1123" t="s">
        <v>442</v>
      </c>
      <c r="AZ1123" t="s">
        <v>1316</v>
      </c>
      <c r="BF1123">
        <v>0</v>
      </c>
      <c r="BK1123" t="s">
        <v>31</v>
      </c>
      <c r="BS1123" t="s">
        <v>379</v>
      </c>
      <c r="BT1123" t="s">
        <v>379</v>
      </c>
      <c r="CI1123" t="s">
        <v>388</v>
      </c>
      <c r="CJ1123" s="14">
        <v>45014</v>
      </c>
      <c r="CK1123">
        <v>1</v>
      </c>
    </row>
    <row r="1124" spans="1:89">
      <c r="A1124" t="s">
        <v>1317</v>
      </c>
      <c r="B1124" t="s">
        <v>374</v>
      </c>
      <c r="C1124" t="s">
        <v>1318</v>
      </c>
      <c r="D1124" t="s">
        <v>1319</v>
      </c>
      <c r="E1124" t="s">
        <v>1320</v>
      </c>
      <c r="F1124" s="13">
        <v>44693.49050925926</v>
      </c>
      <c r="G1124" t="s">
        <v>1321</v>
      </c>
      <c r="H1124" t="s">
        <v>1322</v>
      </c>
      <c r="I1124" s="13">
        <v>45012.044398148151</v>
      </c>
      <c r="K1124" t="s">
        <v>415</v>
      </c>
      <c r="M1124" s="13">
        <v>44693</v>
      </c>
      <c r="R1124">
        <v>100</v>
      </c>
      <c r="S1124" t="s">
        <v>380</v>
      </c>
      <c r="T1124" t="s">
        <v>57</v>
      </c>
      <c r="V1124" t="s">
        <v>478</v>
      </c>
      <c r="W1124" t="s">
        <v>1323</v>
      </c>
      <c r="X1124" t="s">
        <v>1323</v>
      </c>
      <c r="AB1124" t="s">
        <v>57</v>
      </c>
      <c r="AF1124" t="s">
        <v>382</v>
      </c>
      <c r="AG1124" t="s">
        <v>1324</v>
      </c>
      <c r="AI1124">
        <v>-319</v>
      </c>
      <c r="AL1124" t="s">
        <v>1325</v>
      </c>
      <c r="AN1124" t="s">
        <v>57</v>
      </c>
      <c r="AO1124">
        <v>0</v>
      </c>
      <c r="AS1124" t="s">
        <v>385</v>
      </c>
      <c r="AX1124" t="s">
        <v>57</v>
      </c>
      <c r="AY1124" t="s">
        <v>442</v>
      </c>
      <c r="AZ1124" t="s">
        <v>1326</v>
      </c>
      <c r="BF1124">
        <v>0</v>
      </c>
      <c r="BK1124" t="s">
        <v>31</v>
      </c>
      <c r="BS1124" t="s">
        <v>1327</v>
      </c>
      <c r="BT1124" t="s">
        <v>1328</v>
      </c>
      <c r="CC1124" t="s">
        <v>1329</v>
      </c>
      <c r="CI1124" t="s">
        <v>388</v>
      </c>
      <c r="CJ1124" s="14">
        <v>45014</v>
      </c>
      <c r="CK1124">
        <v>1</v>
      </c>
    </row>
    <row r="1125" spans="1:89">
      <c r="A1125" t="s">
        <v>1330</v>
      </c>
      <c r="B1125" t="s">
        <v>374</v>
      </c>
      <c r="C1125" t="s">
        <v>1331</v>
      </c>
      <c r="D1125" t="s">
        <v>1332</v>
      </c>
      <c r="E1125" t="s">
        <v>574</v>
      </c>
      <c r="F1125" s="13">
        <v>44693.430046296293</v>
      </c>
      <c r="G1125" t="s">
        <v>1125</v>
      </c>
      <c r="H1125" t="s">
        <v>1126</v>
      </c>
      <c r="I1125" s="13">
        <v>44694.532569444447</v>
      </c>
      <c r="K1125" t="s">
        <v>379</v>
      </c>
      <c r="M1125" s="13">
        <v>44894</v>
      </c>
      <c r="R1125">
        <v>100</v>
      </c>
      <c r="S1125" t="s">
        <v>380</v>
      </c>
      <c r="T1125" t="s">
        <v>57</v>
      </c>
      <c r="V1125" t="s">
        <v>381</v>
      </c>
      <c r="W1125" t="s">
        <v>1126</v>
      </c>
      <c r="X1125" t="s">
        <v>1126</v>
      </c>
      <c r="AF1125" t="s">
        <v>382</v>
      </c>
      <c r="AG1125" t="s">
        <v>1333</v>
      </c>
      <c r="AI1125">
        <v>200</v>
      </c>
      <c r="AL1125" t="s">
        <v>1334</v>
      </c>
      <c r="AN1125" t="s">
        <v>31</v>
      </c>
      <c r="AO1125">
        <v>0</v>
      </c>
      <c r="AS1125" t="s">
        <v>392</v>
      </c>
      <c r="AX1125" t="s">
        <v>57</v>
      </c>
      <c r="AY1125" t="s">
        <v>442</v>
      </c>
      <c r="AZ1125" t="s">
        <v>574</v>
      </c>
      <c r="BF1125">
        <v>0</v>
      </c>
      <c r="BK1125" t="s">
        <v>31</v>
      </c>
      <c r="BS1125" t="s">
        <v>379</v>
      </c>
      <c r="BT1125" t="s">
        <v>379</v>
      </c>
      <c r="CI1125" t="s">
        <v>388</v>
      </c>
      <c r="CJ1125" s="14">
        <v>45014</v>
      </c>
      <c r="CK1125">
        <v>1</v>
      </c>
    </row>
    <row r="1126" spans="1:89">
      <c r="A1126" t="s">
        <v>1330</v>
      </c>
      <c r="B1126" t="s">
        <v>374</v>
      </c>
      <c r="C1126" t="s">
        <v>1331</v>
      </c>
      <c r="D1126" t="s">
        <v>1335</v>
      </c>
      <c r="E1126" t="s">
        <v>1336</v>
      </c>
      <c r="F1126" s="13">
        <v>44693.396770833337</v>
      </c>
      <c r="G1126" t="s">
        <v>1125</v>
      </c>
      <c r="H1126" t="s">
        <v>1126</v>
      </c>
      <c r="I1126" s="13">
        <v>44694.529664351852</v>
      </c>
      <c r="K1126" t="s">
        <v>379</v>
      </c>
      <c r="M1126" s="13">
        <v>44764</v>
      </c>
      <c r="R1126">
        <v>100</v>
      </c>
      <c r="S1126" t="s">
        <v>416</v>
      </c>
      <c r="T1126" t="s">
        <v>57</v>
      </c>
      <c r="V1126" t="s">
        <v>381</v>
      </c>
      <c r="W1126" t="s">
        <v>1126</v>
      </c>
      <c r="X1126" t="s">
        <v>1126</v>
      </c>
      <c r="AF1126" t="s">
        <v>382</v>
      </c>
      <c r="AG1126" t="s">
        <v>1337</v>
      </c>
      <c r="AI1126">
        <v>71</v>
      </c>
      <c r="AL1126" t="s">
        <v>1334</v>
      </c>
      <c r="AM1126">
        <v>1</v>
      </c>
      <c r="AN1126" t="s">
        <v>31</v>
      </c>
      <c r="AO1126">
        <v>0</v>
      </c>
      <c r="AS1126" t="s">
        <v>392</v>
      </c>
      <c r="AX1126" t="s">
        <v>31</v>
      </c>
      <c r="AY1126" t="s">
        <v>442</v>
      </c>
      <c r="AZ1126" t="s">
        <v>1336</v>
      </c>
      <c r="BF1126">
        <v>0</v>
      </c>
      <c r="BK1126" t="s">
        <v>31</v>
      </c>
      <c r="BS1126" t="s">
        <v>379</v>
      </c>
      <c r="BT1126" t="s">
        <v>379</v>
      </c>
      <c r="CI1126" t="s">
        <v>388</v>
      </c>
      <c r="CJ1126" s="14">
        <v>45014</v>
      </c>
      <c r="CK1126">
        <v>1</v>
      </c>
    </row>
    <row r="1127" spans="1:89">
      <c r="A1127" t="s">
        <v>687</v>
      </c>
      <c r="B1127" t="s">
        <v>374</v>
      </c>
      <c r="C1127" t="s">
        <v>688</v>
      </c>
      <c r="D1127" t="s">
        <v>1338</v>
      </c>
      <c r="E1127" t="s">
        <v>1339</v>
      </c>
      <c r="F1127" s="13">
        <v>44692.656400462962</v>
      </c>
      <c r="G1127" t="s">
        <v>1340</v>
      </c>
      <c r="H1127" t="s">
        <v>1341</v>
      </c>
      <c r="I1127" s="13">
        <v>45012.04414351852</v>
      </c>
      <c r="K1127" t="s">
        <v>415</v>
      </c>
      <c r="M1127" s="13">
        <v>44753</v>
      </c>
      <c r="R1127">
        <v>30</v>
      </c>
      <c r="S1127" t="s">
        <v>416</v>
      </c>
      <c r="T1127" t="s">
        <v>57</v>
      </c>
      <c r="V1127" t="s">
        <v>478</v>
      </c>
      <c r="W1127" t="s">
        <v>1341</v>
      </c>
      <c r="X1127" t="s">
        <v>1341</v>
      </c>
      <c r="Y1127" t="s">
        <v>480</v>
      </c>
      <c r="AF1127" t="s">
        <v>1301</v>
      </c>
      <c r="AG1127" t="s">
        <v>1342</v>
      </c>
      <c r="AI1127">
        <v>-259</v>
      </c>
      <c r="AL1127" t="s">
        <v>1343</v>
      </c>
      <c r="AN1127" t="s">
        <v>31</v>
      </c>
      <c r="AO1127">
        <v>0</v>
      </c>
      <c r="AS1127" t="s">
        <v>385</v>
      </c>
      <c r="AT1127" t="s">
        <v>31</v>
      </c>
      <c r="AX1127" t="s">
        <v>57</v>
      </c>
      <c r="AY1127" t="s">
        <v>442</v>
      </c>
      <c r="AZ1127" t="s">
        <v>1339</v>
      </c>
      <c r="BF1127">
        <v>0</v>
      </c>
      <c r="BK1127" t="s">
        <v>31</v>
      </c>
      <c r="BS1127" t="s">
        <v>484</v>
      </c>
      <c r="BT1127" t="s">
        <v>484</v>
      </c>
      <c r="CI1127" t="s">
        <v>388</v>
      </c>
      <c r="CJ1127" s="14">
        <v>45014</v>
      </c>
      <c r="CK1127">
        <v>1</v>
      </c>
    </row>
    <row r="1128" spans="1:89">
      <c r="A1128" t="s">
        <v>1344</v>
      </c>
      <c r="B1128" t="s">
        <v>374</v>
      </c>
      <c r="C1128" t="s">
        <v>1345</v>
      </c>
      <c r="D1128" t="s">
        <v>1346</v>
      </c>
      <c r="E1128" t="s">
        <v>1347</v>
      </c>
      <c r="F1128" s="13">
        <v>44692.634479166663</v>
      </c>
      <c r="G1128" t="s">
        <v>1228</v>
      </c>
      <c r="H1128" t="s">
        <v>1229</v>
      </c>
      <c r="I1128" s="13">
        <v>44692.695879629631</v>
      </c>
      <c r="K1128" t="s">
        <v>379</v>
      </c>
      <c r="M1128" s="13">
        <v>44875</v>
      </c>
      <c r="R1128">
        <v>100</v>
      </c>
      <c r="S1128" t="s">
        <v>380</v>
      </c>
      <c r="T1128" t="s">
        <v>57</v>
      </c>
      <c r="V1128" t="s">
        <v>381</v>
      </c>
      <c r="W1128" t="s">
        <v>1240</v>
      </c>
      <c r="X1128" t="s">
        <v>1240</v>
      </c>
      <c r="AF1128" t="s">
        <v>382</v>
      </c>
      <c r="AG1128" t="s">
        <v>1260</v>
      </c>
      <c r="AI1128">
        <v>183</v>
      </c>
      <c r="AL1128" t="s">
        <v>1348</v>
      </c>
      <c r="AN1128" t="s">
        <v>31</v>
      </c>
      <c r="AO1128">
        <v>0</v>
      </c>
      <c r="AS1128" t="s">
        <v>385</v>
      </c>
      <c r="AX1128" t="s">
        <v>57</v>
      </c>
      <c r="AY1128" t="s">
        <v>386</v>
      </c>
      <c r="AZ1128" t="s">
        <v>1349</v>
      </c>
      <c r="BF1128">
        <v>0</v>
      </c>
      <c r="BK1128" t="s">
        <v>31</v>
      </c>
      <c r="BS1128" t="s">
        <v>379</v>
      </c>
      <c r="BT1128" t="s">
        <v>379</v>
      </c>
      <c r="CI1128" t="s">
        <v>388</v>
      </c>
      <c r="CJ1128" s="14">
        <v>45014</v>
      </c>
      <c r="CK1128">
        <v>1</v>
      </c>
    </row>
    <row r="1129" spans="1:89">
      <c r="A1129" t="s">
        <v>1235</v>
      </c>
      <c r="B1129" t="s">
        <v>374</v>
      </c>
      <c r="C1129" t="s">
        <v>1236</v>
      </c>
      <c r="D1129" t="s">
        <v>1350</v>
      </c>
      <c r="E1129" t="s">
        <v>1351</v>
      </c>
      <c r="F1129" s="13">
        <v>44692.630972222221</v>
      </c>
      <c r="G1129" t="s">
        <v>1239</v>
      </c>
      <c r="H1129" t="s">
        <v>1240</v>
      </c>
      <c r="I1129" s="13">
        <v>44692.695011574076</v>
      </c>
      <c r="K1129" t="s">
        <v>379</v>
      </c>
      <c r="M1129" s="13">
        <v>44972</v>
      </c>
      <c r="R1129">
        <v>100</v>
      </c>
      <c r="S1129" t="s">
        <v>380</v>
      </c>
      <c r="T1129" t="s">
        <v>57</v>
      </c>
      <c r="V1129" t="s">
        <v>381</v>
      </c>
      <c r="W1129" t="s">
        <v>1240</v>
      </c>
      <c r="X1129" t="s">
        <v>1240</v>
      </c>
      <c r="AF1129" t="s">
        <v>382</v>
      </c>
      <c r="AG1129" t="s">
        <v>1352</v>
      </c>
      <c r="AI1129">
        <v>280</v>
      </c>
      <c r="AL1129" t="s">
        <v>1353</v>
      </c>
      <c r="AN1129" t="s">
        <v>31</v>
      </c>
      <c r="AO1129">
        <v>0</v>
      </c>
      <c r="AS1129" t="s">
        <v>392</v>
      </c>
      <c r="AX1129" t="s">
        <v>31</v>
      </c>
      <c r="AY1129" t="s">
        <v>386</v>
      </c>
      <c r="AZ1129" t="s">
        <v>1354</v>
      </c>
      <c r="BF1129">
        <v>0</v>
      </c>
      <c r="BK1129" t="s">
        <v>31</v>
      </c>
      <c r="BS1129" t="s">
        <v>379</v>
      </c>
      <c r="BT1129" t="s">
        <v>379</v>
      </c>
      <c r="CI1129" t="s">
        <v>388</v>
      </c>
      <c r="CJ1129" s="14">
        <v>45014</v>
      </c>
      <c r="CK1129">
        <v>1</v>
      </c>
    </row>
    <row r="1130" spans="1:89">
      <c r="A1130" t="s">
        <v>1355</v>
      </c>
      <c r="B1130" t="s">
        <v>374</v>
      </c>
      <c r="C1130" t="s">
        <v>1356</v>
      </c>
      <c r="D1130" t="s">
        <v>1357</v>
      </c>
      <c r="E1130" t="s">
        <v>1358</v>
      </c>
      <c r="F1130" s="13">
        <v>44692.626203703701</v>
      </c>
      <c r="G1130" t="s">
        <v>1340</v>
      </c>
      <c r="H1130" t="s">
        <v>1341</v>
      </c>
      <c r="I1130" s="13">
        <v>44692.632835648146</v>
      </c>
      <c r="K1130" t="s">
        <v>379</v>
      </c>
      <c r="M1130" s="13">
        <v>44712</v>
      </c>
      <c r="R1130">
        <v>100</v>
      </c>
      <c r="S1130" t="s">
        <v>380</v>
      </c>
      <c r="T1130" t="s">
        <v>57</v>
      </c>
      <c r="V1130" t="s">
        <v>381</v>
      </c>
      <c r="W1130" t="s">
        <v>1359</v>
      </c>
      <c r="X1130" t="s">
        <v>1359</v>
      </c>
      <c r="AF1130" t="s">
        <v>382</v>
      </c>
      <c r="AG1130" t="s">
        <v>1360</v>
      </c>
      <c r="AI1130">
        <v>20</v>
      </c>
      <c r="AL1130" t="s">
        <v>1361</v>
      </c>
      <c r="AN1130" t="s">
        <v>31</v>
      </c>
      <c r="AO1130">
        <v>0</v>
      </c>
      <c r="AS1130" t="s">
        <v>461</v>
      </c>
      <c r="AX1130" t="s">
        <v>31</v>
      </c>
      <c r="AY1130" t="s">
        <v>442</v>
      </c>
      <c r="AZ1130" t="s">
        <v>1358</v>
      </c>
      <c r="BF1130">
        <v>0</v>
      </c>
      <c r="BK1130" t="s">
        <v>31</v>
      </c>
      <c r="BS1130" t="s">
        <v>379</v>
      </c>
      <c r="BT1130" t="s">
        <v>379</v>
      </c>
      <c r="CI1130" t="s">
        <v>388</v>
      </c>
      <c r="CJ1130" s="14">
        <v>45014</v>
      </c>
      <c r="CK1130">
        <v>1</v>
      </c>
    </row>
    <row r="1131" spans="1:89">
      <c r="A1131" t="s">
        <v>1344</v>
      </c>
      <c r="B1131" t="s">
        <v>374</v>
      </c>
      <c r="C1131" t="s">
        <v>1345</v>
      </c>
      <c r="D1131" t="s">
        <v>1362</v>
      </c>
      <c r="E1131" t="s">
        <v>1363</v>
      </c>
      <c r="F1131" s="13">
        <v>44692.602453703701</v>
      </c>
      <c r="G1131" t="s">
        <v>1228</v>
      </c>
      <c r="H1131" t="s">
        <v>1229</v>
      </c>
      <c r="I1131" s="13">
        <v>44692.655706018515</v>
      </c>
      <c r="K1131" t="s">
        <v>379</v>
      </c>
      <c r="M1131" s="13">
        <v>44783</v>
      </c>
      <c r="R1131">
        <v>100</v>
      </c>
      <c r="S1131" t="s">
        <v>416</v>
      </c>
      <c r="T1131" t="s">
        <v>57</v>
      </c>
      <c r="V1131" t="s">
        <v>381</v>
      </c>
      <c r="W1131" t="s">
        <v>1240</v>
      </c>
      <c r="X1131" t="s">
        <v>1240</v>
      </c>
      <c r="AF1131" t="s">
        <v>382</v>
      </c>
      <c r="AG1131" t="s">
        <v>1260</v>
      </c>
      <c r="AI1131">
        <v>91</v>
      </c>
      <c r="AL1131" t="s">
        <v>1348</v>
      </c>
      <c r="AM1131">
        <v>1</v>
      </c>
      <c r="AN1131" t="s">
        <v>31</v>
      </c>
      <c r="AO1131">
        <v>0</v>
      </c>
      <c r="AS1131" t="s">
        <v>707</v>
      </c>
      <c r="AX1131" t="s">
        <v>31</v>
      </c>
      <c r="AY1131" t="s">
        <v>386</v>
      </c>
      <c r="AZ1131" t="s">
        <v>1249</v>
      </c>
      <c r="BE1131" t="s">
        <v>1364</v>
      </c>
      <c r="BF1131">
        <v>0</v>
      </c>
      <c r="BK1131" t="s">
        <v>31</v>
      </c>
      <c r="BS1131" t="s">
        <v>379</v>
      </c>
      <c r="BT1131" t="s">
        <v>379</v>
      </c>
      <c r="CI1131" t="s">
        <v>388</v>
      </c>
      <c r="CJ1131" s="14">
        <v>45014</v>
      </c>
      <c r="CK1131">
        <v>1</v>
      </c>
    </row>
    <row r="1132" spans="1:89">
      <c r="A1132" t="s">
        <v>1235</v>
      </c>
      <c r="B1132" t="s">
        <v>374</v>
      </c>
      <c r="C1132" t="s">
        <v>1236</v>
      </c>
      <c r="D1132" t="s">
        <v>1365</v>
      </c>
      <c r="E1132" t="s">
        <v>1366</v>
      </c>
      <c r="F1132" s="13">
        <v>44692.529699074075</v>
      </c>
      <c r="G1132" t="s">
        <v>1239</v>
      </c>
      <c r="H1132" t="s">
        <v>1240</v>
      </c>
      <c r="I1132" s="13">
        <v>44692.664722222224</v>
      </c>
      <c r="K1132" t="s">
        <v>379</v>
      </c>
      <c r="M1132" s="13">
        <v>44775</v>
      </c>
      <c r="R1132">
        <v>100</v>
      </c>
      <c r="S1132" t="s">
        <v>416</v>
      </c>
      <c r="T1132" t="s">
        <v>57</v>
      </c>
      <c r="V1132" t="s">
        <v>381</v>
      </c>
      <c r="W1132" t="s">
        <v>1367</v>
      </c>
      <c r="X1132" t="s">
        <v>1367</v>
      </c>
      <c r="AF1132" t="s">
        <v>382</v>
      </c>
      <c r="AG1132" t="s">
        <v>1241</v>
      </c>
      <c r="AI1132">
        <v>83</v>
      </c>
      <c r="AL1132" t="s">
        <v>1353</v>
      </c>
      <c r="AM1132">
        <v>1</v>
      </c>
      <c r="AN1132" t="s">
        <v>31</v>
      </c>
      <c r="AO1132">
        <v>0</v>
      </c>
      <c r="AS1132" t="s">
        <v>648</v>
      </c>
      <c r="AX1132" t="s">
        <v>31</v>
      </c>
      <c r="AY1132" t="s">
        <v>386</v>
      </c>
      <c r="AZ1132" t="s">
        <v>1368</v>
      </c>
      <c r="BF1132">
        <v>0</v>
      </c>
      <c r="BK1132" t="s">
        <v>31</v>
      </c>
      <c r="BS1132" t="s">
        <v>379</v>
      </c>
      <c r="BT1132" t="s">
        <v>379</v>
      </c>
      <c r="CI1132" t="s">
        <v>388</v>
      </c>
      <c r="CJ1132" s="14">
        <v>45014</v>
      </c>
      <c r="CK1132">
        <v>1</v>
      </c>
    </row>
    <row r="1133" spans="1:89">
      <c r="A1133" t="s">
        <v>1344</v>
      </c>
      <c r="B1133" t="s">
        <v>374</v>
      </c>
      <c r="C1133" t="s">
        <v>1345</v>
      </c>
      <c r="D1133" t="s">
        <v>1369</v>
      </c>
      <c r="E1133" t="s">
        <v>1370</v>
      </c>
      <c r="F1133" s="13">
        <v>44692.48064814815</v>
      </c>
      <c r="G1133" t="s">
        <v>1228</v>
      </c>
      <c r="H1133" t="s">
        <v>1229</v>
      </c>
      <c r="I1133" s="13">
        <v>45012.044398148151</v>
      </c>
      <c r="K1133" t="s">
        <v>415</v>
      </c>
      <c r="M1133" s="13">
        <v>44783</v>
      </c>
      <c r="R1133">
        <v>0</v>
      </c>
      <c r="S1133" t="s">
        <v>380</v>
      </c>
      <c r="T1133" t="s">
        <v>57</v>
      </c>
      <c r="V1133" t="s">
        <v>478</v>
      </c>
      <c r="W1133" t="s">
        <v>1240</v>
      </c>
      <c r="X1133" t="s">
        <v>1240</v>
      </c>
      <c r="AF1133" t="s">
        <v>451</v>
      </c>
      <c r="AI1133">
        <v>-229</v>
      </c>
      <c r="AL1133" t="s">
        <v>1371</v>
      </c>
      <c r="AN1133" t="s">
        <v>31</v>
      </c>
      <c r="AO1133">
        <v>0</v>
      </c>
      <c r="AS1133" t="s">
        <v>707</v>
      </c>
      <c r="AX1133" t="s">
        <v>31</v>
      </c>
      <c r="AY1133" t="s">
        <v>386</v>
      </c>
      <c r="AZ1133" t="s">
        <v>1249</v>
      </c>
      <c r="BF1133">
        <v>0</v>
      </c>
      <c r="BK1133" t="s">
        <v>31</v>
      </c>
      <c r="BS1133" t="s">
        <v>419</v>
      </c>
      <c r="BT1133" t="s">
        <v>419</v>
      </c>
      <c r="CI1133" t="s">
        <v>388</v>
      </c>
      <c r="CJ1133" s="14">
        <v>45014</v>
      </c>
      <c r="CK1133">
        <v>1</v>
      </c>
    </row>
    <row r="1134" spans="1:89">
      <c r="A1134" t="s">
        <v>1317</v>
      </c>
      <c r="B1134" t="s">
        <v>374</v>
      </c>
      <c r="C1134" t="s">
        <v>1318</v>
      </c>
      <c r="D1134" t="s">
        <v>1372</v>
      </c>
      <c r="E1134" t="s">
        <v>1373</v>
      </c>
      <c r="F1134" s="13">
        <v>44691.751469907409</v>
      </c>
      <c r="G1134" t="s">
        <v>1321</v>
      </c>
      <c r="H1134" t="s">
        <v>1322</v>
      </c>
      <c r="I1134" s="13">
        <v>45012.044386574074</v>
      </c>
      <c r="K1134" t="s">
        <v>415</v>
      </c>
      <c r="M1134" s="13">
        <v>44781</v>
      </c>
      <c r="R1134">
        <v>100</v>
      </c>
      <c r="S1134" t="s">
        <v>380</v>
      </c>
      <c r="T1134" t="s">
        <v>57</v>
      </c>
      <c r="V1134" t="s">
        <v>478</v>
      </c>
      <c r="W1134" t="s">
        <v>1323</v>
      </c>
      <c r="X1134" t="s">
        <v>1323</v>
      </c>
      <c r="AB1134" t="s">
        <v>57</v>
      </c>
      <c r="AF1134" t="s">
        <v>382</v>
      </c>
      <c r="AG1134" t="s">
        <v>1206</v>
      </c>
      <c r="AI1134">
        <v>-231</v>
      </c>
      <c r="AL1134" t="s">
        <v>1325</v>
      </c>
      <c r="AN1134" t="s">
        <v>57</v>
      </c>
      <c r="AO1134">
        <v>0</v>
      </c>
      <c r="AS1134" t="s">
        <v>385</v>
      </c>
      <c r="AX1134" t="s">
        <v>57</v>
      </c>
      <c r="AY1134" t="s">
        <v>442</v>
      </c>
      <c r="AZ1134" t="s">
        <v>1374</v>
      </c>
      <c r="BF1134">
        <v>0</v>
      </c>
      <c r="BK1134" t="s">
        <v>31</v>
      </c>
      <c r="BS1134" t="s">
        <v>1327</v>
      </c>
      <c r="BT1134" t="s">
        <v>1328</v>
      </c>
      <c r="CC1134" t="s">
        <v>1375</v>
      </c>
      <c r="CI1134" t="s">
        <v>388</v>
      </c>
      <c r="CJ1134" s="14">
        <v>45014</v>
      </c>
      <c r="CK1134">
        <v>1</v>
      </c>
    </row>
    <row r="1135" spans="1:89">
      <c r="A1135" t="s">
        <v>1317</v>
      </c>
      <c r="B1135" t="s">
        <v>374</v>
      </c>
      <c r="C1135" t="s">
        <v>1318</v>
      </c>
      <c r="D1135" t="s">
        <v>1376</v>
      </c>
      <c r="E1135" t="s">
        <v>1377</v>
      </c>
      <c r="F1135" s="13">
        <v>44691.730983796297</v>
      </c>
      <c r="G1135" t="s">
        <v>1321</v>
      </c>
      <c r="H1135" t="s">
        <v>1322</v>
      </c>
      <c r="I1135" s="13">
        <v>44833.703101851854</v>
      </c>
      <c r="K1135" t="s">
        <v>379</v>
      </c>
      <c r="M1135" s="13">
        <v>44781</v>
      </c>
      <c r="R1135">
        <v>100</v>
      </c>
      <c r="S1135" t="s">
        <v>416</v>
      </c>
      <c r="T1135" t="s">
        <v>57</v>
      </c>
      <c r="V1135" t="s">
        <v>381</v>
      </c>
      <c r="W1135" t="s">
        <v>1323</v>
      </c>
      <c r="X1135" t="s">
        <v>1323</v>
      </c>
      <c r="AF1135" t="s">
        <v>382</v>
      </c>
      <c r="AG1135" t="s">
        <v>1324</v>
      </c>
      <c r="AI1135">
        <v>90</v>
      </c>
      <c r="AL1135" t="s">
        <v>1325</v>
      </c>
      <c r="AM1135">
        <v>1</v>
      </c>
      <c r="AN1135" t="s">
        <v>31</v>
      </c>
      <c r="AO1135">
        <v>0</v>
      </c>
      <c r="AS1135" t="s">
        <v>385</v>
      </c>
      <c r="AX1135" t="s">
        <v>31</v>
      </c>
      <c r="AY1135" t="s">
        <v>442</v>
      </c>
      <c r="AZ1135" t="s">
        <v>1378</v>
      </c>
      <c r="BF1135">
        <v>0</v>
      </c>
      <c r="BK1135" t="s">
        <v>31</v>
      </c>
      <c r="BS1135" t="s">
        <v>379</v>
      </c>
      <c r="BT1135" t="s">
        <v>379</v>
      </c>
      <c r="CI1135" t="s">
        <v>388</v>
      </c>
      <c r="CJ1135" s="14">
        <v>45014</v>
      </c>
      <c r="CK1135">
        <v>1</v>
      </c>
    </row>
    <row r="1136" spans="1:89">
      <c r="A1136" t="s">
        <v>1317</v>
      </c>
      <c r="B1136" t="s">
        <v>374</v>
      </c>
      <c r="C1136" t="s">
        <v>1318</v>
      </c>
      <c r="D1136" t="s">
        <v>1379</v>
      </c>
      <c r="E1136" t="s">
        <v>1373</v>
      </c>
      <c r="F1136" s="13">
        <v>44691.728912037041</v>
      </c>
      <c r="G1136" t="s">
        <v>1321</v>
      </c>
      <c r="H1136" t="s">
        <v>1322</v>
      </c>
      <c r="I1136" s="13">
        <v>44833.703101851854</v>
      </c>
      <c r="K1136" t="s">
        <v>379</v>
      </c>
      <c r="M1136" s="13">
        <v>44781</v>
      </c>
      <c r="R1136">
        <v>100</v>
      </c>
      <c r="S1136" t="s">
        <v>416</v>
      </c>
      <c r="T1136" t="s">
        <v>57</v>
      </c>
      <c r="V1136" t="s">
        <v>381</v>
      </c>
      <c r="W1136" t="s">
        <v>1323</v>
      </c>
      <c r="X1136" t="s">
        <v>1323</v>
      </c>
      <c r="AF1136" t="s">
        <v>382</v>
      </c>
      <c r="AG1136" t="s">
        <v>1380</v>
      </c>
      <c r="AI1136">
        <v>90</v>
      </c>
      <c r="AL1136" t="s">
        <v>1325</v>
      </c>
      <c r="AM1136">
        <v>1</v>
      </c>
      <c r="AN1136" t="s">
        <v>31</v>
      </c>
      <c r="AO1136">
        <v>0</v>
      </c>
      <c r="AS1136" t="s">
        <v>385</v>
      </c>
      <c r="AX1136" t="s">
        <v>31</v>
      </c>
      <c r="AY1136" t="s">
        <v>442</v>
      </c>
      <c r="AZ1136" t="s">
        <v>1374</v>
      </c>
      <c r="BF1136">
        <v>0</v>
      </c>
      <c r="BK1136" t="s">
        <v>31</v>
      </c>
      <c r="BS1136" t="s">
        <v>379</v>
      </c>
      <c r="BT1136" t="s">
        <v>379</v>
      </c>
      <c r="CI1136" t="s">
        <v>388</v>
      </c>
      <c r="CJ1136" s="14">
        <v>45014</v>
      </c>
      <c r="CK1136">
        <v>1</v>
      </c>
    </row>
    <row r="1137" spans="1:89">
      <c r="A1137" t="s">
        <v>404</v>
      </c>
      <c r="B1137" t="s">
        <v>374</v>
      </c>
      <c r="C1137" t="s">
        <v>375</v>
      </c>
      <c r="D1137" t="s">
        <v>1381</v>
      </c>
      <c r="E1137" t="s">
        <v>595</v>
      </c>
      <c r="F1137" s="13">
        <v>44691.657569444447</v>
      </c>
      <c r="G1137" t="s">
        <v>407</v>
      </c>
      <c r="H1137" t="s">
        <v>408</v>
      </c>
      <c r="I1137" s="13">
        <v>44692.456782407404</v>
      </c>
      <c r="K1137" t="s">
        <v>379</v>
      </c>
      <c r="M1137" s="13">
        <v>44774</v>
      </c>
      <c r="R1137">
        <v>100</v>
      </c>
      <c r="S1137" t="s">
        <v>380</v>
      </c>
      <c r="T1137" t="s">
        <v>57</v>
      </c>
      <c r="V1137" t="s">
        <v>381</v>
      </c>
      <c r="W1137" t="s">
        <v>686</v>
      </c>
      <c r="X1137" t="s">
        <v>686</v>
      </c>
      <c r="AC1137" s="13">
        <v>44833</v>
      </c>
      <c r="AD1137" s="13">
        <v>44776</v>
      </c>
      <c r="AF1137" t="s">
        <v>382</v>
      </c>
      <c r="AG1137" t="s">
        <v>406</v>
      </c>
      <c r="AI1137">
        <v>83</v>
      </c>
      <c r="AK1137" t="s">
        <v>480</v>
      </c>
      <c r="AL1137" t="s">
        <v>1382</v>
      </c>
      <c r="AN1137" t="s">
        <v>31</v>
      </c>
      <c r="AO1137">
        <v>0</v>
      </c>
      <c r="AS1137" t="s">
        <v>526</v>
      </c>
      <c r="AX1137" t="s">
        <v>57</v>
      </c>
      <c r="AY1137" t="s">
        <v>442</v>
      </c>
      <c r="AZ1137" t="s">
        <v>406</v>
      </c>
      <c r="BF1137">
        <v>0</v>
      </c>
      <c r="BK1137" t="s">
        <v>31</v>
      </c>
      <c r="BS1137" t="s">
        <v>379</v>
      </c>
      <c r="BT1137" t="s">
        <v>379</v>
      </c>
      <c r="CI1137" t="s">
        <v>388</v>
      </c>
      <c r="CJ1137" s="14">
        <v>45014</v>
      </c>
      <c r="CK1137">
        <v>1</v>
      </c>
    </row>
    <row r="1138" spans="1:89">
      <c r="A1138" t="s">
        <v>1383</v>
      </c>
      <c r="B1138" t="s">
        <v>374</v>
      </c>
      <c r="C1138" t="s">
        <v>1384</v>
      </c>
      <c r="D1138" t="s">
        <v>1385</v>
      </c>
      <c r="E1138" t="s">
        <v>1386</v>
      </c>
      <c r="F1138" s="13">
        <v>44691.624212962961</v>
      </c>
      <c r="G1138" t="s">
        <v>1321</v>
      </c>
      <c r="H1138" t="s">
        <v>1322</v>
      </c>
      <c r="I1138" s="13">
        <v>44833.703101851854</v>
      </c>
      <c r="K1138" t="s">
        <v>379</v>
      </c>
      <c r="M1138" s="13">
        <v>44873</v>
      </c>
      <c r="R1138">
        <v>100</v>
      </c>
      <c r="S1138" t="s">
        <v>380</v>
      </c>
      <c r="T1138" t="s">
        <v>57</v>
      </c>
      <c r="V1138" t="s">
        <v>381</v>
      </c>
      <c r="W1138" t="s">
        <v>1323</v>
      </c>
      <c r="X1138" t="s">
        <v>1323</v>
      </c>
      <c r="AF1138" t="s">
        <v>382</v>
      </c>
      <c r="AG1138" t="s">
        <v>1387</v>
      </c>
      <c r="AI1138">
        <v>180</v>
      </c>
      <c r="AL1138" t="s">
        <v>1388</v>
      </c>
      <c r="AN1138" t="s">
        <v>31</v>
      </c>
      <c r="AO1138">
        <v>0</v>
      </c>
      <c r="AS1138" t="s">
        <v>744</v>
      </c>
      <c r="AX1138" t="s">
        <v>57</v>
      </c>
      <c r="AY1138" t="s">
        <v>442</v>
      </c>
      <c r="AZ1138" t="s">
        <v>1389</v>
      </c>
      <c r="BF1138">
        <v>0</v>
      </c>
      <c r="BK1138" t="s">
        <v>31</v>
      </c>
      <c r="BS1138" t="s">
        <v>379</v>
      </c>
      <c r="BT1138" t="s">
        <v>379</v>
      </c>
      <c r="CI1138" t="s">
        <v>388</v>
      </c>
      <c r="CJ1138" s="14">
        <v>45014</v>
      </c>
      <c r="CK1138">
        <v>1</v>
      </c>
    </row>
    <row r="1139" spans="1:89">
      <c r="A1139" t="s">
        <v>1383</v>
      </c>
      <c r="B1139" t="s">
        <v>374</v>
      </c>
      <c r="C1139" t="s">
        <v>1384</v>
      </c>
      <c r="D1139" t="s">
        <v>1390</v>
      </c>
      <c r="E1139" t="s">
        <v>1386</v>
      </c>
      <c r="F1139" s="13">
        <v>44691.60560185185</v>
      </c>
      <c r="G1139" t="s">
        <v>1321</v>
      </c>
      <c r="H1139" t="s">
        <v>1322</v>
      </c>
      <c r="I1139" s="13">
        <v>44833.703101851854</v>
      </c>
      <c r="K1139" t="s">
        <v>379</v>
      </c>
      <c r="M1139" s="13">
        <v>44781</v>
      </c>
      <c r="R1139">
        <v>100</v>
      </c>
      <c r="S1139" t="s">
        <v>416</v>
      </c>
      <c r="T1139" t="s">
        <v>57</v>
      </c>
      <c r="V1139" t="s">
        <v>381</v>
      </c>
      <c r="W1139" t="s">
        <v>1323</v>
      </c>
      <c r="X1139" t="s">
        <v>1323</v>
      </c>
      <c r="AF1139" t="s">
        <v>382</v>
      </c>
      <c r="AG1139" t="s">
        <v>382</v>
      </c>
      <c r="AI1139">
        <v>90</v>
      </c>
      <c r="AL1139" t="s">
        <v>1388</v>
      </c>
      <c r="AM1139">
        <v>1</v>
      </c>
      <c r="AN1139" t="s">
        <v>31</v>
      </c>
      <c r="AO1139">
        <v>0</v>
      </c>
      <c r="AS1139" t="s">
        <v>744</v>
      </c>
      <c r="AX1139" t="s">
        <v>31</v>
      </c>
      <c r="AY1139" t="s">
        <v>442</v>
      </c>
      <c r="AZ1139" t="s">
        <v>1389</v>
      </c>
      <c r="BF1139">
        <v>0</v>
      </c>
      <c r="BK1139" t="s">
        <v>31</v>
      </c>
      <c r="BS1139" t="s">
        <v>379</v>
      </c>
      <c r="BT1139" t="s">
        <v>379</v>
      </c>
      <c r="CI1139" t="s">
        <v>388</v>
      </c>
      <c r="CJ1139" s="14">
        <v>45014</v>
      </c>
      <c r="CK1139">
        <v>1</v>
      </c>
    </row>
    <row r="1140" spans="1:89">
      <c r="A1140" t="s">
        <v>404</v>
      </c>
      <c r="B1140" t="s">
        <v>374</v>
      </c>
      <c r="C1140" t="s">
        <v>375</v>
      </c>
      <c r="D1140" t="s">
        <v>1391</v>
      </c>
      <c r="E1140" t="s">
        <v>406</v>
      </c>
      <c r="F1140" s="13">
        <v>44691.5309375</v>
      </c>
      <c r="G1140" t="s">
        <v>407</v>
      </c>
      <c r="H1140" t="s">
        <v>408</v>
      </c>
      <c r="I1140" s="13">
        <v>45012.044386574074</v>
      </c>
      <c r="K1140" t="s">
        <v>415</v>
      </c>
      <c r="M1140" s="13">
        <v>44862</v>
      </c>
      <c r="R1140">
        <v>0</v>
      </c>
      <c r="S1140" t="s">
        <v>380</v>
      </c>
      <c r="T1140" t="s">
        <v>57</v>
      </c>
      <c r="V1140" t="s">
        <v>478</v>
      </c>
      <c r="W1140" t="s">
        <v>406</v>
      </c>
      <c r="X1140" t="s">
        <v>406</v>
      </c>
      <c r="Y1140" t="s">
        <v>480</v>
      </c>
      <c r="AB1140" t="s">
        <v>31</v>
      </c>
      <c r="AF1140" t="s">
        <v>1301</v>
      </c>
      <c r="AG1140" t="s">
        <v>406</v>
      </c>
      <c r="AI1140">
        <v>-150</v>
      </c>
      <c r="AJ1140" s="13">
        <v>44875</v>
      </c>
      <c r="AK1140" t="s">
        <v>480</v>
      </c>
      <c r="AL1140" t="s">
        <v>1392</v>
      </c>
      <c r="AN1140" t="s">
        <v>31</v>
      </c>
      <c r="AO1140">
        <v>0</v>
      </c>
      <c r="AS1140" t="s">
        <v>526</v>
      </c>
      <c r="AT1140" t="s">
        <v>31</v>
      </c>
      <c r="AX1140" t="s">
        <v>31</v>
      </c>
      <c r="AY1140" t="s">
        <v>386</v>
      </c>
      <c r="AZ1140" t="s">
        <v>406</v>
      </c>
      <c r="BC1140" t="s">
        <v>480</v>
      </c>
      <c r="BD1140" t="s">
        <v>406</v>
      </c>
      <c r="BE1140" t="s">
        <v>520</v>
      </c>
      <c r="BF1140">
        <v>1</v>
      </c>
      <c r="BK1140" t="s">
        <v>57</v>
      </c>
      <c r="BR1140" s="13">
        <v>44875</v>
      </c>
      <c r="BS1140" t="s">
        <v>484</v>
      </c>
      <c r="BT1140" t="s">
        <v>484</v>
      </c>
      <c r="BZ1140" s="13">
        <v>44714</v>
      </c>
      <c r="CI1140" t="s">
        <v>388</v>
      </c>
      <c r="CJ1140" s="14">
        <v>45014</v>
      </c>
      <c r="CK1140">
        <v>1</v>
      </c>
    </row>
    <row r="1141" spans="1:89">
      <c r="A1141" t="s">
        <v>404</v>
      </c>
      <c r="B1141" t="s">
        <v>374</v>
      </c>
      <c r="C1141" t="s">
        <v>375</v>
      </c>
      <c r="D1141" t="s">
        <v>1393</v>
      </c>
      <c r="E1141" t="s">
        <v>406</v>
      </c>
      <c r="F1141" s="13">
        <v>44691.514976851853</v>
      </c>
      <c r="G1141" t="s">
        <v>407</v>
      </c>
      <c r="H1141" t="s">
        <v>408</v>
      </c>
      <c r="I1141" s="13">
        <v>44691.563460648147</v>
      </c>
      <c r="K1141" t="s">
        <v>379</v>
      </c>
      <c r="M1141" s="13">
        <v>44781</v>
      </c>
      <c r="R1141">
        <v>100</v>
      </c>
      <c r="S1141" t="s">
        <v>416</v>
      </c>
      <c r="T1141" t="s">
        <v>57</v>
      </c>
      <c r="V1141" t="s">
        <v>381</v>
      </c>
      <c r="W1141" t="s">
        <v>406</v>
      </c>
      <c r="X1141" t="s">
        <v>406</v>
      </c>
      <c r="AF1141" t="s">
        <v>382</v>
      </c>
      <c r="AG1141" t="s">
        <v>406</v>
      </c>
      <c r="AI1141">
        <v>90</v>
      </c>
      <c r="AL1141" t="s">
        <v>1392</v>
      </c>
      <c r="AM1141">
        <v>1</v>
      </c>
      <c r="AN1141" t="s">
        <v>31</v>
      </c>
      <c r="AO1141">
        <v>0</v>
      </c>
      <c r="AS1141" t="s">
        <v>385</v>
      </c>
      <c r="AX1141" t="s">
        <v>57</v>
      </c>
      <c r="AY1141" t="s">
        <v>442</v>
      </c>
      <c r="AZ1141" t="s">
        <v>406</v>
      </c>
      <c r="BF1141">
        <v>0</v>
      </c>
      <c r="BK1141" t="s">
        <v>31</v>
      </c>
      <c r="BS1141" t="s">
        <v>379</v>
      </c>
      <c r="BT1141" t="s">
        <v>379</v>
      </c>
      <c r="CI1141" t="s">
        <v>388</v>
      </c>
      <c r="CJ1141" s="14">
        <v>45014</v>
      </c>
      <c r="CK1141">
        <v>1</v>
      </c>
    </row>
    <row r="1142" spans="1:89">
      <c r="A1142" t="s">
        <v>1383</v>
      </c>
      <c r="B1142" t="s">
        <v>374</v>
      </c>
      <c r="C1142" t="s">
        <v>1384</v>
      </c>
      <c r="D1142" t="s">
        <v>1394</v>
      </c>
      <c r="E1142" t="s">
        <v>1395</v>
      </c>
      <c r="F1142" s="13">
        <v>44691.51122685185</v>
      </c>
      <c r="G1142" t="s">
        <v>1321</v>
      </c>
      <c r="H1142" t="s">
        <v>1322</v>
      </c>
      <c r="I1142" s="13">
        <v>44833.703101851854</v>
      </c>
      <c r="K1142" t="s">
        <v>379</v>
      </c>
      <c r="M1142" s="13">
        <v>44783</v>
      </c>
      <c r="R1142">
        <v>100</v>
      </c>
      <c r="S1142" t="s">
        <v>380</v>
      </c>
      <c r="T1142" t="s">
        <v>57</v>
      </c>
      <c r="V1142" t="s">
        <v>381</v>
      </c>
      <c r="W1142" t="s">
        <v>1323</v>
      </c>
      <c r="X1142" t="s">
        <v>1323</v>
      </c>
      <c r="Y1142" t="s">
        <v>480</v>
      </c>
      <c r="AF1142" t="s">
        <v>382</v>
      </c>
      <c r="AG1142" t="s">
        <v>382</v>
      </c>
      <c r="AI1142">
        <v>91</v>
      </c>
      <c r="AJ1142" s="13">
        <v>44798</v>
      </c>
      <c r="AK1142" t="s">
        <v>480</v>
      </c>
      <c r="AL1142" t="s">
        <v>1396</v>
      </c>
      <c r="AN1142" t="s">
        <v>31</v>
      </c>
      <c r="AO1142">
        <v>0</v>
      </c>
      <c r="AS1142" t="s">
        <v>744</v>
      </c>
      <c r="AX1142" t="s">
        <v>31</v>
      </c>
      <c r="AY1142" t="s">
        <v>442</v>
      </c>
      <c r="AZ1142" t="s">
        <v>1397</v>
      </c>
      <c r="BF1142">
        <v>1</v>
      </c>
      <c r="BK1142" t="s">
        <v>57</v>
      </c>
      <c r="BR1142" s="13">
        <v>44798</v>
      </c>
      <c r="BS1142" t="s">
        <v>379</v>
      </c>
      <c r="BT1142" t="s">
        <v>379</v>
      </c>
      <c r="BZ1142" s="13">
        <v>44692</v>
      </c>
      <c r="CI1142" t="s">
        <v>388</v>
      </c>
      <c r="CJ1142" s="14">
        <v>45014</v>
      </c>
      <c r="CK1142">
        <v>1</v>
      </c>
    </row>
    <row r="1143" spans="1:89">
      <c r="A1143" t="s">
        <v>1398</v>
      </c>
      <c r="B1143" t="s">
        <v>374</v>
      </c>
      <c r="C1143" t="s">
        <v>35</v>
      </c>
      <c r="D1143" t="s">
        <v>1399</v>
      </c>
      <c r="E1143" t="s">
        <v>1400</v>
      </c>
      <c r="F1143" s="13">
        <v>44691.51116898148</v>
      </c>
      <c r="G1143" t="s">
        <v>1228</v>
      </c>
      <c r="H1143" t="s">
        <v>1229</v>
      </c>
      <c r="I1143" s="13">
        <v>44691.688090277778</v>
      </c>
      <c r="K1143" t="s">
        <v>379</v>
      </c>
      <c r="M1143" s="13">
        <v>44706</v>
      </c>
      <c r="R1143">
        <v>100</v>
      </c>
      <c r="S1143" t="s">
        <v>380</v>
      </c>
      <c r="T1143" t="s">
        <v>57</v>
      </c>
      <c r="V1143" t="s">
        <v>381</v>
      </c>
      <c r="W1143" t="s">
        <v>1230</v>
      </c>
      <c r="X1143" t="s">
        <v>1230</v>
      </c>
      <c r="AF1143" t="s">
        <v>382</v>
      </c>
      <c r="AG1143" t="s">
        <v>1401</v>
      </c>
      <c r="AI1143">
        <v>15</v>
      </c>
      <c r="AK1143" t="s">
        <v>480</v>
      </c>
      <c r="AL1143" t="s">
        <v>1402</v>
      </c>
      <c r="AN1143" t="s">
        <v>31</v>
      </c>
      <c r="AO1143">
        <v>0</v>
      </c>
      <c r="AS1143" t="s">
        <v>526</v>
      </c>
      <c r="AX1143" t="s">
        <v>31</v>
      </c>
      <c r="AY1143" t="s">
        <v>386</v>
      </c>
      <c r="AZ1143" t="s">
        <v>1403</v>
      </c>
      <c r="BE1143" t="s">
        <v>1404</v>
      </c>
      <c r="BF1143">
        <v>0</v>
      </c>
      <c r="BK1143" t="s">
        <v>31</v>
      </c>
      <c r="BS1143" t="s">
        <v>379</v>
      </c>
      <c r="BT1143" t="s">
        <v>379</v>
      </c>
      <c r="CI1143" t="s">
        <v>388</v>
      </c>
      <c r="CJ1143" s="14">
        <v>45014</v>
      </c>
      <c r="CK1143">
        <v>1</v>
      </c>
    </row>
    <row r="1144" spans="1:89">
      <c r="A1144" t="s">
        <v>1235</v>
      </c>
      <c r="B1144" t="s">
        <v>374</v>
      </c>
      <c r="C1144" t="s">
        <v>1236</v>
      </c>
      <c r="D1144" t="s">
        <v>1405</v>
      </c>
      <c r="E1144" t="s">
        <v>1406</v>
      </c>
      <c r="F1144" s="13">
        <v>44691.508020833331</v>
      </c>
      <c r="G1144" t="s">
        <v>1239</v>
      </c>
      <c r="H1144" t="s">
        <v>1240</v>
      </c>
      <c r="I1144" s="13">
        <v>45012.044386574074</v>
      </c>
      <c r="K1144" t="s">
        <v>415</v>
      </c>
      <c r="M1144" s="13">
        <v>44712</v>
      </c>
      <c r="R1144">
        <v>0</v>
      </c>
      <c r="S1144" t="s">
        <v>380</v>
      </c>
      <c r="T1144" t="s">
        <v>57</v>
      </c>
      <c r="V1144" t="s">
        <v>478</v>
      </c>
      <c r="W1144" t="s">
        <v>1240</v>
      </c>
      <c r="X1144" t="s">
        <v>1240</v>
      </c>
      <c r="Y1144" t="s">
        <v>480</v>
      </c>
      <c r="AF1144" t="s">
        <v>1301</v>
      </c>
      <c r="AG1144" t="s">
        <v>1407</v>
      </c>
      <c r="AI1144">
        <v>-300</v>
      </c>
      <c r="AJ1144" s="13">
        <v>44713</v>
      </c>
      <c r="AK1144" t="s">
        <v>480</v>
      </c>
      <c r="AL1144" t="s">
        <v>1408</v>
      </c>
      <c r="AN1144" t="s">
        <v>31</v>
      </c>
      <c r="AO1144">
        <v>0</v>
      </c>
      <c r="AS1144" t="s">
        <v>648</v>
      </c>
      <c r="AX1144" t="s">
        <v>31</v>
      </c>
      <c r="AY1144" t="s">
        <v>386</v>
      </c>
      <c r="AZ1144" t="s">
        <v>1409</v>
      </c>
      <c r="BF1144">
        <v>1</v>
      </c>
      <c r="BK1144" t="s">
        <v>57</v>
      </c>
      <c r="BR1144" s="13">
        <v>44713</v>
      </c>
      <c r="BS1144" t="s">
        <v>419</v>
      </c>
      <c r="BT1144" t="s">
        <v>419</v>
      </c>
      <c r="BZ1144" s="13">
        <v>44691</v>
      </c>
      <c r="CI1144" t="s">
        <v>388</v>
      </c>
      <c r="CJ1144" s="14">
        <v>45014</v>
      </c>
      <c r="CK1144">
        <v>1</v>
      </c>
    </row>
    <row r="1145" spans="1:89">
      <c r="A1145" t="s">
        <v>1224</v>
      </c>
      <c r="B1145" t="s">
        <v>374</v>
      </c>
      <c r="C1145" t="s">
        <v>1225</v>
      </c>
      <c r="D1145" t="s">
        <v>1410</v>
      </c>
      <c r="E1145" t="s">
        <v>1411</v>
      </c>
      <c r="F1145" s="13">
        <v>44691.494120370371</v>
      </c>
      <c r="G1145" t="s">
        <v>1125</v>
      </c>
      <c r="H1145" t="s">
        <v>1126</v>
      </c>
      <c r="I1145" s="13">
        <v>44691.700300925928</v>
      </c>
      <c r="K1145" t="s">
        <v>379</v>
      </c>
      <c r="M1145" s="13">
        <v>44742</v>
      </c>
      <c r="R1145">
        <v>100</v>
      </c>
      <c r="S1145" t="s">
        <v>380</v>
      </c>
      <c r="T1145" t="s">
        <v>57</v>
      </c>
      <c r="V1145" t="s">
        <v>381</v>
      </c>
      <c r="W1145" t="s">
        <v>1205</v>
      </c>
      <c r="X1145" t="s">
        <v>1205</v>
      </c>
      <c r="AF1145" t="s">
        <v>382</v>
      </c>
      <c r="AG1145" t="s">
        <v>1412</v>
      </c>
      <c r="AI1145">
        <v>51</v>
      </c>
      <c r="AJ1145" s="13">
        <v>44773</v>
      </c>
      <c r="AK1145" t="s">
        <v>480</v>
      </c>
      <c r="AL1145" t="s">
        <v>1413</v>
      </c>
      <c r="AN1145" t="s">
        <v>31</v>
      </c>
      <c r="AO1145">
        <v>0</v>
      </c>
      <c r="AS1145" t="s">
        <v>385</v>
      </c>
      <c r="AX1145" t="s">
        <v>31</v>
      </c>
      <c r="AY1145" t="s">
        <v>386</v>
      </c>
      <c r="AZ1145" t="s">
        <v>1414</v>
      </c>
      <c r="BF1145">
        <v>0</v>
      </c>
      <c r="BK1145" t="s">
        <v>31</v>
      </c>
      <c r="BS1145" t="s">
        <v>379</v>
      </c>
      <c r="BT1145" t="s">
        <v>379</v>
      </c>
      <c r="CI1145" t="s">
        <v>388</v>
      </c>
      <c r="CJ1145" s="14">
        <v>45014</v>
      </c>
      <c r="CK1145">
        <v>1</v>
      </c>
    </row>
    <row r="1146" spans="1:89">
      <c r="A1146" t="s">
        <v>1415</v>
      </c>
      <c r="B1146" t="s">
        <v>374</v>
      </c>
      <c r="C1146" t="s">
        <v>1416</v>
      </c>
      <c r="D1146" t="s">
        <v>1417</v>
      </c>
      <c r="E1146" t="s">
        <v>574</v>
      </c>
      <c r="F1146" s="13">
        <v>44691.479548611111</v>
      </c>
      <c r="G1146" t="s">
        <v>1418</v>
      </c>
      <c r="H1146" t="s">
        <v>1419</v>
      </c>
      <c r="I1146" s="13">
        <v>45012.044374999998</v>
      </c>
      <c r="K1146" t="s">
        <v>415</v>
      </c>
      <c r="M1146" s="13">
        <v>44773</v>
      </c>
      <c r="R1146">
        <v>0</v>
      </c>
      <c r="S1146" t="s">
        <v>380</v>
      </c>
      <c r="T1146" t="s">
        <v>57</v>
      </c>
      <c r="V1146" t="s">
        <v>478</v>
      </c>
      <c r="W1146" t="s">
        <v>574</v>
      </c>
      <c r="X1146" t="s">
        <v>574</v>
      </c>
      <c r="AF1146" t="s">
        <v>451</v>
      </c>
      <c r="AI1146">
        <v>-239</v>
      </c>
      <c r="AL1146" t="s">
        <v>1420</v>
      </c>
      <c r="AN1146" t="s">
        <v>31</v>
      </c>
      <c r="AO1146">
        <v>0</v>
      </c>
      <c r="AS1146" t="s">
        <v>385</v>
      </c>
      <c r="AX1146" t="s">
        <v>31</v>
      </c>
      <c r="AY1146" t="s">
        <v>442</v>
      </c>
      <c r="AZ1146" t="s">
        <v>574</v>
      </c>
      <c r="BF1146">
        <v>0</v>
      </c>
      <c r="BK1146" t="s">
        <v>31</v>
      </c>
      <c r="BS1146" t="s">
        <v>419</v>
      </c>
      <c r="BT1146" t="s">
        <v>419</v>
      </c>
      <c r="CI1146" t="s">
        <v>388</v>
      </c>
      <c r="CJ1146" s="14">
        <v>45014</v>
      </c>
      <c r="CK1146">
        <v>1</v>
      </c>
    </row>
    <row r="1147" spans="1:89">
      <c r="A1147" t="s">
        <v>1421</v>
      </c>
      <c r="B1147" t="s">
        <v>374</v>
      </c>
      <c r="C1147" t="s">
        <v>1422</v>
      </c>
      <c r="D1147" t="s">
        <v>1423</v>
      </c>
      <c r="E1147" t="s">
        <v>1424</v>
      </c>
      <c r="F1147" s="13">
        <v>44685.547037037039</v>
      </c>
      <c r="G1147" t="s">
        <v>1155</v>
      </c>
      <c r="H1147" t="s">
        <v>1156</v>
      </c>
      <c r="I1147" s="13">
        <v>45012.044374999998</v>
      </c>
      <c r="K1147" t="s">
        <v>415</v>
      </c>
      <c r="M1147" s="13">
        <v>44712</v>
      </c>
      <c r="R1147">
        <v>0</v>
      </c>
      <c r="S1147" t="s">
        <v>380</v>
      </c>
      <c r="T1147" t="s">
        <v>57</v>
      </c>
      <c r="V1147" t="s">
        <v>478</v>
      </c>
      <c r="W1147" t="s">
        <v>1425</v>
      </c>
      <c r="X1147" t="s">
        <v>1425</v>
      </c>
      <c r="AF1147" t="s">
        <v>451</v>
      </c>
      <c r="AI1147">
        <v>-300</v>
      </c>
      <c r="AL1147" t="s">
        <v>1426</v>
      </c>
      <c r="AN1147" t="s">
        <v>31</v>
      </c>
      <c r="AO1147">
        <v>0</v>
      </c>
      <c r="AS1147" t="s">
        <v>385</v>
      </c>
      <c r="AX1147" t="s">
        <v>31</v>
      </c>
      <c r="AY1147" t="s">
        <v>386</v>
      </c>
      <c r="AZ1147" t="s">
        <v>1427</v>
      </c>
      <c r="BF1147">
        <v>0</v>
      </c>
      <c r="BK1147" t="s">
        <v>31</v>
      </c>
      <c r="BS1147" t="s">
        <v>419</v>
      </c>
      <c r="BT1147" t="s">
        <v>419</v>
      </c>
      <c r="CI1147" t="s">
        <v>388</v>
      </c>
      <c r="CJ1147" s="14">
        <v>45014</v>
      </c>
      <c r="CK1147">
        <v>1</v>
      </c>
    </row>
    <row r="1148" spans="1:89">
      <c r="A1148" t="s">
        <v>1421</v>
      </c>
      <c r="B1148" t="s">
        <v>374</v>
      </c>
      <c r="C1148" t="s">
        <v>1422</v>
      </c>
      <c r="D1148" t="s">
        <v>1428</v>
      </c>
      <c r="E1148" t="s">
        <v>1429</v>
      </c>
      <c r="F1148" s="13">
        <v>44684.737430555557</v>
      </c>
      <c r="G1148" t="s">
        <v>1155</v>
      </c>
      <c r="H1148" t="s">
        <v>1156</v>
      </c>
      <c r="I1148" s="13">
        <v>44684.748599537037</v>
      </c>
      <c r="K1148" t="s">
        <v>412</v>
      </c>
      <c r="R1148">
        <v>0</v>
      </c>
      <c r="S1148" t="s">
        <v>380</v>
      </c>
      <c r="T1148" t="s">
        <v>57</v>
      </c>
      <c r="V1148" t="s">
        <v>381</v>
      </c>
      <c r="W1148" t="s">
        <v>1425</v>
      </c>
      <c r="X1148" t="s">
        <v>1425</v>
      </c>
      <c r="AI1148">
        <v>87</v>
      </c>
      <c r="AL1148" t="s">
        <v>1430</v>
      </c>
      <c r="AN1148" t="s">
        <v>31</v>
      </c>
      <c r="AO1148">
        <v>0</v>
      </c>
      <c r="AS1148" t="s">
        <v>730</v>
      </c>
      <c r="AX1148" t="s">
        <v>31</v>
      </c>
      <c r="AY1148" t="s">
        <v>386</v>
      </c>
      <c r="AZ1148" t="s">
        <v>1431</v>
      </c>
      <c r="BF1148">
        <v>0</v>
      </c>
      <c r="BK1148" t="s">
        <v>31</v>
      </c>
      <c r="BS1148" t="s">
        <v>412</v>
      </c>
      <c r="BT1148" t="s">
        <v>412</v>
      </c>
      <c r="CI1148" t="s">
        <v>388</v>
      </c>
      <c r="CJ1148" s="14">
        <v>45014</v>
      </c>
      <c r="CK1148">
        <v>1</v>
      </c>
    </row>
    <row r="1149" spans="1:89">
      <c r="A1149" t="s">
        <v>1421</v>
      </c>
      <c r="B1149" t="s">
        <v>374</v>
      </c>
      <c r="C1149" t="s">
        <v>1422</v>
      </c>
      <c r="D1149" t="s">
        <v>1432</v>
      </c>
      <c r="E1149" t="s">
        <v>1433</v>
      </c>
      <c r="F1149" s="13">
        <v>44684.593078703707</v>
      </c>
      <c r="G1149" t="s">
        <v>1155</v>
      </c>
      <c r="H1149" t="s">
        <v>1156</v>
      </c>
      <c r="I1149" s="13">
        <v>44684.593622685185</v>
      </c>
      <c r="K1149" t="s">
        <v>412</v>
      </c>
      <c r="R1149">
        <v>0</v>
      </c>
      <c r="S1149" t="s">
        <v>416</v>
      </c>
      <c r="T1149" t="s">
        <v>57</v>
      </c>
      <c r="V1149" t="s">
        <v>381</v>
      </c>
      <c r="W1149" t="s">
        <v>1425</v>
      </c>
      <c r="X1149" t="s">
        <v>1425</v>
      </c>
      <c r="AI1149">
        <v>73</v>
      </c>
      <c r="AL1149" t="s">
        <v>1434</v>
      </c>
      <c r="AN1149" t="s">
        <v>31</v>
      </c>
      <c r="AO1149">
        <v>0</v>
      </c>
      <c r="AS1149" t="s">
        <v>385</v>
      </c>
      <c r="AX1149" t="s">
        <v>31</v>
      </c>
      <c r="AY1149" t="s">
        <v>386</v>
      </c>
      <c r="AZ1149" t="s">
        <v>1435</v>
      </c>
      <c r="BF1149">
        <v>0</v>
      </c>
      <c r="BK1149" t="s">
        <v>31</v>
      </c>
      <c r="BS1149" t="s">
        <v>412</v>
      </c>
      <c r="BT1149" t="s">
        <v>412</v>
      </c>
      <c r="CI1149" t="s">
        <v>388</v>
      </c>
      <c r="CJ1149" s="14">
        <v>45014</v>
      </c>
      <c r="CK1149">
        <v>1</v>
      </c>
    </row>
    <row r="1150" spans="1:89">
      <c r="A1150" t="s">
        <v>1421</v>
      </c>
      <c r="B1150" t="s">
        <v>374</v>
      </c>
      <c r="C1150" t="s">
        <v>1422</v>
      </c>
      <c r="D1150" t="s">
        <v>1436</v>
      </c>
      <c r="E1150" t="s">
        <v>1433</v>
      </c>
      <c r="F1150" s="13">
        <v>44684.567986111113</v>
      </c>
      <c r="G1150" t="s">
        <v>1155</v>
      </c>
      <c r="H1150" t="s">
        <v>1156</v>
      </c>
      <c r="I1150" s="13">
        <v>44684.56821759259</v>
      </c>
      <c r="K1150" t="s">
        <v>409</v>
      </c>
      <c r="R1150">
        <v>0</v>
      </c>
      <c r="S1150" t="s">
        <v>380</v>
      </c>
      <c r="V1150" t="s">
        <v>381</v>
      </c>
      <c r="W1150" t="s">
        <v>1425</v>
      </c>
      <c r="X1150" t="s">
        <v>1425</v>
      </c>
      <c r="AI1150">
        <v>73</v>
      </c>
      <c r="AL1150" t="s">
        <v>1434</v>
      </c>
      <c r="AN1150" t="s">
        <v>31</v>
      </c>
      <c r="AO1150">
        <v>0</v>
      </c>
      <c r="AZ1150" t="s">
        <v>1435</v>
      </c>
      <c r="BF1150">
        <v>0</v>
      </c>
      <c r="BK1150" t="s">
        <v>31</v>
      </c>
      <c r="BS1150" t="s">
        <v>409</v>
      </c>
      <c r="BT1150" t="s">
        <v>409</v>
      </c>
      <c r="CI1150" t="s">
        <v>388</v>
      </c>
      <c r="CJ1150" s="14">
        <v>45014</v>
      </c>
      <c r="CK1150">
        <v>1</v>
      </c>
    </row>
    <row r="1151" spans="1:89">
      <c r="A1151" t="s">
        <v>1421</v>
      </c>
      <c r="B1151" t="s">
        <v>374</v>
      </c>
      <c r="C1151" t="s">
        <v>1422</v>
      </c>
      <c r="D1151" t="s">
        <v>1437</v>
      </c>
      <c r="E1151" t="s">
        <v>1438</v>
      </c>
      <c r="F1151" s="13">
        <v>44684.562303240738</v>
      </c>
      <c r="G1151" t="s">
        <v>1155</v>
      </c>
      <c r="H1151" t="s">
        <v>1156</v>
      </c>
      <c r="I1151" s="13">
        <v>44685.549849537034</v>
      </c>
      <c r="K1151" t="s">
        <v>409</v>
      </c>
      <c r="R1151">
        <v>0</v>
      </c>
      <c r="S1151" t="s">
        <v>380</v>
      </c>
      <c r="V1151" t="s">
        <v>381</v>
      </c>
      <c r="W1151" t="s">
        <v>1425</v>
      </c>
      <c r="X1151" t="s">
        <v>1425</v>
      </c>
      <c r="AI1151">
        <v>58</v>
      </c>
      <c r="AL1151" t="s">
        <v>1434</v>
      </c>
      <c r="AN1151" t="s">
        <v>31</v>
      </c>
      <c r="AO1151">
        <v>0</v>
      </c>
      <c r="AZ1151" t="s">
        <v>1439</v>
      </c>
      <c r="BF1151">
        <v>0</v>
      </c>
      <c r="BK1151" t="s">
        <v>31</v>
      </c>
      <c r="BS1151" t="s">
        <v>409</v>
      </c>
      <c r="BT1151" t="s">
        <v>409</v>
      </c>
      <c r="CI1151" t="s">
        <v>388</v>
      </c>
      <c r="CJ1151" s="14">
        <v>45014</v>
      </c>
      <c r="CK1151">
        <v>1</v>
      </c>
    </row>
    <row r="1152" spans="1:89">
      <c r="A1152" t="s">
        <v>1421</v>
      </c>
      <c r="B1152" t="s">
        <v>374</v>
      </c>
      <c r="C1152" t="s">
        <v>1422</v>
      </c>
      <c r="D1152" t="s">
        <v>1440</v>
      </c>
      <c r="E1152" t="s">
        <v>1441</v>
      </c>
      <c r="F1152" s="13">
        <v>44684.561377314814</v>
      </c>
      <c r="G1152" t="s">
        <v>1155</v>
      </c>
      <c r="H1152" t="s">
        <v>1156</v>
      </c>
      <c r="I1152" s="13">
        <v>44685.55064814815</v>
      </c>
      <c r="K1152" t="s">
        <v>409</v>
      </c>
      <c r="R1152">
        <v>0</v>
      </c>
      <c r="S1152" t="s">
        <v>380</v>
      </c>
      <c r="V1152" t="s">
        <v>381</v>
      </c>
      <c r="W1152" t="s">
        <v>1425</v>
      </c>
      <c r="X1152" t="s">
        <v>1425</v>
      </c>
      <c r="AI1152">
        <v>58</v>
      </c>
      <c r="AL1152" t="s">
        <v>1434</v>
      </c>
      <c r="AN1152" t="s">
        <v>31</v>
      </c>
      <c r="AO1152">
        <v>0</v>
      </c>
      <c r="AZ1152" t="s">
        <v>648</v>
      </c>
      <c r="BF1152">
        <v>0</v>
      </c>
      <c r="BK1152" t="s">
        <v>31</v>
      </c>
      <c r="BS1152" t="s">
        <v>409</v>
      </c>
      <c r="BT1152" t="s">
        <v>409</v>
      </c>
      <c r="CI1152" t="s">
        <v>388</v>
      </c>
      <c r="CJ1152" s="14">
        <v>45014</v>
      </c>
      <c r="CK1152">
        <v>1</v>
      </c>
    </row>
    <row r="1153" spans="1:89">
      <c r="A1153" t="s">
        <v>1421</v>
      </c>
      <c r="B1153" t="s">
        <v>374</v>
      </c>
      <c r="C1153" t="s">
        <v>1422</v>
      </c>
      <c r="D1153" t="s">
        <v>1442</v>
      </c>
      <c r="E1153" t="s">
        <v>1443</v>
      </c>
      <c r="F1153" s="13">
        <v>44684.560428240744</v>
      </c>
      <c r="G1153" t="s">
        <v>1155</v>
      </c>
      <c r="H1153" t="s">
        <v>1156</v>
      </c>
      <c r="I1153" s="13">
        <v>44685.550300925926</v>
      </c>
      <c r="K1153" t="s">
        <v>409</v>
      </c>
      <c r="R1153">
        <v>0</v>
      </c>
      <c r="S1153" t="s">
        <v>380</v>
      </c>
      <c r="V1153" t="s">
        <v>381</v>
      </c>
      <c r="W1153" t="s">
        <v>1425</v>
      </c>
      <c r="X1153" t="s">
        <v>1425</v>
      </c>
      <c r="AI1153">
        <v>28</v>
      </c>
      <c r="AL1153" t="s">
        <v>1434</v>
      </c>
      <c r="AN1153" t="s">
        <v>31</v>
      </c>
      <c r="AO1153">
        <v>0</v>
      </c>
      <c r="AZ1153" t="s">
        <v>1444</v>
      </c>
      <c r="BF1153">
        <v>0</v>
      </c>
      <c r="BK1153" t="s">
        <v>31</v>
      </c>
      <c r="BS1153" t="s">
        <v>409</v>
      </c>
      <c r="BT1153" t="s">
        <v>409</v>
      </c>
      <c r="CI1153" t="s">
        <v>388</v>
      </c>
      <c r="CJ1153" s="14">
        <v>45014</v>
      </c>
      <c r="CK1153">
        <v>1</v>
      </c>
    </row>
    <row r="1154" spans="1:89">
      <c r="A1154" t="s">
        <v>1421</v>
      </c>
      <c r="B1154" t="s">
        <v>374</v>
      </c>
      <c r="C1154" t="s">
        <v>1422</v>
      </c>
      <c r="D1154" t="s">
        <v>1445</v>
      </c>
      <c r="E1154" t="s">
        <v>1433</v>
      </c>
      <c r="F1154" s="13">
        <v>44680.290821759256</v>
      </c>
      <c r="G1154" t="s">
        <v>1155</v>
      </c>
      <c r="H1154" t="s">
        <v>1156</v>
      </c>
      <c r="I1154" s="13">
        <v>45012.044374999998</v>
      </c>
      <c r="K1154" t="s">
        <v>415</v>
      </c>
      <c r="M1154" s="13">
        <v>44757</v>
      </c>
      <c r="R1154">
        <v>100</v>
      </c>
      <c r="S1154" t="s">
        <v>416</v>
      </c>
      <c r="T1154" t="s">
        <v>57</v>
      </c>
      <c r="V1154" t="s">
        <v>478</v>
      </c>
      <c r="W1154" t="s">
        <v>1425</v>
      </c>
      <c r="X1154" t="s">
        <v>1425</v>
      </c>
      <c r="AF1154" t="s">
        <v>451</v>
      </c>
      <c r="AG1154" t="s">
        <v>1446</v>
      </c>
      <c r="AI1154">
        <v>-255</v>
      </c>
      <c r="AL1154" t="s">
        <v>1447</v>
      </c>
      <c r="AN1154" t="s">
        <v>31</v>
      </c>
      <c r="AO1154">
        <v>0</v>
      </c>
      <c r="AS1154" t="s">
        <v>385</v>
      </c>
      <c r="AX1154" t="s">
        <v>31</v>
      </c>
      <c r="AY1154" t="s">
        <v>386</v>
      </c>
      <c r="AZ1154" t="s">
        <v>1435</v>
      </c>
      <c r="BF1154">
        <v>0</v>
      </c>
      <c r="BK1154" t="s">
        <v>31</v>
      </c>
      <c r="BS1154" t="s">
        <v>419</v>
      </c>
      <c r="BT1154" t="s">
        <v>419</v>
      </c>
      <c r="CI1154" t="s">
        <v>388</v>
      </c>
      <c r="CJ1154" s="14">
        <v>45014</v>
      </c>
      <c r="CK1154">
        <v>1</v>
      </c>
    </row>
    <row r="1155" spans="1:89">
      <c r="A1155" t="s">
        <v>1421</v>
      </c>
      <c r="B1155" t="s">
        <v>374</v>
      </c>
      <c r="C1155" t="s">
        <v>1422</v>
      </c>
      <c r="D1155" t="s">
        <v>1448</v>
      </c>
      <c r="E1155" t="s">
        <v>1449</v>
      </c>
      <c r="F1155" s="13">
        <v>44680.28979166667</v>
      </c>
      <c r="G1155" t="s">
        <v>1155</v>
      </c>
      <c r="H1155" t="s">
        <v>1156</v>
      </c>
      <c r="I1155" s="13">
        <v>45012.044363425928</v>
      </c>
      <c r="K1155" t="s">
        <v>415</v>
      </c>
      <c r="M1155" s="13">
        <v>44742</v>
      </c>
      <c r="R1155">
        <v>0</v>
      </c>
      <c r="S1155" t="s">
        <v>380</v>
      </c>
      <c r="T1155" t="s">
        <v>57</v>
      </c>
      <c r="V1155" t="s">
        <v>478</v>
      </c>
      <c r="W1155" t="s">
        <v>1425</v>
      </c>
      <c r="X1155" t="s">
        <v>1425</v>
      </c>
      <c r="AC1155" s="13">
        <v>44676</v>
      </c>
      <c r="AD1155" s="13">
        <v>44645</v>
      </c>
      <c r="AF1155" t="s">
        <v>451</v>
      </c>
      <c r="AI1155">
        <v>-270</v>
      </c>
      <c r="AL1155" t="s">
        <v>1447</v>
      </c>
      <c r="AN1155" t="s">
        <v>31</v>
      </c>
      <c r="AO1155">
        <v>0</v>
      </c>
      <c r="AS1155" t="s">
        <v>385</v>
      </c>
      <c r="AX1155" t="s">
        <v>31</v>
      </c>
      <c r="AY1155" t="s">
        <v>386</v>
      </c>
      <c r="AZ1155" t="s">
        <v>1439</v>
      </c>
      <c r="BF1155">
        <v>0</v>
      </c>
      <c r="BK1155" t="s">
        <v>31</v>
      </c>
      <c r="BS1155" t="s">
        <v>419</v>
      </c>
      <c r="BT1155" t="s">
        <v>419</v>
      </c>
      <c r="CI1155" t="s">
        <v>388</v>
      </c>
      <c r="CJ1155" s="14">
        <v>45014</v>
      </c>
      <c r="CK1155">
        <v>1</v>
      </c>
    </row>
    <row r="1156" spans="1:89">
      <c r="A1156" t="s">
        <v>1421</v>
      </c>
      <c r="B1156" t="s">
        <v>374</v>
      </c>
      <c r="C1156" t="s">
        <v>1422</v>
      </c>
      <c r="D1156" t="s">
        <v>1450</v>
      </c>
      <c r="E1156" t="s">
        <v>1451</v>
      </c>
      <c r="F1156" s="13">
        <v>44680.289074074077</v>
      </c>
      <c r="G1156" t="s">
        <v>1155</v>
      </c>
      <c r="H1156" t="s">
        <v>1156</v>
      </c>
      <c r="I1156" s="13">
        <v>45012.044363425928</v>
      </c>
      <c r="K1156" t="s">
        <v>415</v>
      </c>
      <c r="M1156" s="13">
        <v>44742</v>
      </c>
      <c r="R1156">
        <v>0</v>
      </c>
      <c r="S1156" t="s">
        <v>380</v>
      </c>
      <c r="T1156" t="s">
        <v>57</v>
      </c>
      <c r="V1156" t="s">
        <v>478</v>
      </c>
      <c r="W1156" t="s">
        <v>1425</v>
      </c>
      <c r="X1156" t="s">
        <v>1425</v>
      </c>
      <c r="AF1156" t="s">
        <v>451</v>
      </c>
      <c r="AI1156">
        <v>-270</v>
      </c>
      <c r="AL1156" t="s">
        <v>1447</v>
      </c>
      <c r="AN1156" t="s">
        <v>31</v>
      </c>
      <c r="AO1156">
        <v>0</v>
      </c>
      <c r="AS1156" t="s">
        <v>648</v>
      </c>
      <c r="AX1156" t="s">
        <v>31</v>
      </c>
      <c r="AY1156" t="s">
        <v>386</v>
      </c>
      <c r="AZ1156" t="s">
        <v>648</v>
      </c>
      <c r="BF1156">
        <v>0</v>
      </c>
      <c r="BK1156" t="s">
        <v>31</v>
      </c>
      <c r="BS1156" t="s">
        <v>419</v>
      </c>
      <c r="BT1156" t="s">
        <v>419</v>
      </c>
      <c r="CI1156" t="s">
        <v>388</v>
      </c>
      <c r="CJ1156" s="14">
        <v>45014</v>
      </c>
      <c r="CK1156">
        <v>1</v>
      </c>
    </row>
    <row r="1157" spans="1:89">
      <c r="A1157" t="s">
        <v>1421</v>
      </c>
      <c r="B1157" t="s">
        <v>374</v>
      </c>
      <c r="C1157" t="s">
        <v>1422</v>
      </c>
      <c r="D1157" t="s">
        <v>1452</v>
      </c>
      <c r="E1157" t="s">
        <v>1443</v>
      </c>
      <c r="F1157" s="13">
        <v>44680.288368055553</v>
      </c>
      <c r="G1157" t="s">
        <v>1155</v>
      </c>
      <c r="H1157" t="s">
        <v>1156</v>
      </c>
      <c r="I1157" s="13">
        <v>45012.044363425928</v>
      </c>
      <c r="K1157" t="s">
        <v>415</v>
      </c>
      <c r="M1157" s="13">
        <v>44712</v>
      </c>
      <c r="R1157">
        <v>0</v>
      </c>
      <c r="S1157" t="s">
        <v>380</v>
      </c>
      <c r="T1157" t="s">
        <v>57</v>
      </c>
      <c r="V1157" t="s">
        <v>478</v>
      </c>
      <c r="W1157" t="s">
        <v>1425</v>
      </c>
      <c r="X1157" t="s">
        <v>1425</v>
      </c>
      <c r="AF1157" t="s">
        <v>451</v>
      </c>
      <c r="AI1157">
        <v>-300</v>
      </c>
      <c r="AL1157" t="s">
        <v>1447</v>
      </c>
      <c r="AN1157" t="s">
        <v>31</v>
      </c>
      <c r="AO1157">
        <v>0</v>
      </c>
      <c r="AS1157" t="s">
        <v>385</v>
      </c>
      <c r="AX1157" t="s">
        <v>31</v>
      </c>
      <c r="AY1157" t="s">
        <v>386</v>
      </c>
      <c r="AZ1157" t="s">
        <v>1444</v>
      </c>
      <c r="BF1157">
        <v>0</v>
      </c>
      <c r="BK1157" t="s">
        <v>31</v>
      </c>
      <c r="BS1157" t="s">
        <v>419</v>
      </c>
      <c r="BT1157" t="s">
        <v>419</v>
      </c>
      <c r="CI1157" t="s">
        <v>388</v>
      </c>
      <c r="CJ1157" s="14">
        <v>45014</v>
      </c>
      <c r="CK1157">
        <v>1</v>
      </c>
    </row>
    <row r="1158" spans="1:89">
      <c r="A1158" t="s">
        <v>435</v>
      </c>
      <c r="B1158" t="s">
        <v>374</v>
      </c>
      <c r="C1158" t="s">
        <v>436</v>
      </c>
      <c r="D1158" t="s">
        <v>1453</v>
      </c>
      <c r="E1158" t="s">
        <v>1454</v>
      </c>
      <c r="F1158" s="13">
        <v>44665.52516203704</v>
      </c>
      <c r="G1158" t="s">
        <v>1139</v>
      </c>
      <c r="H1158" t="s">
        <v>1140</v>
      </c>
      <c r="I1158" s="13">
        <v>44665.534675925926</v>
      </c>
      <c r="K1158" t="s">
        <v>379</v>
      </c>
      <c r="M1158" s="13">
        <v>44712</v>
      </c>
      <c r="R1158">
        <v>100</v>
      </c>
      <c r="S1158" t="s">
        <v>380</v>
      </c>
      <c r="T1158" t="s">
        <v>57</v>
      </c>
      <c r="V1158" t="s">
        <v>381</v>
      </c>
      <c r="W1158" t="s">
        <v>1141</v>
      </c>
      <c r="X1158" t="s">
        <v>1141</v>
      </c>
      <c r="AC1158" s="13">
        <v>44742</v>
      </c>
      <c r="AD1158" s="13">
        <v>44712</v>
      </c>
      <c r="AF1158" t="s">
        <v>382</v>
      </c>
      <c r="AG1158" t="s">
        <v>1455</v>
      </c>
      <c r="AI1158">
        <v>47</v>
      </c>
      <c r="AL1158" t="s">
        <v>1456</v>
      </c>
      <c r="AN1158" t="s">
        <v>31</v>
      </c>
      <c r="AO1158">
        <v>0</v>
      </c>
      <c r="AS1158" t="s">
        <v>385</v>
      </c>
      <c r="AX1158" t="s">
        <v>57</v>
      </c>
      <c r="AY1158" t="s">
        <v>386</v>
      </c>
      <c r="AZ1158" t="s">
        <v>1457</v>
      </c>
      <c r="BE1158" t="s">
        <v>1458</v>
      </c>
      <c r="BF1158">
        <v>0</v>
      </c>
      <c r="BK1158" t="s">
        <v>31</v>
      </c>
      <c r="BS1158" t="s">
        <v>379</v>
      </c>
      <c r="BT1158" t="s">
        <v>379</v>
      </c>
      <c r="CI1158" t="s">
        <v>388</v>
      </c>
      <c r="CJ1158" s="14">
        <v>45014</v>
      </c>
      <c r="CK1158">
        <v>1</v>
      </c>
    </row>
    <row r="1159" spans="1:89">
      <c r="A1159" t="s">
        <v>1459</v>
      </c>
      <c r="B1159" t="s">
        <v>374</v>
      </c>
      <c r="C1159" t="s">
        <v>1460</v>
      </c>
      <c r="D1159" t="s">
        <v>1461</v>
      </c>
      <c r="E1159" t="s">
        <v>1462</v>
      </c>
      <c r="F1159" s="13">
        <v>44650.419722222221</v>
      </c>
      <c r="G1159" t="s">
        <v>1463</v>
      </c>
      <c r="H1159" t="s">
        <v>1464</v>
      </c>
      <c r="I1159" s="13">
        <v>45012.044351851851</v>
      </c>
      <c r="K1159" t="s">
        <v>415</v>
      </c>
      <c r="M1159" s="13">
        <v>44651</v>
      </c>
      <c r="R1159">
        <v>0</v>
      </c>
      <c r="S1159" t="s">
        <v>380</v>
      </c>
      <c r="T1159" t="s">
        <v>57</v>
      </c>
      <c r="V1159" t="s">
        <v>478</v>
      </c>
      <c r="W1159" t="s">
        <v>1465</v>
      </c>
      <c r="X1159" t="s">
        <v>1465</v>
      </c>
      <c r="Y1159" t="s">
        <v>480</v>
      </c>
      <c r="AF1159" t="s">
        <v>451</v>
      </c>
      <c r="AI1159">
        <v>-361</v>
      </c>
      <c r="AL1159" t="s">
        <v>1466</v>
      </c>
      <c r="AN1159" t="s">
        <v>31</v>
      </c>
      <c r="AO1159">
        <v>0</v>
      </c>
      <c r="AS1159" t="s">
        <v>881</v>
      </c>
      <c r="AT1159" t="s">
        <v>31</v>
      </c>
      <c r="AX1159" t="s">
        <v>57</v>
      </c>
      <c r="AY1159" t="s">
        <v>386</v>
      </c>
      <c r="AZ1159" t="s">
        <v>1467</v>
      </c>
      <c r="BF1159">
        <v>0</v>
      </c>
      <c r="BK1159" t="s">
        <v>31</v>
      </c>
      <c r="BS1159" t="s">
        <v>484</v>
      </c>
      <c r="BT1159" t="s">
        <v>484</v>
      </c>
      <c r="CI1159" t="s">
        <v>388</v>
      </c>
      <c r="CJ1159" s="14">
        <v>45014</v>
      </c>
      <c r="CK1159">
        <v>1</v>
      </c>
    </row>
    <row r="1160" spans="1:89">
      <c r="A1160" t="s">
        <v>1468</v>
      </c>
      <c r="B1160" t="s">
        <v>374</v>
      </c>
      <c r="C1160" t="s">
        <v>1469</v>
      </c>
      <c r="D1160" t="s">
        <v>1470</v>
      </c>
      <c r="E1160" t="s">
        <v>1471</v>
      </c>
      <c r="F1160" s="13">
        <v>44645.876875000002</v>
      </c>
      <c r="G1160" t="s">
        <v>1472</v>
      </c>
      <c r="H1160" t="s">
        <v>1473</v>
      </c>
      <c r="I1160" s="13">
        <v>45012.044351851851</v>
      </c>
      <c r="K1160" t="s">
        <v>415</v>
      </c>
      <c r="M1160" s="13">
        <v>44712</v>
      </c>
      <c r="R1160">
        <v>0</v>
      </c>
      <c r="S1160" t="s">
        <v>380</v>
      </c>
      <c r="T1160" t="s">
        <v>57</v>
      </c>
      <c r="V1160" t="s">
        <v>478</v>
      </c>
      <c r="W1160" t="s">
        <v>1474</v>
      </c>
      <c r="X1160" t="s">
        <v>1474</v>
      </c>
      <c r="AF1160" t="s">
        <v>451</v>
      </c>
      <c r="AI1160">
        <v>-300</v>
      </c>
      <c r="AL1160" t="s">
        <v>1475</v>
      </c>
      <c r="AN1160" t="s">
        <v>31</v>
      </c>
      <c r="AO1160">
        <v>0</v>
      </c>
      <c r="AS1160" t="s">
        <v>385</v>
      </c>
      <c r="AX1160" t="s">
        <v>31</v>
      </c>
      <c r="AY1160" t="s">
        <v>386</v>
      </c>
      <c r="AZ1160" t="s">
        <v>1476</v>
      </c>
      <c r="BF1160">
        <v>0</v>
      </c>
      <c r="BK1160" t="s">
        <v>31</v>
      </c>
      <c r="BS1160" t="s">
        <v>419</v>
      </c>
      <c r="BT1160" t="s">
        <v>419</v>
      </c>
      <c r="CI1160" t="s">
        <v>388</v>
      </c>
      <c r="CJ1160" s="14">
        <v>45014</v>
      </c>
      <c r="CK1160">
        <v>1</v>
      </c>
    </row>
    <row r="1161" spans="1:89">
      <c r="A1161" t="s">
        <v>1468</v>
      </c>
      <c r="B1161" t="s">
        <v>374</v>
      </c>
      <c r="C1161" t="s">
        <v>1469</v>
      </c>
      <c r="D1161" t="s">
        <v>1477</v>
      </c>
      <c r="E1161" t="s">
        <v>1478</v>
      </c>
      <c r="F1161" s="13">
        <v>44645.869328703702</v>
      </c>
      <c r="G1161" t="s">
        <v>1472</v>
      </c>
      <c r="H1161" t="s">
        <v>1473</v>
      </c>
      <c r="I1161" s="13">
        <v>44645.875</v>
      </c>
      <c r="K1161" t="s">
        <v>409</v>
      </c>
      <c r="R1161">
        <v>0</v>
      </c>
      <c r="S1161" t="s">
        <v>380</v>
      </c>
      <c r="T1161" t="s">
        <v>57</v>
      </c>
      <c r="V1161" t="s">
        <v>381</v>
      </c>
      <c r="W1161" t="s">
        <v>1474</v>
      </c>
      <c r="X1161" t="s">
        <v>1474</v>
      </c>
      <c r="AI1161">
        <v>67</v>
      </c>
      <c r="AL1161" t="s">
        <v>1475</v>
      </c>
      <c r="AN1161" t="s">
        <v>31</v>
      </c>
      <c r="AO1161">
        <v>0</v>
      </c>
      <c r="AS1161" t="s">
        <v>385</v>
      </c>
      <c r="AX1161" t="s">
        <v>31</v>
      </c>
      <c r="AY1161" t="s">
        <v>386</v>
      </c>
      <c r="AZ1161" t="s">
        <v>1476</v>
      </c>
      <c r="BF1161">
        <v>1</v>
      </c>
      <c r="BK1161" t="s">
        <v>31</v>
      </c>
      <c r="BS1161" t="s">
        <v>409</v>
      </c>
      <c r="BT1161" t="s">
        <v>409</v>
      </c>
      <c r="CI1161" t="s">
        <v>388</v>
      </c>
      <c r="CJ1161" s="14">
        <v>45014</v>
      </c>
      <c r="CK1161">
        <v>1</v>
      </c>
    </row>
    <row r="1162" spans="1:89">
      <c r="A1162" t="s">
        <v>1479</v>
      </c>
      <c r="B1162" t="s">
        <v>374</v>
      </c>
      <c r="C1162" t="s">
        <v>1480</v>
      </c>
      <c r="D1162" t="s">
        <v>1481</v>
      </c>
      <c r="E1162" t="s">
        <v>1482</v>
      </c>
      <c r="F1162" s="13">
        <v>44645.568483796298</v>
      </c>
      <c r="G1162" t="s">
        <v>1483</v>
      </c>
      <c r="H1162" t="s">
        <v>1484</v>
      </c>
      <c r="I1162" s="13">
        <v>45012.044351851851</v>
      </c>
      <c r="K1162" t="s">
        <v>415</v>
      </c>
      <c r="M1162" s="13">
        <v>44699</v>
      </c>
      <c r="R1162">
        <v>0</v>
      </c>
      <c r="S1162" t="s">
        <v>380</v>
      </c>
      <c r="T1162" t="s">
        <v>57</v>
      </c>
      <c r="V1162" t="s">
        <v>478</v>
      </c>
      <c r="W1162" t="s">
        <v>1485</v>
      </c>
      <c r="X1162" t="s">
        <v>1485</v>
      </c>
      <c r="AC1162" s="13">
        <v>44699</v>
      </c>
      <c r="AD1162" s="13">
        <v>44610</v>
      </c>
      <c r="AF1162" t="s">
        <v>451</v>
      </c>
      <c r="AI1162">
        <v>-313</v>
      </c>
      <c r="AL1162" t="s">
        <v>1486</v>
      </c>
      <c r="AN1162" t="s">
        <v>31</v>
      </c>
      <c r="AO1162">
        <v>0</v>
      </c>
      <c r="AS1162" t="s">
        <v>648</v>
      </c>
      <c r="AX1162" t="s">
        <v>31</v>
      </c>
      <c r="AY1162" t="s">
        <v>386</v>
      </c>
      <c r="AZ1162" t="s">
        <v>1487</v>
      </c>
      <c r="BF1162">
        <v>0</v>
      </c>
      <c r="BK1162" t="s">
        <v>31</v>
      </c>
      <c r="BS1162" t="s">
        <v>419</v>
      </c>
      <c r="BT1162" t="s">
        <v>419</v>
      </c>
      <c r="CI1162" t="s">
        <v>388</v>
      </c>
      <c r="CJ1162" s="14">
        <v>45014</v>
      </c>
      <c r="CK1162">
        <v>1</v>
      </c>
    </row>
    <row r="1163" spans="1:89">
      <c r="A1163" t="s">
        <v>1479</v>
      </c>
      <c r="B1163" t="s">
        <v>374</v>
      </c>
      <c r="C1163" t="s">
        <v>1480</v>
      </c>
      <c r="D1163" t="s">
        <v>1488</v>
      </c>
      <c r="E1163" t="s">
        <v>1489</v>
      </c>
      <c r="F1163" s="13">
        <v>44645.440960648149</v>
      </c>
      <c r="G1163" t="s">
        <v>1483</v>
      </c>
      <c r="H1163" t="s">
        <v>1484</v>
      </c>
      <c r="I1163" s="13">
        <v>45012.044340277775</v>
      </c>
      <c r="K1163" t="s">
        <v>415</v>
      </c>
      <c r="M1163" s="13">
        <v>44687</v>
      </c>
      <c r="R1163">
        <v>0</v>
      </c>
      <c r="S1163" t="s">
        <v>380</v>
      </c>
      <c r="T1163" t="s">
        <v>57</v>
      </c>
      <c r="V1163" t="s">
        <v>478</v>
      </c>
      <c r="W1163" t="s">
        <v>1490</v>
      </c>
      <c r="X1163" t="s">
        <v>1490</v>
      </c>
      <c r="AC1163" s="13">
        <v>44687</v>
      </c>
      <c r="AD1163" s="13">
        <v>44607</v>
      </c>
      <c r="AF1163" t="s">
        <v>451</v>
      </c>
      <c r="AI1163">
        <v>-325</v>
      </c>
      <c r="AL1163" t="s">
        <v>1491</v>
      </c>
      <c r="AN1163" t="s">
        <v>31</v>
      </c>
      <c r="AO1163">
        <v>0</v>
      </c>
      <c r="AS1163" t="s">
        <v>702</v>
      </c>
      <c r="AX1163" t="s">
        <v>31</v>
      </c>
      <c r="AY1163" t="s">
        <v>386</v>
      </c>
      <c r="AZ1163" t="s">
        <v>1492</v>
      </c>
      <c r="BF1163">
        <v>0</v>
      </c>
      <c r="BK1163" t="s">
        <v>31</v>
      </c>
      <c r="BS1163" t="s">
        <v>419</v>
      </c>
      <c r="BT1163" t="s">
        <v>419</v>
      </c>
      <c r="CI1163" t="s">
        <v>388</v>
      </c>
      <c r="CJ1163" s="14">
        <v>45014</v>
      </c>
      <c r="CK1163">
        <v>1</v>
      </c>
    </row>
    <row r="1164" spans="1:89">
      <c r="A1164" t="s">
        <v>1479</v>
      </c>
      <c r="B1164" t="s">
        <v>374</v>
      </c>
      <c r="C1164" t="s">
        <v>1480</v>
      </c>
      <c r="D1164" t="s">
        <v>1493</v>
      </c>
      <c r="E1164" t="s">
        <v>1494</v>
      </c>
      <c r="F1164" s="13">
        <v>44645.331284722219</v>
      </c>
      <c r="G1164" t="s">
        <v>1483</v>
      </c>
      <c r="H1164" t="s">
        <v>1484</v>
      </c>
      <c r="I1164" s="13">
        <v>45012.044340277775</v>
      </c>
      <c r="K1164" t="s">
        <v>415</v>
      </c>
      <c r="M1164" s="13">
        <v>44704</v>
      </c>
      <c r="R1164">
        <v>0</v>
      </c>
      <c r="S1164" t="s">
        <v>380</v>
      </c>
      <c r="T1164" t="s">
        <v>57</v>
      </c>
      <c r="V1164" t="s">
        <v>478</v>
      </c>
      <c r="W1164" t="s">
        <v>1485</v>
      </c>
      <c r="X1164" t="s">
        <v>1485</v>
      </c>
      <c r="AC1164" s="13">
        <v>44704</v>
      </c>
      <c r="AD1164" s="13">
        <v>44610</v>
      </c>
      <c r="AF1164" t="s">
        <v>451</v>
      </c>
      <c r="AI1164">
        <v>-308</v>
      </c>
      <c r="AL1164" t="s">
        <v>1495</v>
      </c>
      <c r="AN1164" t="s">
        <v>31</v>
      </c>
      <c r="AO1164">
        <v>0</v>
      </c>
      <c r="AS1164" t="s">
        <v>385</v>
      </c>
      <c r="AX1164" t="s">
        <v>31</v>
      </c>
      <c r="AY1164" t="s">
        <v>386</v>
      </c>
      <c r="AZ1164" t="s">
        <v>1496</v>
      </c>
      <c r="BF1164">
        <v>0</v>
      </c>
      <c r="BK1164" t="s">
        <v>31</v>
      </c>
      <c r="BS1164" t="s">
        <v>419</v>
      </c>
      <c r="BT1164" t="s">
        <v>419</v>
      </c>
      <c r="CI1164" t="s">
        <v>388</v>
      </c>
      <c r="CJ1164" s="14">
        <v>45014</v>
      </c>
      <c r="CK1164">
        <v>1</v>
      </c>
    </row>
    <row r="1165" spans="1:89">
      <c r="A1165" t="s">
        <v>1497</v>
      </c>
      <c r="B1165" t="s">
        <v>374</v>
      </c>
      <c r="C1165" t="s">
        <v>1498</v>
      </c>
      <c r="D1165" t="s">
        <v>1499</v>
      </c>
      <c r="E1165" t="s">
        <v>1500</v>
      </c>
      <c r="F1165" s="13">
        <v>44644.64980324074</v>
      </c>
      <c r="G1165" t="s">
        <v>1501</v>
      </c>
      <c r="H1165" t="s">
        <v>1502</v>
      </c>
      <c r="I1165" s="13">
        <v>45012.044340277775</v>
      </c>
      <c r="K1165" t="s">
        <v>415</v>
      </c>
      <c r="M1165" s="13">
        <v>44742</v>
      </c>
      <c r="R1165">
        <v>0</v>
      </c>
      <c r="S1165" t="s">
        <v>380</v>
      </c>
      <c r="T1165" t="s">
        <v>57</v>
      </c>
      <c r="V1165" t="s">
        <v>478</v>
      </c>
      <c r="W1165" t="s">
        <v>1503</v>
      </c>
      <c r="X1165" t="s">
        <v>1503</v>
      </c>
      <c r="AC1165" s="13">
        <v>44742</v>
      </c>
      <c r="AD1165" s="13">
        <v>44742</v>
      </c>
      <c r="AF1165" t="s">
        <v>451</v>
      </c>
      <c r="AI1165">
        <v>-270</v>
      </c>
      <c r="AL1165" t="s">
        <v>1504</v>
      </c>
      <c r="AN1165" t="s">
        <v>31</v>
      </c>
      <c r="AO1165">
        <v>0</v>
      </c>
      <c r="AS1165" t="s">
        <v>538</v>
      </c>
      <c r="AX1165" t="s">
        <v>57</v>
      </c>
      <c r="AY1165" t="s">
        <v>442</v>
      </c>
      <c r="AZ1165" t="s">
        <v>1505</v>
      </c>
      <c r="BF1165">
        <v>0</v>
      </c>
      <c r="BK1165" t="s">
        <v>31</v>
      </c>
      <c r="BS1165" t="s">
        <v>419</v>
      </c>
      <c r="BT1165" t="s">
        <v>419</v>
      </c>
      <c r="CI1165" t="s">
        <v>388</v>
      </c>
      <c r="CJ1165" s="14">
        <v>45014</v>
      </c>
      <c r="CK1165">
        <v>1</v>
      </c>
    </row>
    <row r="1166" spans="1:89">
      <c r="A1166" t="s">
        <v>1497</v>
      </c>
      <c r="B1166" t="s">
        <v>374</v>
      </c>
      <c r="C1166" t="s">
        <v>1498</v>
      </c>
      <c r="D1166" t="s">
        <v>1506</v>
      </c>
      <c r="E1166" t="s">
        <v>1507</v>
      </c>
      <c r="F1166" s="13">
        <v>44644.645532407405</v>
      </c>
      <c r="G1166" t="s">
        <v>1501</v>
      </c>
      <c r="H1166" t="s">
        <v>1502</v>
      </c>
      <c r="I1166" s="13">
        <v>45012.044340277775</v>
      </c>
      <c r="K1166" t="s">
        <v>415</v>
      </c>
      <c r="M1166" s="13">
        <v>44742</v>
      </c>
      <c r="R1166">
        <v>0</v>
      </c>
      <c r="S1166" t="s">
        <v>380</v>
      </c>
      <c r="T1166" t="s">
        <v>57</v>
      </c>
      <c r="V1166" t="s">
        <v>478</v>
      </c>
      <c r="W1166" t="s">
        <v>1503</v>
      </c>
      <c r="X1166" t="s">
        <v>1503</v>
      </c>
      <c r="AC1166" s="13">
        <v>44742</v>
      </c>
      <c r="AD1166" s="13">
        <v>44742</v>
      </c>
      <c r="AF1166" t="s">
        <v>451</v>
      </c>
      <c r="AI1166">
        <v>-270</v>
      </c>
      <c r="AL1166" t="s">
        <v>1504</v>
      </c>
      <c r="AN1166" t="s">
        <v>31</v>
      </c>
      <c r="AO1166">
        <v>0</v>
      </c>
      <c r="AS1166" t="s">
        <v>538</v>
      </c>
      <c r="AX1166" t="s">
        <v>57</v>
      </c>
      <c r="AY1166" t="s">
        <v>442</v>
      </c>
      <c r="AZ1166" t="s">
        <v>1508</v>
      </c>
      <c r="BF1166">
        <v>0</v>
      </c>
      <c r="BK1166" t="s">
        <v>31</v>
      </c>
      <c r="BS1166" t="s">
        <v>419</v>
      </c>
      <c r="BT1166" t="s">
        <v>419</v>
      </c>
      <c r="CI1166" t="s">
        <v>388</v>
      </c>
      <c r="CJ1166" s="14">
        <v>45014</v>
      </c>
      <c r="CK1166">
        <v>1</v>
      </c>
    </row>
    <row r="1167" spans="1:89">
      <c r="A1167" t="s">
        <v>1497</v>
      </c>
      <c r="B1167" t="s">
        <v>374</v>
      </c>
      <c r="C1167" t="s">
        <v>1498</v>
      </c>
      <c r="D1167" t="s">
        <v>1509</v>
      </c>
      <c r="E1167" t="s">
        <v>1510</v>
      </c>
      <c r="F1167" s="13">
        <v>44644.641585648147</v>
      </c>
      <c r="G1167" t="s">
        <v>1501</v>
      </c>
      <c r="H1167" t="s">
        <v>1502</v>
      </c>
      <c r="I1167" s="13">
        <v>45012.044328703705</v>
      </c>
      <c r="K1167" t="s">
        <v>415</v>
      </c>
      <c r="M1167" s="13">
        <v>44742</v>
      </c>
      <c r="R1167">
        <v>0</v>
      </c>
      <c r="S1167" t="s">
        <v>380</v>
      </c>
      <c r="T1167" t="s">
        <v>57</v>
      </c>
      <c r="V1167" t="s">
        <v>478</v>
      </c>
      <c r="W1167" t="s">
        <v>1503</v>
      </c>
      <c r="X1167" t="s">
        <v>1503</v>
      </c>
      <c r="AC1167" s="13">
        <v>44742</v>
      </c>
      <c r="AD1167" s="13">
        <v>44742</v>
      </c>
      <c r="AF1167" t="s">
        <v>451</v>
      </c>
      <c r="AI1167">
        <v>-270</v>
      </c>
      <c r="AL1167" t="s">
        <v>1504</v>
      </c>
      <c r="AN1167" t="s">
        <v>31</v>
      </c>
      <c r="AO1167">
        <v>0</v>
      </c>
      <c r="AS1167" t="s">
        <v>538</v>
      </c>
      <c r="AX1167" t="s">
        <v>57</v>
      </c>
      <c r="AY1167" t="s">
        <v>442</v>
      </c>
      <c r="AZ1167" t="s">
        <v>1511</v>
      </c>
      <c r="BF1167">
        <v>0</v>
      </c>
      <c r="BK1167" t="s">
        <v>31</v>
      </c>
      <c r="BS1167" t="s">
        <v>419</v>
      </c>
      <c r="BT1167" t="s">
        <v>419</v>
      </c>
      <c r="CI1167" t="s">
        <v>388</v>
      </c>
      <c r="CJ1167" s="14">
        <v>45014</v>
      </c>
      <c r="CK1167">
        <v>1</v>
      </c>
    </row>
    <row r="1168" spans="1:89">
      <c r="A1168" t="s">
        <v>1497</v>
      </c>
      <c r="B1168" t="s">
        <v>374</v>
      </c>
      <c r="C1168" t="s">
        <v>1498</v>
      </c>
      <c r="D1168" t="s">
        <v>1512</v>
      </c>
      <c r="E1168" t="s">
        <v>1513</v>
      </c>
      <c r="F1168" s="13">
        <v>44644.626018518517</v>
      </c>
      <c r="G1168" t="s">
        <v>1501</v>
      </c>
      <c r="H1168" t="s">
        <v>1502</v>
      </c>
      <c r="I1168" s="13">
        <v>45012.044328703705</v>
      </c>
      <c r="K1168" t="s">
        <v>415</v>
      </c>
      <c r="M1168" s="13">
        <v>44742</v>
      </c>
      <c r="R1168">
        <v>0</v>
      </c>
      <c r="S1168" t="s">
        <v>380</v>
      </c>
      <c r="T1168" t="s">
        <v>57</v>
      </c>
      <c r="V1168" t="s">
        <v>478</v>
      </c>
      <c r="W1168" t="s">
        <v>1503</v>
      </c>
      <c r="X1168" t="s">
        <v>1503</v>
      </c>
      <c r="AC1168" s="13">
        <v>44742</v>
      </c>
      <c r="AD1168" s="13">
        <v>44742</v>
      </c>
      <c r="AF1168" t="s">
        <v>451</v>
      </c>
      <c r="AI1168">
        <v>-270</v>
      </c>
      <c r="AL1168" t="s">
        <v>1504</v>
      </c>
      <c r="AN1168" t="s">
        <v>31</v>
      </c>
      <c r="AO1168">
        <v>0</v>
      </c>
      <c r="AS1168" t="s">
        <v>538</v>
      </c>
      <c r="AX1168" t="s">
        <v>57</v>
      </c>
      <c r="AY1168" t="s">
        <v>442</v>
      </c>
      <c r="AZ1168" t="s">
        <v>1514</v>
      </c>
      <c r="BF1168">
        <v>0</v>
      </c>
      <c r="BK1168" t="s">
        <v>31</v>
      </c>
      <c r="BS1168" t="s">
        <v>419</v>
      </c>
      <c r="BT1168" t="s">
        <v>419</v>
      </c>
      <c r="CI1168" t="s">
        <v>388</v>
      </c>
      <c r="CJ1168" s="14">
        <v>45014</v>
      </c>
      <c r="CK1168">
        <v>1</v>
      </c>
    </row>
    <row r="1169" spans="1:89">
      <c r="A1169" t="s">
        <v>1497</v>
      </c>
      <c r="B1169" t="s">
        <v>374</v>
      </c>
      <c r="C1169" t="s">
        <v>1498</v>
      </c>
      <c r="D1169" t="s">
        <v>1515</v>
      </c>
      <c r="E1169" t="s">
        <v>1516</v>
      </c>
      <c r="F1169" s="13">
        <v>44644.612858796296</v>
      </c>
      <c r="G1169" t="s">
        <v>1501</v>
      </c>
      <c r="H1169" t="s">
        <v>1502</v>
      </c>
      <c r="I1169" s="13">
        <v>45012.044328703705</v>
      </c>
      <c r="K1169" t="s">
        <v>415</v>
      </c>
      <c r="M1169" s="13">
        <v>44742</v>
      </c>
      <c r="R1169">
        <v>0</v>
      </c>
      <c r="S1169" t="s">
        <v>380</v>
      </c>
      <c r="T1169" t="s">
        <v>57</v>
      </c>
      <c r="V1169" t="s">
        <v>478</v>
      </c>
      <c r="W1169" t="s">
        <v>1503</v>
      </c>
      <c r="X1169" t="s">
        <v>1503</v>
      </c>
      <c r="AC1169" s="13">
        <v>44742</v>
      </c>
      <c r="AD1169" s="13">
        <v>44742</v>
      </c>
      <c r="AF1169" t="s">
        <v>451</v>
      </c>
      <c r="AI1169">
        <v>-270</v>
      </c>
      <c r="AL1169" t="s">
        <v>1504</v>
      </c>
      <c r="AN1169" t="s">
        <v>31</v>
      </c>
      <c r="AO1169">
        <v>0</v>
      </c>
      <c r="AS1169" t="s">
        <v>538</v>
      </c>
      <c r="AX1169" t="s">
        <v>57</v>
      </c>
      <c r="AY1169" t="s">
        <v>442</v>
      </c>
      <c r="AZ1169" t="s">
        <v>1517</v>
      </c>
      <c r="BF1169">
        <v>0</v>
      </c>
      <c r="BK1169" t="s">
        <v>31</v>
      </c>
      <c r="BS1169" t="s">
        <v>419</v>
      </c>
      <c r="BT1169" t="s">
        <v>419</v>
      </c>
      <c r="CI1169" t="s">
        <v>388</v>
      </c>
      <c r="CJ1169" s="14">
        <v>45014</v>
      </c>
      <c r="CK1169">
        <v>1</v>
      </c>
    </row>
    <row r="1170" spans="1:89">
      <c r="A1170" t="s">
        <v>1497</v>
      </c>
      <c r="B1170" t="s">
        <v>374</v>
      </c>
      <c r="C1170" t="s">
        <v>1498</v>
      </c>
      <c r="D1170" t="s">
        <v>1518</v>
      </c>
      <c r="E1170" t="s">
        <v>1519</v>
      </c>
      <c r="F1170" s="13">
        <v>44644.596377314818</v>
      </c>
      <c r="G1170" t="s">
        <v>1501</v>
      </c>
      <c r="H1170" t="s">
        <v>1502</v>
      </c>
      <c r="I1170" s="13">
        <v>45012.044317129628</v>
      </c>
      <c r="K1170" t="s">
        <v>415</v>
      </c>
      <c r="M1170" s="13">
        <v>44681</v>
      </c>
      <c r="R1170">
        <v>0</v>
      </c>
      <c r="S1170" t="s">
        <v>380</v>
      </c>
      <c r="T1170" t="s">
        <v>57</v>
      </c>
      <c r="V1170" t="s">
        <v>478</v>
      </c>
      <c r="W1170" t="s">
        <v>1503</v>
      </c>
      <c r="X1170" t="s">
        <v>1503</v>
      </c>
      <c r="AC1170" s="13">
        <v>44620</v>
      </c>
      <c r="AD1170" s="13">
        <v>44620</v>
      </c>
      <c r="AF1170" t="s">
        <v>451</v>
      </c>
      <c r="AI1170">
        <v>-331</v>
      </c>
      <c r="AL1170" t="s">
        <v>1520</v>
      </c>
      <c r="AN1170" t="s">
        <v>31</v>
      </c>
      <c r="AO1170">
        <v>0</v>
      </c>
      <c r="AS1170" t="s">
        <v>385</v>
      </c>
      <c r="AX1170" t="s">
        <v>31</v>
      </c>
      <c r="AY1170" t="s">
        <v>442</v>
      </c>
      <c r="AZ1170" t="s">
        <v>1521</v>
      </c>
      <c r="BF1170">
        <v>0</v>
      </c>
      <c r="BK1170" t="s">
        <v>31</v>
      </c>
      <c r="BS1170" t="s">
        <v>419</v>
      </c>
      <c r="BT1170" t="s">
        <v>419</v>
      </c>
      <c r="CI1170" t="s">
        <v>388</v>
      </c>
      <c r="CJ1170" s="14">
        <v>45014</v>
      </c>
      <c r="CK1170">
        <v>1</v>
      </c>
    </row>
    <row r="1171" spans="1:89">
      <c r="A1171" t="s">
        <v>1522</v>
      </c>
      <c r="B1171" t="s">
        <v>374</v>
      </c>
      <c r="C1171" t="s">
        <v>1523</v>
      </c>
      <c r="D1171" t="s">
        <v>1524</v>
      </c>
      <c r="E1171" t="s">
        <v>1525</v>
      </c>
      <c r="F1171" s="13">
        <v>44644.566805555558</v>
      </c>
      <c r="G1171" t="s">
        <v>1526</v>
      </c>
      <c r="H1171" t="s">
        <v>1527</v>
      </c>
      <c r="I1171" s="13">
        <v>44644.56790509259</v>
      </c>
      <c r="K1171" t="s">
        <v>412</v>
      </c>
      <c r="R1171">
        <v>0</v>
      </c>
      <c r="S1171" t="s">
        <v>380</v>
      </c>
      <c r="T1171" t="s">
        <v>57</v>
      </c>
      <c r="V1171" t="s">
        <v>381</v>
      </c>
      <c r="W1171" t="s">
        <v>1528</v>
      </c>
      <c r="X1171" t="s">
        <v>1528</v>
      </c>
      <c r="AC1171" s="13">
        <v>44834</v>
      </c>
      <c r="AD1171" s="13">
        <v>44834</v>
      </c>
      <c r="AI1171">
        <v>190</v>
      </c>
      <c r="AL1171" t="s">
        <v>1529</v>
      </c>
      <c r="AN1171" t="s">
        <v>31</v>
      </c>
      <c r="AO1171">
        <v>0</v>
      </c>
      <c r="AS1171" t="s">
        <v>392</v>
      </c>
      <c r="AX1171" t="s">
        <v>31</v>
      </c>
      <c r="AY1171" t="s">
        <v>442</v>
      </c>
      <c r="AZ1171" t="s">
        <v>1530</v>
      </c>
      <c r="BF1171">
        <v>0</v>
      </c>
      <c r="BK1171" t="s">
        <v>31</v>
      </c>
      <c r="BS1171" t="s">
        <v>412</v>
      </c>
      <c r="BT1171" t="s">
        <v>412</v>
      </c>
      <c r="CI1171" t="s">
        <v>388</v>
      </c>
      <c r="CJ1171" s="14">
        <v>45014</v>
      </c>
      <c r="CK1171">
        <v>1</v>
      </c>
    </row>
    <row r="1172" spans="1:89">
      <c r="A1172" t="s">
        <v>1479</v>
      </c>
      <c r="B1172" t="s">
        <v>374</v>
      </c>
      <c r="C1172" t="s">
        <v>1480</v>
      </c>
      <c r="D1172" t="s">
        <v>1531</v>
      </c>
      <c r="E1172" t="s">
        <v>1532</v>
      </c>
      <c r="F1172" s="13">
        <v>44644.36383101852</v>
      </c>
      <c r="G1172" t="s">
        <v>1483</v>
      </c>
      <c r="H1172" t="s">
        <v>1484</v>
      </c>
      <c r="I1172" s="13">
        <v>45012.044317129628</v>
      </c>
      <c r="K1172" t="s">
        <v>415</v>
      </c>
      <c r="M1172" s="13">
        <v>44648</v>
      </c>
      <c r="R1172">
        <v>0</v>
      </c>
      <c r="S1172" t="s">
        <v>380</v>
      </c>
      <c r="T1172" t="s">
        <v>57</v>
      </c>
      <c r="V1172" t="s">
        <v>478</v>
      </c>
      <c r="W1172" t="s">
        <v>1490</v>
      </c>
      <c r="X1172" t="s">
        <v>1490</v>
      </c>
      <c r="AC1172" s="13">
        <v>44648</v>
      </c>
      <c r="AD1172" s="13">
        <v>44564</v>
      </c>
      <c r="AF1172" t="s">
        <v>451</v>
      </c>
      <c r="AI1172">
        <v>-364</v>
      </c>
      <c r="AL1172" t="s">
        <v>1533</v>
      </c>
      <c r="AN1172" t="s">
        <v>31</v>
      </c>
      <c r="AO1172">
        <v>0</v>
      </c>
      <c r="AS1172" t="s">
        <v>648</v>
      </c>
      <c r="AX1172" t="s">
        <v>31</v>
      </c>
      <c r="AY1172" t="s">
        <v>386</v>
      </c>
      <c r="AZ1172" t="s">
        <v>1534</v>
      </c>
      <c r="BF1172">
        <v>0</v>
      </c>
      <c r="BK1172" t="s">
        <v>31</v>
      </c>
      <c r="BS1172" t="s">
        <v>419</v>
      </c>
      <c r="BT1172" t="s">
        <v>419</v>
      </c>
      <c r="CI1172" t="s">
        <v>388</v>
      </c>
      <c r="CJ1172" s="14">
        <v>45014</v>
      </c>
      <c r="CK1172">
        <v>1</v>
      </c>
    </row>
    <row r="1173" spans="1:89">
      <c r="A1173" t="s">
        <v>1535</v>
      </c>
      <c r="B1173" t="s">
        <v>374</v>
      </c>
      <c r="C1173" t="s">
        <v>1536</v>
      </c>
      <c r="D1173" t="s">
        <v>1537</v>
      </c>
      <c r="E1173" t="s">
        <v>1538</v>
      </c>
      <c r="F1173" s="13">
        <v>44644.34920138889</v>
      </c>
      <c r="G1173" t="s">
        <v>1539</v>
      </c>
      <c r="H1173" t="s">
        <v>1540</v>
      </c>
      <c r="I1173" s="13">
        <v>44644.349918981483</v>
      </c>
      <c r="K1173" t="s">
        <v>412</v>
      </c>
      <c r="R1173">
        <v>0</v>
      </c>
      <c r="S1173" t="s">
        <v>380</v>
      </c>
      <c r="T1173" t="s">
        <v>57</v>
      </c>
      <c r="V1173" t="s">
        <v>381</v>
      </c>
      <c r="W1173" t="s">
        <v>1541</v>
      </c>
      <c r="X1173" t="s">
        <v>1541</v>
      </c>
      <c r="AC1173" s="13">
        <v>44652</v>
      </c>
      <c r="AD1173" s="13">
        <v>44652</v>
      </c>
      <c r="AI1173">
        <v>7</v>
      </c>
      <c r="AL1173" t="s">
        <v>1542</v>
      </c>
      <c r="AN1173" t="s">
        <v>31</v>
      </c>
      <c r="AO1173">
        <v>0</v>
      </c>
      <c r="AS1173" t="s">
        <v>385</v>
      </c>
      <c r="AX1173" t="s">
        <v>57</v>
      </c>
      <c r="AY1173" t="s">
        <v>386</v>
      </c>
      <c r="AZ1173" t="s">
        <v>1543</v>
      </c>
      <c r="BF1173">
        <v>0</v>
      </c>
      <c r="BK1173" t="s">
        <v>31</v>
      </c>
      <c r="BS1173" t="s">
        <v>412</v>
      </c>
      <c r="BT1173" t="s">
        <v>412</v>
      </c>
      <c r="CI1173" t="s">
        <v>388</v>
      </c>
      <c r="CJ1173" s="14">
        <v>45014</v>
      </c>
      <c r="CK1173">
        <v>1</v>
      </c>
    </row>
    <row r="1174" spans="1:89">
      <c r="A1174" t="s">
        <v>1479</v>
      </c>
      <c r="B1174" t="s">
        <v>374</v>
      </c>
      <c r="C1174" t="s">
        <v>1480</v>
      </c>
      <c r="D1174" t="s">
        <v>1544</v>
      </c>
      <c r="E1174" t="s">
        <v>1545</v>
      </c>
      <c r="F1174" s="13">
        <v>44644.343252314815</v>
      </c>
      <c r="G1174" t="s">
        <v>1483</v>
      </c>
      <c r="H1174" t="s">
        <v>1484</v>
      </c>
      <c r="I1174" s="13">
        <v>45012.044317129628</v>
      </c>
      <c r="K1174" t="s">
        <v>415</v>
      </c>
      <c r="M1174" s="13">
        <v>44673</v>
      </c>
      <c r="R1174">
        <v>0</v>
      </c>
      <c r="S1174" t="s">
        <v>380</v>
      </c>
      <c r="T1174" t="s">
        <v>57</v>
      </c>
      <c r="V1174" t="s">
        <v>478</v>
      </c>
      <c r="W1174" t="s">
        <v>1490</v>
      </c>
      <c r="X1174" t="s">
        <v>1490</v>
      </c>
      <c r="AC1174" s="13">
        <v>44673</v>
      </c>
      <c r="AD1174" s="13">
        <v>44582</v>
      </c>
      <c r="AF1174" t="s">
        <v>451</v>
      </c>
      <c r="AI1174">
        <v>-339</v>
      </c>
      <c r="AL1174" t="s">
        <v>1546</v>
      </c>
      <c r="AN1174" t="s">
        <v>31</v>
      </c>
      <c r="AO1174">
        <v>0</v>
      </c>
      <c r="AS1174" t="s">
        <v>385</v>
      </c>
      <c r="AX1174" t="s">
        <v>31</v>
      </c>
      <c r="AY1174" t="s">
        <v>386</v>
      </c>
      <c r="AZ1174" t="s">
        <v>1547</v>
      </c>
      <c r="BF1174">
        <v>0</v>
      </c>
      <c r="BK1174" t="s">
        <v>31</v>
      </c>
      <c r="BS1174" t="s">
        <v>419</v>
      </c>
      <c r="BT1174" t="s">
        <v>419</v>
      </c>
      <c r="CI1174" t="s">
        <v>388</v>
      </c>
      <c r="CJ1174" s="14">
        <v>45014</v>
      </c>
      <c r="CK1174">
        <v>1</v>
      </c>
    </row>
    <row r="1175" spans="1:89">
      <c r="A1175" t="s">
        <v>1535</v>
      </c>
      <c r="B1175" t="s">
        <v>374</v>
      </c>
      <c r="C1175" t="s">
        <v>1536</v>
      </c>
      <c r="D1175" t="s">
        <v>1548</v>
      </c>
      <c r="E1175" t="s">
        <v>1549</v>
      </c>
      <c r="F1175" s="13">
        <v>44644.330960648149</v>
      </c>
      <c r="G1175" t="s">
        <v>1539</v>
      </c>
      <c r="H1175" t="s">
        <v>1540</v>
      </c>
      <c r="I1175" s="13">
        <v>44644.335659722223</v>
      </c>
      <c r="K1175" t="s">
        <v>412</v>
      </c>
      <c r="R1175">
        <v>0</v>
      </c>
      <c r="S1175" t="s">
        <v>380</v>
      </c>
      <c r="T1175" t="s">
        <v>57</v>
      </c>
      <c r="V1175" t="s">
        <v>381</v>
      </c>
      <c r="W1175" t="s">
        <v>1540</v>
      </c>
      <c r="X1175" t="s">
        <v>1540</v>
      </c>
      <c r="AC1175" s="13">
        <v>44652</v>
      </c>
      <c r="AD1175" s="13">
        <v>44652</v>
      </c>
      <c r="AI1175">
        <v>7</v>
      </c>
      <c r="AL1175" t="s">
        <v>1542</v>
      </c>
      <c r="AN1175" t="s">
        <v>31</v>
      </c>
      <c r="AO1175">
        <v>0</v>
      </c>
      <c r="AS1175" t="s">
        <v>385</v>
      </c>
      <c r="AX1175" t="s">
        <v>57</v>
      </c>
      <c r="AY1175" t="s">
        <v>386</v>
      </c>
      <c r="AZ1175" t="s">
        <v>1543</v>
      </c>
      <c r="BF1175">
        <v>0</v>
      </c>
      <c r="BK1175" t="s">
        <v>31</v>
      </c>
      <c r="BS1175" t="s">
        <v>412</v>
      </c>
      <c r="BT1175" t="s">
        <v>412</v>
      </c>
      <c r="CI1175" t="s">
        <v>388</v>
      </c>
      <c r="CJ1175" s="14">
        <v>45014</v>
      </c>
      <c r="CK1175">
        <v>1</v>
      </c>
    </row>
    <row r="1176" spans="1:89">
      <c r="A1176" t="s">
        <v>1550</v>
      </c>
      <c r="B1176" t="s">
        <v>374</v>
      </c>
      <c r="C1176" t="s">
        <v>1551</v>
      </c>
      <c r="D1176" t="s">
        <v>1552</v>
      </c>
      <c r="E1176" t="s">
        <v>1553</v>
      </c>
      <c r="F1176" s="13">
        <v>44643.746099537035</v>
      </c>
      <c r="G1176" t="s">
        <v>1554</v>
      </c>
      <c r="H1176" t="s">
        <v>1555</v>
      </c>
      <c r="I1176" s="13">
        <v>44694.683680555558</v>
      </c>
      <c r="K1176" t="s">
        <v>412</v>
      </c>
      <c r="R1176">
        <v>0</v>
      </c>
      <c r="S1176" t="s">
        <v>380</v>
      </c>
      <c r="T1176" t="s">
        <v>57</v>
      </c>
      <c r="V1176" t="s">
        <v>381</v>
      </c>
      <c r="W1176" t="s">
        <v>1556</v>
      </c>
      <c r="X1176" t="s">
        <v>1556</v>
      </c>
      <c r="AI1176">
        <v>53</v>
      </c>
      <c r="AL1176" t="s">
        <v>1557</v>
      </c>
      <c r="AN1176" t="s">
        <v>31</v>
      </c>
      <c r="AO1176">
        <v>0</v>
      </c>
      <c r="AS1176" t="s">
        <v>385</v>
      </c>
      <c r="AX1176" t="s">
        <v>57</v>
      </c>
      <c r="AY1176" t="s">
        <v>386</v>
      </c>
      <c r="AZ1176" t="s">
        <v>1558</v>
      </c>
      <c r="BF1176">
        <v>0</v>
      </c>
      <c r="BK1176" t="s">
        <v>31</v>
      </c>
      <c r="BS1176" t="s">
        <v>412</v>
      </c>
      <c r="BT1176" t="s">
        <v>412</v>
      </c>
      <c r="CI1176" t="s">
        <v>388</v>
      </c>
      <c r="CJ1176" s="14">
        <v>45014</v>
      </c>
      <c r="CK1176">
        <v>1</v>
      </c>
    </row>
    <row r="1177" spans="1:89">
      <c r="A1177" t="s">
        <v>1559</v>
      </c>
      <c r="B1177" t="s">
        <v>374</v>
      </c>
      <c r="C1177" t="s">
        <v>1560</v>
      </c>
      <c r="D1177" t="s">
        <v>1561</v>
      </c>
      <c r="E1177" t="s">
        <v>1562</v>
      </c>
      <c r="F1177" s="13">
        <v>44643.732662037037</v>
      </c>
      <c r="G1177" t="s">
        <v>1563</v>
      </c>
      <c r="H1177" t="s">
        <v>1564</v>
      </c>
      <c r="I1177" s="13">
        <v>45012.044305555559</v>
      </c>
      <c r="K1177" t="s">
        <v>415</v>
      </c>
      <c r="M1177" s="13">
        <v>44651</v>
      </c>
      <c r="R1177">
        <v>0</v>
      </c>
      <c r="S1177" t="s">
        <v>416</v>
      </c>
      <c r="T1177" t="s">
        <v>57</v>
      </c>
      <c r="V1177" t="s">
        <v>478</v>
      </c>
      <c r="W1177" t="s">
        <v>1565</v>
      </c>
      <c r="X1177" t="s">
        <v>1565</v>
      </c>
      <c r="AF1177" t="s">
        <v>451</v>
      </c>
      <c r="AI1177">
        <v>-361</v>
      </c>
      <c r="AL1177" t="s">
        <v>1566</v>
      </c>
      <c r="AN1177" t="s">
        <v>31</v>
      </c>
      <c r="AO1177">
        <v>0</v>
      </c>
      <c r="AS1177" t="s">
        <v>385</v>
      </c>
      <c r="AX1177" t="s">
        <v>31</v>
      </c>
      <c r="AY1177" t="s">
        <v>442</v>
      </c>
      <c r="AZ1177" t="s">
        <v>1567</v>
      </c>
      <c r="BF1177">
        <v>0</v>
      </c>
      <c r="BK1177" t="s">
        <v>31</v>
      </c>
      <c r="BS1177" t="s">
        <v>419</v>
      </c>
      <c r="BT1177" t="s">
        <v>419</v>
      </c>
      <c r="CI1177" t="s">
        <v>388</v>
      </c>
      <c r="CJ1177" s="14">
        <v>45014</v>
      </c>
      <c r="CK1177">
        <v>1</v>
      </c>
    </row>
    <row r="1178" spans="1:89">
      <c r="A1178" t="s">
        <v>1559</v>
      </c>
      <c r="B1178" t="s">
        <v>374</v>
      </c>
      <c r="C1178" t="s">
        <v>1560</v>
      </c>
      <c r="D1178" t="s">
        <v>1568</v>
      </c>
      <c r="E1178" t="s">
        <v>1569</v>
      </c>
      <c r="F1178" s="13">
        <v>44643.731226851851</v>
      </c>
      <c r="G1178" t="s">
        <v>1563</v>
      </c>
      <c r="H1178" t="s">
        <v>1564</v>
      </c>
      <c r="I1178" s="13">
        <v>45012.044305555559</v>
      </c>
      <c r="K1178" t="s">
        <v>415</v>
      </c>
      <c r="M1178" s="13">
        <v>44651</v>
      </c>
      <c r="R1178">
        <v>0</v>
      </c>
      <c r="S1178" t="s">
        <v>416</v>
      </c>
      <c r="T1178" t="s">
        <v>57</v>
      </c>
      <c r="V1178" t="s">
        <v>478</v>
      </c>
      <c r="W1178" t="s">
        <v>1565</v>
      </c>
      <c r="X1178" t="s">
        <v>1565</v>
      </c>
      <c r="AF1178" t="s">
        <v>451</v>
      </c>
      <c r="AI1178">
        <v>-361</v>
      </c>
      <c r="AL1178" t="s">
        <v>1566</v>
      </c>
      <c r="AN1178" t="s">
        <v>31</v>
      </c>
      <c r="AO1178">
        <v>0</v>
      </c>
      <c r="AS1178" t="s">
        <v>385</v>
      </c>
      <c r="AX1178" t="s">
        <v>31</v>
      </c>
      <c r="AY1178" t="s">
        <v>386</v>
      </c>
      <c r="AZ1178" t="s">
        <v>1570</v>
      </c>
      <c r="BF1178">
        <v>0</v>
      </c>
      <c r="BK1178" t="s">
        <v>31</v>
      </c>
      <c r="BS1178" t="s">
        <v>419</v>
      </c>
      <c r="BT1178" t="s">
        <v>419</v>
      </c>
      <c r="CI1178" t="s">
        <v>388</v>
      </c>
      <c r="CJ1178" s="14">
        <v>45014</v>
      </c>
      <c r="CK1178">
        <v>1</v>
      </c>
    </row>
    <row r="1179" spans="1:89">
      <c r="A1179" t="s">
        <v>1559</v>
      </c>
      <c r="B1179" t="s">
        <v>374</v>
      </c>
      <c r="C1179" t="s">
        <v>1560</v>
      </c>
      <c r="D1179" t="s">
        <v>1571</v>
      </c>
      <c r="E1179" t="s">
        <v>1572</v>
      </c>
      <c r="F1179" s="13">
        <v>44643.724976851852</v>
      </c>
      <c r="G1179" t="s">
        <v>1563</v>
      </c>
      <c r="H1179" t="s">
        <v>1564</v>
      </c>
      <c r="I1179" s="13">
        <v>45012.044305555559</v>
      </c>
      <c r="K1179" t="s">
        <v>415</v>
      </c>
      <c r="M1179" s="13">
        <v>44651</v>
      </c>
      <c r="R1179">
        <v>90</v>
      </c>
      <c r="S1179" t="s">
        <v>416</v>
      </c>
      <c r="T1179" t="s">
        <v>57</v>
      </c>
      <c r="V1179" t="s">
        <v>478</v>
      </c>
      <c r="W1179" t="s">
        <v>1573</v>
      </c>
      <c r="X1179" t="s">
        <v>1573</v>
      </c>
      <c r="AF1179" t="s">
        <v>451</v>
      </c>
      <c r="AG1179" t="s">
        <v>1574</v>
      </c>
      <c r="AI1179">
        <v>-361</v>
      </c>
      <c r="AL1179" t="s">
        <v>1566</v>
      </c>
      <c r="AN1179" t="s">
        <v>31</v>
      </c>
      <c r="AO1179">
        <v>0</v>
      </c>
      <c r="AS1179" t="s">
        <v>526</v>
      </c>
      <c r="AX1179" t="s">
        <v>31</v>
      </c>
      <c r="AY1179" t="s">
        <v>442</v>
      </c>
      <c r="AZ1179" t="s">
        <v>1570</v>
      </c>
      <c r="BF1179">
        <v>0</v>
      </c>
      <c r="BK1179" t="s">
        <v>31</v>
      </c>
      <c r="BS1179" t="s">
        <v>419</v>
      </c>
      <c r="BT1179" t="s">
        <v>419</v>
      </c>
      <c r="CI1179" t="s">
        <v>388</v>
      </c>
      <c r="CJ1179" s="14">
        <v>45014</v>
      </c>
      <c r="CK1179">
        <v>1</v>
      </c>
    </row>
    <row r="1180" spans="1:89">
      <c r="A1180" t="s">
        <v>1559</v>
      </c>
      <c r="B1180" t="s">
        <v>374</v>
      </c>
      <c r="C1180" t="s">
        <v>1560</v>
      </c>
      <c r="D1180" t="s">
        <v>1575</v>
      </c>
      <c r="E1180" t="s">
        <v>1572</v>
      </c>
      <c r="F1180" s="13">
        <v>44643.723645833335</v>
      </c>
      <c r="G1180" t="s">
        <v>1563</v>
      </c>
      <c r="H1180" t="s">
        <v>1564</v>
      </c>
      <c r="I1180" s="13">
        <v>44833.685474537036</v>
      </c>
      <c r="K1180" t="s">
        <v>409</v>
      </c>
      <c r="R1180">
        <v>0</v>
      </c>
      <c r="S1180" t="s">
        <v>380</v>
      </c>
      <c r="T1180" t="s">
        <v>57</v>
      </c>
      <c r="V1180" t="s">
        <v>381</v>
      </c>
      <c r="W1180" t="s">
        <v>1573</v>
      </c>
      <c r="X1180" t="s">
        <v>1573</v>
      </c>
      <c r="AI1180">
        <v>8</v>
      </c>
      <c r="AL1180" t="s">
        <v>1566</v>
      </c>
      <c r="AN1180" t="s">
        <v>31</v>
      </c>
      <c r="AO1180">
        <v>0</v>
      </c>
      <c r="AS1180" t="s">
        <v>526</v>
      </c>
      <c r="AX1180" t="s">
        <v>31</v>
      </c>
      <c r="AY1180" t="s">
        <v>442</v>
      </c>
      <c r="AZ1180" t="s">
        <v>1570</v>
      </c>
      <c r="BF1180">
        <v>0</v>
      </c>
      <c r="BK1180" t="s">
        <v>31</v>
      </c>
      <c r="BS1180" t="s">
        <v>409</v>
      </c>
      <c r="BT1180" t="s">
        <v>409</v>
      </c>
      <c r="CI1180" t="s">
        <v>388</v>
      </c>
      <c r="CJ1180" s="14">
        <v>45014</v>
      </c>
      <c r="CK1180">
        <v>1</v>
      </c>
    </row>
    <row r="1181" spans="1:89">
      <c r="A1181" t="s">
        <v>1559</v>
      </c>
      <c r="B1181" t="s">
        <v>374</v>
      </c>
      <c r="C1181" t="s">
        <v>1560</v>
      </c>
      <c r="D1181" t="s">
        <v>1576</v>
      </c>
      <c r="E1181" t="s">
        <v>1577</v>
      </c>
      <c r="F1181" s="13">
        <v>44643.722002314818</v>
      </c>
      <c r="G1181" t="s">
        <v>1563</v>
      </c>
      <c r="H1181" t="s">
        <v>1564</v>
      </c>
      <c r="I1181" s="13">
        <v>45012.044305555559</v>
      </c>
      <c r="K1181" t="s">
        <v>415</v>
      </c>
      <c r="M1181" s="13">
        <v>44651</v>
      </c>
      <c r="R1181">
        <v>90</v>
      </c>
      <c r="S1181" t="s">
        <v>416</v>
      </c>
      <c r="T1181" t="s">
        <v>57</v>
      </c>
      <c r="V1181" t="s">
        <v>478</v>
      </c>
      <c r="W1181" t="s">
        <v>1573</v>
      </c>
      <c r="X1181" t="s">
        <v>1573</v>
      </c>
      <c r="AF1181" t="s">
        <v>451</v>
      </c>
      <c r="AG1181" t="s">
        <v>1578</v>
      </c>
      <c r="AI1181">
        <v>-361</v>
      </c>
      <c r="AL1181" t="s">
        <v>1566</v>
      </c>
      <c r="AN1181" t="s">
        <v>31</v>
      </c>
      <c r="AO1181">
        <v>0</v>
      </c>
      <c r="AS1181" t="s">
        <v>385</v>
      </c>
      <c r="AX1181" t="s">
        <v>31</v>
      </c>
      <c r="AY1181" t="s">
        <v>442</v>
      </c>
      <c r="AZ1181" t="s">
        <v>1570</v>
      </c>
      <c r="BF1181">
        <v>0</v>
      </c>
      <c r="BK1181" t="s">
        <v>31</v>
      </c>
      <c r="BS1181" t="s">
        <v>419</v>
      </c>
      <c r="BT1181" t="s">
        <v>419</v>
      </c>
      <c r="CI1181" t="s">
        <v>388</v>
      </c>
      <c r="CJ1181" s="14">
        <v>45014</v>
      </c>
      <c r="CK1181">
        <v>1</v>
      </c>
    </row>
    <row r="1182" spans="1:89">
      <c r="A1182" t="s">
        <v>1579</v>
      </c>
      <c r="B1182" t="s">
        <v>374</v>
      </c>
      <c r="C1182" t="s">
        <v>1580</v>
      </c>
      <c r="D1182" t="s">
        <v>1581</v>
      </c>
      <c r="E1182" t="s">
        <v>1582</v>
      </c>
      <c r="F1182" s="13">
        <v>44643.616574074076</v>
      </c>
      <c r="G1182" t="s">
        <v>1583</v>
      </c>
      <c r="H1182" t="s">
        <v>1584</v>
      </c>
      <c r="I1182" s="13">
        <v>44714.517256944448</v>
      </c>
      <c r="K1182" t="s">
        <v>379</v>
      </c>
      <c r="M1182" s="13">
        <v>44651</v>
      </c>
      <c r="R1182">
        <v>100</v>
      </c>
      <c r="S1182" t="s">
        <v>380</v>
      </c>
      <c r="T1182" t="s">
        <v>57</v>
      </c>
      <c r="V1182" t="s">
        <v>478</v>
      </c>
      <c r="W1182" t="s">
        <v>1585</v>
      </c>
      <c r="X1182" t="s">
        <v>1585</v>
      </c>
      <c r="AF1182" t="s">
        <v>382</v>
      </c>
      <c r="AG1182" t="s">
        <v>1586</v>
      </c>
      <c r="AI1182">
        <v>-7</v>
      </c>
      <c r="AJ1182" s="13">
        <v>44714</v>
      </c>
      <c r="AL1182" t="s">
        <v>1587</v>
      </c>
      <c r="AN1182" t="s">
        <v>31</v>
      </c>
      <c r="AO1182">
        <v>0</v>
      </c>
      <c r="AR1182" t="s">
        <v>1586</v>
      </c>
      <c r="AS1182" t="s">
        <v>707</v>
      </c>
      <c r="AX1182" t="s">
        <v>31</v>
      </c>
      <c r="AY1182" t="s">
        <v>386</v>
      </c>
      <c r="AZ1182" t="s">
        <v>1588</v>
      </c>
      <c r="BF1182">
        <v>0</v>
      </c>
      <c r="BK1182" t="s">
        <v>31</v>
      </c>
      <c r="BS1182" t="s">
        <v>379</v>
      </c>
      <c r="BT1182" t="s">
        <v>379</v>
      </c>
      <c r="CI1182" t="s">
        <v>388</v>
      </c>
      <c r="CJ1182" s="14">
        <v>45014</v>
      </c>
      <c r="CK1182">
        <v>1</v>
      </c>
    </row>
    <row r="1183" spans="1:89">
      <c r="A1183" t="s">
        <v>454</v>
      </c>
      <c r="B1183" t="s">
        <v>374</v>
      </c>
      <c r="C1183" t="s">
        <v>455</v>
      </c>
      <c r="D1183" t="s">
        <v>1589</v>
      </c>
      <c r="E1183" t="s">
        <v>1590</v>
      </c>
      <c r="F1183" s="13">
        <v>44643.605694444443</v>
      </c>
      <c r="G1183" t="s">
        <v>1591</v>
      </c>
      <c r="H1183" t="s">
        <v>1592</v>
      </c>
      <c r="I1183" s="13">
        <v>44643.606504629628</v>
      </c>
      <c r="K1183" t="s">
        <v>412</v>
      </c>
      <c r="R1183">
        <v>0</v>
      </c>
      <c r="S1183" t="s">
        <v>380</v>
      </c>
      <c r="T1183" t="s">
        <v>57</v>
      </c>
      <c r="V1183" t="s">
        <v>381</v>
      </c>
      <c r="W1183" t="s">
        <v>1593</v>
      </c>
      <c r="X1183" t="s">
        <v>1593</v>
      </c>
      <c r="AC1183" s="13">
        <v>44696</v>
      </c>
      <c r="AD1183" s="13">
        <v>44607</v>
      </c>
      <c r="AI1183">
        <v>53</v>
      </c>
      <c r="AL1183" t="s">
        <v>1594</v>
      </c>
      <c r="AN1183" t="s">
        <v>31</v>
      </c>
      <c r="AO1183">
        <v>0</v>
      </c>
      <c r="AS1183" t="s">
        <v>385</v>
      </c>
      <c r="AX1183" t="s">
        <v>57</v>
      </c>
      <c r="AY1183" t="s">
        <v>386</v>
      </c>
      <c r="AZ1183" t="s">
        <v>1595</v>
      </c>
      <c r="BF1183">
        <v>0</v>
      </c>
      <c r="BK1183" t="s">
        <v>31</v>
      </c>
      <c r="BS1183" t="s">
        <v>412</v>
      </c>
      <c r="BT1183" t="s">
        <v>412</v>
      </c>
      <c r="CI1183" t="s">
        <v>388</v>
      </c>
      <c r="CJ1183" s="14">
        <v>45014</v>
      </c>
      <c r="CK1183">
        <v>1</v>
      </c>
    </row>
    <row r="1184" spans="1:89">
      <c r="A1184" t="s">
        <v>454</v>
      </c>
      <c r="B1184" t="s">
        <v>374</v>
      </c>
      <c r="C1184" t="s">
        <v>455</v>
      </c>
      <c r="D1184" t="s">
        <v>1596</v>
      </c>
      <c r="E1184" t="s">
        <v>1597</v>
      </c>
      <c r="F1184" s="13">
        <v>44643.596597222226</v>
      </c>
      <c r="G1184" t="s">
        <v>1591</v>
      </c>
      <c r="H1184" t="s">
        <v>1592</v>
      </c>
      <c r="I1184" s="13">
        <v>44643.59752314815</v>
      </c>
      <c r="K1184" t="s">
        <v>412</v>
      </c>
      <c r="R1184">
        <v>0</v>
      </c>
      <c r="S1184" t="s">
        <v>380</v>
      </c>
      <c r="T1184" t="s">
        <v>57</v>
      </c>
      <c r="V1184" t="s">
        <v>381</v>
      </c>
      <c r="W1184" t="s">
        <v>1593</v>
      </c>
      <c r="X1184" t="s">
        <v>1593</v>
      </c>
      <c r="AC1184" s="13">
        <v>44696</v>
      </c>
      <c r="AD1184" s="13">
        <v>44607</v>
      </c>
      <c r="AI1184">
        <v>53</v>
      </c>
      <c r="AL1184" t="s">
        <v>1598</v>
      </c>
      <c r="AN1184" t="s">
        <v>31</v>
      </c>
      <c r="AO1184">
        <v>0</v>
      </c>
      <c r="AS1184" t="s">
        <v>385</v>
      </c>
      <c r="AX1184" t="s">
        <v>57</v>
      </c>
      <c r="AY1184" t="s">
        <v>442</v>
      </c>
      <c r="AZ1184" t="s">
        <v>1285</v>
      </c>
      <c r="BF1184">
        <v>0</v>
      </c>
      <c r="BK1184" t="s">
        <v>31</v>
      </c>
      <c r="BS1184" t="s">
        <v>412</v>
      </c>
      <c r="BT1184" t="s">
        <v>412</v>
      </c>
      <c r="CI1184" t="s">
        <v>388</v>
      </c>
      <c r="CJ1184" s="14">
        <v>45014</v>
      </c>
      <c r="CK1184">
        <v>1</v>
      </c>
    </row>
    <row r="1185" spans="1:89">
      <c r="A1185" t="s">
        <v>454</v>
      </c>
      <c r="B1185" t="s">
        <v>374</v>
      </c>
      <c r="C1185" t="s">
        <v>455</v>
      </c>
      <c r="D1185" t="s">
        <v>1599</v>
      </c>
      <c r="E1185" t="s">
        <v>1600</v>
      </c>
      <c r="F1185" s="13">
        <v>44643.586516203701</v>
      </c>
      <c r="G1185" t="s">
        <v>1591</v>
      </c>
      <c r="H1185" t="s">
        <v>1592</v>
      </c>
      <c r="I1185" s="13">
        <v>44643.587442129632</v>
      </c>
      <c r="K1185" t="s">
        <v>412</v>
      </c>
      <c r="R1185">
        <v>0</v>
      </c>
      <c r="S1185" t="s">
        <v>380</v>
      </c>
      <c r="T1185" t="s">
        <v>57</v>
      </c>
      <c r="V1185" t="s">
        <v>381</v>
      </c>
      <c r="W1185" t="s">
        <v>1593</v>
      </c>
      <c r="X1185" t="s">
        <v>1593</v>
      </c>
      <c r="AC1185" s="13">
        <v>44696</v>
      </c>
      <c r="AD1185" s="13">
        <v>44607</v>
      </c>
      <c r="AI1185">
        <v>53</v>
      </c>
      <c r="AL1185" t="s">
        <v>1601</v>
      </c>
      <c r="AN1185" t="s">
        <v>31</v>
      </c>
      <c r="AO1185">
        <v>0</v>
      </c>
      <c r="AS1185" t="s">
        <v>385</v>
      </c>
      <c r="AX1185" t="s">
        <v>57</v>
      </c>
      <c r="AY1185" t="s">
        <v>386</v>
      </c>
      <c r="AZ1185" t="s">
        <v>1602</v>
      </c>
      <c r="BF1185">
        <v>0</v>
      </c>
      <c r="BK1185" t="s">
        <v>31</v>
      </c>
      <c r="BS1185" t="s">
        <v>412</v>
      </c>
      <c r="BT1185" t="s">
        <v>412</v>
      </c>
      <c r="CI1185" t="s">
        <v>388</v>
      </c>
      <c r="CJ1185" s="14">
        <v>45014</v>
      </c>
      <c r="CK1185">
        <v>1</v>
      </c>
    </row>
    <row r="1186" spans="1:89">
      <c r="A1186" t="s">
        <v>1603</v>
      </c>
      <c r="B1186" t="s">
        <v>374</v>
      </c>
      <c r="C1186" t="s">
        <v>1604</v>
      </c>
      <c r="D1186" t="s">
        <v>1605</v>
      </c>
      <c r="E1186" t="s">
        <v>1606</v>
      </c>
      <c r="F1186" s="13">
        <v>44643.578668981485</v>
      </c>
      <c r="G1186" t="s">
        <v>1583</v>
      </c>
      <c r="H1186" t="s">
        <v>1584</v>
      </c>
      <c r="I1186" s="13">
        <v>45012.044293981482</v>
      </c>
      <c r="K1186" t="s">
        <v>415</v>
      </c>
      <c r="M1186" s="13">
        <v>44712</v>
      </c>
      <c r="R1186">
        <v>0</v>
      </c>
      <c r="S1186" t="s">
        <v>380</v>
      </c>
      <c r="T1186" t="s">
        <v>57</v>
      </c>
      <c r="V1186" t="s">
        <v>478</v>
      </c>
      <c r="W1186" t="s">
        <v>1607</v>
      </c>
      <c r="X1186" t="s">
        <v>1607</v>
      </c>
      <c r="AF1186" t="s">
        <v>451</v>
      </c>
      <c r="AI1186">
        <v>-300</v>
      </c>
      <c r="AL1186" t="s">
        <v>1608</v>
      </c>
      <c r="AN1186" t="s">
        <v>31</v>
      </c>
      <c r="AO1186">
        <v>0</v>
      </c>
      <c r="AS1186" t="s">
        <v>707</v>
      </c>
      <c r="AX1186" t="s">
        <v>31</v>
      </c>
      <c r="AY1186" t="s">
        <v>386</v>
      </c>
      <c r="AZ1186" t="s">
        <v>1609</v>
      </c>
      <c r="BF1186">
        <v>0</v>
      </c>
      <c r="BK1186" t="s">
        <v>31</v>
      </c>
      <c r="BS1186" t="s">
        <v>419</v>
      </c>
      <c r="BT1186" t="s">
        <v>419</v>
      </c>
      <c r="CI1186" t="s">
        <v>388</v>
      </c>
      <c r="CJ1186" s="14">
        <v>45014</v>
      </c>
      <c r="CK1186">
        <v>1</v>
      </c>
    </row>
    <row r="1187" spans="1:89">
      <c r="A1187" t="s">
        <v>454</v>
      </c>
      <c r="B1187" t="s">
        <v>374</v>
      </c>
      <c r="C1187" t="s">
        <v>455</v>
      </c>
      <c r="D1187" t="s">
        <v>1610</v>
      </c>
      <c r="E1187" t="s">
        <v>1611</v>
      </c>
      <c r="F1187" s="13">
        <v>44643.564351851855</v>
      </c>
      <c r="G1187" t="s">
        <v>1591</v>
      </c>
      <c r="H1187" t="s">
        <v>1592</v>
      </c>
      <c r="I1187" s="13">
        <v>44643.565520833334</v>
      </c>
      <c r="K1187" t="s">
        <v>412</v>
      </c>
      <c r="R1187">
        <v>0</v>
      </c>
      <c r="S1187" t="s">
        <v>380</v>
      </c>
      <c r="T1187" t="s">
        <v>57</v>
      </c>
      <c r="V1187" t="s">
        <v>381</v>
      </c>
      <c r="W1187" t="s">
        <v>1593</v>
      </c>
      <c r="X1187" t="s">
        <v>1593</v>
      </c>
      <c r="AC1187" s="13">
        <v>44696</v>
      </c>
      <c r="AD1187" s="13">
        <v>44607</v>
      </c>
      <c r="AI1187">
        <v>53</v>
      </c>
      <c r="AL1187" t="s">
        <v>1612</v>
      </c>
      <c r="AN1187" t="s">
        <v>31</v>
      </c>
      <c r="AO1187">
        <v>0</v>
      </c>
      <c r="AS1187" t="s">
        <v>385</v>
      </c>
      <c r="AX1187" t="s">
        <v>57</v>
      </c>
      <c r="AY1187" t="s">
        <v>386</v>
      </c>
      <c r="AZ1187" t="s">
        <v>1613</v>
      </c>
      <c r="BF1187">
        <v>0</v>
      </c>
      <c r="BK1187" t="s">
        <v>31</v>
      </c>
      <c r="BS1187" t="s">
        <v>412</v>
      </c>
      <c r="BT1187" t="s">
        <v>412</v>
      </c>
      <c r="CI1187" t="s">
        <v>388</v>
      </c>
      <c r="CJ1187" s="14">
        <v>45014</v>
      </c>
      <c r="CK1187">
        <v>1</v>
      </c>
    </row>
    <row r="1188" spans="1:89">
      <c r="A1188" t="s">
        <v>454</v>
      </c>
      <c r="B1188" t="s">
        <v>374</v>
      </c>
      <c r="C1188" t="s">
        <v>455</v>
      </c>
      <c r="D1188" t="s">
        <v>1614</v>
      </c>
      <c r="E1188" t="s">
        <v>1615</v>
      </c>
      <c r="F1188" s="13">
        <v>44643.553043981483</v>
      </c>
      <c r="G1188" t="s">
        <v>1591</v>
      </c>
      <c r="H1188" t="s">
        <v>1592</v>
      </c>
      <c r="I1188" s="13">
        <v>44643.554247685184</v>
      </c>
      <c r="K1188" t="s">
        <v>412</v>
      </c>
      <c r="R1188">
        <v>0</v>
      </c>
      <c r="S1188" t="s">
        <v>380</v>
      </c>
      <c r="T1188" t="s">
        <v>57</v>
      </c>
      <c r="V1188" t="s">
        <v>381</v>
      </c>
      <c r="W1188" t="s">
        <v>1593</v>
      </c>
      <c r="X1188" t="s">
        <v>1593</v>
      </c>
      <c r="AC1188" s="13">
        <v>44696</v>
      </c>
      <c r="AD1188" s="13">
        <v>44607</v>
      </c>
      <c r="AI1188">
        <v>53</v>
      </c>
      <c r="AL1188" t="s">
        <v>1616</v>
      </c>
      <c r="AN1188" t="s">
        <v>31</v>
      </c>
      <c r="AO1188">
        <v>0</v>
      </c>
      <c r="AS1188" t="s">
        <v>385</v>
      </c>
      <c r="AX1188" t="s">
        <v>57</v>
      </c>
      <c r="AY1188" t="s">
        <v>442</v>
      </c>
      <c r="AZ1188" t="s">
        <v>1617</v>
      </c>
      <c r="BF1188">
        <v>0</v>
      </c>
      <c r="BK1188" t="s">
        <v>31</v>
      </c>
      <c r="BS1188" t="s">
        <v>412</v>
      </c>
      <c r="BT1188" t="s">
        <v>412</v>
      </c>
      <c r="CI1188" t="s">
        <v>388</v>
      </c>
      <c r="CJ1188" s="14">
        <v>45014</v>
      </c>
      <c r="CK1188">
        <v>1</v>
      </c>
    </row>
    <row r="1189" spans="1:89">
      <c r="A1189" t="s">
        <v>454</v>
      </c>
      <c r="B1189" t="s">
        <v>374</v>
      </c>
      <c r="C1189" t="s">
        <v>455</v>
      </c>
      <c r="D1189" t="s">
        <v>1618</v>
      </c>
      <c r="E1189" t="s">
        <v>1619</v>
      </c>
      <c r="F1189" s="13">
        <v>44643.542800925927</v>
      </c>
      <c r="G1189" t="s">
        <v>1591</v>
      </c>
      <c r="H1189" t="s">
        <v>1592</v>
      </c>
      <c r="I1189" s="13">
        <v>44643.544502314813</v>
      </c>
      <c r="K1189" t="s">
        <v>412</v>
      </c>
      <c r="R1189">
        <v>0</v>
      </c>
      <c r="S1189" t="s">
        <v>380</v>
      </c>
      <c r="T1189" t="s">
        <v>57</v>
      </c>
      <c r="V1189" t="s">
        <v>381</v>
      </c>
      <c r="W1189" t="s">
        <v>1593</v>
      </c>
      <c r="X1189" t="s">
        <v>1593</v>
      </c>
      <c r="AC1189" s="13">
        <v>44696</v>
      </c>
      <c r="AD1189" s="13">
        <v>44607</v>
      </c>
      <c r="AI1189">
        <v>53</v>
      </c>
      <c r="AL1189" t="s">
        <v>1620</v>
      </c>
      <c r="AN1189" t="s">
        <v>31</v>
      </c>
      <c r="AO1189">
        <v>0</v>
      </c>
      <c r="AS1189" t="s">
        <v>385</v>
      </c>
      <c r="AX1189" t="s">
        <v>57</v>
      </c>
      <c r="AY1189" t="s">
        <v>386</v>
      </c>
      <c r="AZ1189" t="s">
        <v>1621</v>
      </c>
      <c r="BF1189">
        <v>0</v>
      </c>
      <c r="BK1189" t="s">
        <v>31</v>
      </c>
      <c r="BS1189" t="s">
        <v>412</v>
      </c>
      <c r="BT1189" t="s">
        <v>412</v>
      </c>
      <c r="CI1189" t="s">
        <v>388</v>
      </c>
      <c r="CJ1189" s="14">
        <v>45014</v>
      </c>
      <c r="CK1189">
        <v>1</v>
      </c>
    </row>
    <row r="1190" spans="1:89">
      <c r="A1190" t="s">
        <v>454</v>
      </c>
      <c r="B1190" t="s">
        <v>374</v>
      </c>
      <c r="C1190" t="s">
        <v>455</v>
      </c>
      <c r="D1190" t="s">
        <v>1622</v>
      </c>
      <c r="E1190" t="s">
        <v>1623</v>
      </c>
      <c r="F1190" s="13">
        <v>44643.53769675926</v>
      </c>
      <c r="G1190" t="s">
        <v>1591</v>
      </c>
      <c r="H1190" t="s">
        <v>1592</v>
      </c>
      <c r="I1190" s="13">
        <v>44643.540439814817</v>
      </c>
      <c r="K1190" t="s">
        <v>412</v>
      </c>
      <c r="R1190">
        <v>0</v>
      </c>
      <c r="S1190" t="s">
        <v>380</v>
      </c>
      <c r="T1190" t="s">
        <v>57</v>
      </c>
      <c r="V1190" t="s">
        <v>381</v>
      </c>
      <c r="W1190" t="s">
        <v>1593</v>
      </c>
      <c r="X1190" t="s">
        <v>1593</v>
      </c>
      <c r="AC1190" s="13">
        <v>44696</v>
      </c>
      <c r="AD1190" s="13">
        <v>44607</v>
      </c>
      <c r="AI1190">
        <v>53</v>
      </c>
      <c r="AL1190" t="s">
        <v>1624</v>
      </c>
      <c r="AN1190" t="s">
        <v>31</v>
      </c>
      <c r="AO1190">
        <v>0</v>
      </c>
      <c r="AS1190" t="s">
        <v>385</v>
      </c>
      <c r="AX1190" t="s">
        <v>57</v>
      </c>
      <c r="AY1190" t="s">
        <v>442</v>
      </c>
      <c r="AZ1190" t="s">
        <v>1625</v>
      </c>
      <c r="BE1190" t="s">
        <v>1626</v>
      </c>
      <c r="BF1190">
        <v>0</v>
      </c>
      <c r="BK1190" t="s">
        <v>31</v>
      </c>
      <c r="BS1190" t="s">
        <v>412</v>
      </c>
      <c r="BT1190" t="s">
        <v>412</v>
      </c>
      <c r="CI1190" t="s">
        <v>388</v>
      </c>
      <c r="CJ1190" s="14">
        <v>45014</v>
      </c>
      <c r="CK1190">
        <v>1</v>
      </c>
    </row>
    <row r="1191" spans="1:89">
      <c r="A1191" t="s">
        <v>1603</v>
      </c>
      <c r="B1191" t="s">
        <v>374</v>
      </c>
      <c r="C1191" t="s">
        <v>1604</v>
      </c>
      <c r="D1191" t="s">
        <v>1627</v>
      </c>
      <c r="E1191" t="s">
        <v>1628</v>
      </c>
      <c r="F1191" s="13">
        <v>44643.498460648145</v>
      </c>
      <c r="G1191" t="s">
        <v>1583</v>
      </c>
      <c r="H1191" t="s">
        <v>1584</v>
      </c>
      <c r="I1191" s="13">
        <v>44643.525682870371</v>
      </c>
      <c r="K1191" t="s">
        <v>379</v>
      </c>
      <c r="M1191" s="13">
        <v>44651</v>
      </c>
      <c r="R1191">
        <v>100</v>
      </c>
      <c r="S1191" t="s">
        <v>380</v>
      </c>
      <c r="T1191" t="s">
        <v>57</v>
      </c>
      <c r="V1191" t="s">
        <v>381</v>
      </c>
      <c r="W1191" t="s">
        <v>1629</v>
      </c>
      <c r="X1191" t="s">
        <v>1629</v>
      </c>
      <c r="AF1191" t="s">
        <v>382</v>
      </c>
      <c r="AG1191" t="s">
        <v>1630</v>
      </c>
      <c r="AI1191">
        <v>8</v>
      </c>
      <c r="AL1191" t="s">
        <v>1631</v>
      </c>
      <c r="AN1191" t="s">
        <v>31</v>
      </c>
      <c r="AO1191">
        <v>0</v>
      </c>
      <c r="AS1191" t="s">
        <v>392</v>
      </c>
      <c r="AX1191" t="s">
        <v>31</v>
      </c>
      <c r="AY1191" t="s">
        <v>386</v>
      </c>
      <c r="AZ1191" t="s">
        <v>1632</v>
      </c>
      <c r="BF1191">
        <v>0</v>
      </c>
      <c r="BK1191" t="s">
        <v>31</v>
      </c>
      <c r="BS1191" t="s">
        <v>379</v>
      </c>
      <c r="BT1191" t="s">
        <v>379</v>
      </c>
      <c r="CI1191" t="s">
        <v>388</v>
      </c>
      <c r="CJ1191" s="14">
        <v>45014</v>
      </c>
      <c r="CK1191">
        <v>1</v>
      </c>
    </row>
    <row r="1192" spans="1:89">
      <c r="A1192" t="s">
        <v>1633</v>
      </c>
      <c r="B1192" t="s">
        <v>374</v>
      </c>
      <c r="C1192" t="s">
        <v>1634</v>
      </c>
      <c r="D1192" t="s">
        <v>1635</v>
      </c>
      <c r="E1192" t="s">
        <v>1636</v>
      </c>
      <c r="F1192" s="13">
        <v>44643.444814814815</v>
      </c>
      <c r="G1192" t="s">
        <v>1637</v>
      </c>
      <c r="H1192" t="s">
        <v>1638</v>
      </c>
      <c r="I1192" s="13">
        <v>44643.457685185182</v>
      </c>
      <c r="K1192" t="s">
        <v>379</v>
      </c>
      <c r="M1192" s="13">
        <v>44649</v>
      </c>
      <c r="R1192">
        <v>100</v>
      </c>
      <c r="S1192" t="s">
        <v>380</v>
      </c>
      <c r="T1192" t="s">
        <v>57</v>
      </c>
      <c r="V1192" t="s">
        <v>381</v>
      </c>
      <c r="W1192" t="s">
        <v>1639</v>
      </c>
      <c r="X1192" t="s">
        <v>1639</v>
      </c>
      <c r="AF1192" t="s">
        <v>382</v>
      </c>
      <c r="AG1192" t="s">
        <v>1640</v>
      </c>
      <c r="AI1192">
        <v>6</v>
      </c>
      <c r="AL1192" t="s">
        <v>1641</v>
      </c>
      <c r="AN1192" t="s">
        <v>31</v>
      </c>
      <c r="AO1192">
        <v>0</v>
      </c>
      <c r="AS1192" t="s">
        <v>385</v>
      </c>
      <c r="AX1192" t="s">
        <v>57</v>
      </c>
      <c r="AY1192" t="s">
        <v>386</v>
      </c>
      <c r="AZ1192" t="s">
        <v>1642</v>
      </c>
      <c r="BF1192">
        <v>0</v>
      </c>
      <c r="BK1192" t="s">
        <v>31</v>
      </c>
      <c r="BS1192" t="s">
        <v>379</v>
      </c>
      <c r="BT1192" t="s">
        <v>379</v>
      </c>
      <c r="CI1192" t="s">
        <v>388</v>
      </c>
      <c r="CJ1192" s="14">
        <v>45014</v>
      </c>
      <c r="CK1192">
        <v>1</v>
      </c>
    </row>
    <row r="1193" spans="1:89">
      <c r="A1193" t="s">
        <v>1643</v>
      </c>
      <c r="B1193" t="s">
        <v>374</v>
      </c>
      <c r="C1193" t="s">
        <v>1644</v>
      </c>
      <c r="D1193" t="s">
        <v>1645</v>
      </c>
      <c r="E1193" t="s">
        <v>1646</v>
      </c>
      <c r="F1193" s="13">
        <v>44643.4375</v>
      </c>
      <c r="G1193" t="s">
        <v>1647</v>
      </c>
      <c r="H1193" t="s">
        <v>1648</v>
      </c>
      <c r="I1193" s="13">
        <v>45012.044293981482</v>
      </c>
      <c r="K1193" t="s">
        <v>415</v>
      </c>
      <c r="M1193" s="13">
        <v>44682</v>
      </c>
      <c r="R1193">
        <v>0</v>
      </c>
      <c r="S1193" t="s">
        <v>416</v>
      </c>
      <c r="T1193" t="s">
        <v>57</v>
      </c>
      <c r="V1193" t="s">
        <v>478</v>
      </c>
      <c r="W1193" t="s">
        <v>1649</v>
      </c>
      <c r="X1193" t="s">
        <v>1649</v>
      </c>
      <c r="AF1193" t="s">
        <v>451</v>
      </c>
      <c r="AI1193">
        <v>-330</v>
      </c>
      <c r="AL1193" t="s">
        <v>1650</v>
      </c>
      <c r="AN1193" t="s">
        <v>31</v>
      </c>
      <c r="AO1193">
        <v>0</v>
      </c>
      <c r="AS1193" t="s">
        <v>702</v>
      </c>
      <c r="AX1193" t="s">
        <v>31</v>
      </c>
      <c r="AY1193" t="s">
        <v>386</v>
      </c>
      <c r="AZ1193" t="s">
        <v>1651</v>
      </c>
      <c r="BF1193">
        <v>0</v>
      </c>
      <c r="BK1193" t="s">
        <v>31</v>
      </c>
      <c r="BS1193" t="s">
        <v>419</v>
      </c>
      <c r="BT1193" t="s">
        <v>419</v>
      </c>
      <c r="CI1193" t="s">
        <v>388</v>
      </c>
      <c r="CJ1193" s="14">
        <v>45014</v>
      </c>
      <c r="CK1193">
        <v>1</v>
      </c>
    </row>
    <row r="1194" spans="1:89">
      <c r="A1194" t="s">
        <v>1479</v>
      </c>
      <c r="B1194" t="s">
        <v>374</v>
      </c>
      <c r="C1194" t="s">
        <v>1480</v>
      </c>
      <c r="D1194" t="s">
        <v>1652</v>
      </c>
      <c r="E1194" t="s">
        <v>1494</v>
      </c>
      <c r="F1194" s="13">
        <v>44643.382060185184</v>
      </c>
      <c r="G1194" t="s">
        <v>1483</v>
      </c>
      <c r="H1194" t="s">
        <v>1484</v>
      </c>
      <c r="I1194" s="13">
        <v>45012.044293981482</v>
      </c>
      <c r="K1194" t="s">
        <v>415</v>
      </c>
      <c r="M1194" s="13">
        <v>44690</v>
      </c>
      <c r="R1194">
        <v>0</v>
      </c>
      <c r="S1194" t="s">
        <v>380</v>
      </c>
      <c r="T1194" t="s">
        <v>57</v>
      </c>
      <c r="V1194" t="s">
        <v>478</v>
      </c>
      <c r="W1194" t="s">
        <v>1653</v>
      </c>
      <c r="X1194" t="s">
        <v>1653</v>
      </c>
      <c r="AC1194" s="13">
        <v>44690</v>
      </c>
      <c r="AD1194" s="13">
        <v>44610</v>
      </c>
      <c r="AF1194" t="s">
        <v>451</v>
      </c>
      <c r="AI1194">
        <v>-322</v>
      </c>
      <c r="AL1194" t="s">
        <v>1654</v>
      </c>
      <c r="AN1194" t="s">
        <v>31</v>
      </c>
      <c r="AO1194">
        <v>0</v>
      </c>
      <c r="AS1194" t="s">
        <v>385</v>
      </c>
      <c r="AX1194" t="s">
        <v>31</v>
      </c>
      <c r="AY1194" t="s">
        <v>386</v>
      </c>
      <c r="AZ1194" t="s">
        <v>1547</v>
      </c>
      <c r="BF1194">
        <v>0</v>
      </c>
      <c r="BK1194" t="s">
        <v>31</v>
      </c>
      <c r="BS1194" t="s">
        <v>419</v>
      </c>
      <c r="BT1194" t="s">
        <v>419</v>
      </c>
      <c r="CI1194" t="s">
        <v>388</v>
      </c>
      <c r="CJ1194" s="14">
        <v>45014</v>
      </c>
      <c r="CK1194">
        <v>1</v>
      </c>
    </row>
    <row r="1195" spans="1:89">
      <c r="A1195" t="s">
        <v>1655</v>
      </c>
      <c r="B1195" t="s">
        <v>374</v>
      </c>
      <c r="C1195" t="s">
        <v>1656</v>
      </c>
      <c r="D1195" t="s">
        <v>1657</v>
      </c>
      <c r="E1195" t="s">
        <v>1658</v>
      </c>
      <c r="F1195" s="13">
        <v>44642.739652777775</v>
      </c>
      <c r="G1195" t="s">
        <v>1659</v>
      </c>
      <c r="H1195" t="s">
        <v>1660</v>
      </c>
      <c r="I1195" s="13">
        <v>45012.044282407405</v>
      </c>
      <c r="K1195" t="s">
        <v>415</v>
      </c>
      <c r="M1195" s="13">
        <v>44742</v>
      </c>
      <c r="R1195">
        <v>0</v>
      </c>
      <c r="S1195" t="s">
        <v>380</v>
      </c>
      <c r="T1195" t="s">
        <v>57</v>
      </c>
      <c r="V1195" t="s">
        <v>478</v>
      </c>
      <c r="W1195" t="s">
        <v>1661</v>
      </c>
      <c r="X1195" t="s">
        <v>1661</v>
      </c>
      <c r="AF1195" t="s">
        <v>451</v>
      </c>
      <c r="AI1195">
        <v>-270</v>
      </c>
      <c r="AL1195" t="s">
        <v>1662</v>
      </c>
      <c r="AN1195" t="s">
        <v>31</v>
      </c>
      <c r="AO1195">
        <v>0</v>
      </c>
      <c r="AS1195" t="s">
        <v>385</v>
      </c>
      <c r="AX1195" t="s">
        <v>31</v>
      </c>
      <c r="AY1195" t="s">
        <v>442</v>
      </c>
      <c r="AZ1195" t="s">
        <v>1663</v>
      </c>
      <c r="BF1195">
        <v>0</v>
      </c>
      <c r="BK1195" t="s">
        <v>31</v>
      </c>
      <c r="BS1195" t="s">
        <v>419</v>
      </c>
      <c r="BT1195" t="s">
        <v>419</v>
      </c>
      <c r="CI1195" t="s">
        <v>388</v>
      </c>
      <c r="CJ1195" s="14">
        <v>45014</v>
      </c>
      <c r="CK1195">
        <v>1</v>
      </c>
    </row>
    <row r="1196" spans="1:89">
      <c r="A1196" t="s">
        <v>1655</v>
      </c>
      <c r="B1196" t="s">
        <v>374</v>
      </c>
      <c r="C1196" t="s">
        <v>1656</v>
      </c>
      <c r="D1196" t="s">
        <v>1664</v>
      </c>
      <c r="E1196" t="s">
        <v>1665</v>
      </c>
      <c r="F1196" s="13">
        <v>44642.738078703704</v>
      </c>
      <c r="G1196" t="s">
        <v>1659</v>
      </c>
      <c r="H1196" t="s">
        <v>1660</v>
      </c>
      <c r="I1196" s="13">
        <v>45012.044282407405</v>
      </c>
      <c r="K1196" t="s">
        <v>415</v>
      </c>
      <c r="M1196" s="13">
        <v>44834</v>
      </c>
      <c r="R1196">
        <v>0</v>
      </c>
      <c r="S1196" t="s">
        <v>380</v>
      </c>
      <c r="T1196" t="s">
        <v>57</v>
      </c>
      <c r="V1196" t="s">
        <v>478</v>
      </c>
      <c r="W1196" t="s">
        <v>1661</v>
      </c>
      <c r="X1196" t="s">
        <v>1661</v>
      </c>
      <c r="AF1196" t="s">
        <v>451</v>
      </c>
      <c r="AI1196">
        <v>-178</v>
      </c>
      <c r="AL1196" t="s">
        <v>1662</v>
      </c>
      <c r="AN1196" t="s">
        <v>31</v>
      </c>
      <c r="AO1196">
        <v>0</v>
      </c>
      <c r="AS1196" t="s">
        <v>707</v>
      </c>
      <c r="AX1196" t="s">
        <v>31</v>
      </c>
      <c r="AY1196" t="s">
        <v>442</v>
      </c>
      <c r="AZ1196" t="s">
        <v>1666</v>
      </c>
      <c r="BF1196">
        <v>0</v>
      </c>
      <c r="BK1196" t="s">
        <v>31</v>
      </c>
      <c r="BS1196" t="s">
        <v>419</v>
      </c>
      <c r="BT1196" t="s">
        <v>419</v>
      </c>
      <c r="CI1196" t="s">
        <v>388</v>
      </c>
      <c r="CJ1196" s="14">
        <v>45014</v>
      </c>
      <c r="CK1196">
        <v>1</v>
      </c>
    </row>
    <row r="1197" spans="1:89">
      <c r="A1197" t="s">
        <v>1655</v>
      </c>
      <c r="B1197" t="s">
        <v>374</v>
      </c>
      <c r="C1197" t="s">
        <v>1656</v>
      </c>
      <c r="D1197" t="s">
        <v>1667</v>
      </c>
      <c r="E1197" t="s">
        <v>1668</v>
      </c>
      <c r="F1197" s="13">
        <v>44642.689097222225</v>
      </c>
      <c r="G1197" t="s">
        <v>1659</v>
      </c>
      <c r="H1197" t="s">
        <v>1660</v>
      </c>
      <c r="I1197" s="13">
        <v>45012.044282407405</v>
      </c>
      <c r="K1197" t="s">
        <v>415</v>
      </c>
      <c r="M1197" s="13">
        <v>44650</v>
      </c>
      <c r="R1197">
        <v>100</v>
      </c>
      <c r="S1197" t="s">
        <v>380</v>
      </c>
      <c r="T1197" t="s">
        <v>57</v>
      </c>
      <c r="V1197" t="s">
        <v>478</v>
      </c>
      <c r="W1197" t="s">
        <v>1661</v>
      </c>
      <c r="X1197" t="s">
        <v>1661</v>
      </c>
      <c r="AB1197" t="s">
        <v>57</v>
      </c>
      <c r="AF1197" t="s">
        <v>382</v>
      </c>
      <c r="AG1197" t="s">
        <v>1669</v>
      </c>
      <c r="AI1197">
        <v>-362</v>
      </c>
      <c r="AJ1197" s="13">
        <v>44651</v>
      </c>
      <c r="AL1197" t="s">
        <v>1670</v>
      </c>
      <c r="AN1197" t="s">
        <v>31</v>
      </c>
      <c r="AO1197">
        <v>0</v>
      </c>
      <c r="AR1197" t="s">
        <v>1669</v>
      </c>
      <c r="AS1197" t="s">
        <v>385</v>
      </c>
      <c r="AX1197" t="s">
        <v>31</v>
      </c>
      <c r="AY1197" t="s">
        <v>442</v>
      </c>
      <c r="AZ1197" t="s">
        <v>1671</v>
      </c>
      <c r="BF1197">
        <v>0</v>
      </c>
      <c r="BK1197" t="s">
        <v>31</v>
      </c>
      <c r="BS1197" t="s">
        <v>1201</v>
      </c>
      <c r="BT1197" t="s">
        <v>1202</v>
      </c>
      <c r="CI1197" t="s">
        <v>388</v>
      </c>
      <c r="CJ1197" s="14">
        <v>45014</v>
      </c>
      <c r="CK1197">
        <v>1</v>
      </c>
    </row>
    <row r="1198" spans="1:89">
      <c r="A1198" t="s">
        <v>1655</v>
      </c>
      <c r="B1198" t="s">
        <v>374</v>
      </c>
      <c r="C1198" t="s">
        <v>1656</v>
      </c>
      <c r="D1198" t="s">
        <v>1672</v>
      </c>
      <c r="E1198" t="s">
        <v>1673</v>
      </c>
      <c r="F1198" s="13">
        <v>44642.686909722222</v>
      </c>
      <c r="G1198" t="s">
        <v>1659</v>
      </c>
      <c r="H1198" t="s">
        <v>1660</v>
      </c>
      <c r="I1198" s="13">
        <v>45012.044270833336</v>
      </c>
      <c r="K1198" t="s">
        <v>415</v>
      </c>
      <c r="M1198" s="13">
        <v>44650</v>
      </c>
      <c r="R1198">
        <v>100</v>
      </c>
      <c r="S1198" t="s">
        <v>380</v>
      </c>
      <c r="T1198" t="s">
        <v>57</v>
      </c>
      <c r="V1198" t="s">
        <v>478</v>
      </c>
      <c r="W1198" t="s">
        <v>1661</v>
      </c>
      <c r="X1198" t="s">
        <v>1661</v>
      </c>
      <c r="AB1198" t="s">
        <v>57</v>
      </c>
      <c r="AF1198" t="s">
        <v>382</v>
      </c>
      <c r="AG1198" t="s">
        <v>1669</v>
      </c>
      <c r="AI1198">
        <v>-362</v>
      </c>
      <c r="AJ1198" s="13">
        <v>44651</v>
      </c>
      <c r="AL1198" t="s">
        <v>1670</v>
      </c>
      <c r="AN1198" t="s">
        <v>31</v>
      </c>
      <c r="AO1198">
        <v>0</v>
      </c>
      <c r="AR1198" t="s">
        <v>1669</v>
      </c>
      <c r="AS1198" t="s">
        <v>392</v>
      </c>
      <c r="AX1198" t="s">
        <v>31</v>
      </c>
      <c r="AY1198" t="s">
        <v>442</v>
      </c>
      <c r="AZ1198" t="s">
        <v>1674</v>
      </c>
      <c r="BF1198">
        <v>0</v>
      </c>
      <c r="BK1198" t="s">
        <v>31</v>
      </c>
      <c r="BS1198" t="s">
        <v>1201</v>
      </c>
      <c r="BT1198" t="s">
        <v>1202</v>
      </c>
      <c r="CI1198" t="s">
        <v>388</v>
      </c>
      <c r="CJ1198" s="14">
        <v>45014</v>
      </c>
      <c r="CK1198">
        <v>1</v>
      </c>
    </row>
    <row r="1199" spans="1:89">
      <c r="A1199" t="s">
        <v>1675</v>
      </c>
      <c r="B1199" t="s">
        <v>374</v>
      </c>
      <c r="C1199" t="s">
        <v>1676</v>
      </c>
      <c r="D1199" t="s">
        <v>1677</v>
      </c>
      <c r="E1199" t="s">
        <v>1678</v>
      </c>
      <c r="F1199" s="13">
        <v>44642.555474537039</v>
      </c>
      <c r="G1199" t="s">
        <v>1501</v>
      </c>
      <c r="H1199" t="s">
        <v>1502</v>
      </c>
      <c r="I1199" s="13">
        <v>45012.044270833336</v>
      </c>
      <c r="K1199" t="s">
        <v>415</v>
      </c>
      <c r="M1199" s="13">
        <v>44895</v>
      </c>
      <c r="R1199">
        <v>0</v>
      </c>
      <c r="S1199" t="s">
        <v>380</v>
      </c>
      <c r="T1199" t="s">
        <v>57</v>
      </c>
      <c r="V1199" t="s">
        <v>478</v>
      </c>
      <c r="W1199" t="s">
        <v>1679</v>
      </c>
      <c r="X1199" t="s">
        <v>1679</v>
      </c>
      <c r="AF1199" t="s">
        <v>451</v>
      </c>
      <c r="AI1199">
        <v>-117</v>
      </c>
      <c r="AL1199" t="s">
        <v>1680</v>
      </c>
      <c r="AN1199" t="s">
        <v>57</v>
      </c>
      <c r="AO1199">
        <v>0</v>
      </c>
      <c r="AS1199" t="s">
        <v>392</v>
      </c>
      <c r="AX1199" t="s">
        <v>57</v>
      </c>
      <c r="AY1199" t="s">
        <v>442</v>
      </c>
      <c r="AZ1199" t="s">
        <v>1681</v>
      </c>
      <c r="BF1199">
        <v>0</v>
      </c>
      <c r="BK1199" t="s">
        <v>31</v>
      </c>
      <c r="BS1199" t="s">
        <v>419</v>
      </c>
      <c r="BT1199" t="s">
        <v>419</v>
      </c>
      <c r="CI1199" t="s">
        <v>388</v>
      </c>
      <c r="CJ1199" s="14">
        <v>45014</v>
      </c>
      <c r="CK1199">
        <v>1</v>
      </c>
    </row>
    <row r="1200" spans="1:89">
      <c r="A1200" t="s">
        <v>1497</v>
      </c>
      <c r="B1200" t="s">
        <v>374</v>
      </c>
      <c r="C1200" t="s">
        <v>1498</v>
      </c>
      <c r="D1200" t="s">
        <v>1682</v>
      </c>
      <c r="E1200" t="s">
        <v>1683</v>
      </c>
      <c r="F1200" s="13">
        <v>44642.548449074071</v>
      </c>
      <c r="G1200" t="s">
        <v>1501</v>
      </c>
      <c r="H1200" t="s">
        <v>1502</v>
      </c>
      <c r="I1200" s="13">
        <v>45012.044270833336</v>
      </c>
      <c r="K1200" t="s">
        <v>415</v>
      </c>
      <c r="M1200" s="13">
        <v>44895</v>
      </c>
      <c r="R1200">
        <v>0</v>
      </c>
      <c r="S1200" t="s">
        <v>380</v>
      </c>
      <c r="T1200" t="s">
        <v>57</v>
      </c>
      <c r="V1200" t="s">
        <v>478</v>
      </c>
      <c r="W1200" t="s">
        <v>1684</v>
      </c>
      <c r="X1200" t="s">
        <v>1684</v>
      </c>
      <c r="AF1200" t="s">
        <v>451</v>
      </c>
      <c r="AI1200">
        <v>-117</v>
      </c>
      <c r="AL1200" t="s">
        <v>1685</v>
      </c>
      <c r="AN1200" t="s">
        <v>57</v>
      </c>
      <c r="AO1200">
        <v>0</v>
      </c>
      <c r="AS1200" t="s">
        <v>392</v>
      </c>
      <c r="AX1200" t="s">
        <v>57</v>
      </c>
      <c r="AY1200" t="s">
        <v>442</v>
      </c>
      <c r="AZ1200" t="s">
        <v>1686</v>
      </c>
      <c r="BF1200">
        <v>0</v>
      </c>
      <c r="BK1200" t="s">
        <v>31</v>
      </c>
      <c r="BS1200" t="s">
        <v>419</v>
      </c>
      <c r="BT1200" t="s">
        <v>419</v>
      </c>
      <c r="CI1200" t="s">
        <v>388</v>
      </c>
      <c r="CJ1200" s="14">
        <v>45014</v>
      </c>
      <c r="CK1200">
        <v>1</v>
      </c>
    </row>
    <row r="1201" spans="1:89">
      <c r="A1201" t="s">
        <v>1459</v>
      </c>
      <c r="B1201" t="s">
        <v>374</v>
      </c>
      <c r="C1201" t="s">
        <v>1460</v>
      </c>
      <c r="D1201" t="s">
        <v>1687</v>
      </c>
      <c r="E1201" t="s">
        <v>1688</v>
      </c>
      <c r="F1201" s="13">
        <v>44638.764374999999</v>
      </c>
      <c r="G1201" t="s">
        <v>641</v>
      </c>
      <c r="H1201" t="s">
        <v>642</v>
      </c>
      <c r="I1201" s="13">
        <v>44650.372847222221</v>
      </c>
      <c r="K1201" t="s">
        <v>379</v>
      </c>
      <c r="M1201" s="13">
        <v>44635</v>
      </c>
      <c r="R1201">
        <v>100</v>
      </c>
      <c r="S1201" t="s">
        <v>380</v>
      </c>
      <c r="T1201" t="s">
        <v>57</v>
      </c>
      <c r="V1201" t="s">
        <v>381</v>
      </c>
      <c r="W1201" t="s">
        <v>1465</v>
      </c>
      <c r="X1201" t="s">
        <v>1465</v>
      </c>
      <c r="AC1201" s="13">
        <v>44595</v>
      </c>
      <c r="AD1201" s="13">
        <v>44582</v>
      </c>
      <c r="AF1201" t="s">
        <v>382</v>
      </c>
      <c r="AG1201" t="s">
        <v>1689</v>
      </c>
      <c r="AI1201">
        <v>-15</v>
      </c>
      <c r="AN1201" t="s">
        <v>31</v>
      </c>
      <c r="AO1201">
        <v>0</v>
      </c>
      <c r="AS1201" t="s">
        <v>385</v>
      </c>
      <c r="AX1201" t="s">
        <v>31</v>
      </c>
      <c r="AY1201" t="s">
        <v>386</v>
      </c>
      <c r="AZ1201" t="s">
        <v>1690</v>
      </c>
      <c r="BF1201">
        <v>0</v>
      </c>
      <c r="BK1201" t="s">
        <v>31</v>
      </c>
      <c r="BS1201" t="s">
        <v>379</v>
      </c>
      <c r="BT1201" t="s">
        <v>379</v>
      </c>
      <c r="CI1201" t="s">
        <v>388</v>
      </c>
      <c r="CJ1201" s="14">
        <v>45014</v>
      </c>
      <c r="CK1201">
        <v>1</v>
      </c>
    </row>
    <row r="1202" spans="1:89">
      <c r="A1202" t="s">
        <v>1459</v>
      </c>
      <c r="B1202" t="s">
        <v>374</v>
      </c>
      <c r="C1202" t="s">
        <v>1460</v>
      </c>
      <c r="D1202" t="s">
        <v>1691</v>
      </c>
      <c r="E1202" t="s">
        <v>1692</v>
      </c>
      <c r="F1202" s="13">
        <v>44638.764374999999</v>
      </c>
      <c r="G1202" t="s">
        <v>641</v>
      </c>
      <c r="H1202" t="s">
        <v>642</v>
      </c>
      <c r="I1202" s="13">
        <v>45012.044259259259</v>
      </c>
      <c r="K1202" t="s">
        <v>415</v>
      </c>
      <c r="M1202" s="13">
        <v>44650</v>
      </c>
      <c r="R1202">
        <v>0</v>
      </c>
      <c r="S1202" t="s">
        <v>380</v>
      </c>
      <c r="T1202" t="s">
        <v>57</v>
      </c>
      <c r="V1202" t="s">
        <v>478</v>
      </c>
      <c r="W1202" t="s">
        <v>1465</v>
      </c>
      <c r="X1202" t="s">
        <v>1465</v>
      </c>
      <c r="AC1202" s="13">
        <v>44594</v>
      </c>
      <c r="AD1202" s="13">
        <v>44581</v>
      </c>
      <c r="AF1202" t="s">
        <v>451</v>
      </c>
      <c r="AI1202">
        <v>-362</v>
      </c>
      <c r="AN1202" t="s">
        <v>31</v>
      </c>
      <c r="AO1202">
        <v>0</v>
      </c>
      <c r="AS1202" t="s">
        <v>538</v>
      </c>
      <c r="AX1202" t="s">
        <v>31</v>
      </c>
      <c r="AY1202" t="s">
        <v>386</v>
      </c>
      <c r="AZ1202" t="s">
        <v>1693</v>
      </c>
      <c r="BF1202">
        <v>0</v>
      </c>
      <c r="BK1202" t="s">
        <v>31</v>
      </c>
      <c r="BS1202" t="s">
        <v>419</v>
      </c>
      <c r="BT1202" t="s">
        <v>419</v>
      </c>
      <c r="CI1202" t="s">
        <v>388</v>
      </c>
      <c r="CJ1202" s="14">
        <v>45014</v>
      </c>
      <c r="CK1202">
        <v>1</v>
      </c>
    </row>
    <row r="1203" spans="1:89">
      <c r="A1203" t="s">
        <v>1459</v>
      </c>
      <c r="B1203" t="s">
        <v>374</v>
      </c>
      <c r="C1203" t="s">
        <v>1460</v>
      </c>
      <c r="D1203" t="s">
        <v>1694</v>
      </c>
      <c r="E1203" t="s">
        <v>1695</v>
      </c>
      <c r="F1203" s="13">
        <v>44638.764363425929</v>
      </c>
      <c r="G1203" t="s">
        <v>641</v>
      </c>
      <c r="H1203" t="s">
        <v>642</v>
      </c>
      <c r="I1203" s="13">
        <v>45012.044259259259</v>
      </c>
      <c r="K1203" t="s">
        <v>415</v>
      </c>
      <c r="M1203" s="13">
        <v>44650</v>
      </c>
      <c r="R1203">
        <v>0</v>
      </c>
      <c r="S1203" t="s">
        <v>380</v>
      </c>
      <c r="T1203" t="s">
        <v>57</v>
      </c>
      <c r="V1203" t="s">
        <v>478</v>
      </c>
      <c r="W1203" t="s">
        <v>1465</v>
      </c>
      <c r="X1203" t="s">
        <v>1465</v>
      </c>
      <c r="Y1203" t="s">
        <v>480</v>
      </c>
      <c r="AC1203" s="13">
        <v>44592</v>
      </c>
      <c r="AD1203" s="13">
        <v>44579</v>
      </c>
      <c r="AF1203" t="s">
        <v>451</v>
      </c>
      <c r="AG1203" t="s">
        <v>1696</v>
      </c>
      <c r="AI1203">
        <v>-362</v>
      </c>
      <c r="AN1203" t="s">
        <v>31</v>
      </c>
      <c r="AO1203">
        <v>0</v>
      </c>
      <c r="AS1203" t="s">
        <v>392</v>
      </c>
      <c r="AT1203" t="s">
        <v>31</v>
      </c>
      <c r="AX1203" t="s">
        <v>31</v>
      </c>
      <c r="AY1203" t="s">
        <v>386</v>
      </c>
      <c r="AZ1203" t="s">
        <v>1697</v>
      </c>
      <c r="BF1203">
        <v>0</v>
      </c>
      <c r="BK1203" t="s">
        <v>31</v>
      </c>
      <c r="BS1203" t="s">
        <v>484</v>
      </c>
      <c r="BT1203" t="s">
        <v>484</v>
      </c>
      <c r="CI1203" t="s">
        <v>388</v>
      </c>
      <c r="CJ1203" s="14">
        <v>45014</v>
      </c>
      <c r="CK1203">
        <v>1</v>
      </c>
    </row>
    <row r="1204" spans="1:89">
      <c r="A1204" t="s">
        <v>1459</v>
      </c>
      <c r="B1204" t="s">
        <v>374</v>
      </c>
      <c r="C1204" t="s">
        <v>1460</v>
      </c>
      <c r="D1204" t="s">
        <v>1698</v>
      </c>
      <c r="E1204" t="s">
        <v>1699</v>
      </c>
      <c r="F1204" s="13">
        <v>44638.764363425929</v>
      </c>
      <c r="G1204" t="s">
        <v>641</v>
      </c>
      <c r="H1204" t="s">
        <v>642</v>
      </c>
      <c r="I1204" s="13">
        <v>45012.044259259259</v>
      </c>
      <c r="K1204" t="s">
        <v>415</v>
      </c>
      <c r="M1204" s="13">
        <v>44650</v>
      </c>
      <c r="R1204">
        <v>0</v>
      </c>
      <c r="S1204" t="s">
        <v>380</v>
      </c>
      <c r="T1204" t="s">
        <v>57</v>
      </c>
      <c r="V1204" t="s">
        <v>478</v>
      </c>
      <c r="W1204" t="s">
        <v>1465</v>
      </c>
      <c r="X1204" t="s">
        <v>1465</v>
      </c>
      <c r="AC1204" s="13">
        <v>44593</v>
      </c>
      <c r="AD1204" s="13">
        <v>44580</v>
      </c>
      <c r="AF1204" t="s">
        <v>451</v>
      </c>
      <c r="AI1204">
        <v>-361</v>
      </c>
      <c r="AN1204" t="s">
        <v>31</v>
      </c>
      <c r="AO1204">
        <v>0</v>
      </c>
      <c r="AS1204" t="s">
        <v>744</v>
      </c>
      <c r="AX1204" t="s">
        <v>31</v>
      </c>
      <c r="AY1204" t="s">
        <v>386</v>
      </c>
      <c r="AZ1204" t="s">
        <v>1700</v>
      </c>
      <c r="BF1204">
        <v>0</v>
      </c>
      <c r="BK1204" t="s">
        <v>31</v>
      </c>
      <c r="BS1204" t="s">
        <v>419</v>
      </c>
      <c r="BT1204" t="s">
        <v>419</v>
      </c>
      <c r="CI1204" t="s">
        <v>388</v>
      </c>
      <c r="CJ1204" s="14">
        <v>45014</v>
      </c>
      <c r="CK1204">
        <v>1</v>
      </c>
    </row>
    <row r="1205" spans="1:89">
      <c r="A1205" t="s">
        <v>1701</v>
      </c>
      <c r="B1205" t="s">
        <v>374</v>
      </c>
      <c r="C1205" t="s">
        <v>1702</v>
      </c>
      <c r="D1205" t="s">
        <v>1703</v>
      </c>
      <c r="E1205" t="s">
        <v>1704</v>
      </c>
      <c r="F1205" s="13">
        <v>44638.759328703702</v>
      </c>
      <c r="G1205" t="s">
        <v>641</v>
      </c>
      <c r="H1205" t="s">
        <v>642</v>
      </c>
      <c r="I1205" s="13">
        <v>44638.759328703702</v>
      </c>
      <c r="K1205" t="s">
        <v>412</v>
      </c>
      <c r="M1205" s="13">
        <v>44579</v>
      </c>
      <c r="R1205">
        <v>0</v>
      </c>
      <c r="S1205" t="s">
        <v>380</v>
      </c>
      <c r="T1205" t="s">
        <v>57</v>
      </c>
      <c r="V1205" t="s">
        <v>381</v>
      </c>
      <c r="W1205" t="s">
        <v>1639</v>
      </c>
      <c r="X1205" t="s">
        <v>1639</v>
      </c>
      <c r="AC1205" s="13">
        <v>44579</v>
      </c>
      <c r="AD1205" s="13">
        <v>44579</v>
      </c>
      <c r="AI1205">
        <v>-59</v>
      </c>
      <c r="AN1205" t="s">
        <v>31</v>
      </c>
      <c r="AO1205">
        <v>0</v>
      </c>
      <c r="AS1205" t="s">
        <v>385</v>
      </c>
      <c r="AX1205" t="s">
        <v>57</v>
      </c>
      <c r="AY1205" t="s">
        <v>442</v>
      </c>
      <c r="BF1205">
        <v>0</v>
      </c>
      <c r="BK1205" t="s">
        <v>31</v>
      </c>
      <c r="BS1205" t="s">
        <v>412</v>
      </c>
      <c r="CI1205" t="s">
        <v>388</v>
      </c>
      <c r="CJ1205" s="14">
        <v>45014</v>
      </c>
      <c r="CK1205">
        <v>1</v>
      </c>
    </row>
    <row r="1206" spans="1:89">
      <c r="A1206" t="s">
        <v>1705</v>
      </c>
      <c r="B1206" t="s">
        <v>374</v>
      </c>
      <c r="C1206" t="s">
        <v>1706</v>
      </c>
      <c r="D1206" t="s">
        <v>1707</v>
      </c>
      <c r="E1206" t="s">
        <v>1708</v>
      </c>
      <c r="F1206" s="13">
        <v>44638.759328703702</v>
      </c>
      <c r="G1206" t="s">
        <v>641</v>
      </c>
      <c r="H1206" t="s">
        <v>642</v>
      </c>
      <c r="I1206" s="13">
        <v>44638.759328703702</v>
      </c>
      <c r="K1206" t="s">
        <v>412</v>
      </c>
      <c r="M1206" s="13">
        <v>44609</v>
      </c>
      <c r="R1206">
        <v>0</v>
      </c>
      <c r="S1206" t="s">
        <v>380</v>
      </c>
      <c r="T1206" t="s">
        <v>57</v>
      </c>
      <c r="V1206" t="s">
        <v>381</v>
      </c>
      <c r="W1206" t="s">
        <v>1709</v>
      </c>
      <c r="X1206" t="s">
        <v>1709</v>
      </c>
      <c r="AC1206" s="13">
        <v>44609</v>
      </c>
      <c r="AD1206" s="13">
        <v>44609</v>
      </c>
      <c r="AI1206">
        <v>-29</v>
      </c>
      <c r="AN1206" t="s">
        <v>31</v>
      </c>
      <c r="AO1206">
        <v>0</v>
      </c>
      <c r="AS1206" t="s">
        <v>648</v>
      </c>
      <c r="AX1206" t="s">
        <v>57</v>
      </c>
      <c r="AY1206" t="s">
        <v>442</v>
      </c>
      <c r="BF1206">
        <v>0</v>
      </c>
      <c r="BK1206" t="s">
        <v>31</v>
      </c>
      <c r="BS1206" t="s">
        <v>412</v>
      </c>
      <c r="CI1206" t="s">
        <v>388</v>
      </c>
      <c r="CJ1206" s="14">
        <v>45014</v>
      </c>
      <c r="CK1206">
        <v>1</v>
      </c>
    </row>
    <row r="1207" spans="1:89">
      <c r="A1207" t="s">
        <v>1710</v>
      </c>
      <c r="B1207" t="s">
        <v>374</v>
      </c>
      <c r="C1207" t="s">
        <v>392</v>
      </c>
      <c r="D1207" t="s">
        <v>1711</v>
      </c>
      <c r="E1207" t="s">
        <v>1712</v>
      </c>
      <c r="F1207" s="13">
        <v>44638.759317129632</v>
      </c>
      <c r="G1207" t="s">
        <v>641</v>
      </c>
      <c r="H1207" t="s">
        <v>642</v>
      </c>
      <c r="I1207" s="13">
        <v>44638.759317129632</v>
      </c>
      <c r="K1207" t="s">
        <v>412</v>
      </c>
      <c r="M1207" s="13">
        <v>44742</v>
      </c>
      <c r="R1207">
        <v>0</v>
      </c>
      <c r="S1207" t="s">
        <v>380</v>
      </c>
      <c r="T1207" t="s">
        <v>57</v>
      </c>
      <c r="V1207" t="s">
        <v>381</v>
      </c>
      <c r="W1207" t="s">
        <v>1713</v>
      </c>
      <c r="X1207" t="s">
        <v>1713</v>
      </c>
      <c r="AC1207" s="13">
        <v>44742</v>
      </c>
      <c r="AD1207" s="13">
        <v>44742</v>
      </c>
      <c r="AI1207">
        <v>104</v>
      </c>
      <c r="AN1207" t="s">
        <v>31</v>
      </c>
      <c r="AO1207">
        <v>0</v>
      </c>
      <c r="AS1207" t="s">
        <v>392</v>
      </c>
      <c r="AX1207" t="s">
        <v>57</v>
      </c>
      <c r="AY1207" t="s">
        <v>442</v>
      </c>
      <c r="BF1207">
        <v>0</v>
      </c>
      <c r="BK1207" t="s">
        <v>31</v>
      </c>
      <c r="BS1207" t="s">
        <v>412</v>
      </c>
      <c r="CI1207" t="s">
        <v>388</v>
      </c>
      <c r="CJ1207" s="14">
        <v>45014</v>
      </c>
      <c r="CK1207">
        <v>1</v>
      </c>
    </row>
    <row r="1208" spans="1:89">
      <c r="A1208" t="s">
        <v>1710</v>
      </c>
      <c r="B1208" t="s">
        <v>374</v>
      </c>
      <c r="C1208" t="s">
        <v>392</v>
      </c>
      <c r="D1208" t="s">
        <v>1714</v>
      </c>
      <c r="E1208" t="s">
        <v>1715</v>
      </c>
      <c r="F1208" s="13">
        <v>44638.759317129632</v>
      </c>
      <c r="G1208" t="s">
        <v>641</v>
      </c>
      <c r="H1208" t="s">
        <v>642</v>
      </c>
      <c r="I1208" s="13">
        <v>44638.759317129632</v>
      </c>
      <c r="K1208" t="s">
        <v>412</v>
      </c>
      <c r="M1208" s="13">
        <v>44742</v>
      </c>
      <c r="R1208">
        <v>0</v>
      </c>
      <c r="S1208" t="s">
        <v>380</v>
      </c>
      <c r="T1208" t="s">
        <v>57</v>
      </c>
      <c r="V1208" t="s">
        <v>381</v>
      </c>
      <c r="W1208" t="s">
        <v>1713</v>
      </c>
      <c r="X1208" t="s">
        <v>1713</v>
      </c>
      <c r="AC1208" s="13">
        <v>44742</v>
      </c>
      <c r="AD1208" s="13">
        <v>44742</v>
      </c>
      <c r="AI1208">
        <v>104</v>
      </c>
      <c r="AN1208" t="s">
        <v>31</v>
      </c>
      <c r="AO1208">
        <v>0</v>
      </c>
      <c r="AS1208" t="s">
        <v>392</v>
      </c>
      <c r="AX1208" t="s">
        <v>57</v>
      </c>
      <c r="AY1208" t="s">
        <v>442</v>
      </c>
      <c r="BF1208">
        <v>0</v>
      </c>
      <c r="BK1208" t="s">
        <v>31</v>
      </c>
      <c r="BS1208" t="s">
        <v>412</v>
      </c>
      <c r="CI1208" t="s">
        <v>388</v>
      </c>
      <c r="CJ1208" s="14">
        <v>45014</v>
      </c>
      <c r="CK1208">
        <v>1</v>
      </c>
    </row>
    <row r="1209" spans="1:89">
      <c r="A1209" t="s">
        <v>1716</v>
      </c>
      <c r="B1209" t="s">
        <v>374</v>
      </c>
      <c r="C1209" t="s">
        <v>966</v>
      </c>
      <c r="D1209" t="s">
        <v>1717</v>
      </c>
      <c r="E1209" t="s">
        <v>1718</v>
      </c>
      <c r="F1209" s="13">
        <v>44638.759305555555</v>
      </c>
      <c r="G1209" t="s">
        <v>641</v>
      </c>
      <c r="H1209" t="s">
        <v>642</v>
      </c>
      <c r="I1209" s="13">
        <v>44638.759305555555</v>
      </c>
      <c r="K1209" t="s">
        <v>412</v>
      </c>
      <c r="M1209" s="13">
        <v>44601</v>
      </c>
      <c r="R1209">
        <v>0</v>
      </c>
      <c r="S1209" t="s">
        <v>380</v>
      </c>
      <c r="T1209" t="s">
        <v>57</v>
      </c>
      <c r="V1209" t="s">
        <v>381</v>
      </c>
      <c r="W1209" t="s">
        <v>1719</v>
      </c>
      <c r="X1209" t="s">
        <v>1719</v>
      </c>
      <c r="AC1209" s="13">
        <v>44601</v>
      </c>
      <c r="AD1209" s="13">
        <v>44601</v>
      </c>
      <c r="AI1209">
        <v>-37</v>
      </c>
      <c r="AN1209" t="s">
        <v>31</v>
      </c>
      <c r="AO1209">
        <v>0</v>
      </c>
      <c r="AS1209" t="s">
        <v>1720</v>
      </c>
      <c r="AX1209" t="s">
        <v>57</v>
      </c>
      <c r="AY1209" t="s">
        <v>386</v>
      </c>
      <c r="BF1209">
        <v>0</v>
      </c>
      <c r="BK1209" t="s">
        <v>31</v>
      </c>
      <c r="BS1209" t="s">
        <v>412</v>
      </c>
      <c r="CI1209" t="s">
        <v>388</v>
      </c>
      <c r="CJ1209" s="14">
        <v>45014</v>
      </c>
      <c r="CK1209">
        <v>1</v>
      </c>
    </row>
    <row r="1210" spans="1:89">
      <c r="A1210" t="s">
        <v>1721</v>
      </c>
      <c r="B1210" t="s">
        <v>374</v>
      </c>
      <c r="C1210" t="s">
        <v>1722</v>
      </c>
      <c r="D1210" t="s">
        <v>1723</v>
      </c>
      <c r="E1210" t="s">
        <v>1724</v>
      </c>
      <c r="F1210" s="13">
        <v>44638.759305555555</v>
      </c>
      <c r="G1210" t="s">
        <v>641</v>
      </c>
      <c r="H1210" t="s">
        <v>642</v>
      </c>
      <c r="I1210" s="13">
        <v>44638.759305555555</v>
      </c>
      <c r="K1210" t="s">
        <v>412</v>
      </c>
      <c r="M1210" s="13">
        <v>44643</v>
      </c>
      <c r="R1210">
        <v>0</v>
      </c>
      <c r="S1210" t="s">
        <v>380</v>
      </c>
      <c r="T1210" t="s">
        <v>57</v>
      </c>
      <c r="V1210" t="s">
        <v>381</v>
      </c>
      <c r="W1210" t="s">
        <v>1725</v>
      </c>
      <c r="X1210" t="s">
        <v>1725</v>
      </c>
      <c r="AC1210" s="13">
        <v>44643</v>
      </c>
      <c r="AD1210" s="13">
        <v>44643</v>
      </c>
      <c r="AI1210">
        <v>5</v>
      </c>
      <c r="AN1210" t="s">
        <v>31</v>
      </c>
      <c r="AO1210">
        <v>0</v>
      </c>
      <c r="AS1210" t="s">
        <v>648</v>
      </c>
      <c r="AX1210" t="s">
        <v>57</v>
      </c>
      <c r="AY1210" t="s">
        <v>386</v>
      </c>
      <c r="BF1210">
        <v>0</v>
      </c>
      <c r="BK1210" t="s">
        <v>31</v>
      </c>
      <c r="BS1210" t="s">
        <v>412</v>
      </c>
      <c r="CI1210" t="s">
        <v>388</v>
      </c>
      <c r="CJ1210" s="14">
        <v>45014</v>
      </c>
      <c r="CK1210">
        <v>1</v>
      </c>
    </row>
    <row r="1211" spans="1:89">
      <c r="A1211" t="s">
        <v>1721</v>
      </c>
      <c r="B1211" t="s">
        <v>374</v>
      </c>
      <c r="C1211" t="s">
        <v>1722</v>
      </c>
      <c r="D1211" t="s">
        <v>1726</v>
      </c>
      <c r="E1211" t="s">
        <v>1727</v>
      </c>
      <c r="F1211" s="13">
        <v>44638.759293981479</v>
      </c>
      <c r="G1211" t="s">
        <v>641</v>
      </c>
      <c r="H1211" t="s">
        <v>642</v>
      </c>
      <c r="I1211" s="13">
        <v>44638.759293981479</v>
      </c>
      <c r="K1211" t="s">
        <v>412</v>
      </c>
      <c r="M1211" s="13">
        <v>44574</v>
      </c>
      <c r="R1211">
        <v>0</v>
      </c>
      <c r="S1211" t="s">
        <v>380</v>
      </c>
      <c r="T1211" t="s">
        <v>57</v>
      </c>
      <c r="V1211" t="s">
        <v>381</v>
      </c>
      <c r="W1211" t="s">
        <v>1725</v>
      </c>
      <c r="X1211" t="s">
        <v>1725</v>
      </c>
      <c r="AC1211" s="13">
        <v>44574</v>
      </c>
      <c r="AD1211" s="13">
        <v>44574</v>
      </c>
      <c r="AI1211">
        <v>-64</v>
      </c>
      <c r="AN1211" t="s">
        <v>31</v>
      </c>
      <c r="AO1211">
        <v>0</v>
      </c>
      <c r="AS1211" t="s">
        <v>385</v>
      </c>
      <c r="AX1211" t="s">
        <v>57</v>
      </c>
      <c r="AY1211" t="s">
        <v>386</v>
      </c>
      <c r="BF1211">
        <v>0</v>
      </c>
      <c r="BK1211" t="s">
        <v>31</v>
      </c>
      <c r="BS1211" t="s">
        <v>412</v>
      </c>
      <c r="CI1211" t="s">
        <v>388</v>
      </c>
      <c r="CJ1211" s="14">
        <v>45014</v>
      </c>
      <c r="CK1211">
        <v>1</v>
      </c>
    </row>
    <row r="1212" spans="1:89">
      <c r="A1212" t="s">
        <v>1705</v>
      </c>
      <c r="B1212" t="s">
        <v>374</v>
      </c>
      <c r="C1212" t="s">
        <v>1706</v>
      </c>
      <c r="D1212" t="s">
        <v>1728</v>
      </c>
      <c r="E1212" t="s">
        <v>1729</v>
      </c>
      <c r="F1212" s="13">
        <v>44638.759293981479</v>
      </c>
      <c r="G1212" t="s">
        <v>641</v>
      </c>
      <c r="H1212" t="s">
        <v>642</v>
      </c>
      <c r="I1212" s="13">
        <v>44638.759293981479</v>
      </c>
      <c r="K1212" t="s">
        <v>412</v>
      </c>
      <c r="M1212" s="13">
        <v>44651</v>
      </c>
      <c r="R1212">
        <v>0</v>
      </c>
      <c r="S1212" t="s">
        <v>380</v>
      </c>
      <c r="T1212" t="s">
        <v>57</v>
      </c>
      <c r="V1212" t="s">
        <v>381</v>
      </c>
      <c r="W1212" t="s">
        <v>1730</v>
      </c>
      <c r="X1212" t="s">
        <v>1730</v>
      </c>
      <c r="AC1212" s="13">
        <v>44651</v>
      </c>
      <c r="AD1212" s="13">
        <v>44651</v>
      </c>
      <c r="AI1212">
        <v>13</v>
      </c>
      <c r="AN1212" t="s">
        <v>31</v>
      </c>
      <c r="AO1212">
        <v>0</v>
      </c>
      <c r="AS1212" t="s">
        <v>385</v>
      </c>
      <c r="AX1212" t="s">
        <v>57</v>
      </c>
      <c r="AY1212" t="s">
        <v>386</v>
      </c>
      <c r="BF1212">
        <v>0</v>
      </c>
      <c r="BK1212" t="s">
        <v>31</v>
      </c>
      <c r="BS1212" t="s">
        <v>412</v>
      </c>
      <c r="CI1212" t="s">
        <v>388</v>
      </c>
      <c r="CJ1212" s="14">
        <v>45014</v>
      </c>
      <c r="CK1212">
        <v>1</v>
      </c>
    </row>
    <row r="1213" spans="1:89">
      <c r="A1213" t="s">
        <v>1705</v>
      </c>
      <c r="B1213" t="s">
        <v>374</v>
      </c>
      <c r="C1213" t="s">
        <v>1706</v>
      </c>
      <c r="D1213" t="s">
        <v>1731</v>
      </c>
      <c r="E1213" t="s">
        <v>1732</v>
      </c>
      <c r="F1213" s="13">
        <v>44638.759293981479</v>
      </c>
      <c r="G1213" t="s">
        <v>641</v>
      </c>
      <c r="H1213" t="s">
        <v>642</v>
      </c>
      <c r="I1213" s="13">
        <v>44638.759293981479</v>
      </c>
      <c r="K1213" t="s">
        <v>412</v>
      </c>
      <c r="M1213" s="13">
        <v>44651</v>
      </c>
      <c r="R1213">
        <v>0</v>
      </c>
      <c r="S1213" t="s">
        <v>380</v>
      </c>
      <c r="T1213" t="s">
        <v>57</v>
      </c>
      <c r="V1213" t="s">
        <v>381</v>
      </c>
      <c r="W1213" t="s">
        <v>1733</v>
      </c>
      <c r="X1213" t="s">
        <v>1733</v>
      </c>
      <c r="AC1213" s="13">
        <v>44651</v>
      </c>
      <c r="AD1213" s="13">
        <v>44651</v>
      </c>
      <c r="AI1213">
        <v>13</v>
      </c>
      <c r="AN1213" t="s">
        <v>31</v>
      </c>
      <c r="AO1213">
        <v>0</v>
      </c>
      <c r="AS1213" t="s">
        <v>385</v>
      </c>
      <c r="AX1213" t="s">
        <v>57</v>
      </c>
      <c r="AY1213" t="s">
        <v>386</v>
      </c>
      <c r="BF1213">
        <v>0</v>
      </c>
      <c r="BK1213" t="s">
        <v>31</v>
      </c>
      <c r="BS1213" t="s">
        <v>412</v>
      </c>
      <c r="CI1213" t="s">
        <v>388</v>
      </c>
      <c r="CJ1213" s="14">
        <v>45014</v>
      </c>
      <c r="CK1213">
        <v>1</v>
      </c>
    </row>
    <row r="1214" spans="1:89">
      <c r="A1214" t="s">
        <v>1705</v>
      </c>
      <c r="B1214" t="s">
        <v>374</v>
      </c>
      <c r="C1214" t="s">
        <v>1706</v>
      </c>
      <c r="D1214" t="s">
        <v>1734</v>
      </c>
      <c r="E1214" t="s">
        <v>1735</v>
      </c>
      <c r="F1214" s="13">
        <v>44638.759282407409</v>
      </c>
      <c r="G1214" t="s">
        <v>641</v>
      </c>
      <c r="H1214" t="s">
        <v>642</v>
      </c>
      <c r="I1214" s="13">
        <v>44638.759282407409</v>
      </c>
      <c r="K1214" t="s">
        <v>412</v>
      </c>
      <c r="M1214" s="13">
        <v>44651</v>
      </c>
      <c r="R1214">
        <v>0</v>
      </c>
      <c r="S1214" t="s">
        <v>380</v>
      </c>
      <c r="T1214" t="s">
        <v>57</v>
      </c>
      <c r="V1214" t="s">
        <v>381</v>
      </c>
      <c r="W1214" t="s">
        <v>1719</v>
      </c>
      <c r="X1214" t="s">
        <v>1719</v>
      </c>
      <c r="AC1214" s="13">
        <v>44651</v>
      </c>
      <c r="AD1214" s="13">
        <v>44651</v>
      </c>
      <c r="AI1214">
        <v>13</v>
      </c>
      <c r="AN1214" t="s">
        <v>31</v>
      </c>
      <c r="AO1214">
        <v>0</v>
      </c>
      <c r="AS1214" t="s">
        <v>385</v>
      </c>
      <c r="AX1214" t="s">
        <v>57</v>
      </c>
      <c r="AY1214" t="s">
        <v>386</v>
      </c>
      <c r="BF1214">
        <v>0</v>
      </c>
      <c r="BK1214" t="s">
        <v>31</v>
      </c>
      <c r="BS1214" t="s">
        <v>412</v>
      </c>
      <c r="CI1214" t="s">
        <v>388</v>
      </c>
      <c r="CJ1214" s="14">
        <v>45014</v>
      </c>
      <c r="CK1214">
        <v>1</v>
      </c>
    </row>
    <row r="1215" spans="1:89">
      <c r="A1215" t="s">
        <v>1705</v>
      </c>
      <c r="B1215" t="s">
        <v>374</v>
      </c>
      <c r="C1215" t="s">
        <v>1706</v>
      </c>
      <c r="D1215" t="s">
        <v>1736</v>
      </c>
      <c r="E1215" t="s">
        <v>1737</v>
      </c>
      <c r="F1215" s="13">
        <v>44638.759282407409</v>
      </c>
      <c r="G1215" t="s">
        <v>641</v>
      </c>
      <c r="H1215" t="s">
        <v>642</v>
      </c>
      <c r="I1215" s="13">
        <v>44638.759282407409</v>
      </c>
      <c r="K1215" t="s">
        <v>412</v>
      </c>
      <c r="M1215" s="13">
        <v>44651</v>
      </c>
      <c r="R1215">
        <v>0</v>
      </c>
      <c r="S1215" t="s">
        <v>380</v>
      </c>
      <c r="T1215" t="s">
        <v>57</v>
      </c>
      <c r="V1215" t="s">
        <v>381</v>
      </c>
      <c r="W1215" t="s">
        <v>1733</v>
      </c>
      <c r="X1215" t="s">
        <v>1733</v>
      </c>
      <c r="AC1215" s="13">
        <v>44651</v>
      </c>
      <c r="AD1215" s="13">
        <v>44651</v>
      </c>
      <c r="AI1215">
        <v>13</v>
      </c>
      <c r="AN1215" t="s">
        <v>31</v>
      </c>
      <c r="AO1215">
        <v>0</v>
      </c>
      <c r="AS1215" t="s">
        <v>385</v>
      </c>
      <c r="AX1215" t="s">
        <v>57</v>
      </c>
      <c r="AY1215" t="s">
        <v>386</v>
      </c>
      <c r="BF1215">
        <v>0</v>
      </c>
      <c r="BK1215" t="s">
        <v>31</v>
      </c>
      <c r="BS1215" t="s">
        <v>412</v>
      </c>
      <c r="CI1215" t="s">
        <v>388</v>
      </c>
      <c r="CJ1215" s="14">
        <v>45014</v>
      </c>
      <c r="CK1215">
        <v>1</v>
      </c>
    </row>
    <row r="1216" spans="1:89">
      <c r="A1216" t="s">
        <v>1705</v>
      </c>
      <c r="B1216" t="s">
        <v>374</v>
      </c>
      <c r="C1216" t="s">
        <v>1706</v>
      </c>
      <c r="D1216" t="s">
        <v>1738</v>
      </c>
      <c r="E1216" t="s">
        <v>1739</v>
      </c>
      <c r="F1216" s="13">
        <v>44638.759270833332</v>
      </c>
      <c r="G1216" t="s">
        <v>641</v>
      </c>
      <c r="H1216" t="s">
        <v>642</v>
      </c>
      <c r="I1216" s="13">
        <v>44638.759270833332</v>
      </c>
      <c r="K1216" t="s">
        <v>412</v>
      </c>
      <c r="M1216" s="13">
        <v>44651</v>
      </c>
      <c r="R1216">
        <v>0</v>
      </c>
      <c r="S1216" t="s">
        <v>380</v>
      </c>
      <c r="T1216" t="s">
        <v>57</v>
      </c>
      <c r="V1216" t="s">
        <v>381</v>
      </c>
      <c r="W1216" t="s">
        <v>1709</v>
      </c>
      <c r="X1216" t="s">
        <v>1709</v>
      </c>
      <c r="AC1216" s="13">
        <v>44651</v>
      </c>
      <c r="AD1216" s="13">
        <v>44651</v>
      </c>
      <c r="AI1216">
        <v>13</v>
      </c>
      <c r="AN1216" t="s">
        <v>31</v>
      </c>
      <c r="AO1216">
        <v>0</v>
      </c>
      <c r="AS1216" t="s">
        <v>385</v>
      </c>
      <c r="AX1216" t="s">
        <v>57</v>
      </c>
      <c r="AY1216" t="s">
        <v>386</v>
      </c>
      <c r="BF1216">
        <v>0</v>
      </c>
      <c r="BK1216" t="s">
        <v>31</v>
      </c>
      <c r="BS1216" t="s">
        <v>412</v>
      </c>
      <c r="CI1216" t="s">
        <v>388</v>
      </c>
      <c r="CJ1216" s="14">
        <v>45014</v>
      </c>
      <c r="CK1216">
        <v>1</v>
      </c>
    </row>
    <row r="1217" spans="1:89">
      <c r="A1217" t="s">
        <v>1705</v>
      </c>
      <c r="B1217" t="s">
        <v>374</v>
      </c>
      <c r="C1217" t="s">
        <v>1706</v>
      </c>
      <c r="D1217" t="s">
        <v>1740</v>
      </c>
      <c r="E1217" t="s">
        <v>1741</v>
      </c>
      <c r="F1217" s="13">
        <v>44638.759270833332</v>
      </c>
      <c r="G1217" t="s">
        <v>641</v>
      </c>
      <c r="H1217" t="s">
        <v>642</v>
      </c>
      <c r="I1217" s="13">
        <v>44638.759270833332</v>
      </c>
      <c r="K1217" t="s">
        <v>412</v>
      </c>
      <c r="M1217" s="13">
        <v>44651</v>
      </c>
      <c r="R1217">
        <v>0</v>
      </c>
      <c r="S1217" t="s">
        <v>380</v>
      </c>
      <c r="T1217" t="s">
        <v>57</v>
      </c>
      <c r="V1217" t="s">
        <v>381</v>
      </c>
      <c r="W1217" t="s">
        <v>1709</v>
      </c>
      <c r="X1217" t="s">
        <v>1709</v>
      </c>
      <c r="AC1217" s="13">
        <v>44651</v>
      </c>
      <c r="AD1217" s="13">
        <v>44651</v>
      </c>
      <c r="AI1217">
        <v>13</v>
      </c>
      <c r="AN1217" t="s">
        <v>31</v>
      </c>
      <c r="AO1217">
        <v>0</v>
      </c>
      <c r="AS1217" t="s">
        <v>392</v>
      </c>
      <c r="AX1217" t="s">
        <v>57</v>
      </c>
      <c r="AY1217" t="s">
        <v>386</v>
      </c>
      <c r="BF1217">
        <v>0</v>
      </c>
      <c r="BK1217" t="s">
        <v>31</v>
      </c>
      <c r="BS1217" t="s">
        <v>412</v>
      </c>
      <c r="CI1217" t="s">
        <v>388</v>
      </c>
      <c r="CJ1217" s="14">
        <v>45014</v>
      </c>
      <c r="CK1217">
        <v>1</v>
      </c>
    </row>
    <row r="1218" spans="1:89">
      <c r="A1218" t="s">
        <v>1705</v>
      </c>
      <c r="B1218" t="s">
        <v>374</v>
      </c>
      <c r="C1218" t="s">
        <v>1706</v>
      </c>
      <c r="D1218" t="s">
        <v>1742</v>
      </c>
      <c r="E1218" t="s">
        <v>1743</v>
      </c>
      <c r="F1218" s="13">
        <v>44638.759270833332</v>
      </c>
      <c r="G1218" t="s">
        <v>641</v>
      </c>
      <c r="H1218" t="s">
        <v>642</v>
      </c>
      <c r="I1218" s="13">
        <v>44638.759270833332</v>
      </c>
      <c r="K1218" t="s">
        <v>412</v>
      </c>
      <c r="M1218" s="13">
        <v>44651</v>
      </c>
      <c r="R1218">
        <v>0</v>
      </c>
      <c r="S1218" t="s">
        <v>380</v>
      </c>
      <c r="T1218" t="s">
        <v>57</v>
      </c>
      <c r="V1218" t="s">
        <v>381</v>
      </c>
      <c r="W1218" t="s">
        <v>1709</v>
      </c>
      <c r="X1218" t="s">
        <v>1709</v>
      </c>
      <c r="AC1218" s="13">
        <v>44651</v>
      </c>
      <c r="AD1218" s="13">
        <v>44651</v>
      </c>
      <c r="AI1218">
        <v>13</v>
      </c>
      <c r="AN1218" t="s">
        <v>31</v>
      </c>
      <c r="AO1218">
        <v>0</v>
      </c>
      <c r="AS1218" t="s">
        <v>648</v>
      </c>
      <c r="AX1218" t="s">
        <v>57</v>
      </c>
      <c r="AY1218" t="s">
        <v>386</v>
      </c>
      <c r="BF1218">
        <v>0</v>
      </c>
      <c r="BK1218" t="s">
        <v>31</v>
      </c>
      <c r="BS1218" t="s">
        <v>412</v>
      </c>
      <c r="CI1218" t="s">
        <v>388</v>
      </c>
      <c r="CJ1218" s="14">
        <v>45014</v>
      </c>
      <c r="CK1218">
        <v>1</v>
      </c>
    </row>
    <row r="1219" spans="1:89">
      <c r="A1219" t="s">
        <v>1705</v>
      </c>
      <c r="B1219" t="s">
        <v>374</v>
      </c>
      <c r="C1219" t="s">
        <v>1706</v>
      </c>
      <c r="D1219" t="s">
        <v>1744</v>
      </c>
      <c r="E1219" t="s">
        <v>1745</v>
      </c>
      <c r="F1219" s="13">
        <v>44638.759259259263</v>
      </c>
      <c r="G1219" t="s">
        <v>641</v>
      </c>
      <c r="H1219" t="s">
        <v>642</v>
      </c>
      <c r="I1219" s="13">
        <v>44638.759259259263</v>
      </c>
      <c r="K1219" t="s">
        <v>412</v>
      </c>
      <c r="M1219" s="13">
        <v>44651</v>
      </c>
      <c r="R1219">
        <v>0</v>
      </c>
      <c r="S1219" t="s">
        <v>380</v>
      </c>
      <c r="T1219" t="s">
        <v>57</v>
      </c>
      <c r="V1219" t="s">
        <v>381</v>
      </c>
      <c r="W1219" t="s">
        <v>1733</v>
      </c>
      <c r="X1219" t="s">
        <v>1733</v>
      </c>
      <c r="AC1219" s="13">
        <v>44651</v>
      </c>
      <c r="AD1219" s="13">
        <v>44651</v>
      </c>
      <c r="AI1219">
        <v>13</v>
      </c>
      <c r="AN1219" t="s">
        <v>31</v>
      </c>
      <c r="AO1219">
        <v>0</v>
      </c>
      <c r="AS1219" t="s">
        <v>385</v>
      </c>
      <c r="AX1219" t="s">
        <v>57</v>
      </c>
      <c r="AY1219" t="s">
        <v>386</v>
      </c>
      <c r="BF1219">
        <v>0</v>
      </c>
      <c r="BK1219" t="s">
        <v>31</v>
      </c>
      <c r="BS1219" t="s">
        <v>412</v>
      </c>
      <c r="CI1219" t="s">
        <v>388</v>
      </c>
      <c r="CJ1219" s="14">
        <v>45014</v>
      </c>
      <c r="CK1219">
        <v>1</v>
      </c>
    </row>
    <row r="1220" spans="1:89">
      <c r="A1220" t="s">
        <v>1705</v>
      </c>
      <c r="B1220" t="s">
        <v>374</v>
      </c>
      <c r="C1220" t="s">
        <v>1706</v>
      </c>
      <c r="D1220" t="s">
        <v>1746</v>
      </c>
      <c r="E1220" t="s">
        <v>1747</v>
      </c>
      <c r="F1220" s="13">
        <v>44638.759259259263</v>
      </c>
      <c r="G1220" t="s">
        <v>641</v>
      </c>
      <c r="H1220" t="s">
        <v>642</v>
      </c>
      <c r="I1220" s="13">
        <v>44638.759259259263</v>
      </c>
      <c r="K1220" t="s">
        <v>412</v>
      </c>
      <c r="M1220" s="13">
        <v>44651</v>
      </c>
      <c r="R1220">
        <v>0</v>
      </c>
      <c r="S1220" t="s">
        <v>380</v>
      </c>
      <c r="T1220" t="s">
        <v>57</v>
      </c>
      <c r="V1220" t="s">
        <v>381</v>
      </c>
      <c r="W1220" t="s">
        <v>1733</v>
      </c>
      <c r="X1220" t="s">
        <v>1733</v>
      </c>
      <c r="AC1220" s="13">
        <v>44651</v>
      </c>
      <c r="AD1220" s="13">
        <v>44651</v>
      </c>
      <c r="AI1220">
        <v>13</v>
      </c>
      <c r="AN1220" t="s">
        <v>31</v>
      </c>
      <c r="AO1220">
        <v>0</v>
      </c>
      <c r="AS1220" t="s">
        <v>385</v>
      </c>
      <c r="AX1220" t="s">
        <v>57</v>
      </c>
      <c r="AY1220" t="s">
        <v>386</v>
      </c>
      <c r="BF1220">
        <v>0</v>
      </c>
      <c r="BK1220" t="s">
        <v>31</v>
      </c>
      <c r="BS1220" t="s">
        <v>412</v>
      </c>
      <c r="CI1220" t="s">
        <v>388</v>
      </c>
      <c r="CJ1220" s="14">
        <v>45014</v>
      </c>
      <c r="CK1220">
        <v>1</v>
      </c>
    </row>
    <row r="1221" spans="1:89">
      <c r="A1221" t="s">
        <v>1705</v>
      </c>
      <c r="B1221" t="s">
        <v>374</v>
      </c>
      <c r="C1221" t="s">
        <v>1706</v>
      </c>
      <c r="D1221" t="s">
        <v>1748</v>
      </c>
      <c r="E1221" t="s">
        <v>1749</v>
      </c>
      <c r="F1221" s="13">
        <v>44638.759247685186</v>
      </c>
      <c r="G1221" t="s">
        <v>641</v>
      </c>
      <c r="H1221" t="s">
        <v>642</v>
      </c>
      <c r="I1221" s="13">
        <v>44638.759247685186</v>
      </c>
      <c r="K1221" t="s">
        <v>412</v>
      </c>
      <c r="M1221" s="13">
        <v>44580</v>
      </c>
      <c r="R1221">
        <v>0</v>
      </c>
      <c r="S1221" t="s">
        <v>380</v>
      </c>
      <c r="T1221" t="s">
        <v>57</v>
      </c>
      <c r="V1221" t="s">
        <v>381</v>
      </c>
      <c r="W1221" t="s">
        <v>1750</v>
      </c>
      <c r="X1221" t="s">
        <v>1750</v>
      </c>
      <c r="AC1221" s="13">
        <v>44580</v>
      </c>
      <c r="AD1221" s="13">
        <v>44580</v>
      </c>
      <c r="AI1221">
        <v>-58</v>
      </c>
      <c r="AN1221" t="s">
        <v>31</v>
      </c>
      <c r="AO1221">
        <v>0</v>
      </c>
      <c r="AS1221" t="s">
        <v>385</v>
      </c>
      <c r="AX1221" t="s">
        <v>57</v>
      </c>
      <c r="AY1221" t="s">
        <v>386</v>
      </c>
      <c r="BF1221">
        <v>0</v>
      </c>
      <c r="BK1221" t="s">
        <v>31</v>
      </c>
      <c r="BS1221" t="s">
        <v>412</v>
      </c>
      <c r="CI1221" t="s">
        <v>388</v>
      </c>
      <c r="CJ1221" s="14">
        <v>45014</v>
      </c>
      <c r="CK1221">
        <v>1</v>
      </c>
    </row>
    <row r="1222" spans="1:89">
      <c r="A1222" t="s">
        <v>1705</v>
      </c>
      <c r="B1222" t="s">
        <v>374</v>
      </c>
      <c r="C1222" t="s">
        <v>1706</v>
      </c>
      <c r="D1222" t="s">
        <v>1751</v>
      </c>
      <c r="E1222" t="s">
        <v>1752</v>
      </c>
      <c r="F1222" s="13">
        <v>44638.759247685186</v>
      </c>
      <c r="G1222" t="s">
        <v>641</v>
      </c>
      <c r="H1222" t="s">
        <v>642</v>
      </c>
      <c r="I1222" s="13">
        <v>44638.759247685186</v>
      </c>
      <c r="K1222" t="s">
        <v>412</v>
      </c>
      <c r="M1222" s="13">
        <v>44651</v>
      </c>
      <c r="R1222">
        <v>0</v>
      </c>
      <c r="S1222" t="s">
        <v>380</v>
      </c>
      <c r="T1222" t="s">
        <v>57</v>
      </c>
      <c r="V1222" t="s">
        <v>381</v>
      </c>
      <c r="W1222" t="s">
        <v>1733</v>
      </c>
      <c r="X1222" t="s">
        <v>1733</v>
      </c>
      <c r="AC1222" s="13">
        <v>44651</v>
      </c>
      <c r="AD1222" s="13">
        <v>44651</v>
      </c>
      <c r="AI1222">
        <v>13</v>
      </c>
      <c r="AN1222" t="s">
        <v>31</v>
      </c>
      <c r="AO1222">
        <v>0</v>
      </c>
      <c r="AS1222" t="s">
        <v>385</v>
      </c>
      <c r="AX1222" t="s">
        <v>57</v>
      </c>
      <c r="AY1222" t="s">
        <v>386</v>
      </c>
      <c r="BF1222">
        <v>0</v>
      </c>
      <c r="BK1222" t="s">
        <v>31</v>
      </c>
      <c r="BS1222" t="s">
        <v>412</v>
      </c>
      <c r="CI1222" t="s">
        <v>388</v>
      </c>
      <c r="CJ1222" s="14">
        <v>45014</v>
      </c>
      <c r="CK1222">
        <v>1</v>
      </c>
    </row>
    <row r="1223" spans="1:89">
      <c r="A1223" t="s">
        <v>1705</v>
      </c>
      <c r="B1223" t="s">
        <v>374</v>
      </c>
      <c r="C1223" t="s">
        <v>1706</v>
      </c>
      <c r="D1223" t="s">
        <v>1753</v>
      </c>
      <c r="E1223" t="s">
        <v>1754</v>
      </c>
      <c r="F1223" s="13">
        <v>44638.759236111109</v>
      </c>
      <c r="G1223" t="s">
        <v>641</v>
      </c>
      <c r="H1223" t="s">
        <v>642</v>
      </c>
      <c r="I1223" s="13">
        <v>44638.759236111109</v>
      </c>
      <c r="K1223" t="s">
        <v>412</v>
      </c>
      <c r="M1223" s="13">
        <v>44649</v>
      </c>
      <c r="R1223">
        <v>0</v>
      </c>
      <c r="S1223" t="s">
        <v>380</v>
      </c>
      <c r="T1223" t="s">
        <v>57</v>
      </c>
      <c r="V1223" t="s">
        <v>381</v>
      </c>
      <c r="W1223" t="s">
        <v>1750</v>
      </c>
      <c r="X1223" t="s">
        <v>1750</v>
      </c>
      <c r="AC1223" s="13">
        <v>44649</v>
      </c>
      <c r="AD1223" s="13">
        <v>44649</v>
      </c>
      <c r="AI1223">
        <v>11</v>
      </c>
      <c r="AN1223" t="s">
        <v>31</v>
      </c>
      <c r="AO1223">
        <v>0</v>
      </c>
      <c r="AS1223" t="s">
        <v>385</v>
      </c>
      <c r="AX1223" t="s">
        <v>57</v>
      </c>
      <c r="AY1223" t="s">
        <v>386</v>
      </c>
      <c r="BF1223">
        <v>0</v>
      </c>
      <c r="BK1223" t="s">
        <v>31</v>
      </c>
      <c r="BS1223" t="s">
        <v>412</v>
      </c>
      <c r="CI1223" t="s">
        <v>388</v>
      </c>
      <c r="CJ1223" s="14">
        <v>45014</v>
      </c>
      <c r="CK1223">
        <v>1</v>
      </c>
    </row>
    <row r="1224" spans="1:89">
      <c r="A1224" t="s">
        <v>1705</v>
      </c>
      <c r="B1224" t="s">
        <v>374</v>
      </c>
      <c r="C1224" t="s">
        <v>1706</v>
      </c>
      <c r="D1224" t="s">
        <v>1755</v>
      </c>
      <c r="E1224" t="s">
        <v>1756</v>
      </c>
      <c r="F1224" s="13">
        <v>44638.759236111109</v>
      </c>
      <c r="G1224" t="s">
        <v>641</v>
      </c>
      <c r="H1224" t="s">
        <v>642</v>
      </c>
      <c r="I1224" s="13">
        <v>44638.759236111109</v>
      </c>
      <c r="K1224" t="s">
        <v>412</v>
      </c>
      <c r="M1224" s="13">
        <v>44649</v>
      </c>
      <c r="R1224">
        <v>0</v>
      </c>
      <c r="S1224" t="s">
        <v>380</v>
      </c>
      <c r="T1224" t="s">
        <v>57</v>
      </c>
      <c r="V1224" t="s">
        <v>381</v>
      </c>
      <c r="W1224" t="s">
        <v>1750</v>
      </c>
      <c r="X1224" t="s">
        <v>1750</v>
      </c>
      <c r="AC1224" s="13">
        <v>44649</v>
      </c>
      <c r="AD1224" s="13">
        <v>44649</v>
      </c>
      <c r="AI1224">
        <v>11</v>
      </c>
      <c r="AN1224" t="s">
        <v>31</v>
      </c>
      <c r="AO1224">
        <v>0</v>
      </c>
      <c r="AS1224" t="s">
        <v>385</v>
      </c>
      <c r="AX1224" t="s">
        <v>57</v>
      </c>
      <c r="AY1224" t="s">
        <v>386</v>
      </c>
      <c r="BF1224">
        <v>0</v>
      </c>
      <c r="BK1224" t="s">
        <v>31</v>
      </c>
      <c r="BS1224" t="s">
        <v>412</v>
      </c>
      <c r="CI1224" t="s">
        <v>388</v>
      </c>
      <c r="CJ1224" s="14">
        <v>45014</v>
      </c>
      <c r="CK1224">
        <v>1</v>
      </c>
    </row>
    <row r="1225" spans="1:89">
      <c r="A1225" t="s">
        <v>1705</v>
      </c>
      <c r="B1225" t="s">
        <v>374</v>
      </c>
      <c r="C1225" t="s">
        <v>1706</v>
      </c>
      <c r="D1225" t="s">
        <v>1757</v>
      </c>
      <c r="E1225" t="s">
        <v>1758</v>
      </c>
      <c r="F1225" s="13">
        <v>44638.75922453704</v>
      </c>
      <c r="G1225" t="s">
        <v>641</v>
      </c>
      <c r="H1225" t="s">
        <v>642</v>
      </c>
      <c r="I1225" s="13">
        <v>44638.75922453704</v>
      </c>
      <c r="K1225" t="s">
        <v>412</v>
      </c>
      <c r="M1225" s="13">
        <v>44580</v>
      </c>
      <c r="R1225">
        <v>0</v>
      </c>
      <c r="S1225" t="s">
        <v>380</v>
      </c>
      <c r="T1225" t="s">
        <v>57</v>
      </c>
      <c r="V1225" t="s">
        <v>381</v>
      </c>
      <c r="W1225" t="s">
        <v>1759</v>
      </c>
      <c r="X1225" t="s">
        <v>1759</v>
      </c>
      <c r="AC1225" s="13">
        <v>44580</v>
      </c>
      <c r="AD1225" s="13">
        <v>44580</v>
      </c>
      <c r="AI1225">
        <v>-58</v>
      </c>
      <c r="AN1225" t="s">
        <v>31</v>
      </c>
      <c r="AO1225">
        <v>0</v>
      </c>
      <c r="AS1225" t="s">
        <v>881</v>
      </c>
      <c r="AX1225" t="s">
        <v>57</v>
      </c>
      <c r="AY1225" t="s">
        <v>386</v>
      </c>
      <c r="BF1225">
        <v>0</v>
      </c>
      <c r="BK1225" t="s">
        <v>31</v>
      </c>
      <c r="BS1225" t="s">
        <v>412</v>
      </c>
      <c r="CI1225" t="s">
        <v>388</v>
      </c>
      <c r="CJ1225" s="14">
        <v>45014</v>
      </c>
      <c r="CK1225">
        <v>1</v>
      </c>
    </row>
    <row r="1226" spans="1:89">
      <c r="A1226" t="s">
        <v>1705</v>
      </c>
      <c r="B1226" t="s">
        <v>374</v>
      </c>
      <c r="C1226" t="s">
        <v>1706</v>
      </c>
      <c r="D1226" t="s">
        <v>1760</v>
      </c>
      <c r="E1226" t="s">
        <v>1761</v>
      </c>
      <c r="F1226" s="13">
        <v>44638.75922453704</v>
      </c>
      <c r="G1226" t="s">
        <v>641</v>
      </c>
      <c r="H1226" t="s">
        <v>642</v>
      </c>
      <c r="I1226" s="13">
        <v>44638.75922453704</v>
      </c>
      <c r="K1226" t="s">
        <v>412</v>
      </c>
      <c r="M1226" s="13">
        <v>44617</v>
      </c>
      <c r="R1226">
        <v>0</v>
      </c>
      <c r="S1226" t="s">
        <v>380</v>
      </c>
      <c r="T1226" t="s">
        <v>57</v>
      </c>
      <c r="V1226" t="s">
        <v>381</v>
      </c>
      <c r="W1226" t="s">
        <v>1762</v>
      </c>
      <c r="X1226" t="s">
        <v>1762</v>
      </c>
      <c r="AC1226" s="13">
        <v>44617</v>
      </c>
      <c r="AD1226" s="13">
        <v>44617</v>
      </c>
      <c r="AI1226">
        <v>-21</v>
      </c>
      <c r="AN1226" t="s">
        <v>31</v>
      </c>
      <c r="AO1226">
        <v>0</v>
      </c>
      <c r="AS1226" t="s">
        <v>881</v>
      </c>
      <c r="AX1226" t="s">
        <v>57</v>
      </c>
      <c r="AY1226" t="s">
        <v>386</v>
      </c>
      <c r="BF1226">
        <v>0</v>
      </c>
      <c r="BK1226" t="s">
        <v>31</v>
      </c>
      <c r="BS1226" t="s">
        <v>412</v>
      </c>
      <c r="CI1226" t="s">
        <v>388</v>
      </c>
      <c r="CJ1226" s="14">
        <v>45014</v>
      </c>
      <c r="CK1226">
        <v>1</v>
      </c>
    </row>
    <row r="1227" spans="1:89">
      <c r="A1227" t="s">
        <v>1721</v>
      </c>
      <c r="B1227" t="s">
        <v>374</v>
      </c>
      <c r="C1227" t="s">
        <v>1722</v>
      </c>
      <c r="D1227" t="s">
        <v>1763</v>
      </c>
      <c r="E1227" t="s">
        <v>1764</v>
      </c>
      <c r="F1227" s="13">
        <v>44638.759212962963</v>
      </c>
      <c r="G1227" t="s">
        <v>641</v>
      </c>
      <c r="H1227" t="s">
        <v>642</v>
      </c>
      <c r="I1227" s="13">
        <v>44638.759212962963</v>
      </c>
      <c r="K1227" t="s">
        <v>412</v>
      </c>
      <c r="M1227" s="13">
        <v>44620</v>
      </c>
      <c r="R1227">
        <v>0</v>
      </c>
      <c r="S1227" t="s">
        <v>380</v>
      </c>
      <c r="T1227" t="s">
        <v>57</v>
      </c>
      <c r="V1227" t="s">
        <v>381</v>
      </c>
      <c r="W1227" t="s">
        <v>1765</v>
      </c>
      <c r="X1227" t="s">
        <v>1765</v>
      </c>
      <c r="AC1227" s="13">
        <v>44620</v>
      </c>
      <c r="AD1227" s="13">
        <v>44620</v>
      </c>
      <c r="AI1227">
        <v>-18</v>
      </c>
      <c r="AN1227" t="s">
        <v>31</v>
      </c>
      <c r="AO1227">
        <v>0</v>
      </c>
      <c r="AS1227" t="s">
        <v>707</v>
      </c>
      <c r="AX1227" t="s">
        <v>57</v>
      </c>
      <c r="AY1227" t="s">
        <v>386</v>
      </c>
      <c r="BF1227">
        <v>0</v>
      </c>
      <c r="BK1227" t="s">
        <v>31</v>
      </c>
      <c r="BS1227" t="s">
        <v>412</v>
      </c>
      <c r="CI1227" t="s">
        <v>388</v>
      </c>
      <c r="CJ1227" s="14">
        <v>45014</v>
      </c>
      <c r="CK1227">
        <v>1</v>
      </c>
    </row>
    <row r="1228" spans="1:89">
      <c r="A1228" t="s">
        <v>1766</v>
      </c>
      <c r="B1228" t="s">
        <v>374</v>
      </c>
      <c r="C1228" t="s">
        <v>35</v>
      </c>
      <c r="D1228" t="s">
        <v>1767</v>
      </c>
      <c r="E1228" t="s">
        <v>1768</v>
      </c>
      <c r="F1228" s="13">
        <v>44638.759212962963</v>
      </c>
      <c r="G1228" t="s">
        <v>641</v>
      </c>
      <c r="H1228" t="s">
        <v>642</v>
      </c>
      <c r="I1228" s="13">
        <v>44638.759212962963</v>
      </c>
      <c r="K1228" t="s">
        <v>412</v>
      </c>
      <c r="M1228" s="13">
        <v>44596</v>
      </c>
      <c r="R1228">
        <v>0</v>
      </c>
      <c r="S1228" t="s">
        <v>380</v>
      </c>
      <c r="T1228" t="s">
        <v>57</v>
      </c>
      <c r="V1228" t="s">
        <v>381</v>
      </c>
      <c r="W1228" t="s">
        <v>1762</v>
      </c>
      <c r="X1228" t="s">
        <v>1762</v>
      </c>
      <c r="AC1228" s="13">
        <v>44596</v>
      </c>
      <c r="AD1228" s="13">
        <v>44596</v>
      </c>
      <c r="AI1228">
        <v>-42</v>
      </c>
      <c r="AN1228" t="s">
        <v>31</v>
      </c>
      <c r="AO1228">
        <v>0</v>
      </c>
      <c r="AS1228" t="s">
        <v>1720</v>
      </c>
      <c r="AX1228" t="s">
        <v>57</v>
      </c>
      <c r="AY1228" t="s">
        <v>386</v>
      </c>
      <c r="BF1228">
        <v>0</v>
      </c>
      <c r="BK1228" t="s">
        <v>31</v>
      </c>
      <c r="BS1228" t="s">
        <v>412</v>
      </c>
      <c r="CI1228" t="s">
        <v>388</v>
      </c>
      <c r="CJ1228" s="14">
        <v>45014</v>
      </c>
      <c r="CK1228">
        <v>1</v>
      </c>
    </row>
    <row r="1229" spans="1:89">
      <c r="A1229" t="s">
        <v>1769</v>
      </c>
      <c r="B1229" t="s">
        <v>374</v>
      </c>
      <c r="C1229" t="s">
        <v>1770</v>
      </c>
      <c r="D1229" t="s">
        <v>1771</v>
      </c>
      <c r="E1229" t="s">
        <v>1772</v>
      </c>
      <c r="F1229" s="13">
        <v>44638.759201388886</v>
      </c>
      <c r="G1229" t="s">
        <v>641</v>
      </c>
      <c r="H1229" t="s">
        <v>642</v>
      </c>
      <c r="I1229" s="13">
        <v>44638.759201388886</v>
      </c>
      <c r="K1229" t="s">
        <v>412</v>
      </c>
      <c r="M1229" s="13">
        <v>44650</v>
      </c>
      <c r="R1229">
        <v>0</v>
      </c>
      <c r="S1229" t="s">
        <v>380</v>
      </c>
      <c r="T1229" t="s">
        <v>57</v>
      </c>
      <c r="V1229" t="s">
        <v>381</v>
      </c>
      <c r="W1229" t="s">
        <v>1765</v>
      </c>
      <c r="X1229" t="s">
        <v>1765</v>
      </c>
      <c r="AC1229" s="13">
        <v>44650</v>
      </c>
      <c r="AD1229" s="13">
        <v>44650</v>
      </c>
      <c r="AI1229">
        <v>12</v>
      </c>
      <c r="AN1229" t="s">
        <v>31</v>
      </c>
      <c r="AO1229">
        <v>0</v>
      </c>
      <c r="AS1229" t="s">
        <v>385</v>
      </c>
      <c r="AX1229" t="s">
        <v>57</v>
      </c>
      <c r="AY1229" t="s">
        <v>386</v>
      </c>
      <c r="BF1229">
        <v>0</v>
      </c>
      <c r="BK1229" t="s">
        <v>31</v>
      </c>
      <c r="BS1229" t="s">
        <v>412</v>
      </c>
      <c r="CI1229" t="s">
        <v>388</v>
      </c>
      <c r="CJ1229" s="14">
        <v>45014</v>
      </c>
      <c r="CK1229">
        <v>1</v>
      </c>
    </row>
    <row r="1230" spans="1:89">
      <c r="A1230" t="s">
        <v>1769</v>
      </c>
      <c r="B1230" t="s">
        <v>374</v>
      </c>
      <c r="C1230" t="s">
        <v>1770</v>
      </c>
      <c r="D1230" t="s">
        <v>1773</v>
      </c>
      <c r="E1230" t="s">
        <v>1774</v>
      </c>
      <c r="F1230" s="13">
        <v>44638.759201388886</v>
      </c>
      <c r="G1230" t="s">
        <v>641</v>
      </c>
      <c r="H1230" t="s">
        <v>642</v>
      </c>
      <c r="I1230" s="13">
        <v>44638.759201388886</v>
      </c>
      <c r="K1230" t="s">
        <v>412</v>
      </c>
      <c r="M1230" s="13">
        <v>44742</v>
      </c>
      <c r="R1230">
        <v>0</v>
      </c>
      <c r="S1230" t="s">
        <v>380</v>
      </c>
      <c r="T1230" t="s">
        <v>57</v>
      </c>
      <c r="V1230" t="s">
        <v>381</v>
      </c>
      <c r="W1230" t="s">
        <v>1775</v>
      </c>
      <c r="X1230" t="s">
        <v>1775</v>
      </c>
      <c r="AC1230" s="13">
        <v>44742</v>
      </c>
      <c r="AD1230" s="13">
        <v>44742</v>
      </c>
      <c r="AI1230">
        <v>104</v>
      </c>
      <c r="AN1230" t="s">
        <v>31</v>
      </c>
      <c r="AO1230">
        <v>0</v>
      </c>
      <c r="AS1230" t="s">
        <v>385</v>
      </c>
      <c r="AX1230" t="s">
        <v>57</v>
      </c>
      <c r="AY1230" t="s">
        <v>386</v>
      </c>
      <c r="BF1230">
        <v>0</v>
      </c>
      <c r="BK1230" t="s">
        <v>31</v>
      </c>
      <c r="BS1230" t="s">
        <v>412</v>
      </c>
      <c r="CI1230" t="s">
        <v>388</v>
      </c>
      <c r="CJ1230" s="14">
        <v>45014</v>
      </c>
      <c r="CK1230">
        <v>1</v>
      </c>
    </row>
    <row r="1231" spans="1:89">
      <c r="A1231" t="s">
        <v>1769</v>
      </c>
      <c r="B1231" t="s">
        <v>374</v>
      </c>
      <c r="C1231" t="s">
        <v>1770</v>
      </c>
      <c r="D1231" t="s">
        <v>1776</v>
      </c>
      <c r="E1231" t="s">
        <v>1777</v>
      </c>
      <c r="F1231" s="13">
        <v>44638.759201388886</v>
      </c>
      <c r="G1231" t="s">
        <v>641</v>
      </c>
      <c r="H1231" t="s">
        <v>642</v>
      </c>
      <c r="I1231" s="13">
        <v>44638.759201388886</v>
      </c>
      <c r="K1231" t="s">
        <v>412</v>
      </c>
      <c r="M1231" s="13">
        <v>44803</v>
      </c>
      <c r="R1231">
        <v>0</v>
      </c>
      <c r="S1231" t="s">
        <v>380</v>
      </c>
      <c r="T1231" t="s">
        <v>57</v>
      </c>
      <c r="V1231" t="s">
        <v>381</v>
      </c>
      <c r="W1231" t="s">
        <v>1778</v>
      </c>
      <c r="X1231" t="s">
        <v>1778</v>
      </c>
      <c r="AC1231" s="13">
        <v>44803</v>
      </c>
      <c r="AD1231" s="13">
        <v>44803</v>
      </c>
      <c r="AI1231">
        <v>165</v>
      </c>
      <c r="AN1231" t="s">
        <v>31</v>
      </c>
      <c r="AO1231">
        <v>0</v>
      </c>
      <c r="AX1231" t="s">
        <v>57</v>
      </c>
      <c r="AY1231" t="s">
        <v>386</v>
      </c>
      <c r="BF1231">
        <v>0</v>
      </c>
      <c r="BK1231" t="s">
        <v>31</v>
      </c>
      <c r="BS1231" t="s">
        <v>412</v>
      </c>
      <c r="CI1231" t="s">
        <v>388</v>
      </c>
      <c r="CJ1231" s="14">
        <v>45014</v>
      </c>
      <c r="CK1231">
        <v>1</v>
      </c>
    </row>
    <row r="1232" spans="1:89">
      <c r="A1232" t="s">
        <v>1769</v>
      </c>
      <c r="B1232" t="s">
        <v>374</v>
      </c>
      <c r="C1232" t="s">
        <v>1770</v>
      </c>
      <c r="D1232" t="s">
        <v>1779</v>
      </c>
      <c r="E1232" t="s">
        <v>1780</v>
      </c>
      <c r="F1232" s="13">
        <v>44638.759189814817</v>
      </c>
      <c r="G1232" t="s">
        <v>641</v>
      </c>
      <c r="H1232" t="s">
        <v>642</v>
      </c>
      <c r="I1232" s="13">
        <v>44638.759189814817</v>
      </c>
      <c r="K1232" t="s">
        <v>412</v>
      </c>
      <c r="M1232" s="13">
        <v>44650</v>
      </c>
      <c r="R1232">
        <v>0</v>
      </c>
      <c r="S1232" t="s">
        <v>380</v>
      </c>
      <c r="T1232" t="s">
        <v>57</v>
      </c>
      <c r="V1232" t="s">
        <v>381</v>
      </c>
      <c r="W1232" t="s">
        <v>1765</v>
      </c>
      <c r="X1232" t="s">
        <v>1765</v>
      </c>
      <c r="AC1232" s="13">
        <v>44650</v>
      </c>
      <c r="AD1232" s="13">
        <v>44650</v>
      </c>
      <c r="AI1232">
        <v>12</v>
      </c>
      <c r="AN1232" t="s">
        <v>31</v>
      </c>
      <c r="AO1232">
        <v>0</v>
      </c>
      <c r="AS1232" t="s">
        <v>385</v>
      </c>
      <c r="AX1232" t="s">
        <v>57</v>
      </c>
      <c r="AY1232" t="s">
        <v>386</v>
      </c>
      <c r="BF1232">
        <v>0</v>
      </c>
      <c r="BK1232" t="s">
        <v>31</v>
      </c>
      <c r="BS1232" t="s">
        <v>412</v>
      </c>
      <c r="CI1232" t="s">
        <v>388</v>
      </c>
      <c r="CJ1232" s="14">
        <v>45014</v>
      </c>
      <c r="CK1232">
        <v>1</v>
      </c>
    </row>
    <row r="1233" spans="1:89">
      <c r="A1233" t="s">
        <v>1769</v>
      </c>
      <c r="B1233" t="s">
        <v>374</v>
      </c>
      <c r="C1233" t="s">
        <v>1770</v>
      </c>
      <c r="D1233" t="s">
        <v>1781</v>
      </c>
      <c r="E1233" t="s">
        <v>1782</v>
      </c>
      <c r="F1233" s="13">
        <v>44638.759189814817</v>
      </c>
      <c r="G1233" t="s">
        <v>641</v>
      </c>
      <c r="H1233" t="s">
        <v>642</v>
      </c>
      <c r="I1233" s="13">
        <v>44638.759189814817</v>
      </c>
      <c r="K1233" t="s">
        <v>412</v>
      </c>
      <c r="M1233" s="13">
        <v>44650</v>
      </c>
      <c r="R1233">
        <v>0</v>
      </c>
      <c r="S1233" t="s">
        <v>380</v>
      </c>
      <c r="T1233" t="s">
        <v>57</v>
      </c>
      <c r="V1233" t="s">
        <v>381</v>
      </c>
      <c r="W1233" t="s">
        <v>1765</v>
      </c>
      <c r="X1233" t="s">
        <v>1765</v>
      </c>
      <c r="AC1233" s="13">
        <v>44650</v>
      </c>
      <c r="AD1233" s="13">
        <v>44650</v>
      </c>
      <c r="AI1233">
        <v>12</v>
      </c>
      <c r="AN1233" t="s">
        <v>31</v>
      </c>
      <c r="AO1233">
        <v>0</v>
      </c>
      <c r="AS1233" t="s">
        <v>385</v>
      </c>
      <c r="AX1233" t="s">
        <v>57</v>
      </c>
      <c r="AY1233" t="s">
        <v>386</v>
      </c>
      <c r="BF1233">
        <v>0</v>
      </c>
      <c r="BK1233" t="s">
        <v>31</v>
      </c>
      <c r="BS1233" t="s">
        <v>412</v>
      </c>
      <c r="CI1233" t="s">
        <v>388</v>
      </c>
      <c r="CJ1233" s="14">
        <v>45014</v>
      </c>
      <c r="CK1233">
        <v>1</v>
      </c>
    </row>
    <row r="1234" spans="1:89">
      <c r="A1234" t="s">
        <v>1769</v>
      </c>
      <c r="B1234" t="s">
        <v>374</v>
      </c>
      <c r="C1234" t="s">
        <v>1770</v>
      </c>
      <c r="D1234" t="s">
        <v>1783</v>
      </c>
      <c r="E1234" t="s">
        <v>1784</v>
      </c>
      <c r="F1234" s="13">
        <v>44638.75917824074</v>
      </c>
      <c r="G1234" t="s">
        <v>641</v>
      </c>
      <c r="H1234" t="s">
        <v>642</v>
      </c>
      <c r="I1234" s="13">
        <v>44638.75917824074</v>
      </c>
      <c r="K1234" t="s">
        <v>412</v>
      </c>
      <c r="M1234" s="13">
        <v>44650</v>
      </c>
      <c r="R1234">
        <v>0</v>
      </c>
      <c r="S1234" t="s">
        <v>380</v>
      </c>
      <c r="T1234" t="s">
        <v>57</v>
      </c>
      <c r="V1234" t="s">
        <v>381</v>
      </c>
      <c r="W1234" t="s">
        <v>1765</v>
      </c>
      <c r="X1234" t="s">
        <v>1765</v>
      </c>
      <c r="AC1234" s="13">
        <v>44650</v>
      </c>
      <c r="AD1234" s="13">
        <v>44650</v>
      </c>
      <c r="AI1234">
        <v>12</v>
      </c>
      <c r="AN1234" t="s">
        <v>31</v>
      </c>
      <c r="AO1234">
        <v>0</v>
      </c>
      <c r="AS1234" t="s">
        <v>385</v>
      </c>
      <c r="AX1234" t="s">
        <v>57</v>
      </c>
      <c r="AY1234" t="s">
        <v>386</v>
      </c>
      <c r="BF1234">
        <v>0</v>
      </c>
      <c r="BK1234" t="s">
        <v>31</v>
      </c>
      <c r="BS1234" t="s">
        <v>412</v>
      </c>
      <c r="CI1234" t="s">
        <v>388</v>
      </c>
      <c r="CJ1234" s="14">
        <v>45014</v>
      </c>
      <c r="CK1234">
        <v>1</v>
      </c>
    </row>
    <row r="1235" spans="1:89">
      <c r="A1235" t="s">
        <v>1769</v>
      </c>
      <c r="B1235" t="s">
        <v>374</v>
      </c>
      <c r="C1235" t="s">
        <v>1770</v>
      </c>
      <c r="D1235" t="s">
        <v>1785</v>
      </c>
      <c r="E1235" t="s">
        <v>1786</v>
      </c>
      <c r="F1235" s="13">
        <v>44638.75917824074</v>
      </c>
      <c r="G1235" t="s">
        <v>641</v>
      </c>
      <c r="H1235" t="s">
        <v>642</v>
      </c>
      <c r="I1235" s="13">
        <v>44638.75917824074</v>
      </c>
      <c r="K1235" t="s">
        <v>412</v>
      </c>
      <c r="M1235" s="13">
        <v>44650</v>
      </c>
      <c r="R1235">
        <v>0</v>
      </c>
      <c r="S1235" t="s">
        <v>380</v>
      </c>
      <c r="T1235" t="s">
        <v>57</v>
      </c>
      <c r="V1235" t="s">
        <v>381</v>
      </c>
      <c r="W1235" t="s">
        <v>1765</v>
      </c>
      <c r="X1235" t="s">
        <v>1765</v>
      </c>
      <c r="AC1235" s="13">
        <v>44650</v>
      </c>
      <c r="AD1235" s="13">
        <v>44650</v>
      </c>
      <c r="AI1235">
        <v>12</v>
      </c>
      <c r="AN1235" t="s">
        <v>31</v>
      </c>
      <c r="AO1235">
        <v>0</v>
      </c>
      <c r="AS1235" t="s">
        <v>385</v>
      </c>
      <c r="AX1235" t="s">
        <v>57</v>
      </c>
      <c r="AY1235" t="s">
        <v>386</v>
      </c>
      <c r="BF1235">
        <v>0</v>
      </c>
      <c r="BK1235" t="s">
        <v>31</v>
      </c>
      <c r="BS1235" t="s">
        <v>412</v>
      </c>
      <c r="CI1235" t="s">
        <v>388</v>
      </c>
      <c r="CJ1235" s="14">
        <v>45014</v>
      </c>
      <c r="CK1235">
        <v>1</v>
      </c>
    </row>
    <row r="1236" spans="1:89">
      <c r="A1236" t="s">
        <v>1769</v>
      </c>
      <c r="B1236" t="s">
        <v>374</v>
      </c>
      <c r="C1236" t="s">
        <v>1770</v>
      </c>
      <c r="D1236" t="s">
        <v>1787</v>
      </c>
      <c r="E1236" t="s">
        <v>1788</v>
      </c>
      <c r="F1236" s="13">
        <v>44638.759166666663</v>
      </c>
      <c r="G1236" t="s">
        <v>641</v>
      </c>
      <c r="H1236" t="s">
        <v>642</v>
      </c>
      <c r="I1236" s="13">
        <v>44638.759166666663</v>
      </c>
      <c r="K1236" t="s">
        <v>412</v>
      </c>
      <c r="M1236" s="13">
        <v>44650</v>
      </c>
      <c r="R1236">
        <v>0</v>
      </c>
      <c r="S1236" t="s">
        <v>380</v>
      </c>
      <c r="T1236" t="s">
        <v>57</v>
      </c>
      <c r="V1236" t="s">
        <v>381</v>
      </c>
      <c r="W1236" t="s">
        <v>1765</v>
      </c>
      <c r="X1236" t="s">
        <v>1765</v>
      </c>
      <c r="AC1236" s="13">
        <v>44650</v>
      </c>
      <c r="AD1236" s="13">
        <v>44650</v>
      </c>
      <c r="AI1236">
        <v>12</v>
      </c>
      <c r="AN1236" t="s">
        <v>31</v>
      </c>
      <c r="AO1236">
        <v>0</v>
      </c>
      <c r="AS1236" t="s">
        <v>385</v>
      </c>
      <c r="AX1236" t="s">
        <v>57</v>
      </c>
      <c r="AY1236" t="s">
        <v>386</v>
      </c>
      <c r="BF1236">
        <v>0</v>
      </c>
      <c r="BK1236" t="s">
        <v>31</v>
      </c>
      <c r="BS1236" t="s">
        <v>412</v>
      </c>
      <c r="CI1236" t="s">
        <v>388</v>
      </c>
      <c r="CJ1236" s="14">
        <v>45014</v>
      </c>
      <c r="CK1236">
        <v>1</v>
      </c>
    </row>
    <row r="1237" spans="1:89">
      <c r="A1237" t="s">
        <v>1769</v>
      </c>
      <c r="B1237" t="s">
        <v>374</v>
      </c>
      <c r="C1237" t="s">
        <v>1770</v>
      </c>
      <c r="D1237" t="s">
        <v>1789</v>
      </c>
      <c r="E1237" t="s">
        <v>1790</v>
      </c>
      <c r="F1237" s="13">
        <v>44638.759166666663</v>
      </c>
      <c r="G1237" t="s">
        <v>641</v>
      </c>
      <c r="H1237" t="s">
        <v>642</v>
      </c>
      <c r="I1237" s="13">
        <v>44638.759166666663</v>
      </c>
      <c r="K1237" t="s">
        <v>412</v>
      </c>
      <c r="M1237" s="13">
        <v>44650</v>
      </c>
      <c r="R1237">
        <v>0</v>
      </c>
      <c r="S1237" t="s">
        <v>380</v>
      </c>
      <c r="T1237" t="s">
        <v>57</v>
      </c>
      <c r="V1237" t="s">
        <v>381</v>
      </c>
      <c r="AC1237" s="13">
        <v>44650</v>
      </c>
      <c r="AD1237" s="13">
        <v>44650</v>
      </c>
      <c r="AI1237">
        <v>12</v>
      </c>
      <c r="AN1237" t="s">
        <v>31</v>
      </c>
      <c r="AO1237">
        <v>0</v>
      </c>
      <c r="AS1237" t="s">
        <v>385</v>
      </c>
      <c r="AX1237" t="s">
        <v>57</v>
      </c>
      <c r="AY1237" t="s">
        <v>386</v>
      </c>
      <c r="BF1237">
        <v>0</v>
      </c>
      <c r="BK1237" t="s">
        <v>31</v>
      </c>
      <c r="BS1237" t="s">
        <v>412</v>
      </c>
      <c r="CI1237" t="s">
        <v>388</v>
      </c>
      <c r="CJ1237" s="14">
        <v>45014</v>
      </c>
      <c r="CK1237">
        <v>1</v>
      </c>
    </row>
    <row r="1238" spans="1:89">
      <c r="A1238" t="s">
        <v>1769</v>
      </c>
      <c r="B1238" t="s">
        <v>374</v>
      </c>
      <c r="C1238" t="s">
        <v>1770</v>
      </c>
      <c r="D1238" t="s">
        <v>1791</v>
      </c>
      <c r="E1238" t="s">
        <v>1792</v>
      </c>
      <c r="F1238" s="13">
        <v>44638.759155092594</v>
      </c>
      <c r="G1238" t="s">
        <v>641</v>
      </c>
      <c r="H1238" t="s">
        <v>642</v>
      </c>
      <c r="I1238" s="13">
        <v>44638.759155092594</v>
      </c>
      <c r="K1238" t="s">
        <v>412</v>
      </c>
      <c r="M1238" s="13">
        <v>44650</v>
      </c>
      <c r="R1238">
        <v>0</v>
      </c>
      <c r="S1238" t="s">
        <v>380</v>
      </c>
      <c r="T1238" t="s">
        <v>57</v>
      </c>
      <c r="V1238" t="s">
        <v>381</v>
      </c>
      <c r="W1238" t="s">
        <v>1765</v>
      </c>
      <c r="X1238" t="s">
        <v>1765</v>
      </c>
      <c r="AC1238" s="13">
        <v>44650</v>
      </c>
      <c r="AD1238" s="13">
        <v>44650</v>
      </c>
      <c r="AI1238">
        <v>12</v>
      </c>
      <c r="AN1238" t="s">
        <v>31</v>
      </c>
      <c r="AO1238">
        <v>0</v>
      </c>
      <c r="AS1238" t="s">
        <v>385</v>
      </c>
      <c r="AX1238" t="s">
        <v>57</v>
      </c>
      <c r="AY1238" t="s">
        <v>386</v>
      </c>
      <c r="BF1238">
        <v>0</v>
      </c>
      <c r="BK1238" t="s">
        <v>31</v>
      </c>
      <c r="BS1238" t="s">
        <v>412</v>
      </c>
      <c r="CI1238" t="s">
        <v>388</v>
      </c>
      <c r="CJ1238" s="14">
        <v>45014</v>
      </c>
      <c r="CK1238">
        <v>1</v>
      </c>
    </row>
    <row r="1239" spans="1:89">
      <c r="A1239" t="s">
        <v>1769</v>
      </c>
      <c r="B1239" t="s">
        <v>374</v>
      </c>
      <c r="C1239" t="s">
        <v>1770</v>
      </c>
      <c r="D1239" t="s">
        <v>1793</v>
      </c>
      <c r="E1239" t="s">
        <v>1794</v>
      </c>
      <c r="F1239" s="13">
        <v>44638.759155092594</v>
      </c>
      <c r="G1239" t="s">
        <v>641</v>
      </c>
      <c r="H1239" t="s">
        <v>642</v>
      </c>
      <c r="I1239" s="13">
        <v>44638.759155092594</v>
      </c>
      <c r="K1239" t="s">
        <v>412</v>
      </c>
      <c r="M1239" s="13">
        <v>44650</v>
      </c>
      <c r="R1239">
        <v>0</v>
      </c>
      <c r="S1239" t="s">
        <v>380</v>
      </c>
      <c r="T1239" t="s">
        <v>57</v>
      </c>
      <c r="V1239" t="s">
        <v>381</v>
      </c>
      <c r="W1239" t="s">
        <v>1765</v>
      </c>
      <c r="X1239" t="s">
        <v>1765</v>
      </c>
      <c r="AC1239" s="13">
        <v>44650</v>
      </c>
      <c r="AD1239" s="13">
        <v>44650</v>
      </c>
      <c r="AI1239">
        <v>12</v>
      </c>
      <c r="AN1239" t="s">
        <v>31</v>
      </c>
      <c r="AO1239">
        <v>0</v>
      </c>
      <c r="AS1239" t="s">
        <v>385</v>
      </c>
      <c r="AX1239" t="s">
        <v>57</v>
      </c>
      <c r="AY1239" t="s">
        <v>386</v>
      </c>
      <c r="BF1239">
        <v>0</v>
      </c>
      <c r="BK1239" t="s">
        <v>31</v>
      </c>
      <c r="BS1239" t="s">
        <v>412</v>
      </c>
      <c r="CI1239" t="s">
        <v>388</v>
      </c>
      <c r="CJ1239" s="14">
        <v>45014</v>
      </c>
      <c r="CK1239">
        <v>1</v>
      </c>
    </row>
    <row r="1240" spans="1:89">
      <c r="A1240" t="s">
        <v>1716</v>
      </c>
      <c r="B1240" t="s">
        <v>374</v>
      </c>
      <c r="C1240" t="s">
        <v>966</v>
      </c>
      <c r="D1240" t="s">
        <v>1795</v>
      </c>
      <c r="E1240" t="s">
        <v>1796</v>
      </c>
      <c r="F1240" s="13">
        <v>44638.759143518517</v>
      </c>
      <c r="G1240" t="s">
        <v>641</v>
      </c>
      <c r="H1240" t="s">
        <v>642</v>
      </c>
      <c r="I1240" s="13">
        <v>44638.759143518517</v>
      </c>
      <c r="K1240" t="s">
        <v>412</v>
      </c>
      <c r="M1240" s="13">
        <v>44650</v>
      </c>
      <c r="R1240">
        <v>0</v>
      </c>
      <c r="S1240" t="s">
        <v>380</v>
      </c>
      <c r="T1240" t="s">
        <v>57</v>
      </c>
      <c r="V1240" t="s">
        <v>381</v>
      </c>
      <c r="W1240" t="s">
        <v>1765</v>
      </c>
      <c r="X1240" t="s">
        <v>1765</v>
      </c>
      <c r="AC1240" s="13">
        <v>44650</v>
      </c>
      <c r="AD1240" s="13">
        <v>44650</v>
      </c>
      <c r="AI1240">
        <v>12</v>
      </c>
      <c r="AN1240" t="s">
        <v>31</v>
      </c>
      <c r="AO1240">
        <v>0</v>
      </c>
      <c r="AS1240" t="s">
        <v>385</v>
      </c>
      <c r="AX1240" t="s">
        <v>57</v>
      </c>
      <c r="AY1240" t="s">
        <v>386</v>
      </c>
      <c r="BF1240">
        <v>0</v>
      </c>
      <c r="BK1240" t="s">
        <v>31</v>
      </c>
      <c r="BS1240" t="s">
        <v>412</v>
      </c>
      <c r="CI1240" t="s">
        <v>388</v>
      </c>
      <c r="CJ1240" s="14">
        <v>45014</v>
      </c>
      <c r="CK1240">
        <v>1</v>
      </c>
    </row>
    <row r="1241" spans="1:89">
      <c r="A1241" t="s">
        <v>1769</v>
      </c>
      <c r="B1241" t="s">
        <v>374</v>
      </c>
      <c r="C1241" t="s">
        <v>1770</v>
      </c>
      <c r="D1241" t="s">
        <v>1797</v>
      </c>
      <c r="E1241" t="s">
        <v>1798</v>
      </c>
      <c r="F1241" s="13">
        <v>44638.759143518517</v>
      </c>
      <c r="G1241" t="s">
        <v>641</v>
      </c>
      <c r="H1241" t="s">
        <v>642</v>
      </c>
      <c r="I1241" s="13">
        <v>44638.759143518517</v>
      </c>
      <c r="K1241" t="s">
        <v>412</v>
      </c>
      <c r="M1241" s="13">
        <v>44650</v>
      </c>
      <c r="R1241">
        <v>0</v>
      </c>
      <c r="S1241" t="s">
        <v>380</v>
      </c>
      <c r="T1241" t="s">
        <v>57</v>
      </c>
      <c r="V1241" t="s">
        <v>381</v>
      </c>
      <c r="W1241" t="s">
        <v>1765</v>
      </c>
      <c r="X1241" t="s">
        <v>1765</v>
      </c>
      <c r="AC1241" s="13">
        <v>44650</v>
      </c>
      <c r="AD1241" s="13">
        <v>44650</v>
      </c>
      <c r="AI1241">
        <v>12</v>
      </c>
      <c r="AN1241" t="s">
        <v>31</v>
      </c>
      <c r="AO1241">
        <v>0</v>
      </c>
      <c r="AS1241" t="s">
        <v>385</v>
      </c>
      <c r="AX1241" t="s">
        <v>57</v>
      </c>
      <c r="AY1241" t="s">
        <v>386</v>
      </c>
      <c r="BF1241">
        <v>0</v>
      </c>
      <c r="BK1241" t="s">
        <v>31</v>
      </c>
      <c r="BS1241" t="s">
        <v>412</v>
      </c>
      <c r="CI1241" t="s">
        <v>388</v>
      </c>
      <c r="CJ1241" s="14">
        <v>45014</v>
      </c>
      <c r="CK1241">
        <v>1</v>
      </c>
    </row>
    <row r="1242" spans="1:89">
      <c r="A1242" t="s">
        <v>1799</v>
      </c>
      <c r="B1242" t="s">
        <v>374</v>
      </c>
      <c r="C1242" t="s">
        <v>1800</v>
      </c>
      <c r="D1242" t="s">
        <v>1801</v>
      </c>
      <c r="E1242" t="s">
        <v>1802</v>
      </c>
      <c r="F1242" s="13">
        <v>44638.759131944447</v>
      </c>
      <c r="G1242" t="s">
        <v>641</v>
      </c>
      <c r="H1242" t="s">
        <v>642</v>
      </c>
      <c r="I1242" s="13">
        <v>44638.759131944447</v>
      </c>
      <c r="K1242" t="s">
        <v>412</v>
      </c>
      <c r="M1242" s="13">
        <v>44650</v>
      </c>
      <c r="R1242">
        <v>0</v>
      </c>
      <c r="S1242" t="s">
        <v>416</v>
      </c>
      <c r="T1242" t="s">
        <v>57</v>
      </c>
      <c r="V1242" t="s">
        <v>381</v>
      </c>
      <c r="W1242" t="s">
        <v>1803</v>
      </c>
      <c r="X1242" t="s">
        <v>1803</v>
      </c>
      <c r="AC1242" s="13">
        <v>44650</v>
      </c>
      <c r="AD1242" s="13">
        <v>44650</v>
      </c>
      <c r="AI1242">
        <v>12</v>
      </c>
      <c r="AN1242" t="s">
        <v>31</v>
      </c>
      <c r="AO1242">
        <v>0</v>
      </c>
      <c r="AS1242" t="s">
        <v>522</v>
      </c>
      <c r="AX1242" t="s">
        <v>57</v>
      </c>
      <c r="AY1242" t="s">
        <v>386</v>
      </c>
      <c r="BF1242">
        <v>0</v>
      </c>
      <c r="BK1242" t="s">
        <v>31</v>
      </c>
      <c r="BS1242" t="s">
        <v>412</v>
      </c>
      <c r="CI1242" t="s">
        <v>388</v>
      </c>
      <c r="CJ1242" s="14">
        <v>45014</v>
      </c>
      <c r="CK1242">
        <v>1</v>
      </c>
    </row>
    <row r="1243" spans="1:89">
      <c r="A1243" t="s">
        <v>1799</v>
      </c>
      <c r="B1243" t="s">
        <v>374</v>
      </c>
      <c r="C1243" t="s">
        <v>1800</v>
      </c>
      <c r="D1243" t="s">
        <v>1804</v>
      </c>
      <c r="E1243" t="s">
        <v>1805</v>
      </c>
      <c r="F1243" s="13">
        <v>44638.759131944447</v>
      </c>
      <c r="G1243" t="s">
        <v>641</v>
      </c>
      <c r="H1243" t="s">
        <v>642</v>
      </c>
      <c r="I1243" s="13">
        <v>44638.759131944447</v>
      </c>
      <c r="K1243" t="s">
        <v>412</v>
      </c>
      <c r="M1243" s="13">
        <v>44650</v>
      </c>
      <c r="R1243">
        <v>0</v>
      </c>
      <c r="S1243" t="s">
        <v>380</v>
      </c>
      <c r="T1243" t="s">
        <v>57</v>
      </c>
      <c r="V1243" t="s">
        <v>381</v>
      </c>
      <c r="W1243" t="s">
        <v>1806</v>
      </c>
      <c r="X1243" t="s">
        <v>1806</v>
      </c>
      <c r="AC1243" s="13">
        <v>44650</v>
      </c>
      <c r="AD1243" s="13">
        <v>44650</v>
      </c>
      <c r="AI1243">
        <v>12</v>
      </c>
      <c r="AN1243" t="s">
        <v>31</v>
      </c>
      <c r="AO1243">
        <v>0</v>
      </c>
      <c r="AS1243" t="s">
        <v>385</v>
      </c>
      <c r="AX1243" t="s">
        <v>57</v>
      </c>
      <c r="AY1243" t="s">
        <v>386</v>
      </c>
      <c r="BF1243">
        <v>0</v>
      </c>
      <c r="BK1243" t="s">
        <v>31</v>
      </c>
      <c r="BS1243" t="s">
        <v>412</v>
      </c>
      <c r="CI1243" t="s">
        <v>388</v>
      </c>
      <c r="CJ1243" s="14">
        <v>45014</v>
      </c>
      <c r="CK1243">
        <v>1</v>
      </c>
    </row>
    <row r="1244" spans="1:89">
      <c r="A1244" t="s">
        <v>1799</v>
      </c>
      <c r="B1244" t="s">
        <v>374</v>
      </c>
      <c r="C1244" t="s">
        <v>1800</v>
      </c>
      <c r="D1244" t="s">
        <v>1807</v>
      </c>
      <c r="E1244" t="s">
        <v>1808</v>
      </c>
      <c r="F1244" s="13">
        <v>44638.759120370371</v>
      </c>
      <c r="G1244" t="s">
        <v>641</v>
      </c>
      <c r="H1244" t="s">
        <v>642</v>
      </c>
      <c r="I1244" s="13">
        <v>44638.759120370371</v>
      </c>
      <c r="K1244" t="s">
        <v>412</v>
      </c>
      <c r="M1244" s="13">
        <v>44651</v>
      </c>
      <c r="R1244">
        <v>0</v>
      </c>
      <c r="S1244" t="s">
        <v>380</v>
      </c>
      <c r="T1244" t="s">
        <v>57</v>
      </c>
      <c r="V1244" t="s">
        <v>381</v>
      </c>
      <c r="W1244" t="s">
        <v>1809</v>
      </c>
      <c r="X1244" t="s">
        <v>1809</v>
      </c>
      <c r="AC1244" s="13">
        <v>44651</v>
      </c>
      <c r="AD1244" s="13">
        <v>44651</v>
      </c>
      <c r="AI1244">
        <v>13</v>
      </c>
      <c r="AN1244" t="s">
        <v>31</v>
      </c>
      <c r="AO1244">
        <v>0</v>
      </c>
      <c r="AS1244" t="s">
        <v>392</v>
      </c>
      <c r="AX1244" t="s">
        <v>57</v>
      </c>
      <c r="AY1244" t="s">
        <v>386</v>
      </c>
      <c r="BF1244">
        <v>0</v>
      </c>
      <c r="BK1244" t="s">
        <v>31</v>
      </c>
      <c r="BS1244" t="s">
        <v>412</v>
      </c>
      <c r="CI1244" t="s">
        <v>388</v>
      </c>
      <c r="CJ1244" s="14">
        <v>45014</v>
      </c>
      <c r="CK1244">
        <v>1</v>
      </c>
    </row>
    <row r="1245" spans="1:89">
      <c r="A1245" t="s">
        <v>1810</v>
      </c>
      <c r="B1245" t="s">
        <v>374</v>
      </c>
      <c r="C1245" t="s">
        <v>1811</v>
      </c>
      <c r="D1245" t="s">
        <v>1812</v>
      </c>
      <c r="E1245" t="s">
        <v>1813</v>
      </c>
      <c r="F1245" s="13">
        <v>44638.759120370371</v>
      </c>
      <c r="G1245" t="s">
        <v>641</v>
      </c>
      <c r="H1245" t="s">
        <v>642</v>
      </c>
      <c r="I1245" s="13">
        <v>44638.759120370371</v>
      </c>
      <c r="K1245" t="s">
        <v>412</v>
      </c>
      <c r="M1245" s="13">
        <v>44651</v>
      </c>
      <c r="R1245">
        <v>0</v>
      </c>
      <c r="S1245" t="s">
        <v>380</v>
      </c>
      <c r="T1245" t="s">
        <v>57</v>
      </c>
      <c r="V1245" t="s">
        <v>381</v>
      </c>
      <c r="W1245" t="s">
        <v>1814</v>
      </c>
      <c r="X1245" t="s">
        <v>1814</v>
      </c>
      <c r="AC1245" s="13">
        <v>44651</v>
      </c>
      <c r="AD1245" s="13">
        <v>44651</v>
      </c>
      <c r="AI1245">
        <v>13</v>
      </c>
      <c r="AN1245" t="s">
        <v>31</v>
      </c>
      <c r="AO1245">
        <v>0</v>
      </c>
      <c r="AS1245" t="s">
        <v>392</v>
      </c>
      <c r="AX1245" t="s">
        <v>57</v>
      </c>
      <c r="AY1245" t="s">
        <v>386</v>
      </c>
      <c r="BF1245">
        <v>0</v>
      </c>
      <c r="BK1245" t="s">
        <v>31</v>
      </c>
      <c r="BS1245" t="s">
        <v>412</v>
      </c>
      <c r="CI1245" t="s">
        <v>388</v>
      </c>
      <c r="CJ1245" s="14">
        <v>45014</v>
      </c>
      <c r="CK1245">
        <v>1</v>
      </c>
    </row>
    <row r="1246" spans="1:89">
      <c r="A1246" t="s">
        <v>1810</v>
      </c>
      <c r="B1246" t="s">
        <v>374</v>
      </c>
      <c r="C1246" t="s">
        <v>1811</v>
      </c>
      <c r="D1246" t="s">
        <v>1815</v>
      </c>
      <c r="E1246" t="s">
        <v>1816</v>
      </c>
      <c r="F1246" s="13">
        <v>44638.759120370371</v>
      </c>
      <c r="G1246" t="s">
        <v>641</v>
      </c>
      <c r="H1246" t="s">
        <v>642</v>
      </c>
      <c r="I1246" s="13">
        <v>44638.759120370371</v>
      </c>
      <c r="K1246" t="s">
        <v>412</v>
      </c>
      <c r="M1246" s="13">
        <v>44742</v>
      </c>
      <c r="R1246">
        <v>0</v>
      </c>
      <c r="S1246" t="s">
        <v>380</v>
      </c>
      <c r="T1246" t="s">
        <v>57</v>
      </c>
      <c r="V1246" t="s">
        <v>381</v>
      </c>
      <c r="W1246" t="s">
        <v>1806</v>
      </c>
      <c r="X1246" t="s">
        <v>1806</v>
      </c>
      <c r="AC1246" s="13">
        <v>44742</v>
      </c>
      <c r="AD1246" s="13">
        <v>44742</v>
      </c>
      <c r="AI1246">
        <v>104</v>
      </c>
      <c r="AN1246" t="s">
        <v>31</v>
      </c>
      <c r="AO1246">
        <v>0</v>
      </c>
      <c r="AS1246" t="s">
        <v>392</v>
      </c>
      <c r="AX1246" t="s">
        <v>57</v>
      </c>
      <c r="AY1246" t="s">
        <v>386</v>
      </c>
      <c r="BF1246">
        <v>0</v>
      </c>
      <c r="BK1246" t="s">
        <v>31</v>
      </c>
      <c r="BS1246" t="s">
        <v>412</v>
      </c>
      <c r="CI1246" t="s">
        <v>388</v>
      </c>
      <c r="CJ1246" s="14">
        <v>45014</v>
      </c>
      <c r="CK1246">
        <v>1</v>
      </c>
    </row>
    <row r="1247" spans="1:89">
      <c r="A1247" t="s">
        <v>1716</v>
      </c>
      <c r="B1247" t="s">
        <v>374</v>
      </c>
      <c r="C1247" t="s">
        <v>966</v>
      </c>
      <c r="D1247" t="s">
        <v>1817</v>
      </c>
      <c r="E1247" t="s">
        <v>1818</v>
      </c>
      <c r="F1247" s="13">
        <v>44638.759108796294</v>
      </c>
      <c r="G1247" t="s">
        <v>641</v>
      </c>
      <c r="H1247" t="s">
        <v>642</v>
      </c>
      <c r="I1247" s="13">
        <v>44638.759108796294</v>
      </c>
      <c r="K1247" t="s">
        <v>412</v>
      </c>
      <c r="M1247" s="13">
        <v>44651</v>
      </c>
      <c r="R1247">
        <v>0</v>
      </c>
      <c r="S1247" t="s">
        <v>380</v>
      </c>
      <c r="T1247" t="s">
        <v>57</v>
      </c>
      <c r="V1247" t="s">
        <v>381</v>
      </c>
      <c r="W1247" t="s">
        <v>1819</v>
      </c>
      <c r="X1247" t="s">
        <v>1819</v>
      </c>
      <c r="AC1247" s="13">
        <v>44651</v>
      </c>
      <c r="AD1247" s="13">
        <v>44651</v>
      </c>
      <c r="AI1247">
        <v>13</v>
      </c>
      <c r="AN1247" t="s">
        <v>31</v>
      </c>
      <c r="AO1247">
        <v>0</v>
      </c>
      <c r="AS1247" t="s">
        <v>392</v>
      </c>
      <c r="AX1247" t="s">
        <v>57</v>
      </c>
      <c r="AY1247" t="s">
        <v>442</v>
      </c>
      <c r="BF1247">
        <v>0</v>
      </c>
      <c r="BK1247" t="s">
        <v>31</v>
      </c>
      <c r="BS1247" t="s">
        <v>412</v>
      </c>
      <c r="CI1247" t="s">
        <v>388</v>
      </c>
      <c r="CJ1247" s="14">
        <v>45014</v>
      </c>
      <c r="CK1247">
        <v>1</v>
      </c>
    </row>
    <row r="1248" spans="1:89">
      <c r="A1248" t="s">
        <v>1710</v>
      </c>
      <c r="B1248" t="s">
        <v>374</v>
      </c>
      <c r="C1248" t="s">
        <v>392</v>
      </c>
      <c r="D1248" t="s">
        <v>1820</v>
      </c>
      <c r="E1248" t="s">
        <v>1821</v>
      </c>
      <c r="F1248" s="13">
        <v>44638.759108796294</v>
      </c>
      <c r="G1248" t="s">
        <v>641</v>
      </c>
      <c r="H1248" t="s">
        <v>642</v>
      </c>
      <c r="I1248" s="13">
        <v>44638.759108796294</v>
      </c>
      <c r="K1248" t="s">
        <v>412</v>
      </c>
      <c r="M1248" s="13">
        <v>44742</v>
      </c>
      <c r="R1248">
        <v>0</v>
      </c>
      <c r="S1248" t="s">
        <v>416</v>
      </c>
      <c r="T1248" t="s">
        <v>57</v>
      </c>
      <c r="V1248" t="s">
        <v>381</v>
      </c>
      <c r="W1248" t="s">
        <v>1803</v>
      </c>
      <c r="X1248" t="s">
        <v>1803</v>
      </c>
      <c r="AC1248" s="13">
        <v>44742</v>
      </c>
      <c r="AD1248" s="13">
        <v>44742</v>
      </c>
      <c r="AI1248">
        <v>104</v>
      </c>
      <c r="AN1248" t="s">
        <v>31</v>
      </c>
      <c r="AO1248">
        <v>0</v>
      </c>
      <c r="AS1248" t="s">
        <v>385</v>
      </c>
      <c r="AX1248" t="s">
        <v>57</v>
      </c>
      <c r="AY1248" t="s">
        <v>386</v>
      </c>
      <c r="BF1248">
        <v>0</v>
      </c>
      <c r="BK1248" t="s">
        <v>31</v>
      </c>
      <c r="BS1248" t="s">
        <v>412</v>
      </c>
      <c r="CI1248" t="s">
        <v>388</v>
      </c>
      <c r="CJ1248" s="14">
        <v>45014</v>
      </c>
      <c r="CK1248">
        <v>1</v>
      </c>
    </row>
    <row r="1249" spans="1:89">
      <c r="A1249" t="s">
        <v>1710</v>
      </c>
      <c r="B1249" t="s">
        <v>374</v>
      </c>
      <c r="C1249" t="s">
        <v>392</v>
      </c>
      <c r="D1249" t="s">
        <v>1822</v>
      </c>
      <c r="E1249" t="s">
        <v>1823</v>
      </c>
      <c r="F1249" s="13">
        <v>44638.759097222224</v>
      </c>
      <c r="G1249" t="s">
        <v>641</v>
      </c>
      <c r="H1249" t="s">
        <v>642</v>
      </c>
      <c r="I1249" s="13">
        <v>44638.759097222224</v>
      </c>
      <c r="K1249" t="s">
        <v>412</v>
      </c>
      <c r="M1249" s="13">
        <v>44650</v>
      </c>
      <c r="R1249">
        <v>0</v>
      </c>
      <c r="S1249" t="s">
        <v>380</v>
      </c>
      <c r="T1249" t="s">
        <v>57</v>
      </c>
      <c r="V1249" t="s">
        <v>381</v>
      </c>
      <c r="W1249" t="s">
        <v>1713</v>
      </c>
      <c r="X1249" t="s">
        <v>1713</v>
      </c>
      <c r="AC1249" s="13">
        <v>44650</v>
      </c>
      <c r="AD1249" s="13">
        <v>44650</v>
      </c>
      <c r="AI1249">
        <v>12</v>
      </c>
      <c r="AN1249" t="s">
        <v>31</v>
      </c>
      <c r="AO1249">
        <v>0</v>
      </c>
      <c r="AS1249" t="s">
        <v>392</v>
      </c>
      <c r="AX1249" t="s">
        <v>57</v>
      </c>
      <c r="AY1249" t="s">
        <v>386</v>
      </c>
      <c r="BF1249">
        <v>0</v>
      </c>
      <c r="BK1249" t="s">
        <v>31</v>
      </c>
      <c r="BS1249" t="s">
        <v>412</v>
      </c>
      <c r="CI1249" t="s">
        <v>388</v>
      </c>
      <c r="CJ1249" s="14">
        <v>45014</v>
      </c>
      <c r="CK1249">
        <v>1</v>
      </c>
    </row>
    <row r="1250" spans="1:89">
      <c r="A1250" t="s">
        <v>1710</v>
      </c>
      <c r="B1250" t="s">
        <v>374</v>
      </c>
      <c r="C1250" t="s">
        <v>392</v>
      </c>
      <c r="D1250" t="s">
        <v>1824</v>
      </c>
      <c r="E1250" t="s">
        <v>1825</v>
      </c>
      <c r="F1250" s="13">
        <v>44638.759097222224</v>
      </c>
      <c r="G1250" t="s">
        <v>641</v>
      </c>
      <c r="H1250" t="s">
        <v>642</v>
      </c>
      <c r="I1250" s="13">
        <v>44638.759097222224</v>
      </c>
      <c r="K1250" t="s">
        <v>412</v>
      </c>
      <c r="M1250" s="13">
        <v>44650</v>
      </c>
      <c r="R1250">
        <v>0</v>
      </c>
      <c r="S1250" t="s">
        <v>380</v>
      </c>
      <c r="T1250" t="s">
        <v>57</v>
      </c>
      <c r="V1250" t="s">
        <v>381</v>
      </c>
      <c r="W1250" t="s">
        <v>1826</v>
      </c>
      <c r="X1250" t="s">
        <v>1826</v>
      </c>
      <c r="AC1250" s="13">
        <v>44650</v>
      </c>
      <c r="AD1250" s="13">
        <v>44650</v>
      </c>
      <c r="AI1250">
        <v>12</v>
      </c>
      <c r="AN1250" t="s">
        <v>31</v>
      </c>
      <c r="AO1250">
        <v>0</v>
      </c>
      <c r="AS1250" t="s">
        <v>392</v>
      </c>
      <c r="AX1250" t="s">
        <v>57</v>
      </c>
      <c r="AY1250" t="s">
        <v>386</v>
      </c>
      <c r="BF1250">
        <v>0</v>
      </c>
      <c r="BK1250" t="s">
        <v>31</v>
      </c>
      <c r="BS1250" t="s">
        <v>412</v>
      </c>
      <c r="CI1250" t="s">
        <v>388</v>
      </c>
      <c r="CJ1250" s="14">
        <v>45014</v>
      </c>
      <c r="CK1250">
        <v>1</v>
      </c>
    </row>
    <row r="1251" spans="1:89">
      <c r="A1251" t="s">
        <v>1827</v>
      </c>
      <c r="B1251" t="s">
        <v>374</v>
      </c>
      <c r="C1251" t="s">
        <v>1536</v>
      </c>
      <c r="D1251" t="s">
        <v>1828</v>
      </c>
      <c r="E1251" t="s">
        <v>1829</v>
      </c>
      <c r="F1251" s="13">
        <v>44638.759085648147</v>
      </c>
      <c r="G1251" t="s">
        <v>641</v>
      </c>
      <c r="H1251" t="s">
        <v>642</v>
      </c>
      <c r="I1251" s="13">
        <v>44638.759085648147</v>
      </c>
      <c r="K1251" t="s">
        <v>412</v>
      </c>
      <c r="M1251" s="13">
        <v>44482</v>
      </c>
      <c r="R1251">
        <v>0</v>
      </c>
      <c r="S1251" t="s">
        <v>380</v>
      </c>
      <c r="T1251" t="s">
        <v>57</v>
      </c>
      <c r="V1251" t="s">
        <v>381</v>
      </c>
      <c r="W1251" t="s">
        <v>1830</v>
      </c>
      <c r="X1251" t="s">
        <v>1830</v>
      </c>
      <c r="AC1251" s="13">
        <v>44482</v>
      </c>
      <c r="AD1251" s="13">
        <v>44482</v>
      </c>
      <c r="AI1251">
        <v>-156</v>
      </c>
      <c r="AN1251" t="s">
        <v>31</v>
      </c>
      <c r="AO1251">
        <v>0</v>
      </c>
      <c r="AS1251" t="s">
        <v>881</v>
      </c>
      <c r="AX1251" t="s">
        <v>57</v>
      </c>
      <c r="AY1251" t="s">
        <v>386</v>
      </c>
      <c r="BF1251">
        <v>0</v>
      </c>
      <c r="BK1251" t="s">
        <v>31</v>
      </c>
      <c r="BS1251" t="s">
        <v>412</v>
      </c>
      <c r="CI1251" t="s">
        <v>388</v>
      </c>
      <c r="CJ1251" s="14">
        <v>45014</v>
      </c>
      <c r="CK1251">
        <v>1</v>
      </c>
    </row>
    <row r="1252" spans="1:89">
      <c r="A1252" t="s">
        <v>1831</v>
      </c>
      <c r="B1252" t="s">
        <v>374</v>
      </c>
      <c r="C1252" t="s">
        <v>1832</v>
      </c>
      <c r="D1252" t="s">
        <v>1833</v>
      </c>
      <c r="E1252" t="s">
        <v>1834</v>
      </c>
      <c r="F1252" s="13">
        <v>44638.759085648147</v>
      </c>
      <c r="G1252" t="s">
        <v>641</v>
      </c>
      <c r="H1252" t="s">
        <v>642</v>
      </c>
      <c r="I1252" s="13">
        <v>44638.759085648147</v>
      </c>
      <c r="K1252" t="s">
        <v>412</v>
      </c>
      <c r="M1252" s="13">
        <v>44591</v>
      </c>
      <c r="R1252">
        <v>0</v>
      </c>
      <c r="S1252" t="s">
        <v>380</v>
      </c>
      <c r="T1252" t="s">
        <v>57</v>
      </c>
      <c r="V1252" t="s">
        <v>381</v>
      </c>
      <c r="W1252" t="s">
        <v>1826</v>
      </c>
      <c r="X1252" t="s">
        <v>1826</v>
      </c>
      <c r="AC1252" s="13">
        <v>44591</v>
      </c>
      <c r="AD1252" s="13">
        <v>44591</v>
      </c>
      <c r="AI1252">
        <v>-47</v>
      </c>
      <c r="AN1252" t="s">
        <v>31</v>
      </c>
      <c r="AO1252">
        <v>0</v>
      </c>
      <c r="AS1252" t="s">
        <v>392</v>
      </c>
      <c r="AX1252" t="s">
        <v>57</v>
      </c>
      <c r="AY1252" t="s">
        <v>386</v>
      </c>
      <c r="BF1252">
        <v>0</v>
      </c>
      <c r="BK1252" t="s">
        <v>31</v>
      </c>
      <c r="BS1252" t="s">
        <v>412</v>
      </c>
      <c r="CI1252" t="s">
        <v>388</v>
      </c>
      <c r="CJ1252" s="14">
        <v>45014</v>
      </c>
      <c r="CK1252">
        <v>1</v>
      </c>
    </row>
    <row r="1253" spans="1:89">
      <c r="A1253" t="s">
        <v>1827</v>
      </c>
      <c r="B1253" t="s">
        <v>374</v>
      </c>
      <c r="C1253" t="s">
        <v>1536</v>
      </c>
      <c r="D1253" t="s">
        <v>1835</v>
      </c>
      <c r="E1253" t="s">
        <v>1836</v>
      </c>
      <c r="F1253" s="13">
        <v>44638.759074074071</v>
      </c>
      <c r="G1253" t="s">
        <v>641</v>
      </c>
      <c r="H1253" t="s">
        <v>642</v>
      </c>
      <c r="I1253" s="13">
        <v>44638.759074074071</v>
      </c>
      <c r="K1253" t="s">
        <v>412</v>
      </c>
      <c r="M1253" s="13">
        <v>44650</v>
      </c>
      <c r="R1253">
        <v>0</v>
      </c>
      <c r="S1253" t="s">
        <v>416</v>
      </c>
      <c r="T1253" t="s">
        <v>57</v>
      </c>
      <c r="V1253" t="s">
        <v>381</v>
      </c>
      <c r="W1253" t="s">
        <v>1837</v>
      </c>
      <c r="X1253" t="s">
        <v>1837</v>
      </c>
      <c r="AC1253" s="13">
        <v>44650</v>
      </c>
      <c r="AD1253" s="13">
        <v>44650</v>
      </c>
      <c r="AI1253">
        <v>12</v>
      </c>
      <c r="AN1253" t="s">
        <v>31</v>
      </c>
      <c r="AO1253">
        <v>0</v>
      </c>
      <c r="AS1253" t="s">
        <v>385</v>
      </c>
      <c r="AX1253" t="s">
        <v>57</v>
      </c>
      <c r="AY1253" t="s">
        <v>386</v>
      </c>
      <c r="BF1253">
        <v>0</v>
      </c>
      <c r="BK1253" t="s">
        <v>31</v>
      </c>
      <c r="BS1253" t="s">
        <v>412</v>
      </c>
      <c r="CI1253" t="s">
        <v>388</v>
      </c>
      <c r="CJ1253" s="14">
        <v>45014</v>
      </c>
      <c r="CK1253">
        <v>1</v>
      </c>
    </row>
    <row r="1254" spans="1:89">
      <c r="A1254" t="s">
        <v>1827</v>
      </c>
      <c r="B1254" t="s">
        <v>374</v>
      </c>
      <c r="C1254" t="s">
        <v>1536</v>
      </c>
      <c r="D1254" t="s">
        <v>1838</v>
      </c>
      <c r="E1254" t="s">
        <v>1839</v>
      </c>
      <c r="F1254" s="13">
        <v>44638.759074074071</v>
      </c>
      <c r="G1254" t="s">
        <v>641</v>
      </c>
      <c r="H1254" t="s">
        <v>642</v>
      </c>
      <c r="I1254" s="13">
        <v>44638.759074074071</v>
      </c>
      <c r="K1254" t="s">
        <v>412</v>
      </c>
      <c r="M1254" s="13">
        <v>44803</v>
      </c>
      <c r="R1254">
        <v>0</v>
      </c>
      <c r="S1254" t="s">
        <v>380</v>
      </c>
      <c r="T1254" t="s">
        <v>57</v>
      </c>
      <c r="V1254" t="s">
        <v>381</v>
      </c>
      <c r="W1254" t="s">
        <v>1837</v>
      </c>
      <c r="X1254" t="s">
        <v>1837</v>
      </c>
      <c r="AC1254" s="13">
        <v>44803</v>
      </c>
      <c r="AD1254" s="13">
        <v>44803</v>
      </c>
      <c r="AI1254">
        <v>165</v>
      </c>
      <c r="AN1254" t="s">
        <v>31</v>
      </c>
      <c r="AO1254">
        <v>0</v>
      </c>
      <c r="AS1254" t="s">
        <v>385</v>
      </c>
      <c r="AX1254" t="s">
        <v>57</v>
      </c>
      <c r="AY1254" t="s">
        <v>386</v>
      </c>
      <c r="BF1254">
        <v>0</v>
      </c>
      <c r="BK1254" t="s">
        <v>31</v>
      </c>
      <c r="BS1254" t="s">
        <v>412</v>
      </c>
      <c r="CI1254" t="s">
        <v>388</v>
      </c>
      <c r="CJ1254" s="14">
        <v>45014</v>
      </c>
      <c r="CK1254">
        <v>1</v>
      </c>
    </row>
    <row r="1255" spans="1:89">
      <c r="A1255" t="s">
        <v>1799</v>
      </c>
      <c r="B1255" t="s">
        <v>374</v>
      </c>
      <c r="C1255" t="s">
        <v>1800</v>
      </c>
      <c r="D1255" t="s">
        <v>1840</v>
      </c>
      <c r="E1255" t="s">
        <v>1841</v>
      </c>
      <c r="F1255" s="13">
        <v>44638.759062500001</v>
      </c>
      <c r="G1255" t="s">
        <v>641</v>
      </c>
      <c r="H1255" t="s">
        <v>642</v>
      </c>
      <c r="I1255" s="13">
        <v>44638.759062500001</v>
      </c>
      <c r="K1255" t="s">
        <v>412</v>
      </c>
      <c r="M1255" s="13">
        <v>44623</v>
      </c>
      <c r="R1255">
        <v>0</v>
      </c>
      <c r="S1255" t="s">
        <v>380</v>
      </c>
      <c r="T1255" t="s">
        <v>57</v>
      </c>
      <c r="V1255" t="s">
        <v>381</v>
      </c>
      <c r="W1255" t="s">
        <v>1826</v>
      </c>
      <c r="X1255" t="s">
        <v>1826</v>
      </c>
      <c r="AC1255" s="13">
        <v>44623</v>
      </c>
      <c r="AD1255" s="13">
        <v>44623</v>
      </c>
      <c r="AI1255">
        <v>-15</v>
      </c>
      <c r="AN1255" t="s">
        <v>31</v>
      </c>
      <c r="AO1255">
        <v>0</v>
      </c>
      <c r="AS1255" t="s">
        <v>385</v>
      </c>
      <c r="AX1255" t="s">
        <v>57</v>
      </c>
      <c r="AY1255" t="s">
        <v>386</v>
      </c>
      <c r="BF1255">
        <v>0</v>
      </c>
      <c r="BK1255" t="s">
        <v>31</v>
      </c>
      <c r="BS1255" t="s">
        <v>412</v>
      </c>
      <c r="CI1255" t="s">
        <v>388</v>
      </c>
      <c r="CJ1255" s="14">
        <v>45014</v>
      </c>
      <c r="CK1255">
        <v>1</v>
      </c>
    </row>
    <row r="1256" spans="1:89">
      <c r="A1256" t="s">
        <v>1799</v>
      </c>
      <c r="B1256" t="s">
        <v>374</v>
      </c>
      <c r="C1256" t="s">
        <v>1800</v>
      </c>
      <c r="D1256" t="s">
        <v>1842</v>
      </c>
      <c r="E1256" t="s">
        <v>1843</v>
      </c>
      <c r="F1256" s="13">
        <v>44638.759062500001</v>
      </c>
      <c r="G1256" t="s">
        <v>641</v>
      </c>
      <c r="H1256" t="s">
        <v>642</v>
      </c>
      <c r="I1256" s="13">
        <v>44638.759062500001</v>
      </c>
      <c r="K1256" t="s">
        <v>412</v>
      </c>
      <c r="M1256" s="13">
        <v>44650</v>
      </c>
      <c r="R1256">
        <v>0</v>
      </c>
      <c r="S1256" t="s">
        <v>380</v>
      </c>
      <c r="T1256" t="s">
        <v>57</v>
      </c>
      <c r="V1256" t="s">
        <v>381</v>
      </c>
      <c r="W1256" t="s">
        <v>1837</v>
      </c>
      <c r="X1256" t="s">
        <v>1837</v>
      </c>
      <c r="AC1256" s="13">
        <v>44650</v>
      </c>
      <c r="AD1256" s="13">
        <v>44650</v>
      </c>
      <c r="AI1256">
        <v>12</v>
      </c>
      <c r="AN1256" t="s">
        <v>31</v>
      </c>
      <c r="AO1256">
        <v>0</v>
      </c>
      <c r="AS1256" t="s">
        <v>385</v>
      </c>
      <c r="AX1256" t="s">
        <v>57</v>
      </c>
      <c r="AY1256" t="s">
        <v>386</v>
      </c>
      <c r="BF1256">
        <v>0</v>
      </c>
      <c r="BK1256" t="s">
        <v>31</v>
      </c>
      <c r="BS1256" t="s">
        <v>412</v>
      </c>
      <c r="CI1256" t="s">
        <v>388</v>
      </c>
      <c r="CJ1256" s="14">
        <v>45014</v>
      </c>
      <c r="CK1256">
        <v>1</v>
      </c>
    </row>
    <row r="1257" spans="1:89">
      <c r="A1257" t="s">
        <v>1844</v>
      </c>
      <c r="B1257" t="s">
        <v>374</v>
      </c>
      <c r="C1257" t="s">
        <v>1845</v>
      </c>
      <c r="D1257" t="s">
        <v>1846</v>
      </c>
      <c r="E1257" t="s">
        <v>1847</v>
      </c>
      <c r="F1257" s="13">
        <v>44638.759050925924</v>
      </c>
      <c r="G1257" t="s">
        <v>641</v>
      </c>
      <c r="H1257" t="s">
        <v>642</v>
      </c>
      <c r="I1257" s="13">
        <v>44638.759050925924</v>
      </c>
      <c r="K1257" t="s">
        <v>412</v>
      </c>
      <c r="M1257" s="13">
        <v>44526</v>
      </c>
      <c r="R1257">
        <v>0</v>
      </c>
      <c r="S1257" t="s">
        <v>380</v>
      </c>
      <c r="T1257" t="s">
        <v>57</v>
      </c>
      <c r="V1257" t="s">
        <v>381</v>
      </c>
      <c r="W1257" t="s">
        <v>1848</v>
      </c>
      <c r="X1257" t="s">
        <v>1848</v>
      </c>
      <c r="AC1257" s="13">
        <v>44526</v>
      </c>
      <c r="AD1257" s="13">
        <v>44526</v>
      </c>
      <c r="AI1257">
        <v>-112</v>
      </c>
      <c r="AN1257" t="s">
        <v>31</v>
      </c>
      <c r="AO1257">
        <v>0</v>
      </c>
      <c r="AS1257" t="s">
        <v>526</v>
      </c>
      <c r="AX1257" t="s">
        <v>57</v>
      </c>
      <c r="AY1257" t="s">
        <v>386</v>
      </c>
      <c r="BF1257">
        <v>0</v>
      </c>
      <c r="BK1257" t="s">
        <v>31</v>
      </c>
      <c r="BS1257" t="s">
        <v>412</v>
      </c>
      <c r="CI1257" t="s">
        <v>388</v>
      </c>
      <c r="CJ1257" s="14">
        <v>45014</v>
      </c>
      <c r="CK1257">
        <v>1</v>
      </c>
    </row>
    <row r="1258" spans="1:89">
      <c r="A1258" t="s">
        <v>1799</v>
      </c>
      <c r="B1258" t="s">
        <v>374</v>
      </c>
      <c r="C1258" t="s">
        <v>1800</v>
      </c>
      <c r="D1258" t="s">
        <v>1849</v>
      </c>
      <c r="E1258" t="s">
        <v>1850</v>
      </c>
      <c r="F1258" s="13">
        <v>44638.759050925924</v>
      </c>
      <c r="G1258" t="s">
        <v>641</v>
      </c>
      <c r="H1258" t="s">
        <v>642</v>
      </c>
      <c r="I1258" s="13">
        <v>44638.759050925924</v>
      </c>
      <c r="K1258" t="s">
        <v>412</v>
      </c>
      <c r="M1258" s="13">
        <v>44610</v>
      </c>
      <c r="R1258">
        <v>0</v>
      </c>
      <c r="S1258" t="s">
        <v>380</v>
      </c>
      <c r="T1258" t="s">
        <v>57</v>
      </c>
      <c r="V1258" t="s">
        <v>381</v>
      </c>
      <c r="W1258" t="s">
        <v>1851</v>
      </c>
      <c r="X1258" t="s">
        <v>1851</v>
      </c>
      <c r="AC1258" s="13">
        <v>44610</v>
      </c>
      <c r="AD1258" s="13">
        <v>44610</v>
      </c>
      <c r="AI1258">
        <v>-28</v>
      </c>
      <c r="AN1258" t="s">
        <v>31</v>
      </c>
      <c r="AO1258">
        <v>0</v>
      </c>
      <c r="AS1258" t="s">
        <v>385</v>
      </c>
      <c r="AX1258" t="s">
        <v>57</v>
      </c>
      <c r="AY1258" t="s">
        <v>386</v>
      </c>
      <c r="BF1258">
        <v>0</v>
      </c>
      <c r="BK1258" t="s">
        <v>31</v>
      </c>
      <c r="BS1258" t="s">
        <v>412</v>
      </c>
      <c r="CI1258" t="s">
        <v>388</v>
      </c>
      <c r="CJ1258" s="14">
        <v>45014</v>
      </c>
      <c r="CK1258">
        <v>1</v>
      </c>
    </row>
    <row r="1259" spans="1:89">
      <c r="A1259" t="s">
        <v>1705</v>
      </c>
      <c r="B1259" t="s">
        <v>374</v>
      </c>
      <c r="C1259" t="s">
        <v>1706</v>
      </c>
      <c r="D1259" t="s">
        <v>1852</v>
      </c>
      <c r="E1259" t="s">
        <v>1853</v>
      </c>
      <c r="F1259" s="13">
        <v>44638.759039351855</v>
      </c>
      <c r="G1259" t="s">
        <v>641</v>
      </c>
      <c r="H1259" t="s">
        <v>642</v>
      </c>
      <c r="I1259" s="13">
        <v>44638.759039351855</v>
      </c>
      <c r="K1259" t="s">
        <v>412</v>
      </c>
      <c r="M1259" s="13">
        <v>44530</v>
      </c>
      <c r="R1259">
        <v>0</v>
      </c>
      <c r="S1259" t="s">
        <v>380</v>
      </c>
      <c r="T1259" t="s">
        <v>57</v>
      </c>
      <c r="V1259" t="s">
        <v>381</v>
      </c>
      <c r="W1259" t="s">
        <v>1806</v>
      </c>
      <c r="X1259" t="s">
        <v>1806</v>
      </c>
      <c r="AC1259" s="13">
        <v>44530</v>
      </c>
      <c r="AD1259" s="13">
        <v>44530</v>
      </c>
      <c r="AI1259">
        <v>-108</v>
      </c>
      <c r="AN1259" t="s">
        <v>31</v>
      </c>
      <c r="AO1259">
        <v>0</v>
      </c>
      <c r="AS1259" t="s">
        <v>881</v>
      </c>
      <c r="AX1259" t="s">
        <v>57</v>
      </c>
      <c r="AY1259" t="s">
        <v>386</v>
      </c>
      <c r="BF1259">
        <v>0</v>
      </c>
      <c r="BK1259" t="s">
        <v>31</v>
      </c>
      <c r="BS1259" t="s">
        <v>412</v>
      </c>
      <c r="CI1259" t="s">
        <v>388</v>
      </c>
      <c r="CJ1259" s="14">
        <v>45014</v>
      </c>
      <c r="CK1259">
        <v>1</v>
      </c>
    </row>
    <row r="1260" spans="1:89">
      <c r="A1260" t="s">
        <v>1799</v>
      </c>
      <c r="B1260" t="s">
        <v>374</v>
      </c>
      <c r="C1260" t="s">
        <v>1800</v>
      </c>
      <c r="D1260" t="s">
        <v>1854</v>
      </c>
      <c r="E1260" t="s">
        <v>1855</v>
      </c>
      <c r="F1260" s="13">
        <v>44638.759039351855</v>
      </c>
      <c r="G1260" t="s">
        <v>641</v>
      </c>
      <c r="H1260" t="s">
        <v>642</v>
      </c>
      <c r="I1260" s="13">
        <v>44638.759039351855</v>
      </c>
      <c r="K1260" t="s">
        <v>412</v>
      </c>
      <c r="M1260" s="13">
        <v>44607</v>
      </c>
      <c r="R1260">
        <v>0</v>
      </c>
      <c r="S1260" t="s">
        <v>380</v>
      </c>
      <c r="T1260" t="s">
        <v>57</v>
      </c>
      <c r="V1260" t="s">
        <v>381</v>
      </c>
      <c r="W1260" t="s">
        <v>1709</v>
      </c>
      <c r="X1260" t="s">
        <v>1709</v>
      </c>
      <c r="AC1260" s="13">
        <v>44607</v>
      </c>
      <c r="AD1260" s="13">
        <v>44607</v>
      </c>
      <c r="AI1260">
        <v>-31</v>
      </c>
      <c r="AN1260" t="s">
        <v>31</v>
      </c>
      <c r="AO1260">
        <v>0</v>
      </c>
      <c r="AS1260" t="s">
        <v>385</v>
      </c>
      <c r="AX1260" t="s">
        <v>57</v>
      </c>
      <c r="AY1260" t="s">
        <v>386</v>
      </c>
      <c r="BF1260">
        <v>0</v>
      </c>
      <c r="BK1260" t="s">
        <v>31</v>
      </c>
      <c r="BS1260" t="s">
        <v>412</v>
      </c>
      <c r="CI1260" t="s">
        <v>388</v>
      </c>
      <c r="CJ1260" s="14">
        <v>45014</v>
      </c>
      <c r="CK1260">
        <v>1</v>
      </c>
    </row>
    <row r="1261" spans="1:89">
      <c r="A1261" t="s">
        <v>1710</v>
      </c>
      <c r="B1261" t="s">
        <v>374</v>
      </c>
      <c r="C1261" t="s">
        <v>392</v>
      </c>
      <c r="D1261" t="s">
        <v>1856</v>
      </c>
      <c r="E1261" t="s">
        <v>1857</v>
      </c>
      <c r="F1261" s="13">
        <v>44638.759027777778</v>
      </c>
      <c r="G1261" t="s">
        <v>641</v>
      </c>
      <c r="H1261" t="s">
        <v>642</v>
      </c>
      <c r="I1261" s="13">
        <v>44638.759027777778</v>
      </c>
      <c r="K1261" t="s">
        <v>412</v>
      </c>
      <c r="M1261" s="13">
        <v>44592</v>
      </c>
      <c r="R1261">
        <v>0</v>
      </c>
      <c r="S1261" t="s">
        <v>380</v>
      </c>
      <c r="T1261" t="s">
        <v>57</v>
      </c>
      <c r="V1261" t="s">
        <v>381</v>
      </c>
      <c r="W1261" t="s">
        <v>1806</v>
      </c>
      <c r="X1261" t="s">
        <v>1806</v>
      </c>
      <c r="AC1261" s="13">
        <v>44592</v>
      </c>
      <c r="AD1261" s="13">
        <v>44592</v>
      </c>
      <c r="AI1261">
        <v>-46</v>
      </c>
      <c r="AN1261" t="s">
        <v>31</v>
      </c>
      <c r="AO1261">
        <v>0</v>
      </c>
      <c r="AS1261" t="s">
        <v>538</v>
      </c>
      <c r="AX1261" t="s">
        <v>57</v>
      </c>
      <c r="AY1261" t="s">
        <v>442</v>
      </c>
      <c r="BF1261">
        <v>0</v>
      </c>
      <c r="BK1261" t="s">
        <v>31</v>
      </c>
      <c r="BS1261" t="s">
        <v>412</v>
      </c>
      <c r="CI1261" t="s">
        <v>388</v>
      </c>
      <c r="CJ1261" s="14">
        <v>45014</v>
      </c>
      <c r="CK1261">
        <v>1</v>
      </c>
    </row>
    <row r="1262" spans="1:89">
      <c r="A1262" t="s">
        <v>1858</v>
      </c>
      <c r="B1262" t="s">
        <v>374</v>
      </c>
      <c r="C1262" t="s">
        <v>1859</v>
      </c>
      <c r="D1262" t="s">
        <v>1860</v>
      </c>
      <c r="E1262" t="s">
        <v>1861</v>
      </c>
      <c r="F1262" s="13">
        <v>44638.759027777778</v>
      </c>
      <c r="G1262" t="s">
        <v>641</v>
      </c>
      <c r="H1262" t="s">
        <v>642</v>
      </c>
      <c r="I1262" s="13">
        <v>44638.759027777778</v>
      </c>
      <c r="K1262" t="s">
        <v>412</v>
      </c>
      <c r="M1262" s="13">
        <v>44592</v>
      </c>
      <c r="R1262">
        <v>0</v>
      </c>
      <c r="S1262" t="s">
        <v>416</v>
      </c>
      <c r="T1262" t="s">
        <v>57</v>
      </c>
      <c r="V1262" t="s">
        <v>381</v>
      </c>
      <c r="W1262" t="s">
        <v>1713</v>
      </c>
      <c r="X1262" t="s">
        <v>1713</v>
      </c>
      <c r="AC1262" s="13">
        <v>44592</v>
      </c>
      <c r="AD1262" s="13">
        <v>44592</v>
      </c>
      <c r="AI1262">
        <v>-46</v>
      </c>
      <c r="AN1262" t="s">
        <v>31</v>
      </c>
      <c r="AO1262">
        <v>0</v>
      </c>
      <c r="AS1262" t="s">
        <v>392</v>
      </c>
      <c r="AX1262" t="s">
        <v>57</v>
      </c>
      <c r="AY1262" t="s">
        <v>442</v>
      </c>
      <c r="BF1262">
        <v>0</v>
      </c>
      <c r="BK1262" t="s">
        <v>31</v>
      </c>
      <c r="BS1262" t="s">
        <v>412</v>
      </c>
      <c r="CI1262" t="s">
        <v>388</v>
      </c>
      <c r="CJ1262" s="14">
        <v>45014</v>
      </c>
      <c r="CK1262">
        <v>1</v>
      </c>
    </row>
    <row r="1263" spans="1:89">
      <c r="A1263" t="s">
        <v>1710</v>
      </c>
      <c r="B1263" t="s">
        <v>374</v>
      </c>
      <c r="C1263" t="s">
        <v>392</v>
      </c>
      <c r="D1263" t="s">
        <v>1862</v>
      </c>
      <c r="E1263" t="s">
        <v>1863</v>
      </c>
      <c r="F1263" s="13">
        <v>44638.759027777778</v>
      </c>
      <c r="G1263" t="s">
        <v>641</v>
      </c>
      <c r="H1263" t="s">
        <v>642</v>
      </c>
      <c r="I1263" s="13">
        <v>44638.759027777778</v>
      </c>
      <c r="K1263" t="s">
        <v>412</v>
      </c>
      <c r="M1263" s="13">
        <v>44530</v>
      </c>
      <c r="R1263">
        <v>0</v>
      </c>
      <c r="S1263" t="s">
        <v>380</v>
      </c>
      <c r="T1263" t="s">
        <v>57</v>
      </c>
      <c r="V1263" t="s">
        <v>381</v>
      </c>
      <c r="W1263" t="s">
        <v>1864</v>
      </c>
      <c r="X1263" t="s">
        <v>1864</v>
      </c>
      <c r="AC1263" s="13">
        <v>44530</v>
      </c>
      <c r="AD1263" s="13">
        <v>44530</v>
      </c>
      <c r="AI1263">
        <v>-108</v>
      </c>
      <c r="AN1263" t="s">
        <v>31</v>
      </c>
      <c r="AO1263">
        <v>0</v>
      </c>
      <c r="AS1263" t="s">
        <v>392</v>
      </c>
      <c r="AX1263" t="s">
        <v>57</v>
      </c>
      <c r="AY1263" t="s">
        <v>386</v>
      </c>
      <c r="BF1263">
        <v>0</v>
      </c>
      <c r="BK1263" t="s">
        <v>31</v>
      </c>
      <c r="BS1263" t="s">
        <v>412</v>
      </c>
      <c r="CI1263" t="s">
        <v>388</v>
      </c>
      <c r="CJ1263" s="14">
        <v>45014</v>
      </c>
      <c r="CK1263">
        <v>1</v>
      </c>
    </row>
    <row r="1264" spans="1:89">
      <c r="A1264" t="s">
        <v>1865</v>
      </c>
      <c r="B1264" t="s">
        <v>374</v>
      </c>
      <c r="C1264" t="s">
        <v>1866</v>
      </c>
      <c r="D1264" t="s">
        <v>1867</v>
      </c>
      <c r="E1264" t="s">
        <v>1868</v>
      </c>
      <c r="F1264" s="13">
        <v>44638.759016203701</v>
      </c>
      <c r="G1264" t="s">
        <v>641</v>
      </c>
      <c r="H1264" t="s">
        <v>642</v>
      </c>
      <c r="I1264" s="13">
        <v>44638.759016203701</v>
      </c>
      <c r="K1264" t="s">
        <v>412</v>
      </c>
      <c r="M1264" s="13">
        <v>44620</v>
      </c>
      <c r="R1264">
        <v>0</v>
      </c>
      <c r="S1264" t="s">
        <v>380</v>
      </c>
      <c r="T1264" t="s">
        <v>57</v>
      </c>
      <c r="V1264" t="s">
        <v>381</v>
      </c>
      <c r="W1264" t="s">
        <v>1762</v>
      </c>
      <c r="X1264" t="s">
        <v>1762</v>
      </c>
      <c r="AC1264" s="13">
        <v>44620</v>
      </c>
      <c r="AD1264" s="13">
        <v>44620</v>
      </c>
      <c r="AI1264">
        <v>-18</v>
      </c>
      <c r="AN1264" t="s">
        <v>31</v>
      </c>
      <c r="AO1264">
        <v>0</v>
      </c>
      <c r="AS1264" t="s">
        <v>702</v>
      </c>
      <c r="AX1264" t="s">
        <v>57</v>
      </c>
      <c r="AY1264" t="s">
        <v>386</v>
      </c>
      <c r="BF1264">
        <v>0</v>
      </c>
      <c r="BK1264" t="s">
        <v>31</v>
      </c>
      <c r="BS1264" t="s">
        <v>412</v>
      </c>
      <c r="CI1264" t="s">
        <v>388</v>
      </c>
      <c r="CJ1264" s="14">
        <v>45014</v>
      </c>
      <c r="CK1264">
        <v>1</v>
      </c>
    </row>
    <row r="1265" spans="1:89">
      <c r="A1265" t="s">
        <v>1865</v>
      </c>
      <c r="B1265" t="s">
        <v>374</v>
      </c>
      <c r="C1265" t="s">
        <v>1866</v>
      </c>
      <c r="D1265" t="s">
        <v>1869</v>
      </c>
      <c r="E1265" t="s">
        <v>1870</v>
      </c>
      <c r="F1265" s="13">
        <v>44638.759016203701</v>
      </c>
      <c r="G1265" t="s">
        <v>641</v>
      </c>
      <c r="H1265" t="s">
        <v>642</v>
      </c>
      <c r="I1265" s="13">
        <v>44638.759016203701</v>
      </c>
      <c r="K1265" t="s">
        <v>412</v>
      </c>
      <c r="M1265" s="13">
        <v>44742</v>
      </c>
      <c r="R1265">
        <v>0</v>
      </c>
      <c r="S1265" t="s">
        <v>380</v>
      </c>
      <c r="T1265" t="s">
        <v>57</v>
      </c>
      <c r="V1265" t="s">
        <v>381</v>
      </c>
      <c r="W1265" t="s">
        <v>1871</v>
      </c>
      <c r="X1265" t="s">
        <v>1871</v>
      </c>
      <c r="AC1265" s="13">
        <v>44742</v>
      </c>
      <c r="AD1265" s="13">
        <v>44742</v>
      </c>
      <c r="AI1265">
        <v>104</v>
      </c>
      <c r="AN1265" t="s">
        <v>31</v>
      </c>
      <c r="AO1265">
        <v>0</v>
      </c>
      <c r="AS1265" t="s">
        <v>702</v>
      </c>
      <c r="AX1265" t="s">
        <v>57</v>
      </c>
      <c r="AY1265" t="s">
        <v>386</v>
      </c>
      <c r="BF1265">
        <v>0</v>
      </c>
      <c r="BK1265" t="s">
        <v>31</v>
      </c>
      <c r="BS1265" t="s">
        <v>412</v>
      </c>
      <c r="CI1265" t="s">
        <v>388</v>
      </c>
      <c r="CJ1265" s="14">
        <v>45014</v>
      </c>
      <c r="CK1265">
        <v>1</v>
      </c>
    </row>
    <row r="1266" spans="1:89">
      <c r="A1266" t="s">
        <v>1872</v>
      </c>
      <c r="B1266" t="s">
        <v>374</v>
      </c>
      <c r="C1266" t="s">
        <v>1873</v>
      </c>
      <c r="D1266" t="s">
        <v>1874</v>
      </c>
      <c r="E1266" t="s">
        <v>1875</v>
      </c>
      <c r="F1266" s="13">
        <v>44638.759004629632</v>
      </c>
      <c r="G1266" t="s">
        <v>641</v>
      </c>
      <c r="H1266" t="s">
        <v>642</v>
      </c>
      <c r="I1266" s="13">
        <v>44638.759004629632</v>
      </c>
      <c r="K1266" t="s">
        <v>412</v>
      </c>
      <c r="M1266" s="13">
        <v>44635</v>
      </c>
      <c r="R1266">
        <v>0</v>
      </c>
      <c r="S1266" t="s">
        <v>380</v>
      </c>
      <c r="T1266" t="s">
        <v>57</v>
      </c>
      <c r="V1266" t="s">
        <v>381</v>
      </c>
      <c r="W1266" t="s">
        <v>1709</v>
      </c>
      <c r="X1266" t="s">
        <v>1709</v>
      </c>
      <c r="AC1266" s="13">
        <v>44635</v>
      </c>
      <c r="AD1266" s="13">
        <v>44635</v>
      </c>
      <c r="AI1266">
        <v>-3</v>
      </c>
      <c r="AN1266" t="s">
        <v>31</v>
      </c>
      <c r="AO1266">
        <v>0</v>
      </c>
      <c r="AS1266" t="s">
        <v>526</v>
      </c>
      <c r="AX1266" t="s">
        <v>57</v>
      </c>
      <c r="AY1266" t="s">
        <v>386</v>
      </c>
      <c r="BF1266">
        <v>0</v>
      </c>
      <c r="BK1266" t="s">
        <v>31</v>
      </c>
      <c r="BS1266" t="s">
        <v>412</v>
      </c>
      <c r="CI1266" t="s">
        <v>388</v>
      </c>
      <c r="CJ1266" s="14">
        <v>45014</v>
      </c>
      <c r="CK1266">
        <v>1</v>
      </c>
    </row>
    <row r="1267" spans="1:89">
      <c r="A1267" t="s">
        <v>1872</v>
      </c>
      <c r="B1267" t="s">
        <v>374</v>
      </c>
      <c r="C1267" t="s">
        <v>1873</v>
      </c>
      <c r="D1267" t="s">
        <v>1876</v>
      </c>
      <c r="E1267" t="s">
        <v>1877</v>
      </c>
      <c r="F1267" s="13">
        <v>44638.759004629632</v>
      </c>
      <c r="G1267" t="s">
        <v>641</v>
      </c>
      <c r="H1267" t="s">
        <v>642</v>
      </c>
      <c r="I1267" s="13">
        <v>44638.759004629632</v>
      </c>
      <c r="K1267" t="s">
        <v>412</v>
      </c>
      <c r="M1267" s="13">
        <v>44500</v>
      </c>
      <c r="R1267">
        <v>0</v>
      </c>
      <c r="S1267" t="s">
        <v>380</v>
      </c>
      <c r="T1267" t="s">
        <v>57</v>
      </c>
      <c r="V1267" t="s">
        <v>381</v>
      </c>
      <c r="W1267" t="s">
        <v>1762</v>
      </c>
      <c r="X1267" t="s">
        <v>1762</v>
      </c>
      <c r="AC1267" s="13">
        <v>44500</v>
      </c>
      <c r="AD1267" s="13">
        <v>44500</v>
      </c>
      <c r="AI1267">
        <v>-138</v>
      </c>
      <c r="AN1267" t="s">
        <v>31</v>
      </c>
      <c r="AO1267">
        <v>0</v>
      </c>
      <c r="AS1267" t="s">
        <v>392</v>
      </c>
      <c r="AX1267" t="s">
        <v>57</v>
      </c>
      <c r="AY1267" t="s">
        <v>386</v>
      </c>
      <c r="BF1267">
        <v>0</v>
      </c>
      <c r="BK1267" t="s">
        <v>31</v>
      </c>
      <c r="BS1267" t="s">
        <v>412</v>
      </c>
      <c r="CI1267" t="s">
        <v>388</v>
      </c>
      <c r="CJ1267" s="14">
        <v>45014</v>
      </c>
      <c r="CK1267">
        <v>1</v>
      </c>
    </row>
    <row r="1268" spans="1:89">
      <c r="A1268" t="s">
        <v>1872</v>
      </c>
      <c r="B1268" t="s">
        <v>374</v>
      </c>
      <c r="C1268" t="s">
        <v>1873</v>
      </c>
      <c r="D1268" t="s">
        <v>1878</v>
      </c>
      <c r="E1268" t="s">
        <v>1879</v>
      </c>
      <c r="F1268" s="13">
        <v>44638.758993055555</v>
      </c>
      <c r="G1268" t="s">
        <v>641</v>
      </c>
      <c r="H1268" t="s">
        <v>642</v>
      </c>
      <c r="I1268" s="13">
        <v>44638.758993055555</v>
      </c>
      <c r="K1268" t="s">
        <v>412</v>
      </c>
      <c r="M1268" s="13">
        <v>44635</v>
      </c>
      <c r="R1268">
        <v>0</v>
      </c>
      <c r="S1268" t="s">
        <v>380</v>
      </c>
      <c r="T1268" t="s">
        <v>57</v>
      </c>
      <c r="V1268" t="s">
        <v>381</v>
      </c>
      <c r="W1268" t="s">
        <v>1762</v>
      </c>
      <c r="X1268" t="s">
        <v>1762</v>
      </c>
      <c r="AC1268" s="13">
        <v>44635</v>
      </c>
      <c r="AD1268" s="13">
        <v>44635</v>
      </c>
      <c r="AI1268">
        <v>-3</v>
      </c>
      <c r="AN1268" t="s">
        <v>31</v>
      </c>
      <c r="AO1268">
        <v>0</v>
      </c>
      <c r="AS1268" t="s">
        <v>881</v>
      </c>
      <c r="AX1268" t="s">
        <v>57</v>
      </c>
      <c r="AY1268" t="s">
        <v>386</v>
      </c>
      <c r="BF1268">
        <v>0</v>
      </c>
      <c r="BK1268" t="s">
        <v>31</v>
      </c>
      <c r="BS1268" t="s">
        <v>412</v>
      </c>
      <c r="CI1268" t="s">
        <v>388</v>
      </c>
      <c r="CJ1268" s="14">
        <v>45014</v>
      </c>
      <c r="CK1268">
        <v>1</v>
      </c>
    </row>
    <row r="1269" spans="1:89">
      <c r="A1269" t="s">
        <v>1872</v>
      </c>
      <c r="B1269" t="s">
        <v>374</v>
      </c>
      <c r="C1269" t="s">
        <v>1873</v>
      </c>
      <c r="D1269" t="s">
        <v>1880</v>
      </c>
      <c r="E1269" t="s">
        <v>1881</v>
      </c>
      <c r="F1269" s="13">
        <v>44638.758993055555</v>
      </c>
      <c r="G1269" t="s">
        <v>641</v>
      </c>
      <c r="H1269" t="s">
        <v>642</v>
      </c>
      <c r="I1269" s="13">
        <v>44638.758993055555</v>
      </c>
      <c r="K1269" t="s">
        <v>412</v>
      </c>
      <c r="M1269" s="13">
        <v>44635</v>
      </c>
      <c r="R1269">
        <v>0</v>
      </c>
      <c r="S1269" t="s">
        <v>380</v>
      </c>
      <c r="T1269" t="s">
        <v>57</v>
      </c>
      <c r="V1269" t="s">
        <v>381</v>
      </c>
      <c r="W1269" t="s">
        <v>1709</v>
      </c>
      <c r="X1269" t="s">
        <v>1709</v>
      </c>
      <c r="AC1269" s="13">
        <v>44635</v>
      </c>
      <c r="AD1269" s="13">
        <v>44635</v>
      </c>
      <c r="AI1269">
        <v>-3</v>
      </c>
      <c r="AN1269" t="s">
        <v>31</v>
      </c>
      <c r="AO1269">
        <v>0</v>
      </c>
      <c r="AS1269" t="s">
        <v>744</v>
      </c>
      <c r="AX1269" t="s">
        <v>57</v>
      </c>
      <c r="AY1269" t="s">
        <v>386</v>
      </c>
      <c r="BF1269">
        <v>0</v>
      </c>
      <c r="BK1269" t="s">
        <v>31</v>
      </c>
      <c r="BS1269" t="s">
        <v>412</v>
      </c>
      <c r="CI1269" t="s">
        <v>388</v>
      </c>
      <c r="CJ1269" s="14">
        <v>45014</v>
      </c>
      <c r="CK1269">
        <v>1</v>
      </c>
    </row>
    <row r="1270" spans="1:89">
      <c r="A1270" t="s">
        <v>1858</v>
      </c>
      <c r="B1270" t="s">
        <v>374</v>
      </c>
      <c r="C1270" t="s">
        <v>1859</v>
      </c>
      <c r="D1270" t="s">
        <v>1882</v>
      </c>
      <c r="E1270" t="s">
        <v>1883</v>
      </c>
      <c r="F1270" s="13">
        <v>44638.758981481478</v>
      </c>
      <c r="G1270" t="s">
        <v>641</v>
      </c>
      <c r="H1270" t="s">
        <v>642</v>
      </c>
      <c r="I1270" s="13">
        <v>44638.758981481478</v>
      </c>
      <c r="K1270" t="s">
        <v>412</v>
      </c>
      <c r="M1270" s="13">
        <v>44635</v>
      </c>
      <c r="R1270">
        <v>0</v>
      </c>
      <c r="S1270" t="s">
        <v>380</v>
      </c>
      <c r="T1270" t="s">
        <v>57</v>
      </c>
      <c r="V1270" t="s">
        <v>381</v>
      </c>
      <c r="W1270" t="s">
        <v>1762</v>
      </c>
      <c r="X1270" t="s">
        <v>1762</v>
      </c>
      <c r="AC1270" s="13">
        <v>44635</v>
      </c>
      <c r="AD1270" s="13">
        <v>44635</v>
      </c>
      <c r="AI1270">
        <v>-3</v>
      </c>
      <c r="AN1270" t="s">
        <v>31</v>
      </c>
      <c r="AO1270">
        <v>0</v>
      </c>
      <c r="AS1270" t="s">
        <v>526</v>
      </c>
      <c r="AX1270" t="s">
        <v>57</v>
      </c>
      <c r="AY1270" t="s">
        <v>386</v>
      </c>
      <c r="BF1270">
        <v>0</v>
      </c>
      <c r="BK1270" t="s">
        <v>31</v>
      </c>
      <c r="BS1270" t="s">
        <v>412</v>
      </c>
      <c r="CI1270" t="s">
        <v>388</v>
      </c>
      <c r="CJ1270" s="14">
        <v>45014</v>
      </c>
      <c r="CK1270">
        <v>1</v>
      </c>
    </row>
    <row r="1271" spans="1:89">
      <c r="A1271" t="s">
        <v>1716</v>
      </c>
      <c r="B1271" t="s">
        <v>374</v>
      </c>
      <c r="C1271" t="s">
        <v>966</v>
      </c>
      <c r="D1271" t="s">
        <v>1884</v>
      </c>
      <c r="E1271" t="s">
        <v>1885</v>
      </c>
      <c r="F1271" s="13">
        <v>44638.758981481478</v>
      </c>
      <c r="G1271" t="s">
        <v>641</v>
      </c>
      <c r="H1271" t="s">
        <v>642</v>
      </c>
      <c r="I1271" s="13">
        <v>44638.758981481478</v>
      </c>
      <c r="K1271" t="s">
        <v>412</v>
      </c>
      <c r="M1271" s="13">
        <v>44602</v>
      </c>
      <c r="R1271">
        <v>0</v>
      </c>
      <c r="S1271" t="s">
        <v>380</v>
      </c>
      <c r="T1271" t="s">
        <v>57</v>
      </c>
      <c r="V1271" t="s">
        <v>381</v>
      </c>
      <c r="W1271" t="s">
        <v>1886</v>
      </c>
      <c r="X1271" t="s">
        <v>1886</v>
      </c>
      <c r="AC1271" s="13">
        <v>44602</v>
      </c>
      <c r="AD1271" s="13">
        <v>44602</v>
      </c>
      <c r="AI1271">
        <v>-36</v>
      </c>
      <c r="AN1271" t="s">
        <v>31</v>
      </c>
      <c r="AO1271">
        <v>0</v>
      </c>
      <c r="AS1271" t="s">
        <v>538</v>
      </c>
      <c r="AX1271" t="s">
        <v>57</v>
      </c>
      <c r="AY1271" t="s">
        <v>386</v>
      </c>
      <c r="BF1271">
        <v>0</v>
      </c>
      <c r="BK1271" t="s">
        <v>31</v>
      </c>
      <c r="BS1271" t="s">
        <v>412</v>
      </c>
      <c r="CI1271" t="s">
        <v>388</v>
      </c>
      <c r="CJ1271" s="14">
        <v>45014</v>
      </c>
      <c r="CK1271">
        <v>1</v>
      </c>
    </row>
    <row r="1272" spans="1:89">
      <c r="A1272" t="s">
        <v>1710</v>
      </c>
      <c r="B1272" t="s">
        <v>374</v>
      </c>
      <c r="C1272" t="s">
        <v>392</v>
      </c>
      <c r="D1272" t="s">
        <v>1887</v>
      </c>
      <c r="E1272" t="s">
        <v>1888</v>
      </c>
      <c r="F1272" s="13">
        <v>44638.758969907409</v>
      </c>
      <c r="G1272" t="s">
        <v>641</v>
      </c>
      <c r="H1272" t="s">
        <v>642</v>
      </c>
      <c r="I1272" s="13">
        <v>44638.758969907409</v>
      </c>
      <c r="K1272" t="s">
        <v>412</v>
      </c>
      <c r="M1272" s="13">
        <v>44574</v>
      </c>
      <c r="R1272">
        <v>0</v>
      </c>
      <c r="S1272" t="s">
        <v>380</v>
      </c>
      <c r="T1272" t="s">
        <v>57</v>
      </c>
      <c r="V1272" t="s">
        <v>381</v>
      </c>
      <c r="W1272" t="s">
        <v>1713</v>
      </c>
      <c r="X1272" t="s">
        <v>1713</v>
      </c>
      <c r="AC1272" s="13">
        <v>44574</v>
      </c>
      <c r="AD1272" s="13">
        <v>44574</v>
      </c>
      <c r="AI1272">
        <v>-64</v>
      </c>
      <c r="AN1272" t="s">
        <v>31</v>
      </c>
      <c r="AO1272">
        <v>0</v>
      </c>
      <c r="AS1272" t="s">
        <v>461</v>
      </c>
      <c r="AX1272" t="s">
        <v>57</v>
      </c>
      <c r="AY1272" t="s">
        <v>386</v>
      </c>
      <c r="BF1272">
        <v>0</v>
      </c>
      <c r="BK1272" t="s">
        <v>31</v>
      </c>
      <c r="BS1272" t="s">
        <v>412</v>
      </c>
      <c r="CI1272" t="s">
        <v>388</v>
      </c>
      <c r="CJ1272" s="14">
        <v>45014</v>
      </c>
      <c r="CK1272">
        <v>1</v>
      </c>
    </row>
    <row r="1273" spans="1:89">
      <c r="A1273" t="s">
        <v>1710</v>
      </c>
      <c r="B1273" t="s">
        <v>374</v>
      </c>
      <c r="C1273" t="s">
        <v>392</v>
      </c>
      <c r="D1273" t="s">
        <v>1889</v>
      </c>
      <c r="E1273" t="s">
        <v>1890</v>
      </c>
      <c r="F1273" s="13">
        <v>44638.758969907409</v>
      </c>
      <c r="G1273" t="s">
        <v>641</v>
      </c>
      <c r="H1273" t="s">
        <v>642</v>
      </c>
      <c r="I1273" s="13">
        <v>44638.758969907409</v>
      </c>
      <c r="K1273" t="s">
        <v>412</v>
      </c>
      <c r="M1273" s="13">
        <v>44574</v>
      </c>
      <c r="R1273">
        <v>0</v>
      </c>
      <c r="S1273" t="s">
        <v>380</v>
      </c>
      <c r="T1273" t="s">
        <v>57</v>
      </c>
      <c r="V1273" t="s">
        <v>381</v>
      </c>
      <c r="W1273" t="s">
        <v>1719</v>
      </c>
      <c r="X1273" t="s">
        <v>1719</v>
      </c>
      <c r="AC1273" s="13">
        <v>44574</v>
      </c>
      <c r="AD1273" s="13">
        <v>44574</v>
      </c>
      <c r="AI1273">
        <v>-64</v>
      </c>
      <c r="AN1273" t="s">
        <v>31</v>
      </c>
      <c r="AO1273">
        <v>0</v>
      </c>
      <c r="AS1273" t="s">
        <v>392</v>
      </c>
      <c r="AX1273" t="s">
        <v>57</v>
      </c>
      <c r="AY1273" t="s">
        <v>386</v>
      </c>
      <c r="BF1273">
        <v>0</v>
      </c>
      <c r="BK1273" t="s">
        <v>31</v>
      </c>
      <c r="BS1273" t="s">
        <v>412</v>
      </c>
      <c r="CI1273" t="s">
        <v>388</v>
      </c>
      <c r="CJ1273" s="14">
        <v>45014</v>
      </c>
      <c r="CK1273">
        <v>1</v>
      </c>
    </row>
    <row r="1274" spans="1:89">
      <c r="A1274" t="s">
        <v>1891</v>
      </c>
      <c r="B1274" t="s">
        <v>374</v>
      </c>
      <c r="C1274" t="s">
        <v>1892</v>
      </c>
      <c r="D1274" t="s">
        <v>1893</v>
      </c>
      <c r="E1274" t="s">
        <v>1894</v>
      </c>
      <c r="F1274" s="13">
        <v>44638.758958333332</v>
      </c>
      <c r="G1274" t="s">
        <v>641</v>
      </c>
      <c r="H1274" t="s">
        <v>642</v>
      </c>
      <c r="I1274" s="13">
        <v>44638.758958333332</v>
      </c>
      <c r="K1274" t="s">
        <v>412</v>
      </c>
      <c r="M1274" s="13">
        <v>44552</v>
      </c>
      <c r="R1274">
        <v>0</v>
      </c>
      <c r="S1274" t="s">
        <v>380</v>
      </c>
      <c r="T1274" t="s">
        <v>57</v>
      </c>
      <c r="V1274" t="s">
        <v>381</v>
      </c>
      <c r="W1274" t="s">
        <v>1895</v>
      </c>
      <c r="X1274" t="s">
        <v>1895</v>
      </c>
      <c r="AC1274" s="13">
        <v>44552</v>
      </c>
      <c r="AD1274" s="13">
        <v>44552</v>
      </c>
      <c r="AI1274">
        <v>-86</v>
      </c>
      <c r="AN1274" t="s">
        <v>31</v>
      </c>
      <c r="AO1274">
        <v>0</v>
      </c>
      <c r="AS1274" t="s">
        <v>392</v>
      </c>
      <c r="AX1274" t="s">
        <v>57</v>
      </c>
      <c r="AY1274" t="s">
        <v>386</v>
      </c>
      <c r="BF1274">
        <v>0</v>
      </c>
      <c r="BK1274" t="s">
        <v>31</v>
      </c>
      <c r="BS1274" t="s">
        <v>412</v>
      </c>
      <c r="CI1274" t="s">
        <v>388</v>
      </c>
      <c r="CJ1274" s="14">
        <v>45014</v>
      </c>
      <c r="CK1274">
        <v>1</v>
      </c>
    </row>
    <row r="1275" spans="1:89">
      <c r="A1275" t="s">
        <v>1891</v>
      </c>
      <c r="B1275" t="s">
        <v>374</v>
      </c>
      <c r="C1275" t="s">
        <v>1892</v>
      </c>
      <c r="D1275" t="s">
        <v>1896</v>
      </c>
      <c r="E1275" t="s">
        <v>1897</v>
      </c>
      <c r="F1275" s="13">
        <v>44638.758958333332</v>
      </c>
      <c r="G1275" t="s">
        <v>641</v>
      </c>
      <c r="H1275" t="s">
        <v>642</v>
      </c>
      <c r="I1275" s="13">
        <v>44638.758958333332</v>
      </c>
      <c r="K1275" t="s">
        <v>412</v>
      </c>
      <c r="M1275" s="13">
        <v>44568</v>
      </c>
      <c r="R1275">
        <v>0</v>
      </c>
      <c r="S1275" t="s">
        <v>380</v>
      </c>
      <c r="T1275" t="s">
        <v>57</v>
      </c>
      <c r="V1275" t="s">
        <v>381</v>
      </c>
      <c r="W1275" t="s">
        <v>1713</v>
      </c>
      <c r="X1275" t="s">
        <v>1713</v>
      </c>
      <c r="AC1275" s="13">
        <v>44568</v>
      </c>
      <c r="AD1275" s="13">
        <v>44568</v>
      </c>
      <c r="AI1275">
        <v>-70</v>
      </c>
      <c r="AN1275" t="s">
        <v>31</v>
      </c>
      <c r="AO1275">
        <v>0</v>
      </c>
      <c r="AS1275" t="s">
        <v>392</v>
      </c>
      <c r="AX1275" t="s">
        <v>57</v>
      </c>
      <c r="AY1275" t="s">
        <v>386</v>
      </c>
      <c r="BF1275">
        <v>0</v>
      </c>
      <c r="BK1275" t="s">
        <v>31</v>
      </c>
      <c r="BS1275" t="s">
        <v>412</v>
      </c>
      <c r="CI1275" t="s">
        <v>388</v>
      </c>
      <c r="CJ1275" s="14">
        <v>45014</v>
      </c>
      <c r="CK1275">
        <v>1</v>
      </c>
    </row>
    <row r="1276" spans="1:89">
      <c r="A1276" t="s">
        <v>1898</v>
      </c>
      <c r="B1276" t="s">
        <v>374</v>
      </c>
      <c r="C1276" t="s">
        <v>1236</v>
      </c>
      <c r="D1276" t="s">
        <v>1899</v>
      </c>
      <c r="E1276" t="s">
        <v>1900</v>
      </c>
      <c r="F1276" s="13">
        <v>44638.758958333332</v>
      </c>
      <c r="G1276" t="s">
        <v>641</v>
      </c>
      <c r="H1276" t="s">
        <v>642</v>
      </c>
      <c r="I1276" s="13">
        <v>44638.758958333332</v>
      </c>
      <c r="K1276" t="s">
        <v>412</v>
      </c>
      <c r="M1276" s="13">
        <v>44574</v>
      </c>
      <c r="R1276">
        <v>0</v>
      </c>
      <c r="S1276" t="s">
        <v>380</v>
      </c>
      <c r="T1276" t="s">
        <v>57</v>
      </c>
      <c r="V1276" t="s">
        <v>381</v>
      </c>
      <c r="W1276" t="s">
        <v>1713</v>
      </c>
      <c r="X1276" t="s">
        <v>1713</v>
      </c>
      <c r="AC1276" s="13">
        <v>44574</v>
      </c>
      <c r="AD1276" s="13">
        <v>44574</v>
      </c>
      <c r="AI1276">
        <v>-64</v>
      </c>
      <c r="AN1276" t="s">
        <v>31</v>
      </c>
      <c r="AO1276">
        <v>0</v>
      </c>
      <c r="AS1276" t="s">
        <v>392</v>
      </c>
      <c r="AX1276" t="s">
        <v>57</v>
      </c>
      <c r="AY1276" t="s">
        <v>386</v>
      </c>
      <c r="BF1276">
        <v>0</v>
      </c>
      <c r="BK1276" t="s">
        <v>31</v>
      </c>
      <c r="BS1276" t="s">
        <v>412</v>
      </c>
      <c r="CI1276" t="s">
        <v>388</v>
      </c>
      <c r="CJ1276" s="14">
        <v>45014</v>
      </c>
      <c r="CK1276">
        <v>1</v>
      </c>
    </row>
    <row r="1277" spans="1:89">
      <c r="A1277" t="s">
        <v>1710</v>
      </c>
      <c r="B1277" t="s">
        <v>374</v>
      </c>
      <c r="C1277" t="s">
        <v>392</v>
      </c>
      <c r="D1277" t="s">
        <v>1901</v>
      </c>
      <c r="E1277" t="s">
        <v>1902</v>
      </c>
      <c r="F1277" s="13">
        <v>44638.758946759262</v>
      </c>
      <c r="G1277" t="s">
        <v>641</v>
      </c>
      <c r="H1277" t="s">
        <v>642</v>
      </c>
      <c r="I1277" s="13">
        <v>44638.758946759262</v>
      </c>
      <c r="K1277" t="s">
        <v>412</v>
      </c>
      <c r="M1277" s="13">
        <v>44552</v>
      </c>
      <c r="R1277">
        <v>0</v>
      </c>
      <c r="S1277" t="s">
        <v>380</v>
      </c>
      <c r="T1277" t="s">
        <v>57</v>
      </c>
      <c r="V1277" t="s">
        <v>381</v>
      </c>
      <c r="W1277" t="s">
        <v>1762</v>
      </c>
      <c r="X1277" t="s">
        <v>1762</v>
      </c>
      <c r="AC1277" s="13">
        <v>44552</v>
      </c>
      <c r="AD1277" s="13">
        <v>44552</v>
      </c>
      <c r="AI1277">
        <v>-86</v>
      </c>
      <c r="AN1277" t="s">
        <v>31</v>
      </c>
      <c r="AO1277">
        <v>0</v>
      </c>
      <c r="AS1277" t="s">
        <v>702</v>
      </c>
      <c r="AX1277" t="s">
        <v>57</v>
      </c>
      <c r="AY1277" t="s">
        <v>386</v>
      </c>
      <c r="BF1277">
        <v>0</v>
      </c>
      <c r="BK1277" t="s">
        <v>31</v>
      </c>
      <c r="BS1277" t="s">
        <v>412</v>
      </c>
      <c r="CI1277" t="s">
        <v>388</v>
      </c>
      <c r="CJ1277" s="14">
        <v>45014</v>
      </c>
      <c r="CK1277">
        <v>1</v>
      </c>
    </row>
    <row r="1278" spans="1:89">
      <c r="A1278" t="s">
        <v>1710</v>
      </c>
      <c r="B1278" t="s">
        <v>374</v>
      </c>
      <c r="C1278" t="s">
        <v>392</v>
      </c>
      <c r="D1278" t="s">
        <v>1903</v>
      </c>
      <c r="E1278" t="s">
        <v>1904</v>
      </c>
      <c r="F1278" s="13">
        <v>44638.758946759262</v>
      </c>
      <c r="G1278" t="s">
        <v>641</v>
      </c>
      <c r="H1278" t="s">
        <v>642</v>
      </c>
      <c r="I1278" s="13">
        <v>44638.758946759262</v>
      </c>
      <c r="K1278" t="s">
        <v>412</v>
      </c>
      <c r="M1278" s="13">
        <v>44552</v>
      </c>
      <c r="R1278">
        <v>0</v>
      </c>
      <c r="S1278" t="s">
        <v>380</v>
      </c>
      <c r="T1278" t="s">
        <v>57</v>
      </c>
      <c r="V1278" t="s">
        <v>381</v>
      </c>
      <c r="W1278" t="s">
        <v>1762</v>
      </c>
      <c r="X1278" t="s">
        <v>1762</v>
      </c>
      <c r="AC1278" s="13">
        <v>44552</v>
      </c>
      <c r="AD1278" s="13">
        <v>44552</v>
      </c>
      <c r="AI1278">
        <v>-86</v>
      </c>
      <c r="AN1278" t="s">
        <v>31</v>
      </c>
      <c r="AO1278">
        <v>0</v>
      </c>
      <c r="AS1278" t="s">
        <v>648</v>
      </c>
      <c r="AX1278" t="s">
        <v>57</v>
      </c>
      <c r="AY1278" t="s">
        <v>386</v>
      </c>
      <c r="BF1278">
        <v>0</v>
      </c>
      <c r="BK1278" t="s">
        <v>31</v>
      </c>
      <c r="BS1278" t="s">
        <v>412</v>
      </c>
      <c r="CI1278" t="s">
        <v>388</v>
      </c>
      <c r="CJ1278" s="14">
        <v>45014</v>
      </c>
      <c r="CK1278">
        <v>1</v>
      </c>
    </row>
    <row r="1279" spans="1:89">
      <c r="A1279" t="s">
        <v>1831</v>
      </c>
      <c r="B1279" t="s">
        <v>374</v>
      </c>
      <c r="C1279" t="s">
        <v>1832</v>
      </c>
      <c r="D1279" t="s">
        <v>1905</v>
      </c>
      <c r="E1279" t="s">
        <v>1906</v>
      </c>
      <c r="F1279" s="13">
        <v>44638.758935185186</v>
      </c>
      <c r="G1279" t="s">
        <v>641</v>
      </c>
      <c r="H1279" t="s">
        <v>642</v>
      </c>
      <c r="I1279" s="13">
        <v>44638.758935185186</v>
      </c>
      <c r="K1279" t="s">
        <v>412</v>
      </c>
      <c r="M1279" s="13">
        <v>44545</v>
      </c>
      <c r="R1279">
        <v>0</v>
      </c>
      <c r="S1279" t="s">
        <v>380</v>
      </c>
      <c r="T1279" t="s">
        <v>57</v>
      </c>
      <c r="V1279" t="s">
        <v>381</v>
      </c>
      <c r="W1279" t="s">
        <v>1713</v>
      </c>
      <c r="X1279" t="s">
        <v>1713</v>
      </c>
      <c r="AC1279" s="13">
        <v>44545</v>
      </c>
      <c r="AD1279" s="13">
        <v>44545</v>
      </c>
      <c r="AI1279">
        <v>-93</v>
      </c>
      <c r="AN1279" t="s">
        <v>31</v>
      </c>
      <c r="AO1279">
        <v>0</v>
      </c>
      <c r="AS1279" t="s">
        <v>881</v>
      </c>
      <c r="AX1279" t="s">
        <v>57</v>
      </c>
      <c r="AY1279" t="s">
        <v>386</v>
      </c>
      <c r="BF1279">
        <v>0</v>
      </c>
      <c r="BK1279" t="s">
        <v>31</v>
      </c>
      <c r="BS1279" t="s">
        <v>412</v>
      </c>
      <c r="CI1279" t="s">
        <v>388</v>
      </c>
      <c r="CJ1279" s="14">
        <v>45014</v>
      </c>
      <c r="CK1279">
        <v>1</v>
      </c>
    </row>
    <row r="1280" spans="1:89">
      <c r="A1280" t="s">
        <v>1907</v>
      </c>
      <c r="B1280" t="s">
        <v>374</v>
      </c>
      <c r="C1280" t="s">
        <v>607</v>
      </c>
      <c r="D1280" t="s">
        <v>1908</v>
      </c>
      <c r="E1280" t="s">
        <v>1909</v>
      </c>
      <c r="F1280" s="13">
        <v>44638.758935185186</v>
      </c>
      <c r="G1280" t="s">
        <v>641</v>
      </c>
      <c r="H1280" t="s">
        <v>642</v>
      </c>
      <c r="I1280" s="13">
        <v>44638.758935185186</v>
      </c>
      <c r="K1280" t="s">
        <v>412</v>
      </c>
      <c r="M1280" s="13">
        <v>44591</v>
      </c>
      <c r="R1280">
        <v>0</v>
      </c>
      <c r="S1280" t="s">
        <v>380</v>
      </c>
      <c r="T1280" t="s">
        <v>57</v>
      </c>
      <c r="V1280" t="s">
        <v>381</v>
      </c>
      <c r="W1280" t="s">
        <v>1713</v>
      </c>
      <c r="X1280" t="s">
        <v>1713</v>
      </c>
      <c r="AC1280" s="13">
        <v>44591</v>
      </c>
      <c r="AD1280" s="13">
        <v>44591</v>
      </c>
      <c r="AI1280">
        <v>-47</v>
      </c>
      <c r="AN1280" t="s">
        <v>31</v>
      </c>
      <c r="AO1280">
        <v>0</v>
      </c>
      <c r="AS1280" t="s">
        <v>881</v>
      </c>
      <c r="AX1280" t="s">
        <v>57</v>
      </c>
      <c r="AY1280" t="s">
        <v>386</v>
      </c>
      <c r="BF1280">
        <v>0</v>
      </c>
      <c r="BK1280" t="s">
        <v>31</v>
      </c>
      <c r="BS1280" t="s">
        <v>412</v>
      </c>
      <c r="CI1280" t="s">
        <v>388</v>
      </c>
      <c r="CJ1280" s="14">
        <v>45014</v>
      </c>
      <c r="CK1280">
        <v>1</v>
      </c>
    </row>
    <row r="1281" spans="1:89">
      <c r="A1281" t="s">
        <v>1907</v>
      </c>
      <c r="B1281" t="s">
        <v>374</v>
      </c>
      <c r="C1281" t="s">
        <v>607</v>
      </c>
      <c r="D1281" t="s">
        <v>1910</v>
      </c>
      <c r="E1281" t="s">
        <v>1911</v>
      </c>
      <c r="F1281" s="13">
        <v>44638.758923611109</v>
      </c>
      <c r="G1281" t="s">
        <v>641</v>
      </c>
      <c r="H1281" t="s">
        <v>642</v>
      </c>
      <c r="I1281" s="13">
        <v>44638.758923611109</v>
      </c>
      <c r="K1281" t="s">
        <v>412</v>
      </c>
      <c r="M1281" s="13">
        <v>44538</v>
      </c>
      <c r="R1281">
        <v>0</v>
      </c>
      <c r="S1281" t="s">
        <v>380</v>
      </c>
      <c r="T1281" t="s">
        <v>57</v>
      </c>
      <c r="V1281" t="s">
        <v>381</v>
      </c>
      <c r="W1281" t="s">
        <v>1912</v>
      </c>
      <c r="X1281" t="s">
        <v>1912</v>
      </c>
      <c r="AC1281" s="13">
        <v>44538</v>
      </c>
      <c r="AD1281" s="13">
        <v>44538</v>
      </c>
      <c r="AI1281">
        <v>-100</v>
      </c>
      <c r="AN1281" t="s">
        <v>31</v>
      </c>
      <c r="AO1281">
        <v>0</v>
      </c>
      <c r="AS1281" t="s">
        <v>1720</v>
      </c>
      <c r="AX1281" t="s">
        <v>57</v>
      </c>
      <c r="AY1281" t="s">
        <v>386</v>
      </c>
      <c r="BF1281">
        <v>0</v>
      </c>
      <c r="BK1281" t="s">
        <v>31</v>
      </c>
      <c r="BS1281" t="s">
        <v>412</v>
      </c>
      <c r="CI1281" t="s">
        <v>388</v>
      </c>
      <c r="CJ1281" s="14">
        <v>45014</v>
      </c>
      <c r="CK1281">
        <v>1</v>
      </c>
    </row>
    <row r="1282" spans="1:89">
      <c r="A1282" t="s">
        <v>1907</v>
      </c>
      <c r="B1282" t="s">
        <v>374</v>
      </c>
      <c r="C1282" t="s">
        <v>607</v>
      </c>
      <c r="D1282" t="s">
        <v>1913</v>
      </c>
      <c r="E1282" t="s">
        <v>1914</v>
      </c>
      <c r="F1282" s="13">
        <v>44638.758923611109</v>
      </c>
      <c r="G1282" t="s">
        <v>641</v>
      </c>
      <c r="H1282" t="s">
        <v>642</v>
      </c>
      <c r="I1282" s="13">
        <v>44638.758923611109</v>
      </c>
      <c r="K1282" t="s">
        <v>412</v>
      </c>
      <c r="M1282" s="13">
        <v>44538</v>
      </c>
      <c r="R1282">
        <v>0</v>
      </c>
      <c r="S1282" t="s">
        <v>380</v>
      </c>
      <c r="T1282" t="s">
        <v>57</v>
      </c>
      <c r="V1282" t="s">
        <v>381</v>
      </c>
      <c r="W1282" t="s">
        <v>1915</v>
      </c>
      <c r="X1282" t="s">
        <v>1915</v>
      </c>
      <c r="AC1282" s="13">
        <v>44538</v>
      </c>
      <c r="AD1282" s="13">
        <v>44538</v>
      </c>
      <c r="AI1282">
        <v>-100</v>
      </c>
      <c r="AN1282" t="s">
        <v>31</v>
      </c>
      <c r="AO1282">
        <v>0</v>
      </c>
      <c r="AS1282" t="s">
        <v>385</v>
      </c>
      <c r="AX1282" t="s">
        <v>57</v>
      </c>
      <c r="AY1282" t="s">
        <v>386</v>
      </c>
      <c r="BF1282">
        <v>0</v>
      </c>
      <c r="BK1282" t="s">
        <v>31</v>
      </c>
      <c r="BS1282" t="s">
        <v>412</v>
      </c>
      <c r="CI1282" t="s">
        <v>388</v>
      </c>
      <c r="CJ1282" s="14">
        <v>45014</v>
      </c>
      <c r="CK1282">
        <v>1</v>
      </c>
    </row>
    <row r="1283" spans="1:89">
      <c r="A1283" t="s">
        <v>1769</v>
      </c>
      <c r="B1283" t="s">
        <v>374</v>
      </c>
      <c r="C1283" t="s">
        <v>1770</v>
      </c>
      <c r="D1283" t="s">
        <v>1916</v>
      </c>
      <c r="E1283" t="s">
        <v>1917</v>
      </c>
      <c r="F1283" s="13">
        <v>44638.758912037039</v>
      </c>
      <c r="G1283" t="s">
        <v>641</v>
      </c>
      <c r="H1283" t="s">
        <v>642</v>
      </c>
      <c r="I1283" s="13">
        <v>44638.758912037039</v>
      </c>
      <c r="K1283" t="s">
        <v>412</v>
      </c>
      <c r="M1283" s="13">
        <v>44538</v>
      </c>
      <c r="R1283">
        <v>0</v>
      </c>
      <c r="S1283" t="s">
        <v>380</v>
      </c>
      <c r="T1283" t="s">
        <v>57</v>
      </c>
      <c r="V1283" t="s">
        <v>381</v>
      </c>
      <c r="W1283" t="s">
        <v>1912</v>
      </c>
      <c r="X1283" t="s">
        <v>1912</v>
      </c>
      <c r="AC1283" s="13">
        <v>44538</v>
      </c>
      <c r="AD1283" s="13">
        <v>44538</v>
      </c>
      <c r="AI1283">
        <v>-100</v>
      </c>
      <c r="AN1283" t="s">
        <v>31</v>
      </c>
      <c r="AO1283">
        <v>0</v>
      </c>
      <c r="AS1283" t="s">
        <v>881</v>
      </c>
      <c r="AX1283" t="s">
        <v>57</v>
      </c>
      <c r="AY1283" t="s">
        <v>386</v>
      </c>
      <c r="BF1283">
        <v>0</v>
      </c>
      <c r="BK1283" t="s">
        <v>31</v>
      </c>
      <c r="BS1283" t="s">
        <v>412</v>
      </c>
      <c r="CI1283" t="s">
        <v>388</v>
      </c>
      <c r="CJ1283" s="14">
        <v>45014</v>
      </c>
      <c r="CK1283">
        <v>1</v>
      </c>
    </row>
    <row r="1284" spans="1:89">
      <c r="A1284" t="s">
        <v>1769</v>
      </c>
      <c r="B1284" t="s">
        <v>374</v>
      </c>
      <c r="C1284" t="s">
        <v>1770</v>
      </c>
      <c r="D1284" t="s">
        <v>1918</v>
      </c>
      <c r="E1284" t="s">
        <v>1919</v>
      </c>
      <c r="F1284" s="13">
        <v>44638.758912037039</v>
      </c>
      <c r="G1284" t="s">
        <v>641</v>
      </c>
      <c r="H1284" t="s">
        <v>642</v>
      </c>
      <c r="I1284" s="13">
        <v>44638.758912037039</v>
      </c>
      <c r="K1284" t="s">
        <v>412</v>
      </c>
      <c r="M1284" s="13">
        <v>44538</v>
      </c>
      <c r="R1284">
        <v>0</v>
      </c>
      <c r="S1284" t="s">
        <v>380</v>
      </c>
      <c r="T1284" t="s">
        <v>57</v>
      </c>
      <c r="V1284" t="s">
        <v>381</v>
      </c>
      <c r="W1284" t="s">
        <v>1775</v>
      </c>
      <c r="X1284" t="s">
        <v>1775</v>
      </c>
      <c r="AC1284" s="13">
        <v>44538</v>
      </c>
      <c r="AD1284" s="13">
        <v>44538</v>
      </c>
      <c r="AI1284">
        <v>-100</v>
      </c>
      <c r="AN1284" t="s">
        <v>31</v>
      </c>
      <c r="AO1284">
        <v>0</v>
      </c>
      <c r="AS1284" t="s">
        <v>707</v>
      </c>
      <c r="AX1284" t="s">
        <v>57</v>
      </c>
      <c r="AY1284" t="s">
        <v>386</v>
      </c>
      <c r="BF1284">
        <v>0</v>
      </c>
      <c r="BK1284" t="s">
        <v>31</v>
      </c>
      <c r="BS1284" t="s">
        <v>412</v>
      </c>
      <c r="CI1284" t="s">
        <v>388</v>
      </c>
      <c r="CJ1284" s="14">
        <v>45014</v>
      </c>
      <c r="CK1284">
        <v>1</v>
      </c>
    </row>
    <row r="1285" spans="1:89">
      <c r="A1285" t="s">
        <v>1810</v>
      </c>
      <c r="B1285" t="s">
        <v>374</v>
      </c>
      <c r="C1285" t="s">
        <v>1811</v>
      </c>
      <c r="D1285" t="s">
        <v>1920</v>
      </c>
      <c r="E1285" t="s">
        <v>1921</v>
      </c>
      <c r="F1285" s="13">
        <v>44638.758900462963</v>
      </c>
      <c r="G1285" t="s">
        <v>641</v>
      </c>
      <c r="H1285" t="s">
        <v>642</v>
      </c>
      <c r="I1285" s="13">
        <v>44638.758900462963</v>
      </c>
      <c r="K1285" t="s">
        <v>412</v>
      </c>
      <c r="M1285" s="13">
        <v>44538</v>
      </c>
      <c r="R1285">
        <v>0</v>
      </c>
      <c r="S1285" t="s">
        <v>380</v>
      </c>
      <c r="T1285" t="s">
        <v>57</v>
      </c>
      <c r="V1285" t="s">
        <v>381</v>
      </c>
      <c r="W1285" t="s">
        <v>1922</v>
      </c>
      <c r="X1285" t="s">
        <v>1922</v>
      </c>
      <c r="AC1285" s="13">
        <v>44538</v>
      </c>
      <c r="AD1285" s="13">
        <v>44538</v>
      </c>
      <c r="AI1285">
        <v>-100</v>
      </c>
      <c r="AN1285" t="s">
        <v>31</v>
      </c>
      <c r="AO1285">
        <v>0</v>
      </c>
      <c r="AS1285" t="s">
        <v>385</v>
      </c>
      <c r="AX1285" t="s">
        <v>57</v>
      </c>
      <c r="AY1285" t="s">
        <v>386</v>
      </c>
      <c r="BF1285">
        <v>0</v>
      </c>
      <c r="BK1285" t="s">
        <v>31</v>
      </c>
      <c r="BS1285" t="s">
        <v>412</v>
      </c>
      <c r="CI1285" t="s">
        <v>388</v>
      </c>
      <c r="CJ1285" s="14">
        <v>45014</v>
      </c>
      <c r="CK1285">
        <v>1</v>
      </c>
    </row>
    <row r="1286" spans="1:89">
      <c r="A1286" t="s">
        <v>1710</v>
      </c>
      <c r="B1286" t="s">
        <v>374</v>
      </c>
      <c r="C1286" t="s">
        <v>392</v>
      </c>
      <c r="D1286" t="s">
        <v>1923</v>
      </c>
      <c r="E1286" t="s">
        <v>1924</v>
      </c>
      <c r="F1286" s="13">
        <v>44638.758900462963</v>
      </c>
      <c r="G1286" t="s">
        <v>641</v>
      </c>
      <c r="H1286" t="s">
        <v>642</v>
      </c>
      <c r="I1286" s="13">
        <v>44638.758900462963</v>
      </c>
      <c r="K1286" t="s">
        <v>412</v>
      </c>
      <c r="M1286" s="13">
        <v>44538</v>
      </c>
      <c r="R1286">
        <v>0</v>
      </c>
      <c r="S1286" t="s">
        <v>380</v>
      </c>
      <c r="T1286" t="s">
        <v>57</v>
      </c>
      <c r="V1286" t="s">
        <v>381</v>
      </c>
      <c r="W1286" t="s">
        <v>1775</v>
      </c>
      <c r="X1286" t="s">
        <v>1775</v>
      </c>
      <c r="AC1286" s="13">
        <v>44538</v>
      </c>
      <c r="AD1286" s="13">
        <v>44538</v>
      </c>
      <c r="AI1286">
        <v>-100</v>
      </c>
      <c r="AN1286" t="s">
        <v>31</v>
      </c>
      <c r="AO1286">
        <v>0</v>
      </c>
      <c r="AS1286" t="s">
        <v>648</v>
      </c>
      <c r="AX1286" t="s">
        <v>57</v>
      </c>
      <c r="AY1286" t="s">
        <v>386</v>
      </c>
      <c r="BF1286">
        <v>0</v>
      </c>
      <c r="BK1286" t="s">
        <v>31</v>
      </c>
      <c r="BS1286" t="s">
        <v>412</v>
      </c>
      <c r="CI1286" t="s">
        <v>388</v>
      </c>
      <c r="CJ1286" s="14">
        <v>45014</v>
      </c>
      <c r="CK1286">
        <v>1</v>
      </c>
    </row>
    <row r="1287" spans="1:89">
      <c r="A1287" t="s">
        <v>1831</v>
      </c>
      <c r="B1287" t="s">
        <v>374</v>
      </c>
      <c r="C1287" t="s">
        <v>1832</v>
      </c>
      <c r="D1287" t="s">
        <v>1925</v>
      </c>
      <c r="E1287" t="s">
        <v>1926</v>
      </c>
      <c r="F1287" s="13">
        <v>44638.758888888886</v>
      </c>
      <c r="G1287" t="s">
        <v>641</v>
      </c>
      <c r="H1287" t="s">
        <v>642</v>
      </c>
      <c r="I1287" s="13">
        <v>44638.758888888886</v>
      </c>
      <c r="K1287" t="s">
        <v>412</v>
      </c>
      <c r="M1287" s="13">
        <v>44505</v>
      </c>
      <c r="R1287">
        <v>0</v>
      </c>
      <c r="S1287" t="s">
        <v>380</v>
      </c>
      <c r="T1287" t="s">
        <v>57</v>
      </c>
      <c r="V1287" t="s">
        <v>381</v>
      </c>
      <c r="W1287" t="s">
        <v>1927</v>
      </c>
      <c r="X1287" t="s">
        <v>1927</v>
      </c>
      <c r="AC1287" s="13">
        <v>44505</v>
      </c>
      <c r="AD1287" s="13">
        <v>44505</v>
      </c>
      <c r="AI1287">
        <v>-133</v>
      </c>
      <c r="AN1287" t="s">
        <v>31</v>
      </c>
      <c r="AO1287">
        <v>0</v>
      </c>
      <c r="AS1287" t="s">
        <v>538</v>
      </c>
      <c r="AX1287" t="s">
        <v>57</v>
      </c>
      <c r="AY1287" t="s">
        <v>386</v>
      </c>
      <c r="BF1287">
        <v>0</v>
      </c>
      <c r="BK1287" t="s">
        <v>31</v>
      </c>
      <c r="BS1287" t="s">
        <v>412</v>
      </c>
      <c r="CI1287" t="s">
        <v>388</v>
      </c>
      <c r="CJ1287" s="14">
        <v>45014</v>
      </c>
      <c r="CK1287">
        <v>1</v>
      </c>
    </row>
    <row r="1288" spans="1:89">
      <c r="A1288" t="s">
        <v>1928</v>
      </c>
      <c r="B1288" t="s">
        <v>374</v>
      </c>
      <c r="C1288" t="s">
        <v>1929</v>
      </c>
      <c r="D1288" t="s">
        <v>1930</v>
      </c>
      <c r="E1288" t="s">
        <v>1931</v>
      </c>
      <c r="F1288" s="13">
        <v>44638.758888888886</v>
      </c>
      <c r="G1288" t="s">
        <v>641</v>
      </c>
      <c r="H1288" t="s">
        <v>642</v>
      </c>
      <c r="I1288" s="13">
        <v>44638.758888888886</v>
      </c>
      <c r="K1288" t="s">
        <v>412</v>
      </c>
      <c r="M1288" s="13">
        <v>44525</v>
      </c>
      <c r="R1288">
        <v>0</v>
      </c>
      <c r="S1288" t="s">
        <v>380</v>
      </c>
      <c r="T1288" t="s">
        <v>57</v>
      </c>
      <c r="V1288" t="s">
        <v>381</v>
      </c>
      <c r="W1288" t="s">
        <v>1932</v>
      </c>
      <c r="X1288" t="s">
        <v>1932</v>
      </c>
      <c r="AC1288" s="13">
        <v>44525</v>
      </c>
      <c r="AD1288" s="13">
        <v>44525</v>
      </c>
      <c r="AI1288">
        <v>-113</v>
      </c>
      <c r="AN1288" t="s">
        <v>31</v>
      </c>
      <c r="AO1288">
        <v>0</v>
      </c>
      <c r="AS1288" t="s">
        <v>385</v>
      </c>
      <c r="AX1288" t="s">
        <v>57</v>
      </c>
      <c r="AY1288" t="s">
        <v>386</v>
      </c>
      <c r="BF1288">
        <v>0</v>
      </c>
      <c r="BK1288" t="s">
        <v>31</v>
      </c>
      <c r="BS1288" t="s">
        <v>412</v>
      </c>
      <c r="CI1288" t="s">
        <v>388</v>
      </c>
      <c r="CJ1288" s="14">
        <v>45014</v>
      </c>
      <c r="CK1288">
        <v>1</v>
      </c>
    </row>
    <row r="1289" spans="1:89">
      <c r="A1289" t="s">
        <v>1831</v>
      </c>
      <c r="B1289" t="s">
        <v>374</v>
      </c>
      <c r="C1289" t="s">
        <v>1832</v>
      </c>
      <c r="D1289" t="s">
        <v>1933</v>
      </c>
      <c r="E1289" t="s">
        <v>1934</v>
      </c>
      <c r="F1289" s="13">
        <v>44638.758888888886</v>
      </c>
      <c r="G1289" t="s">
        <v>641</v>
      </c>
      <c r="H1289" t="s">
        <v>642</v>
      </c>
      <c r="I1289" s="13">
        <v>44638.758888888886</v>
      </c>
      <c r="K1289" t="s">
        <v>412</v>
      </c>
      <c r="M1289" s="13">
        <v>44591</v>
      </c>
      <c r="R1289">
        <v>0</v>
      </c>
      <c r="S1289" t="s">
        <v>380</v>
      </c>
      <c r="T1289" t="s">
        <v>57</v>
      </c>
      <c r="V1289" t="s">
        <v>381</v>
      </c>
      <c r="W1289" t="s">
        <v>1713</v>
      </c>
      <c r="X1289" t="s">
        <v>1713</v>
      </c>
      <c r="AC1289" s="13">
        <v>44591</v>
      </c>
      <c r="AD1289" s="13">
        <v>44591</v>
      </c>
      <c r="AI1289">
        <v>-47</v>
      </c>
      <c r="AN1289" t="s">
        <v>31</v>
      </c>
      <c r="AO1289">
        <v>0</v>
      </c>
      <c r="AS1289" t="s">
        <v>385</v>
      </c>
      <c r="AX1289" t="s">
        <v>57</v>
      </c>
      <c r="AY1289" t="s">
        <v>386</v>
      </c>
      <c r="BF1289">
        <v>0</v>
      </c>
      <c r="BK1289" t="s">
        <v>31</v>
      </c>
      <c r="BS1289" t="s">
        <v>412</v>
      </c>
      <c r="CI1289" t="s">
        <v>388</v>
      </c>
      <c r="CJ1289" s="14">
        <v>45014</v>
      </c>
      <c r="CK1289">
        <v>1</v>
      </c>
    </row>
    <row r="1290" spans="1:89">
      <c r="A1290" t="s">
        <v>1907</v>
      </c>
      <c r="B1290" t="s">
        <v>374</v>
      </c>
      <c r="C1290" t="s">
        <v>607</v>
      </c>
      <c r="D1290" t="s">
        <v>1935</v>
      </c>
      <c r="E1290" t="s">
        <v>1936</v>
      </c>
      <c r="F1290" s="13">
        <v>44638.758877314816</v>
      </c>
      <c r="G1290" t="s">
        <v>641</v>
      </c>
      <c r="H1290" t="s">
        <v>642</v>
      </c>
      <c r="I1290" s="13">
        <v>44638.758877314816</v>
      </c>
      <c r="K1290" t="s">
        <v>412</v>
      </c>
      <c r="M1290" s="13">
        <v>44497</v>
      </c>
      <c r="R1290">
        <v>0</v>
      </c>
      <c r="S1290" t="s">
        <v>380</v>
      </c>
      <c r="T1290" t="s">
        <v>57</v>
      </c>
      <c r="V1290" t="s">
        <v>381</v>
      </c>
      <c r="W1290" t="s">
        <v>1937</v>
      </c>
      <c r="X1290" t="s">
        <v>1937</v>
      </c>
      <c r="AC1290" s="13">
        <v>44497</v>
      </c>
      <c r="AD1290" s="13">
        <v>44497</v>
      </c>
      <c r="AI1290">
        <v>-141</v>
      </c>
      <c r="AN1290" t="s">
        <v>31</v>
      </c>
      <c r="AO1290">
        <v>0</v>
      </c>
      <c r="AS1290" t="s">
        <v>522</v>
      </c>
      <c r="AX1290" t="s">
        <v>57</v>
      </c>
      <c r="AY1290" t="s">
        <v>386</v>
      </c>
      <c r="BF1290">
        <v>0</v>
      </c>
      <c r="BK1290" t="s">
        <v>31</v>
      </c>
      <c r="BS1290" t="s">
        <v>412</v>
      </c>
      <c r="CI1290" t="s">
        <v>388</v>
      </c>
      <c r="CJ1290" s="14">
        <v>45014</v>
      </c>
      <c r="CK1290">
        <v>1</v>
      </c>
    </row>
    <row r="1291" spans="1:89">
      <c r="A1291" t="s">
        <v>1858</v>
      </c>
      <c r="B1291" t="s">
        <v>374</v>
      </c>
      <c r="C1291" t="s">
        <v>1859</v>
      </c>
      <c r="D1291" t="s">
        <v>1938</v>
      </c>
      <c r="E1291" t="s">
        <v>1939</v>
      </c>
      <c r="F1291" s="13">
        <v>44638.758877314816</v>
      </c>
      <c r="G1291" t="s">
        <v>641</v>
      </c>
      <c r="H1291" t="s">
        <v>642</v>
      </c>
      <c r="I1291" s="13">
        <v>44638.758877314816</v>
      </c>
      <c r="K1291" t="s">
        <v>412</v>
      </c>
      <c r="M1291" s="13">
        <v>44482</v>
      </c>
      <c r="R1291">
        <v>0</v>
      </c>
      <c r="S1291" t="s">
        <v>380</v>
      </c>
      <c r="T1291" t="s">
        <v>57</v>
      </c>
      <c r="V1291" t="s">
        <v>381</v>
      </c>
      <c r="W1291" t="s">
        <v>1940</v>
      </c>
      <c r="X1291" t="s">
        <v>1940</v>
      </c>
      <c r="AC1291" s="13">
        <v>44482</v>
      </c>
      <c r="AD1291" s="13">
        <v>44482</v>
      </c>
      <c r="AI1291">
        <v>-156</v>
      </c>
      <c r="AN1291" t="s">
        <v>31</v>
      </c>
      <c r="AO1291">
        <v>0</v>
      </c>
      <c r="AS1291" t="s">
        <v>385</v>
      </c>
      <c r="AX1291" t="s">
        <v>57</v>
      </c>
      <c r="AY1291" t="s">
        <v>386</v>
      </c>
      <c r="BF1291">
        <v>0</v>
      </c>
      <c r="BK1291" t="s">
        <v>31</v>
      </c>
      <c r="BS1291" t="s">
        <v>412</v>
      </c>
      <c r="CI1291" t="s">
        <v>388</v>
      </c>
      <c r="CJ1291" s="14">
        <v>45014</v>
      </c>
      <c r="CK1291">
        <v>1</v>
      </c>
    </row>
    <row r="1292" spans="1:89">
      <c r="A1292" t="s">
        <v>1721</v>
      </c>
      <c r="B1292" t="s">
        <v>374</v>
      </c>
      <c r="C1292" t="s">
        <v>1722</v>
      </c>
      <c r="D1292" t="s">
        <v>1941</v>
      </c>
      <c r="E1292" t="s">
        <v>1942</v>
      </c>
      <c r="F1292" s="13">
        <v>44638.75886574074</v>
      </c>
      <c r="G1292" t="s">
        <v>641</v>
      </c>
      <c r="H1292" t="s">
        <v>642</v>
      </c>
      <c r="I1292" s="13">
        <v>44638.75886574074</v>
      </c>
      <c r="K1292" t="s">
        <v>412</v>
      </c>
      <c r="M1292" s="13">
        <v>44468</v>
      </c>
      <c r="R1292">
        <v>0</v>
      </c>
      <c r="S1292" t="s">
        <v>380</v>
      </c>
      <c r="T1292" t="s">
        <v>57</v>
      </c>
      <c r="V1292" t="s">
        <v>381</v>
      </c>
      <c r="W1292" t="s">
        <v>1886</v>
      </c>
      <c r="X1292" t="s">
        <v>1886</v>
      </c>
      <c r="AC1292" s="13">
        <v>44468</v>
      </c>
      <c r="AD1292" s="13">
        <v>44468</v>
      </c>
      <c r="AI1292">
        <v>-170</v>
      </c>
      <c r="AN1292" t="s">
        <v>31</v>
      </c>
      <c r="AO1292">
        <v>0</v>
      </c>
      <c r="AS1292" t="s">
        <v>707</v>
      </c>
      <c r="AX1292" t="s">
        <v>57</v>
      </c>
      <c r="AY1292" t="s">
        <v>386</v>
      </c>
      <c r="BF1292">
        <v>0</v>
      </c>
      <c r="BK1292" t="s">
        <v>31</v>
      </c>
      <c r="BS1292" t="s">
        <v>412</v>
      </c>
      <c r="CI1292" t="s">
        <v>388</v>
      </c>
      <c r="CJ1292" s="14">
        <v>45014</v>
      </c>
      <c r="CK1292">
        <v>1</v>
      </c>
    </row>
    <row r="1293" spans="1:89">
      <c r="A1293" t="s">
        <v>1721</v>
      </c>
      <c r="B1293" t="s">
        <v>374</v>
      </c>
      <c r="C1293" t="s">
        <v>1722</v>
      </c>
      <c r="D1293" t="s">
        <v>1943</v>
      </c>
      <c r="E1293" t="s">
        <v>1944</v>
      </c>
      <c r="F1293" s="13">
        <v>44638.75886574074</v>
      </c>
      <c r="G1293" t="s">
        <v>641</v>
      </c>
      <c r="H1293" t="s">
        <v>642</v>
      </c>
      <c r="I1293" s="13">
        <v>44638.75886574074</v>
      </c>
      <c r="K1293" t="s">
        <v>412</v>
      </c>
      <c r="M1293" s="13">
        <v>44476</v>
      </c>
      <c r="R1293">
        <v>0</v>
      </c>
      <c r="S1293" t="s">
        <v>380</v>
      </c>
      <c r="T1293" t="s">
        <v>57</v>
      </c>
      <c r="V1293" t="s">
        <v>381</v>
      </c>
      <c r="W1293" t="s">
        <v>1945</v>
      </c>
      <c r="X1293" t="s">
        <v>1945</v>
      </c>
      <c r="AC1293" s="13">
        <v>44476</v>
      </c>
      <c r="AD1293" s="13">
        <v>44476</v>
      </c>
      <c r="AI1293">
        <v>-162</v>
      </c>
      <c r="AN1293" t="s">
        <v>31</v>
      </c>
      <c r="AO1293">
        <v>0</v>
      </c>
      <c r="AS1293" t="s">
        <v>385</v>
      </c>
      <c r="AX1293" t="s">
        <v>57</v>
      </c>
      <c r="AY1293" t="s">
        <v>386</v>
      </c>
      <c r="BF1293">
        <v>0</v>
      </c>
      <c r="BK1293" t="s">
        <v>31</v>
      </c>
      <c r="BS1293" t="s">
        <v>412</v>
      </c>
      <c r="CI1293" t="s">
        <v>388</v>
      </c>
      <c r="CJ1293" s="14">
        <v>45014</v>
      </c>
      <c r="CK1293">
        <v>1</v>
      </c>
    </row>
    <row r="1294" spans="1:89">
      <c r="A1294" t="s">
        <v>1946</v>
      </c>
      <c r="B1294" t="s">
        <v>374</v>
      </c>
      <c r="C1294" t="s">
        <v>1947</v>
      </c>
      <c r="D1294" t="s">
        <v>1948</v>
      </c>
      <c r="E1294" t="s">
        <v>1949</v>
      </c>
      <c r="F1294" s="13">
        <v>44638.75885416667</v>
      </c>
      <c r="G1294" t="s">
        <v>641</v>
      </c>
      <c r="H1294" t="s">
        <v>642</v>
      </c>
      <c r="I1294" s="13">
        <v>44638.75885416667</v>
      </c>
      <c r="K1294" t="s">
        <v>412</v>
      </c>
      <c r="M1294" s="13">
        <v>44466</v>
      </c>
      <c r="R1294">
        <v>0</v>
      </c>
      <c r="S1294" t="s">
        <v>380</v>
      </c>
      <c r="T1294" t="s">
        <v>57</v>
      </c>
      <c r="V1294" t="s">
        <v>381</v>
      </c>
      <c r="W1294" t="s">
        <v>1725</v>
      </c>
      <c r="X1294" t="s">
        <v>1725</v>
      </c>
      <c r="AC1294" s="13">
        <v>44466</v>
      </c>
      <c r="AD1294" s="13">
        <v>44466</v>
      </c>
      <c r="AI1294">
        <v>-172</v>
      </c>
      <c r="AN1294" t="s">
        <v>31</v>
      </c>
      <c r="AO1294">
        <v>0</v>
      </c>
      <c r="AS1294" t="s">
        <v>526</v>
      </c>
      <c r="AX1294" t="s">
        <v>57</v>
      </c>
      <c r="AY1294" t="s">
        <v>386</v>
      </c>
      <c r="BF1294">
        <v>0</v>
      </c>
      <c r="BK1294" t="s">
        <v>31</v>
      </c>
      <c r="BS1294" t="s">
        <v>412</v>
      </c>
      <c r="CI1294" t="s">
        <v>388</v>
      </c>
      <c r="CJ1294" s="14">
        <v>45014</v>
      </c>
      <c r="CK1294">
        <v>1</v>
      </c>
    </row>
    <row r="1295" spans="1:89">
      <c r="A1295" t="s">
        <v>1721</v>
      </c>
      <c r="B1295" t="s">
        <v>374</v>
      </c>
      <c r="C1295" t="s">
        <v>1722</v>
      </c>
      <c r="D1295" t="s">
        <v>1950</v>
      </c>
      <c r="E1295" t="s">
        <v>1951</v>
      </c>
      <c r="F1295" s="13">
        <v>44638.75885416667</v>
      </c>
      <c r="G1295" t="s">
        <v>641</v>
      </c>
      <c r="H1295" t="s">
        <v>642</v>
      </c>
      <c r="I1295" s="13">
        <v>44638.75885416667</v>
      </c>
      <c r="K1295" t="s">
        <v>412</v>
      </c>
      <c r="M1295" s="13">
        <v>44466</v>
      </c>
      <c r="R1295">
        <v>0</v>
      </c>
      <c r="S1295" t="s">
        <v>380</v>
      </c>
      <c r="T1295" t="s">
        <v>57</v>
      </c>
      <c r="V1295" t="s">
        <v>381</v>
      </c>
      <c r="W1295" t="s">
        <v>1762</v>
      </c>
      <c r="X1295" t="s">
        <v>1762</v>
      </c>
      <c r="AC1295" s="13">
        <v>44466</v>
      </c>
      <c r="AD1295" s="13">
        <v>44466</v>
      </c>
      <c r="AI1295">
        <v>-172</v>
      </c>
      <c r="AN1295" t="s">
        <v>31</v>
      </c>
      <c r="AO1295">
        <v>0</v>
      </c>
      <c r="AS1295" t="s">
        <v>385</v>
      </c>
      <c r="AX1295" t="s">
        <v>57</v>
      </c>
      <c r="AY1295" t="s">
        <v>386</v>
      </c>
      <c r="BF1295">
        <v>0</v>
      </c>
      <c r="BK1295" t="s">
        <v>31</v>
      </c>
      <c r="BS1295" t="s">
        <v>412</v>
      </c>
      <c r="CI1295" t="s">
        <v>388</v>
      </c>
      <c r="CJ1295" s="14">
        <v>45014</v>
      </c>
      <c r="CK1295">
        <v>1</v>
      </c>
    </row>
    <row r="1296" spans="1:89">
      <c r="A1296" t="s">
        <v>1946</v>
      </c>
      <c r="B1296" t="s">
        <v>374</v>
      </c>
      <c r="C1296" t="s">
        <v>1947</v>
      </c>
      <c r="D1296" t="s">
        <v>1952</v>
      </c>
      <c r="E1296" t="s">
        <v>1953</v>
      </c>
      <c r="F1296" s="13">
        <v>44638.75885416667</v>
      </c>
      <c r="G1296" t="s">
        <v>641</v>
      </c>
      <c r="H1296" t="s">
        <v>642</v>
      </c>
      <c r="I1296" s="13">
        <v>44638.75885416667</v>
      </c>
      <c r="K1296" t="s">
        <v>412</v>
      </c>
      <c r="M1296" s="13">
        <v>44466</v>
      </c>
      <c r="R1296">
        <v>0</v>
      </c>
      <c r="S1296" t="s">
        <v>380</v>
      </c>
      <c r="T1296" t="s">
        <v>57</v>
      </c>
      <c r="V1296" t="s">
        <v>381</v>
      </c>
      <c r="W1296" t="s">
        <v>1725</v>
      </c>
      <c r="X1296" t="s">
        <v>1725</v>
      </c>
      <c r="AC1296" s="13">
        <v>44466</v>
      </c>
      <c r="AD1296" s="13">
        <v>44466</v>
      </c>
      <c r="AI1296">
        <v>-172</v>
      </c>
      <c r="AN1296" t="s">
        <v>31</v>
      </c>
      <c r="AO1296">
        <v>0</v>
      </c>
      <c r="AS1296" t="s">
        <v>385</v>
      </c>
      <c r="AX1296" t="s">
        <v>57</v>
      </c>
      <c r="AY1296" t="s">
        <v>386</v>
      </c>
      <c r="BF1296">
        <v>0</v>
      </c>
      <c r="BK1296" t="s">
        <v>31</v>
      </c>
      <c r="BS1296" t="s">
        <v>412</v>
      </c>
      <c r="CI1296" t="s">
        <v>388</v>
      </c>
      <c r="CJ1296" s="14">
        <v>45014</v>
      </c>
      <c r="CK1296">
        <v>1</v>
      </c>
    </row>
    <row r="1297" spans="1:89">
      <c r="A1297" t="s">
        <v>1954</v>
      </c>
      <c r="B1297" t="s">
        <v>374</v>
      </c>
      <c r="C1297" t="s">
        <v>1955</v>
      </c>
      <c r="D1297" t="s">
        <v>1956</v>
      </c>
      <c r="E1297" t="s">
        <v>1957</v>
      </c>
      <c r="F1297" s="13">
        <v>44638.758842592593</v>
      </c>
      <c r="G1297" t="s">
        <v>641</v>
      </c>
      <c r="H1297" t="s">
        <v>642</v>
      </c>
      <c r="I1297" s="13">
        <v>44638.758842592593</v>
      </c>
      <c r="K1297" t="s">
        <v>412</v>
      </c>
      <c r="M1297" s="13">
        <v>44461</v>
      </c>
      <c r="R1297">
        <v>0</v>
      </c>
      <c r="S1297" t="s">
        <v>380</v>
      </c>
      <c r="T1297" t="s">
        <v>57</v>
      </c>
      <c r="V1297" t="s">
        <v>381</v>
      </c>
      <c r="W1297" t="s">
        <v>1762</v>
      </c>
      <c r="X1297" t="s">
        <v>1762</v>
      </c>
      <c r="AC1297" s="13">
        <v>44461</v>
      </c>
      <c r="AD1297" s="13">
        <v>44461</v>
      </c>
      <c r="AI1297">
        <v>-177</v>
      </c>
      <c r="AN1297" t="s">
        <v>31</v>
      </c>
      <c r="AO1297">
        <v>0</v>
      </c>
      <c r="AS1297" t="s">
        <v>881</v>
      </c>
      <c r="AX1297" t="s">
        <v>57</v>
      </c>
      <c r="AY1297" t="s">
        <v>386</v>
      </c>
      <c r="BF1297">
        <v>0</v>
      </c>
      <c r="BK1297" t="s">
        <v>31</v>
      </c>
      <c r="BS1297" t="s">
        <v>412</v>
      </c>
      <c r="CI1297" t="s">
        <v>388</v>
      </c>
      <c r="CJ1297" s="14">
        <v>45014</v>
      </c>
      <c r="CK1297">
        <v>1</v>
      </c>
    </row>
    <row r="1298" spans="1:89">
      <c r="A1298" t="s">
        <v>1954</v>
      </c>
      <c r="B1298" t="s">
        <v>374</v>
      </c>
      <c r="C1298" t="s">
        <v>1955</v>
      </c>
      <c r="D1298" t="s">
        <v>1958</v>
      </c>
      <c r="E1298" t="s">
        <v>1959</v>
      </c>
      <c r="F1298" s="13">
        <v>44638.758842592593</v>
      </c>
      <c r="G1298" t="s">
        <v>641</v>
      </c>
      <c r="H1298" t="s">
        <v>642</v>
      </c>
      <c r="I1298" s="13">
        <v>44638.758842592593</v>
      </c>
      <c r="K1298" t="s">
        <v>412</v>
      </c>
      <c r="M1298" s="13">
        <v>44461</v>
      </c>
      <c r="R1298">
        <v>0</v>
      </c>
      <c r="S1298" t="s">
        <v>380</v>
      </c>
      <c r="T1298" t="s">
        <v>57</v>
      </c>
      <c r="V1298" t="s">
        <v>381</v>
      </c>
      <c r="W1298" t="s">
        <v>1762</v>
      </c>
      <c r="X1298" t="s">
        <v>1762</v>
      </c>
      <c r="AC1298" s="13">
        <v>44461</v>
      </c>
      <c r="AD1298" s="13">
        <v>44461</v>
      </c>
      <c r="AI1298">
        <v>-177</v>
      </c>
      <c r="AN1298" t="s">
        <v>31</v>
      </c>
      <c r="AO1298">
        <v>0</v>
      </c>
      <c r="AS1298" t="s">
        <v>648</v>
      </c>
      <c r="AX1298" t="s">
        <v>57</v>
      </c>
      <c r="AY1298" t="s">
        <v>386</v>
      </c>
      <c r="BF1298">
        <v>0</v>
      </c>
      <c r="BK1298" t="s">
        <v>31</v>
      </c>
      <c r="BS1298" t="s">
        <v>412</v>
      </c>
      <c r="CI1298" t="s">
        <v>388</v>
      </c>
      <c r="CJ1298" s="14">
        <v>45014</v>
      </c>
      <c r="CK1298">
        <v>1</v>
      </c>
    </row>
    <row r="1299" spans="1:89">
      <c r="A1299" t="s">
        <v>1827</v>
      </c>
      <c r="B1299" t="s">
        <v>374</v>
      </c>
      <c r="C1299" t="s">
        <v>1536</v>
      </c>
      <c r="D1299" t="s">
        <v>1960</v>
      </c>
      <c r="E1299" t="s">
        <v>1961</v>
      </c>
      <c r="F1299" s="13">
        <v>44638.758831018517</v>
      </c>
      <c r="G1299" t="s">
        <v>641</v>
      </c>
      <c r="H1299" t="s">
        <v>642</v>
      </c>
      <c r="I1299" s="13">
        <v>44638.758831018517</v>
      </c>
      <c r="K1299" t="s">
        <v>412</v>
      </c>
      <c r="M1299" s="13">
        <v>44461</v>
      </c>
      <c r="R1299">
        <v>0</v>
      </c>
      <c r="S1299" t="s">
        <v>380</v>
      </c>
      <c r="T1299" t="s">
        <v>57</v>
      </c>
      <c r="V1299" t="s">
        <v>381</v>
      </c>
      <c r="W1299" t="s">
        <v>1713</v>
      </c>
      <c r="X1299" t="s">
        <v>1713</v>
      </c>
      <c r="AC1299" s="13">
        <v>44461</v>
      </c>
      <c r="AD1299" s="13">
        <v>44461</v>
      </c>
      <c r="AI1299">
        <v>-177</v>
      </c>
      <c r="AN1299" t="s">
        <v>31</v>
      </c>
      <c r="AO1299">
        <v>0</v>
      </c>
      <c r="AS1299" t="s">
        <v>881</v>
      </c>
      <c r="AX1299" t="s">
        <v>57</v>
      </c>
      <c r="AY1299" t="s">
        <v>386</v>
      </c>
      <c r="BF1299">
        <v>0</v>
      </c>
      <c r="BK1299" t="s">
        <v>31</v>
      </c>
      <c r="BS1299" t="s">
        <v>412</v>
      </c>
      <c r="CI1299" t="s">
        <v>388</v>
      </c>
      <c r="CJ1299" s="14">
        <v>45014</v>
      </c>
      <c r="CK1299">
        <v>1</v>
      </c>
    </row>
    <row r="1300" spans="1:89">
      <c r="A1300" t="s">
        <v>1831</v>
      </c>
      <c r="B1300" t="s">
        <v>374</v>
      </c>
      <c r="C1300" t="s">
        <v>1832</v>
      </c>
      <c r="D1300" t="s">
        <v>1962</v>
      </c>
      <c r="E1300" t="s">
        <v>1963</v>
      </c>
      <c r="F1300" s="13">
        <v>44638.758831018517</v>
      </c>
      <c r="G1300" t="s">
        <v>641</v>
      </c>
      <c r="H1300" t="s">
        <v>642</v>
      </c>
      <c r="I1300" s="13">
        <v>44638.758831018517</v>
      </c>
      <c r="K1300" t="s">
        <v>412</v>
      </c>
      <c r="M1300" s="13">
        <v>44454</v>
      </c>
      <c r="R1300">
        <v>0</v>
      </c>
      <c r="S1300" t="s">
        <v>380</v>
      </c>
      <c r="T1300" t="s">
        <v>57</v>
      </c>
      <c r="V1300" t="s">
        <v>381</v>
      </c>
      <c r="W1300" t="s">
        <v>1713</v>
      </c>
      <c r="X1300" t="s">
        <v>1713</v>
      </c>
      <c r="AC1300" s="13">
        <v>44454</v>
      </c>
      <c r="AD1300" s="13">
        <v>44454</v>
      </c>
      <c r="AI1300">
        <v>-184</v>
      </c>
      <c r="AN1300" t="s">
        <v>31</v>
      </c>
      <c r="AO1300">
        <v>0</v>
      </c>
      <c r="AS1300" t="s">
        <v>385</v>
      </c>
      <c r="AX1300" t="s">
        <v>57</v>
      </c>
      <c r="AY1300" t="s">
        <v>386</v>
      </c>
      <c r="BF1300">
        <v>0</v>
      </c>
      <c r="BK1300" t="s">
        <v>31</v>
      </c>
      <c r="BS1300" t="s">
        <v>412</v>
      </c>
      <c r="CI1300" t="s">
        <v>388</v>
      </c>
      <c r="CJ1300" s="14">
        <v>45014</v>
      </c>
      <c r="CK1300">
        <v>1</v>
      </c>
    </row>
    <row r="1301" spans="1:89">
      <c r="A1301" t="s">
        <v>1831</v>
      </c>
      <c r="B1301" t="s">
        <v>374</v>
      </c>
      <c r="C1301" t="s">
        <v>1832</v>
      </c>
      <c r="D1301" t="s">
        <v>1964</v>
      </c>
      <c r="E1301" t="s">
        <v>1965</v>
      </c>
      <c r="F1301" s="13">
        <v>44638.758819444447</v>
      </c>
      <c r="G1301" t="s">
        <v>641</v>
      </c>
      <c r="H1301" t="s">
        <v>642</v>
      </c>
      <c r="I1301" s="13">
        <v>44638.758819444447</v>
      </c>
      <c r="K1301" t="s">
        <v>412</v>
      </c>
      <c r="M1301" s="13">
        <v>44447</v>
      </c>
      <c r="R1301">
        <v>0</v>
      </c>
      <c r="S1301" t="s">
        <v>380</v>
      </c>
      <c r="T1301" t="s">
        <v>57</v>
      </c>
      <c r="V1301" t="s">
        <v>381</v>
      </c>
      <c r="W1301" t="s">
        <v>1762</v>
      </c>
      <c r="X1301" t="s">
        <v>1762</v>
      </c>
      <c r="AC1301" s="13">
        <v>44447</v>
      </c>
      <c r="AD1301" s="13">
        <v>44447</v>
      </c>
      <c r="AI1301">
        <v>-191</v>
      </c>
      <c r="AN1301" t="s">
        <v>31</v>
      </c>
      <c r="AO1301">
        <v>0</v>
      </c>
      <c r="AS1301" t="s">
        <v>744</v>
      </c>
      <c r="AX1301" t="s">
        <v>57</v>
      </c>
      <c r="AY1301" t="s">
        <v>386</v>
      </c>
      <c r="BF1301">
        <v>0</v>
      </c>
      <c r="BK1301" t="s">
        <v>31</v>
      </c>
      <c r="BS1301" t="s">
        <v>412</v>
      </c>
      <c r="CI1301" t="s">
        <v>388</v>
      </c>
      <c r="CJ1301" s="14">
        <v>45014</v>
      </c>
      <c r="CK1301">
        <v>1</v>
      </c>
    </row>
    <row r="1302" spans="1:89">
      <c r="A1302" t="s">
        <v>1831</v>
      </c>
      <c r="B1302" t="s">
        <v>374</v>
      </c>
      <c r="C1302" t="s">
        <v>1832</v>
      </c>
      <c r="D1302" t="s">
        <v>1966</v>
      </c>
      <c r="E1302" t="s">
        <v>1967</v>
      </c>
      <c r="F1302" s="13">
        <v>44638.758819444447</v>
      </c>
      <c r="G1302" t="s">
        <v>641</v>
      </c>
      <c r="H1302" t="s">
        <v>642</v>
      </c>
      <c r="I1302" s="13">
        <v>44638.758819444447</v>
      </c>
      <c r="K1302" t="s">
        <v>412</v>
      </c>
      <c r="M1302" s="13">
        <v>44454</v>
      </c>
      <c r="R1302">
        <v>0</v>
      </c>
      <c r="S1302" t="s">
        <v>380</v>
      </c>
      <c r="T1302" t="s">
        <v>57</v>
      </c>
      <c r="V1302" t="s">
        <v>381</v>
      </c>
      <c r="W1302" t="s">
        <v>1937</v>
      </c>
      <c r="X1302" t="s">
        <v>1937</v>
      </c>
      <c r="AC1302" s="13">
        <v>44454</v>
      </c>
      <c r="AD1302" s="13">
        <v>44454</v>
      </c>
      <c r="AI1302">
        <v>-184</v>
      </c>
      <c r="AN1302" t="s">
        <v>31</v>
      </c>
      <c r="AO1302">
        <v>0</v>
      </c>
      <c r="AS1302" t="s">
        <v>522</v>
      </c>
      <c r="AX1302" t="s">
        <v>57</v>
      </c>
      <c r="AY1302" t="s">
        <v>386</v>
      </c>
      <c r="BF1302">
        <v>0</v>
      </c>
      <c r="BK1302" t="s">
        <v>31</v>
      </c>
      <c r="BS1302" t="s">
        <v>412</v>
      </c>
      <c r="CI1302" t="s">
        <v>388</v>
      </c>
      <c r="CJ1302" s="14">
        <v>45014</v>
      </c>
      <c r="CK1302">
        <v>1</v>
      </c>
    </row>
    <row r="1303" spans="1:89">
      <c r="A1303" t="s">
        <v>1907</v>
      </c>
      <c r="B1303" t="s">
        <v>374</v>
      </c>
      <c r="C1303" t="s">
        <v>607</v>
      </c>
      <c r="D1303" t="s">
        <v>1968</v>
      </c>
      <c r="E1303" t="s">
        <v>1969</v>
      </c>
      <c r="F1303" s="13">
        <v>44638.75880787037</v>
      </c>
      <c r="G1303" t="s">
        <v>641</v>
      </c>
      <c r="H1303" t="s">
        <v>642</v>
      </c>
      <c r="I1303" s="13">
        <v>44638.75880787037</v>
      </c>
      <c r="K1303" t="s">
        <v>412</v>
      </c>
      <c r="M1303" s="13">
        <v>44447</v>
      </c>
      <c r="R1303">
        <v>0</v>
      </c>
      <c r="S1303" t="s">
        <v>380</v>
      </c>
      <c r="T1303" t="s">
        <v>57</v>
      </c>
      <c r="V1303" t="s">
        <v>381</v>
      </c>
      <c r="W1303" t="s">
        <v>1940</v>
      </c>
      <c r="X1303" t="s">
        <v>1940</v>
      </c>
      <c r="AC1303" s="13">
        <v>44447</v>
      </c>
      <c r="AD1303" s="13">
        <v>44447</v>
      </c>
      <c r="AI1303">
        <v>-191</v>
      </c>
      <c r="AN1303" t="s">
        <v>31</v>
      </c>
      <c r="AO1303">
        <v>0</v>
      </c>
      <c r="AS1303" t="s">
        <v>744</v>
      </c>
      <c r="AX1303" t="s">
        <v>57</v>
      </c>
      <c r="AY1303" t="s">
        <v>386</v>
      </c>
      <c r="BF1303">
        <v>0</v>
      </c>
      <c r="BK1303" t="s">
        <v>31</v>
      </c>
      <c r="BS1303" t="s">
        <v>412</v>
      </c>
      <c r="CI1303" t="s">
        <v>388</v>
      </c>
      <c r="CJ1303" s="14">
        <v>45014</v>
      </c>
      <c r="CK1303">
        <v>1</v>
      </c>
    </row>
    <row r="1304" spans="1:89">
      <c r="A1304" t="s">
        <v>1907</v>
      </c>
      <c r="B1304" t="s">
        <v>374</v>
      </c>
      <c r="C1304" t="s">
        <v>607</v>
      </c>
      <c r="D1304" t="s">
        <v>1970</v>
      </c>
      <c r="E1304" t="s">
        <v>1971</v>
      </c>
      <c r="F1304" s="13">
        <v>44638.75880787037</v>
      </c>
      <c r="G1304" t="s">
        <v>641</v>
      </c>
      <c r="H1304" t="s">
        <v>642</v>
      </c>
      <c r="I1304" s="13">
        <v>44638.75880787037</v>
      </c>
      <c r="K1304" t="s">
        <v>412</v>
      </c>
      <c r="M1304" s="13">
        <v>44447</v>
      </c>
      <c r="R1304">
        <v>0</v>
      </c>
      <c r="S1304" t="s">
        <v>380</v>
      </c>
      <c r="T1304" t="s">
        <v>57</v>
      </c>
      <c r="V1304" t="s">
        <v>381</v>
      </c>
      <c r="W1304" t="s">
        <v>1940</v>
      </c>
      <c r="X1304" t="s">
        <v>1940</v>
      </c>
      <c r="AC1304" s="13">
        <v>44447</v>
      </c>
      <c r="AD1304" s="13">
        <v>44447</v>
      </c>
      <c r="AI1304">
        <v>-191</v>
      </c>
      <c r="AN1304" t="s">
        <v>31</v>
      </c>
      <c r="AO1304">
        <v>0</v>
      </c>
      <c r="AS1304" t="s">
        <v>385</v>
      </c>
      <c r="AX1304" t="s">
        <v>57</v>
      </c>
      <c r="AY1304" t="s">
        <v>386</v>
      </c>
      <c r="BF1304">
        <v>0</v>
      </c>
      <c r="BK1304" t="s">
        <v>31</v>
      </c>
      <c r="BS1304" t="s">
        <v>412</v>
      </c>
      <c r="CI1304" t="s">
        <v>388</v>
      </c>
      <c r="CJ1304" s="14">
        <v>45014</v>
      </c>
      <c r="CK1304">
        <v>1</v>
      </c>
    </row>
    <row r="1305" spans="1:89">
      <c r="A1305" t="s">
        <v>1907</v>
      </c>
      <c r="B1305" t="s">
        <v>374</v>
      </c>
      <c r="C1305" t="s">
        <v>607</v>
      </c>
      <c r="D1305" t="s">
        <v>1972</v>
      </c>
      <c r="E1305" t="s">
        <v>1973</v>
      </c>
      <c r="F1305" s="13">
        <v>44638.75880787037</v>
      </c>
      <c r="G1305" t="s">
        <v>641</v>
      </c>
      <c r="H1305" t="s">
        <v>642</v>
      </c>
      <c r="I1305" s="13">
        <v>44638.75880787037</v>
      </c>
      <c r="K1305" t="s">
        <v>412</v>
      </c>
      <c r="M1305" s="13">
        <v>44427</v>
      </c>
      <c r="R1305">
        <v>0</v>
      </c>
      <c r="S1305" t="s">
        <v>380</v>
      </c>
      <c r="T1305" t="s">
        <v>57</v>
      </c>
      <c r="V1305" t="s">
        <v>381</v>
      </c>
      <c r="W1305" t="s">
        <v>1974</v>
      </c>
      <c r="X1305" t="s">
        <v>1974</v>
      </c>
      <c r="AC1305" s="13">
        <v>44427</v>
      </c>
      <c r="AD1305" s="13">
        <v>44427</v>
      </c>
      <c r="AI1305">
        <v>-211</v>
      </c>
      <c r="AN1305" t="s">
        <v>31</v>
      </c>
      <c r="AO1305">
        <v>0</v>
      </c>
      <c r="AX1305" t="s">
        <v>57</v>
      </c>
      <c r="AY1305" t="s">
        <v>386</v>
      </c>
      <c r="BF1305">
        <v>0</v>
      </c>
      <c r="BK1305" t="s">
        <v>31</v>
      </c>
      <c r="BS1305" t="s">
        <v>412</v>
      </c>
      <c r="CI1305" t="s">
        <v>388</v>
      </c>
      <c r="CJ1305" s="14">
        <v>45014</v>
      </c>
      <c r="CK1305">
        <v>1</v>
      </c>
    </row>
    <row r="1306" spans="1:89">
      <c r="A1306" t="s">
        <v>1907</v>
      </c>
      <c r="B1306" t="s">
        <v>374</v>
      </c>
      <c r="C1306" t="s">
        <v>607</v>
      </c>
      <c r="D1306" t="s">
        <v>1975</v>
      </c>
      <c r="E1306" t="s">
        <v>1976</v>
      </c>
      <c r="F1306" s="13">
        <v>44638.758796296293</v>
      </c>
      <c r="G1306" t="s">
        <v>641</v>
      </c>
      <c r="H1306" t="s">
        <v>642</v>
      </c>
      <c r="I1306" s="13">
        <v>44638.758796296293</v>
      </c>
      <c r="K1306" t="s">
        <v>412</v>
      </c>
      <c r="M1306" s="13">
        <v>44413</v>
      </c>
      <c r="R1306">
        <v>0</v>
      </c>
      <c r="S1306" t="s">
        <v>380</v>
      </c>
      <c r="T1306" t="s">
        <v>57</v>
      </c>
      <c r="V1306" t="s">
        <v>381</v>
      </c>
      <c r="W1306" t="s">
        <v>1977</v>
      </c>
      <c r="X1306" t="s">
        <v>1977</v>
      </c>
      <c r="AC1306" s="13">
        <v>44413</v>
      </c>
      <c r="AD1306" s="13">
        <v>44413</v>
      </c>
      <c r="AI1306">
        <v>-225</v>
      </c>
      <c r="AN1306" t="s">
        <v>31</v>
      </c>
      <c r="AO1306">
        <v>0</v>
      </c>
      <c r="AS1306" t="s">
        <v>385</v>
      </c>
      <c r="AX1306" t="s">
        <v>57</v>
      </c>
      <c r="AY1306" t="s">
        <v>386</v>
      </c>
      <c r="BF1306">
        <v>0</v>
      </c>
      <c r="BK1306" t="s">
        <v>31</v>
      </c>
      <c r="BS1306" t="s">
        <v>412</v>
      </c>
      <c r="CI1306" t="s">
        <v>388</v>
      </c>
      <c r="CJ1306" s="14">
        <v>45014</v>
      </c>
      <c r="CK1306">
        <v>1</v>
      </c>
    </row>
    <row r="1307" spans="1:89">
      <c r="A1307" t="s">
        <v>1907</v>
      </c>
      <c r="B1307" t="s">
        <v>374</v>
      </c>
      <c r="C1307" t="s">
        <v>607</v>
      </c>
      <c r="D1307" t="s">
        <v>1978</v>
      </c>
      <c r="E1307" t="s">
        <v>1979</v>
      </c>
      <c r="F1307" s="13">
        <v>44638.758796296293</v>
      </c>
      <c r="G1307" t="s">
        <v>641</v>
      </c>
      <c r="H1307" t="s">
        <v>642</v>
      </c>
      <c r="I1307" s="13">
        <v>44638.758796296293</v>
      </c>
      <c r="K1307" t="s">
        <v>412</v>
      </c>
      <c r="M1307" s="13">
        <v>44413</v>
      </c>
      <c r="R1307">
        <v>0</v>
      </c>
      <c r="S1307" t="s">
        <v>380</v>
      </c>
      <c r="T1307" t="s">
        <v>57</v>
      </c>
      <c r="V1307" t="s">
        <v>381</v>
      </c>
      <c r="W1307" t="s">
        <v>1775</v>
      </c>
      <c r="X1307" t="s">
        <v>1775</v>
      </c>
      <c r="AC1307" s="13">
        <v>44413</v>
      </c>
      <c r="AD1307" s="13">
        <v>44413</v>
      </c>
      <c r="AI1307">
        <v>-225</v>
      </c>
      <c r="AN1307" t="s">
        <v>31</v>
      </c>
      <c r="AO1307">
        <v>0</v>
      </c>
      <c r="AS1307" t="s">
        <v>385</v>
      </c>
      <c r="AX1307" t="s">
        <v>57</v>
      </c>
      <c r="AY1307" t="s">
        <v>386</v>
      </c>
      <c r="BF1307">
        <v>0</v>
      </c>
      <c r="BK1307" t="s">
        <v>31</v>
      </c>
      <c r="BS1307" t="s">
        <v>412</v>
      </c>
      <c r="CI1307" t="s">
        <v>388</v>
      </c>
      <c r="CJ1307" s="14">
        <v>45014</v>
      </c>
      <c r="CK1307">
        <v>1</v>
      </c>
    </row>
    <row r="1308" spans="1:89">
      <c r="A1308" t="s">
        <v>1907</v>
      </c>
      <c r="B1308" t="s">
        <v>374</v>
      </c>
      <c r="C1308" t="s">
        <v>607</v>
      </c>
      <c r="D1308" t="s">
        <v>1980</v>
      </c>
      <c r="E1308" t="s">
        <v>1981</v>
      </c>
      <c r="F1308" s="13">
        <v>44638.758784722224</v>
      </c>
      <c r="G1308" t="s">
        <v>641</v>
      </c>
      <c r="H1308" t="s">
        <v>642</v>
      </c>
      <c r="I1308" s="13">
        <v>44638.758784722224</v>
      </c>
      <c r="K1308" t="s">
        <v>412</v>
      </c>
      <c r="M1308" s="13">
        <v>44420</v>
      </c>
      <c r="R1308">
        <v>0</v>
      </c>
      <c r="S1308" t="s">
        <v>380</v>
      </c>
      <c r="T1308" t="s">
        <v>57</v>
      </c>
      <c r="V1308" t="s">
        <v>381</v>
      </c>
      <c r="W1308" t="s">
        <v>1775</v>
      </c>
      <c r="X1308" t="s">
        <v>1775</v>
      </c>
      <c r="AC1308" s="13">
        <v>44420</v>
      </c>
      <c r="AD1308" s="13">
        <v>44420</v>
      </c>
      <c r="AI1308">
        <v>-218</v>
      </c>
      <c r="AN1308" t="s">
        <v>31</v>
      </c>
      <c r="AO1308">
        <v>0</v>
      </c>
      <c r="AS1308" t="s">
        <v>385</v>
      </c>
      <c r="AX1308" t="s">
        <v>57</v>
      </c>
      <c r="AY1308" t="s">
        <v>386</v>
      </c>
      <c r="BF1308">
        <v>0</v>
      </c>
      <c r="BK1308" t="s">
        <v>31</v>
      </c>
      <c r="BS1308" t="s">
        <v>412</v>
      </c>
      <c r="CI1308" t="s">
        <v>388</v>
      </c>
      <c r="CJ1308" s="14">
        <v>45014</v>
      </c>
      <c r="CK1308">
        <v>1</v>
      </c>
    </row>
    <row r="1309" spans="1:89">
      <c r="A1309" t="s">
        <v>1907</v>
      </c>
      <c r="B1309" t="s">
        <v>374</v>
      </c>
      <c r="C1309" t="s">
        <v>607</v>
      </c>
      <c r="D1309" t="s">
        <v>1982</v>
      </c>
      <c r="E1309" t="s">
        <v>1983</v>
      </c>
      <c r="F1309" s="13">
        <v>44638.758784722224</v>
      </c>
      <c r="G1309" t="s">
        <v>641</v>
      </c>
      <c r="H1309" t="s">
        <v>642</v>
      </c>
      <c r="I1309" s="13">
        <v>44638.758784722224</v>
      </c>
      <c r="K1309" t="s">
        <v>412</v>
      </c>
      <c r="M1309" s="13">
        <v>44413</v>
      </c>
      <c r="R1309">
        <v>0</v>
      </c>
      <c r="S1309" t="s">
        <v>380</v>
      </c>
      <c r="T1309" t="s">
        <v>57</v>
      </c>
      <c r="V1309" t="s">
        <v>381</v>
      </c>
      <c r="W1309" t="s">
        <v>1775</v>
      </c>
      <c r="X1309" t="s">
        <v>1775</v>
      </c>
      <c r="AC1309" s="13">
        <v>44413</v>
      </c>
      <c r="AD1309" s="13">
        <v>44413</v>
      </c>
      <c r="AI1309">
        <v>-225</v>
      </c>
      <c r="AN1309" t="s">
        <v>31</v>
      </c>
      <c r="AO1309">
        <v>0</v>
      </c>
      <c r="AX1309" t="s">
        <v>57</v>
      </c>
      <c r="AY1309" t="s">
        <v>386</v>
      </c>
      <c r="BF1309">
        <v>0</v>
      </c>
      <c r="BK1309" t="s">
        <v>31</v>
      </c>
      <c r="BS1309" t="s">
        <v>412</v>
      </c>
      <c r="CI1309" t="s">
        <v>388</v>
      </c>
      <c r="CJ1309" s="14">
        <v>45014</v>
      </c>
      <c r="CK1309">
        <v>1</v>
      </c>
    </row>
    <row r="1310" spans="1:89">
      <c r="A1310" t="s">
        <v>1928</v>
      </c>
      <c r="B1310" t="s">
        <v>374</v>
      </c>
      <c r="C1310" t="s">
        <v>1929</v>
      </c>
      <c r="D1310" t="s">
        <v>1984</v>
      </c>
      <c r="E1310" t="s">
        <v>1985</v>
      </c>
      <c r="F1310" s="13">
        <v>44638.758773148147</v>
      </c>
      <c r="G1310" t="s">
        <v>641</v>
      </c>
      <c r="H1310" t="s">
        <v>642</v>
      </c>
      <c r="I1310" s="13">
        <v>44638.758773148147</v>
      </c>
      <c r="K1310" t="s">
        <v>412</v>
      </c>
      <c r="M1310" s="13">
        <v>44399</v>
      </c>
      <c r="R1310">
        <v>0</v>
      </c>
      <c r="S1310" t="s">
        <v>380</v>
      </c>
      <c r="T1310" t="s">
        <v>57</v>
      </c>
      <c r="V1310" t="s">
        <v>381</v>
      </c>
      <c r="W1310" t="s">
        <v>1986</v>
      </c>
      <c r="X1310" t="s">
        <v>1986</v>
      </c>
      <c r="AC1310" s="13">
        <v>44399</v>
      </c>
      <c r="AD1310" s="13">
        <v>44399</v>
      </c>
      <c r="AI1310">
        <v>-239</v>
      </c>
      <c r="AN1310" t="s">
        <v>31</v>
      </c>
      <c r="AO1310">
        <v>0</v>
      </c>
      <c r="AS1310" t="s">
        <v>707</v>
      </c>
      <c r="AX1310" t="s">
        <v>57</v>
      </c>
      <c r="AY1310" t="s">
        <v>386</v>
      </c>
      <c r="BF1310">
        <v>0</v>
      </c>
      <c r="BK1310" t="s">
        <v>31</v>
      </c>
      <c r="BS1310" t="s">
        <v>412</v>
      </c>
      <c r="CI1310" t="s">
        <v>388</v>
      </c>
      <c r="CJ1310" s="14">
        <v>45014</v>
      </c>
      <c r="CK1310">
        <v>1</v>
      </c>
    </row>
    <row r="1311" spans="1:89">
      <c r="A1311" t="s">
        <v>1928</v>
      </c>
      <c r="B1311" t="s">
        <v>374</v>
      </c>
      <c r="C1311" t="s">
        <v>1929</v>
      </c>
      <c r="D1311" t="s">
        <v>1987</v>
      </c>
      <c r="E1311" t="s">
        <v>1988</v>
      </c>
      <c r="F1311" s="13">
        <v>44638.758773148147</v>
      </c>
      <c r="G1311" t="s">
        <v>641</v>
      </c>
      <c r="H1311" t="s">
        <v>642</v>
      </c>
      <c r="I1311" s="13">
        <v>44638.758773148147</v>
      </c>
      <c r="K1311" t="s">
        <v>412</v>
      </c>
      <c r="M1311" s="13">
        <v>44420</v>
      </c>
      <c r="R1311">
        <v>0</v>
      </c>
      <c r="S1311" t="s">
        <v>380</v>
      </c>
      <c r="T1311" t="s">
        <v>57</v>
      </c>
      <c r="V1311" t="s">
        <v>381</v>
      </c>
      <c r="W1311" t="s">
        <v>1775</v>
      </c>
      <c r="X1311" t="s">
        <v>1775</v>
      </c>
      <c r="AC1311" s="13">
        <v>44420</v>
      </c>
      <c r="AD1311" s="13">
        <v>44420</v>
      </c>
      <c r="AI1311">
        <v>-218</v>
      </c>
      <c r="AN1311" t="s">
        <v>31</v>
      </c>
      <c r="AO1311">
        <v>0</v>
      </c>
      <c r="AS1311" t="s">
        <v>538</v>
      </c>
      <c r="AX1311" t="s">
        <v>57</v>
      </c>
      <c r="AY1311" t="s">
        <v>386</v>
      </c>
      <c r="BF1311">
        <v>0</v>
      </c>
      <c r="BK1311" t="s">
        <v>31</v>
      </c>
      <c r="BS1311" t="s">
        <v>412</v>
      </c>
      <c r="CI1311" t="s">
        <v>388</v>
      </c>
      <c r="CJ1311" s="14">
        <v>45014</v>
      </c>
      <c r="CK1311">
        <v>1</v>
      </c>
    </row>
    <row r="1312" spans="1:89">
      <c r="A1312" t="s">
        <v>1989</v>
      </c>
      <c r="B1312" t="s">
        <v>374</v>
      </c>
      <c r="C1312" t="s">
        <v>1990</v>
      </c>
      <c r="D1312" t="s">
        <v>1991</v>
      </c>
      <c r="E1312" t="s">
        <v>1992</v>
      </c>
      <c r="F1312" s="13">
        <v>44638.758773148147</v>
      </c>
      <c r="G1312" t="s">
        <v>641</v>
      </c>
      <c r="H1312" t="s">
        <v>642</v>
      </c>
      <c r="I1312" s="13">
        <v>44638.758773148147</v>
      </c>
      <c r="K1312" t="s">
        <v>412</v>
      </c>
      <c r="M1312" s="13">
        <v>44420</v>
      </c>
      <c r="R1312">
        <v>0</v>
      </c>
      <c r="S1312" t="s">
        <v>380</v>
      </c>
      <c r="T1312" t="s">
        <v>57</v>
      </c>
      <c r="V1312" t="s">
        <v>381</v>
      </c>
      <c r="W1312" t="s">
        <v>1775</v>
      </c>
      <c r="X1312" t="s">
        <v>1775</v>
      </c>
      <c r="AC1312" s="13">
        <v>44420</v>
      </c>
      <c r="AD1312" s="13">
        <v>44420</v>
      </c>
      <c r="AI1312">
        <v>-218</v>
      </c>
      <c r="AN1312" t="s">
        <v>31</v>
      </c>
      <c r="AO1312">
        <v>0</v>
      </c>
      <c r="AS1312" t="s">
        <v>385</v>
      </c>
      <c r="AX1312" t="s">
        <v>57</v>
      </c>
      <c r="AY1312" t="s">
        <v>386</v>
      </c>
      <c r="BF1312">
        <v>0</v>
      </c>
      <c r="BK1312" t="s">
        <v>31</v>
      </c>
      <c r="BS1312" t="s">
        <v>412</v>
      </c>
      <c r="CI1312" t="s">
        <v>388</v>
      </c>
      <c r="CJ1312" s="14">
        <v>45014</v>
      </c>
      <c r="CK1312">
        <v>1</v>
      </c>
    </row>
    <row r="1313" spans="1:89">
      <c r="A1313" t="s">
        <v>1928</v>
      </c>
      <c r="B1313" t="s">
        <v>374</v>
      </c>
      <c r="C1313" t="s">
        <v>1929</v>
      </c>
      <c r="D1313" t="s">
        <v>1993</v>
      </c>
      <c r="E1313" t="s">
        <v>1994</v>
      </c>
      <c r="F1313" s="13">
        <v>44638.758761574078</v>
      </c>
      <c r="G1313" t="s">
        <v>641</v>
      </c>
      <c r="H1313" t="s">
        <v>642</v>
      </c>
      <c r="I1313" s="13">
        <v>44638.758761574078</v>
      </c>
      <c r="K1313" t="s">
        <v>412</v>
      </c>
      <c r="M1313" s="13">
        <v>44404</v>
      </c>
      <c r="R1313">
        <v>0</v>
      </c>
      <c r="S1313" t="s">
        <v>380</v>
      </c>
      <c r="T1313" t="s">
        <v>57</v>
      </c>
      <c r="V1313" t="s">
        <v>381</v>
      </c>
      <c r="W1313" t="s">
        <v>1995</v>
      </c>
      <c r="X1313" t="s">
        <v>1995</v>
      </c>
      <c r="AC1313" s="13">
        <v>44404</v>
      </c>
      <c r="AD1313" s="13">
        <v>44404</v>
      </c>
      <c r="AI1313">
        <v>-234</v>
      </c>
      <c r="AN1313" t="s">
        <v>31</v>
      </c>
      <c r="AO1313">
        <v>0</v>
      </c>
      <c r="AS1313" t="s">
        <v>385</v>
      </c>
      <c r="AX1313" t="s">
        <v>57</v>
      </c>
      <c r="AY1313" t="s">
        <v>386</v>
      </c>
      <c r="BF1313">
        <v>0</v>
      </c>
      <c r="BK1313" t="s">
        <v>31</v>
      </c>
      <c r="BS1313" t="s">
        <v>412</v>
      </c>
      <c r="CI1313" t="s">
        <v>388</v>
      </c>
      <c r="CJ1313" s="14">
        <v>45014</v>
      </c>
      <c r="CK1313">
        <v>1</v>
      </c>
    </row>
    <row r="1314" spans="1:89">
      <c r="A1314" t="s">
        <v>1907</v>
      </c>
      <c r="B1314" t="s">
        <v>374</v>
      </c>
      <c r="C1314" t="s">
        <v>607</v>
      </c>
      <c r="D1314" t="s">
        <v>1996</v>
      </c>
      <c r="E1314" t="s">
        <v>1997</v>
      </c>
      <c r="F1314" s="13">
        <v>44638.758761574078</v>
      </c>
      <c r="G1314" t="s">
        <v>641</v>
      </c>
      <c r="H1314" t="s">
        <v>642</v>
      </c>
      <c r="I1314" s="13">
        <v>44638.758761574078</v>
      </c>
      <c r="K1314" t="s">
        <v>412</v>
      </c>
      <c r="M1314" s="13">
        <v>44404</v>
      </c>
      <c r="R1314">
        <v>0</v>
      </c>
      <c r="S1314" t="s">
        <v>380</v>
      </c>
      <c r="T1314" t="s">
        <v>57</v>
      </c>
      <c r="V1314" t="s">
        <v>381</v>
      </c>
      <c r="W1314" t="s">
        <v>1995</v>
      </c>
      <c r="X1314" t="s">
        <v>1995</v>
      </c>
      <c r="AC1314" s="13">
        <v>44404</v>
      </c>
      <c r="AD1314" s="13">
        <v>44404</v>
      </c>
      <c r="AI1314">
        <v>-234</v>
      </c>
      <c r="AN1314" t="s">
        <v>31</v>
      </c>
      <c r="AO1314">
        <v>0</v>
      </c>
      <c r="AS1314" t="s">
        <v>385</v>
      </c>
      <c r="AX1314" t="s">
        <v>57</v>
      </c>
      <c r="AY1314" t="s">
        <v>386</v>
      </c>
      <c r="BF1314">
        <v>0</v>
      </c>
      <c r="BK1314" t="s">
        <v>31</v>
      </c>
      <c r="BS1314" t="s">
        <v>412</v>
      </c>
      <c r="CI1314" t="s">
        <v>388</v>
      </c>
      <c r="CJ1314" s="14">
        <v>45014</v>
      </c>
      <c r="CK1314">
        <v>1</v>
      </c>
    </row>
    <row r="1315" spans="1:89">
      <c r="A1315" t="s">
        <v>1907</v>
      </c>
      <c r="B1315" t="s">
        <v>374</v>
      </c>
      <c r="C1315" t="s">
        <v>607</v>
      </c>
      <c r="D1315" t="s">
        <v>1998</v>
      </c>
      <c r="E1315" t="s">
        <v>1999</v>
      </c>
      <c r="F1315" s="13">
        <v>44638.758750000001</v>
      </c>
      <c r="G1315" t="s">
        <v>641</v>
      </c>
      <c r="H1315" t="s">
        <v>642</v>
      </c>
      <c r="I1315" s="13">
        <v>44638.758750000001</v>
      </c>
      <c r="K1315" t="s">
        <v>412</v>
      </c>
      <c r="M1315" s="13">
        <v>44404</v>
      </c>
      <c r="R1315">
        <v>0</v>
      </c>
      <c r="S1315" t="s">
        <v>380</v>
      </c>
      <c r="T1315" t="s">
        <v>57</v>
      </c>
      <c r="V1315" t="s">
        <v>381</v>
      </c>
      <c r="W1315" t="s">
        <v>1995</v>
      </c>
      <c r="X1315" t="s">
        <v>1995</v>
      </c>
      <c r="AC1315" s="13">
        <v>44404</v>
      </c>
      <c r="AD1315" s="13">
        <v>44404</v>
      </c>
      <c r="AI1315">
        <v>-234</v>
      </c>
      <c r="AN1315" t="s">
        <v>31</v>
      </c>
      <c r="AO1315">
        <v>0</v>
      </c>
      <c r="AS1315" t="s">
        <v>385</v>
      </c>
      <c r="AX1315" t="s">
        <v>57</v>
      </c>
      <c r="AY1315" t="s">
        <v>386</v>
      </c>
      <c r="BF1315">
        <v>0</v>
      </c>
      <c r="BK1315" t="s">
        <v>31</v>
      </c>
      <c r="BS1315" t="s">
        <v>412</v>
      </c>
      <c r="CI1315" t="s">
        <v>388</v>
      </c>
      <c r="CJ1315" s="14">
        <v>45014</v>
      </c>
      <c r="CK1315">
        <v>1</v>
      </c>
    </row>
    <row r="1316" spans="1:89">
      <c r="A1316" t="s">
        <v>1907</v>
      </c>
      <c r="B1316" t="s">
        <v>374</v>
      </c>
      <c r="C1316" t="s">
        <v>607</v>
      </c>
      <c r="D1316" t="s">
        <v>2000</v>
      </c>
      <c r="E1316" t="s">
        <v>2001</v>
      </c>
      <c r="F1316" s="13">
        <v>44638.758750000001</v>
      </c>
      <c r="G1316" t="s">
        <v>641</v>
      </c>
      <c r="H1316" t="s">
        <v>642</v>
      </c>
      <c r="I1316" s="13">
        <v>44638.758750000001</v>
      </c>
      <c r="K1316" t="s">
        <v>412</v>
      </c>
      <c r="M1316" s="13">
        <v>44392</v>
      </c>
      <c r="R1316">
        <v>0</v>
      </c>
      <c r="S1316" t="s">
        <v>380</v>
      </c>
      <c r="T1316" t="s">
        <v>57</v>
      </c>
      <c r="V1316" t="s">
        <v>381</v>
      </c>
      <c r="W1316" t="s">
        <v>2002</v>
      </c>
      <c r="X1316" t="s">
        <v>2002</v>
      </c>
      <c r="AC1316" s="13">
        <v>44392</v>
      </c>
      <c r="AD1316" s="13">
        <v>44392</v>
      </c>
      <c r="AI1316">
        <v>-246</v>
      </c>
      <c r="AN1316" t="s">
        <v>31</v>
      </c>
      <c r="AO1316">
        <v>0</v>
      </c>
      <c r="AX1316" t="s">
        <v>57</v>
      </c>
      <c r="AY1316" t="s">
        <v>386</v>
      </c>
      <c r="BF1316">
        <v>0</v>
      </c>
      <c r="BK1316" t="s">
        <v>31</v>
      </c>
      <c r="BS1316" t="s">
        <v>412</v>
      </c>
      <c r="CI1316" t="s">
        <v>388</v>
      </c>
      <c r="CJ1316" s="14">
        <v>45014</v>
      </c>
      <c r="CK1316">
        <v>1</v>
      </c>
    </row>
    <row r="1317" spans="1:89">
      <c r="A1317" t="s">
        <v>1907</v>
      </c>
      <c r="B1317" t="s">
        <v>374</v>
      </c>
      <c r="C1317" t="s">
        <v>607</v>
      </c>
      <c r="D1317" t="s">
        <v>2003</v>
      </c>
      <c r="E1317" t="s">
        <v>2004</v>
      </c>
      <c r="F1317" s="13">
        <v>44638.758738425924</v>
      </c>
      <c r="G1317" t="s">
        <v>641</v>
      </c>
      <c r="H1317" t="s">
        <v>642</v>
      </c>
      <c r="I1317" s="13">
        <v>44638.758738425924</v>
      </c>
      <c r="K1317" t="s">
        <v>412</v>
      </c>
      <c r="M1317" s="13">
        <v>44369</v>
      </c>
      <c r="R1317">
        <v>0</v>
      </c>
      <c r="S1317" t="s">
        <v>380</v>
      </c>
      <c r="T1317" t="s">
        <v>57</v>
      </c>
      <c r="V1317" t="s">
        <v>381</v>
      </c>
      <c r="W1317" t="s">
        <v>2005</v>
      </c>
      <c r="X1317" t="s">
        <v>2005</v>
      </c>
      <c r="AC1317" s="13">
        <v>44369</v>
      </c>
      <c r="AD1317" s="13">
        <v>44369</v>
      </c>
      <c r="AI1317">
        <v>-269</v>
      </c>
      <c r="AN1317" t="s">
        <v>31</v>
      </c>
      <c r="AO1317">
        <v>0</v>
      </c>
      <c r="AS1317" t="s">
        <v>526</v>
      </c>
      <c r="AX1317" t="s">
        <v>57</v>
      </c>
      <c r="AY1317" t="s">
        <v>386</v>
      </c>
      <c r="BF1317">
        <v>0</v>
      </c>
      <c r="BK1317" t="s">
        <v>31</v>
      </c>
      <c r="BS1317" t="s">
        <v>412</v>
      </c>
      <c r="CI1317" t="s">
        <v>388</v>
      </c>
      <c r="CJ1317" s="14">
        <v>45014</v>
      </c>
      <c r="CK1317">
        <v>1</v>
      </c>
    </row>
    <row r="1318" spans="1:89">
      <c r="A1318" t="s">
        <v>1858</v>
      </c>
      <c r="B1318" t="s">
        <v>374</v>
      </c>
      <c r="C1318" t="s">
        <v>1859</v>
      </c>
      <c r="D1318" t="s">
        <v>2006</v>
      </c>
      <c r="E1318" t="s">
        <v>2007</v>
      </c>
      <c r="F1318" s="13">
        <v>44638.758738425924</v>
      </c>
      <c r="G1318" t="s">
        <v>641</v>
      </c>
      <c r="H1318" t="s">
        <v>642</v>
      </c>
      <c r="I1318" s="13">
        <v>44638.758738425924</v>
      </c>
      <c r="K1318" t="s">
        <v>412</v>
      </c>
      <c r="M1318" s="13">
        <v>44386</v>
      </c>
      <c r="R1318">
        <v>0</v>
      </c>
      <c r="S1318" t="s">
        <v>380</v>
      </c>
      <c r="T1318" t="s">
        <v>57</v>
      </c>
      <c r="V1318" t="s">
        <v>381</v>
      </c>
      <c r="W1318" t="s">
        <v>1775</v>
      </c>
      <c r="X1318" t="s">
        <v>1775</v>
      </c>
      <c r="AC1318" s="13">
        <v>44386</v>
      </c>
      <c r="AD1318" s="13">
        <v>44386</v>
      </c>
      <c r="AI1318">
        <v>-252</v>
      </c>
      <c r="AN1318" t="s">
        <v>31</v>
      </c>
      <c r="AO1318">
        <v>0</v>
      </c>
      <c r="AS1318" t="s">
        <v>385</v>
      </c>
      <c r="AX1318" t="s">
        <v>57</v>
      </c>
      <c r="AY1318" t="s">
        <v>386</v>
      </c>
      <c r="BF1318">
        <v>0</v>
      </c>
      <c r="BK1318" t="s">
        <v>31</v>
      </c>
      <c r="BS1318" t="s">
        <v>412</v>
      </c>
      <c r="CI1318" t="s">
        <v>388</v>
      </c>
      <c r="CJ1318" s="14">
        <v>45014</v>
      </c>
      <c r="CK1318">
        <v>1</v>
      </c>
    </row>
    <row r="1319" spans="1:89">
      <c r="A1319" t="s">
        <v>1907</v>
      </c>
      <c r="B1319" t="s">
        <v>374</v>
      </c>
      <c r="C1319" t="s">
        <v>607</v>
      </c>
      <c r="D1319" t="s">
        <v>2008</v>
      </c>
      <c r="E1319" t="s">
        <v>2009</v>
      </c>
      <c r="F1319" s="13">
        <v>44638.758726851855</v>
      </c>
      <c r="G1319" t="s">
        <v>641</v>
      </c>
      <c r="H1319" t="s">
        <v>642</v>
      </c>
      <c r="I1319" s="13">
        <v>44638.758726851855</v>
      </c>
      <c r="K1319" t="s">
        <v>412</v>
      </c>
      <c r="M1319" s="13">
        <v>44371</v>
      </c>
      <c r="R1319">
        <v>0</v>
      </c>
      <c r="S1319" t="s">
        <v>380</v>
      </c>
      <c r="T1319" t="s">
        <v>57</v>
      </c>
      <c r="V1319" t="s">
        <v>381</v>
      </c>
      <c r="W1319" t="s">
        <v>1762</v>
      </c>
      <c r="X1319" t="s">
        <v>1762</v>
      </c>
      <c r="AC1319" s="13">
        <v>44371</v>
      </c>
      <c r="AD1319" s="13">
        <v>44371</v>
      </c>
      <c r="AI1319">
        <v>-267</v>
      </c>
      <c r="AN1319" t="s">
        <v>31</v>
      </c>
      <c r="AO1319">
        <v>0</v>
      </c>
      <c r="AS1319" t="s">
        <v>526</v>
      </c>
      <c r="AX1319" t="s">
        <v>57</v>
      </c>
      <c r="AY1319" t="s">
        <v>386</v>
      </c>
      <c r="BF1319">
        <v>0</v>
      </c>
      <c r="BK1319" t="s">
        <v>31</v>
      </c>
      <c r="BS1319" t="s">
        <v>412</v>
      </c>
      <c r="CI1319" t="s">
        <v>388</v>
      </c>
      <c r="CJ1319" s="14">
        <v>45014</v>
      </c>
      <c r="CK1319">
        <v>1</v>
      </c>
    </row>
    <row r="1320" spans="1:89">
      <c r="A1320" t="s">
        <v>1946</v>
      </c>
      <c r="B1320" t="s">
        <v>374</v>
      </c>
      <c r="C1320" t="s">
        <v>1947</v>
      </c>
      <c r="D1320" t="s">
        <v>2010</v>
      </c>
      <c r="E1320" t="s">
        <v>2011</v>
      </c>
      <c r="F1320" s="13">
        <v>44638.758726851855</v>
      </c>
      <c r="G1320" t="s">
        <v>641</v>
      </c>
      <c r="H1320" t="s">
        <v>642</v>
      </c>
      <c r="I1320" s="13">
        <v>44638.758726851855</v>
      </c>
      <c r="K1320" t="s">
        <v>412</v>
      </c>
      <c r="M1320" s="13">
        <v>44635</v>
      </c>
      <c r="R1320">
        <v>0</v>
      </c>
      <c r="S1320" t="s">
        <v>380</v>
      </c>
      <c r="T1320" t="s">
        <v>57</v>
      </c>
      <c r="V1320" t="s">
        <v>381</v>
      </c>
      <c r="W1320" t="s">
        <v>1709</v>
      </c>
      <c r="X1320" t="s">
        <v>1709</v>
      </c>
      <c r="AC1320" s="13">
        <v>44635</v>
      </c>
      <c r="AD1320" s="13">
        <v>44635</v>
      </c>
      <c r="AI1320">
        <v>-3</v>
      </c>
      <c r="AN1320" t="s">
        <v>31</v>
      </c>
      <c r="AO1320">
        <v>0</v>
      </c>
      <c r="AS1320" t="s">
        <v>385</v>
      </c>
      <c r="AX1320" t="s">
        <v>57</v>
      </c>
      <c r="AY1320" t="s">
        <v>386</v>
      </c>
      <c r="BF1320">
        <v>0</v>
      </c>
      <c r="BK1320" t="s">
        <v>31</v>
      </c>
      <c r="BS1320" t="s">
        <v>412</v>
      </c>
      <c r="CI1320" t="s">
        <v>388</v>
      </c>
      <c r="CJ1320" s="14">
        <v>45014</v>
      </c>
      <c r="CK1320">
        <v>1</v>
      </c>
    </row>
    <row r="1321" spans="1:89">
      <c r="A1321" t="s">
        <v>1946</v>
      </c>
      <c r="B1321" t="s">
        <v>374</v>
      </c>
      <c r="C1321" t="s">
        <v>1947</v>
      </c>
      <c r="D1321" t="s">
        <v>2012</v>
      </c>
      <c r="E1321" t="s">
        <v>2013</v>
      </c>
      <c r="F1321" s="13">
        <v>44638.758726851855</v>
      </c>
      <c r="G1321" t="s">
        <v>641</v>
      </c>
      <c r="H1321" t="s">
        <v>642</v>
      </c>
      <c r="I1321" s="13">
        <v>44638.758726851855</v>
      </c>
      <c r="K1321" t="s">
        <v>412</v>
      </c>
      <c r="M1321" s="13">
        <v>44380</v>
      </c>
      <c r="R1321">
        <v>0</v>
      </c>
      <c r="S1321" t="s">
        <v>380</v>
      </c>
      <c r="T1321" t="s">
        <v>57</v>
      </c>
      <c r="V1321" t="s">
        <v>381</v>
      </c>
      <c r="W1321" t="s">
        <v>1775</v>
      </c>
      <c r="X1321" t="s">
        <v>1775</v>
      </c>
      <c r="AC1321" s="13">
        <v>44380</v>
      </c>
      <c r="AD1321" s="13">
        <v>44380</v>
      </c>
      <c r="AI1321">
        <v>-258</v>
      </c>
      <c r="AN1321" t="s">
        <v>31</v>
      </c>
      <c r="AO1321">
        <v>0</v>
      </c>
      <c r="AX1321" t="s">
        <v>57</v>
      </c>
      <c r="AY1321" t="s">
        <v>386</v>
      </c>
      <c r="BF1321">
        <v>0</v>
      </c>
      <c r="BK1321" t="s">
        <v>31</v>
      </c>
      <c r="BS1321" t="s">
        <v>412</v>
      </c>
      <c r="CI1321" t="s">
        <v>388</v>
      </c>
      <c r="CJ1321" s="14">
        <v>45014</v>
      </c>
      <c r="CK1321">
        <v>1</v>
      </c>
    </row>
    <row r="1322" spans="1:89">
      <c r="A1322" t="s">
        <v>1946</v>
      </c>
      <c r="B1322" t="s">
        <v>374</v>
      </c>
      <c r="C1322" t="s">
        <v>1947</v>
      </c>
      <c r="D1322" t="s">
        <v>2014</v>
      </c>
      <c r="E1322" t="s">
        <v>2015</v>
      </c>
      <c r="F1322" s="13">
        <v>44638.758715277778</v>
      </c>
      <c r="G1322" t="s">
        <v>641</v>
      </c>
      <c r="H1322" t="s">
        <v>642</v>
      </c>
      <c r="I1322" s="13">
        <v>44638.758715277778</v>
      </c>
      <c r="K1322" t="s">
        <v>412</v>
      </c>
      <c r="M1322" s="13">
        <v>44635</v>
      </c>
      <c r="R1322">
        <v>0</v>
      </c>
      <c r="S1322" t="s">
        <v>380</v>
      </c>
      <c r="T1322" t="s">
        <v>57</v>
      </c>
      <c r="V1322" t="s">
        <v>381</v>
      </c>
      <c r="W1322" t="s">
        <v>1762</v>
      </c>
      <c r="X1322" t="s">
        <v>1762</v>
      </c>
      <c r="AC1322" s="13">
        <v>44635</v>
      </c>
      <c r="AD1322" s="13">
        <v>44635</v>
      </c>
      <c r="AI1322">
        <v>-3</v>
      </c>
      <c r="AN1322" t="s">
        <v>31</v>
      </c>
      <c r="AO1322">
        <v>0</v>
      </c>
      <c r="AS1322" t="s">
        <v>385</v>
      </c>
      <c r="AX1322" t="s">
        <v>57</v>
      </c>
      <c r="AY1322" t="s">
        <v>386</v>
      </c>
      <c r="BF1322">
        <v>0</v>
      </c>
      <c r="BK1322" t="s">
        <v>31</v>
      </c>
      <c r="BS1322" t="s">
        <v>412</v>
      </c>
      <c r="CI1322" t="s">
        <v>388</v>
      </c>
      <c r="CJ1322" s="14">
        <v>45014</v>
      </c>
      <c r="CK1322">
        <v>1</v>
      </c>
    </row>
    <row r="1323" spans="1:89">
      <c r="A1323" t="s">
        <v>1946</v>
      </c>
      <c r="B1323" t="s">
        <v>374</v>
      </c>
      <c r="C1323" t="s">
        <v>1947</v>
      </c>
      <c r="D1323" t="s">
        <v>2016</v>
      </c>
      <c r="E1323" t="s">
        <v>2017</v>
      </c>
      <c r="F1323" s="13">
        <v>44638.758715277778</v>
      </c>
      <c r="G1323" t="s">
        <v>641</v>
      </c>
      <c r="H1323" t="s">
        <v>642</v>
      </c>
      <c r="I1323" s="13">
        <v>44638.758715277778</v>
      </c>
      <c r="K1323" t="s">
        <v>412</v>
      </c>
      <c r="M1323" s="13">
        <v>44635</v>
      </c>
      <c r="R1323">
        <v>0</v>
      </c>
      <c r="S1323" t="s">
        <v>380</v>
      </c>
      <c r="T1323" t="s">
        <v>57</v>
      </c>
      <c r="V1323" t="s">
        <v>381</v>
      </c>
      <c r="W1323" t="s">
        <v>1762</v>
      </c>
      <c r="X1323" t="s">
        <v>1762</v>
      </c>
      <c r="AC1323" s="13">
        <v>44635</v>
      </c>
      <c r="AD1323" s="13">
        <v>44635</v>
      </c>
      <c r="AI1323">
        <v>-3</v>
      </c>
      <c r="AN1323" t="s">
        <v>31</v>
      </c>
      <c r="AO1323">
        <v>0</v>
      </c>
      <c r="AS1323" t="s">
        <v>385</v>
      </c>
      <c r="AX1323" t="s">
        <v>57</v>
      </c>
      <c r="AY1323" t="s">
        <v>386</v>
      </c>
      <c r="BF1323">
        <v>0</v>
      </c>
      <c r="BK1323" t="s">
        <v>31</v>
      </c>
      <c r="BS1323" t="s">
        <v>412</v>
      </c>
      <c r="CI1323" t="s">
        <v>388</v>
      </c>
      <c r="CJ1323" s="14">
        <v>45014</v>
      </c>
      <c r="CK1323">
        <v>1</v>
      </c>
    </row>
    <row r="1324" spans="1:89">
      <c r="A1324" t="s">
        <v>2018</v>
      </c>
      <c r="B1324" t="s">
        <v>374</v>
      </c>
      <c r="C1324" t="s">
        <v>2019</v>
      </c>
      <c r="D1324" t="s">
        <v>2020</v>
      </c>
      <c r="E1324" t="s">
        <v>2021</v>
      </c>
      <c r="F1324" s="13">
        <v>44638.758703703701</v>
      </c>
      <c r="G1324" t="s">
        <v>641</v>
      </c>
      <c r="H1324" t="s">
        <v>642</v>
      </c>
      <c r="I1324" s="13">
        <v>44638.758703703701</v>
      </c>
      <c r="K1324" t="s">
        <v>412</v>
      </c>
      <c r="M1324" s="13">
        <v>44650</v>
      </c>
      <c r="R1324">
        <v>0</v>
      </c>
      <c r="S1324" t="s">
        <v>380</v>
      </c>
      <c r="T1324" t="s">
        <v>57</v>
      </c>
      <c r="V1324" t="s">
        <v>381</v>
      </c>
      <c r="W1324" t="s">
        <v>1932</v>
      </c>
      <c r="X1324" t="s">
        <v>1932</v>
      </c>
      <c r="AC1324" s="13">
        <v>44650</v>
      </c>
      <c r="AD1324" s="13">
        <v>44650</v>
      </c>
      <c r="AI1324">
        <v>12</v>
      </c>
      <c r="AN1324" t="s">
        <v>31</v>
      </c>
      <c r="AO1324">
        <v>0</v>
      </c>
      <c r="AS1324" t="s">
        <v>385</v>
      </c>
      <c r="AX1324" t="s">
        <v>57</v>
      </c>
      <c r="AY1324" t="s">
        <v>386</v>
      </c>
      <c r="BF1324">
        <v>0</v>
      </c>
      <c r="BK1324" t="s">
        <v>31</v>
      </c>
      <c r="BS1324" t="s">
        <v>412</v>
      </c>
      <c r="CI1324" t="s">
        <v>388</v>
      </c>
      <c r="CJ1324" s="14">
        <v>45014</v>
      </c>
      <c r="CK1324">
        <v>1</v>
      </c>
    </row>
    <row r="1325" spans="1:89">
      <c r="A1325" t="s">
        <v>2022</v>
      </c>
      <c r="B1325" t="s">
        <v>374</v>
      </c>
      <c r="C1325" t="s">
        <v>1182</v>
      </c>
      <c r="D1325" t="s">
        <v>2023</v>
      </c>
      <c r="E1325" t="s">
        <v>2024</v>
      </c>
      <c r="F1325" s="13">
        <v>44638.758703703701</v>
      </c>
      <c r="G1325" t="s">
        <v>641</v>
      </c>
      <c r="H1325" t="s">
        <v>642</v>
      </c>
      <c r="I1325" s="13">
        <v>44638.758703703701</v>
      </c>
      <c r="K1325" t="s">
        <v>412</v>
      </c>
      <c r="M1325" s="13">
        <v>44427</v>
      </c>
      <c r="R1325">
        <v>0</v>
      </c>
      <c r="S1325" t="s">
        <v>380</v>
      </c>
      <c r="T1325" t="s">
        <v>57</v>
      </c>
      <c r="V1325" t="s">
        <v>381</v>
      </c>
      <c r="W1325" t="s">
        <v>1974</v>
      </c>
      <c r="X1325" t="s">
        <v>1974</v>
      </c>
      <c r="AC1325" s="13">
        <v>44427</v>
      </c>
      <c r="AD1325" s="13">
        <v>44427</v>
      </c>
      <c r="AI1325">
        <v>-211</v>
      </c>
      <c r="AN1325" t="s">
        <v>31</v>
      </c>
      <c r="AO1325">
        <v>0</v>
      </c>
      <c r="AS1325" t="s">
        <v>648</v>
      </c>
      <c r="AX1325" t="s">
        <v>57</v>
      </c>
      <c r="AY1325" t="s">
        <v>386</v>
      </c>
      <c r="BF1325">
        <v>0</v>
      </c>
      <c r="BK1325" t="s">
        <v>31</v>
      </c>
      <c r="BS1325" t="s">
        <v>412</v>
      </c>
      <c r="CI1325" t="s">
        <v>388</v>
      </c>
      <c r="CJ1325" s="14">
        <v>45014</v>
      </c>
      <c r="CK1325">
        <v>1</v>
      </c>
    </row>
    <row r="1326" spans="1:89">
      <c r="A1326" t="s">
        <v>2022</v>
      </c>
      <c r="B1326" t="s">
        <v>374</v>
      </c>
      <c r="C1326" t="s">
        <v>1182</v>
      </c>
      <c r="D1326" t="s">
        <v>2025</v>
      </c>
      <c r="E1326" t="s">
        <v>2026</v>
      </c>
      <c r="F1326" s="13">
        <v>44638.758692129632</v>
      </c>
      <c r="G1326" t="s">
        <v>641</v>
      </c>
      <c r="H1326" t="s">
        <v>642</v>
      </c>
      <c r="I1326" s="13">
        <v>44638.758692129632</v>
      </c>
      <c r="K1326" t="s">
        <v>412</v>
      </c>
      <c r="M1326" s="13">
        <v>44399</v>
      </c>
      <c r="R1326">
        <v>0</v>
      </c>
      <c r="S1326" t="s">
        <v>380</v>
      </c>
      <c r="T1326" t="s">
        <v>57</v>
      </c>
      <c r="V1326" t="s">
        <v>381</v>
      </c>
      <c r="W1326" t="s">
        <v>2027</v>
      </c>
      <c r="X1326" t="s">
        <v>2027</v>
      </c>
      <c r="AC1326" s="13">
        <v>44399</v>
      </c>
      <c r="AD1326" s="13">
        <v>44399</v>
      </c>
      <c r="AI1326">
        <v>-239</v>
      </c>
      <c r="AN1326" t="s">
        <v>31</v>
      </c>
      <c r="AO1326">
        <v>0</v>
      </c>
      <c r="AS1326" t="s">
        <v>385</v>
      </c>
      <c r="AX1326" t="s">
        <v>57</v>
      </c>
      <c r="AY1326" t="s">
        <v>386</v>
      </c>
      <c r="BF1326">
        <v>0</v>
      </c>
      <c r="BK1326" t="s">
        <v>31</v>
      </c>
      <c r="BS1326" t="s">
        <v>412</v>
      </c>
      <c r="CI1326" t="s">
        <v>388</v>
      </c>
      <c r="CJ1326" s="14">
        <v>45014</v>
      </c>
      <c r="CK1326">
        <v>1</v>
      </c>
    </row>
    <row r="1327" spans="1:89">
      <c r="A1327" t="s">
        <v>2028</v>
      </c>
      <c r="B1327" t="s">
        <v>374</v>
      </c>
      <c r="C1327" t="s">
        <v>20</v>
      </c>
      <c r="D1327" t="s">
        <v>2029</v>
      </c>
      <c r="E1327" t="s">
        <v>2030</v>
      </c>
      <c r="F1327" s="13">
        <v>44638.758692129632</v>
      </c>
      <c r="G1327" t="s">
        <v>641</v>
      </c>
      <c r="H1327" t="s">
        <v>642</v>
      </c>
      <c r="I1327" s="13">
        <v>44638.758692129632</v>
      </c>
      <c r="K1327" t="s">
        <v>412</v>
      </c>
      <c r="M1327" s="13">
        <v>44552</v>
      </c>
      <c r="R1327">
        <v>0</v>
      </c>
      <c r="S1327" t="s">
        <v>380</v>
      </c>
      <c r="T1327" t="s">
        <v>57</v>
      </c>
      <c r="V1327" t="s">
        <v>381</v>
      </c>
      <c r="W1327" t="s">
        <v>2031</v>
      </c>
      <c r="X1327" t="s">
        <v>2031</v>
      </c>
      <c r="AC1327" s="13">
        <v>44552</v>
      </c>
      <c r="AD1327" s="13">
        <v>44552</v>
      </c>
      <c r="AI1327">
        <v>-86</v>
      </c>
      <c r="AN1327" t="s">
        <v>31</v>
      </c>
      <c r="AO1327">
        <v>0</v>
      </c>
      <c r="AS1327" t="s">
        <v>648</v>
      </c>
      <c r="AX1327" t="s">
        <v>57</v>
      </c>
      <c r="AY1327" t="s">
        <v>386</v>
      </c>
      <c r="BF1327">
        <v>0</v>
      </c>
      <c r="BK1327" t="s">
        <v>31</v>
      </c>
      <c r="BS1327" t="s">
        <v>412</v>
      </c>
      <c r="CI1327" t="s">
        <v>388</v>
      </c>
      <c r="CJ1327" s="14">
        <v>45014</v>
      </c>
      <c r="CK1327">
        <v>1</v>
      </c>
    </row>
    <row r="1328" spans="1:89">
      <c r="A1328" t="s">
        <v>1858</v>
      </c>
      <c r="B1328" t="s">
        <v>374</v>
      </c>
      <c r="C1328" t="s">
        <v>1859</v>
      </c>
      <c r="D1328" t="s">
        <v>2032</v>
      </c>
      <c r="E1328" t="s">
        <v>2033</v>
      </c>
      <c r="F1328" s="13">
        <v>44638.758680555555</v>
      </c>
      <c r="G1328" t="s">
        <v>641</v>
      </c>
      <c r="H1328" t="s">
        <v>642</v>
      </c>
      <c r="I1328" s="13">
        <v>44638.758680555555</v>
      </c>
      <c r="K1328" t="s">
        <v>412</v>
      </c>
      <c r="M1328" s="13">
        <v>41578</v>
      </c>
      <c r="R1328">
        <v>0</v>
      </c>
      <c r="S1328" t="s">
        <v>380</v>
      </c>
      <c r="T1328" t="s">
        <v>57</v>
      </c>
      <c r="V1328" t="s">
        <v>381</v>
      </c>
      <c r="W1328" t="s">
        <v>1932</v>
      </c>
      <c r="X1328" t="s">
        <v>1932</v>
      </c>
      <c r="AC1328" s="13">
        <v>41578</v>
      </c>
      <c r="AD1328" s="13">
        <v>41578</v>
      </c>
      <c r="AI1328">
        <v>-3060</v>
      </c>
      <c r="AN1328" t="s">
        <v>31</v>
      </c>
      <c r="AO1328">
        <v>0</v>
      </c>
      <c r="AS1328" t="s">
        <v>385</v>
      </c>
      <c r="AX1328" t="s">
        <v>57</v>
      </c>
      <c r="AY1328" t="s">
        <v>386</v>
      </c>
      <c r="BF1328">
        <v>0</v>
      </c>
      <c r="BK1328" t="s">
        <v>31</v>
      </c>
      <c r="BS1328" t="s">
        <v>412</v>
      </c>
      <c r="CI1328" t="s">
        <v>388</v>
      </c>
      <c r="CJ1328" s="14">
        <v>45014</v>
      </c>
      <c r="CK1328">
        <v>1</v>
      </c>
    </row>
    <row r="1329" spans="1:89">
      <c r="A1329" t="s">
        <v>2028</v>
      </c>
      <c r="B1329" t="s">
        <v>374</v>
      </c>
      <c r="C1329" t="s">
        <v>20</v>
      </c>
      <c r="D1329" t="s">
        <v>2034</v>
      </c>
      <c r="E1329" t="s">
        <v>2035</v>
      </c>
      <c r="F1329" s="13">
        <v>44638.758680555555</v>
      </c>
      <c r="G1329" t="s">
        <v>641</v>
      </c>
      <c r="H1329" t="s">
        <v>642</v>
      </c>
      <c r="I1329" s="13">
        <v>44638.758680555555</v>
      </c>
      <c r="K1329" t="s">
        <v>412</v>
      </c>
      <c r="M1329" s="13">
        <v>44552</v>
      </c>
      <c r="R1329">
        <v>0</v>
      </c>
      <c r="S1329" t="s">
        <v>380</v>
      </c>
      <c r="T1329" t="s">
        <v>57</v>
      </c>
      <c r="V1329" t="s">
        <v>381</v>
      </c>
      <c r="W1329" t="s">
        <v>2031</v>
      </c>
      <c r="X1329" t="s">
        <v>2031</v>
      </c>
      <c r="AC1329" s="13">
        <v>44552</v>
      </c>
      <c r="AD1329" s="13">
        <v>44552</v>
      </c>
      <c r="AI1329">
        <v>-86</v>
      </c>
      <c r="AN1329" t="s">
        <v>31</v>
      </c>
      <c r="AO1329">
        <v>0</v>
      </c>
      <c r="AS1329" t="s">
        <v>385</v>
      </c>
      <c r="AX1329" t="s">
        <v>57</v>
      </c>
      <c r="AY1329" t="s">
        <v>386</v>
      </c>
      <c r="BF1329">
        <v>0</v>
      </c>
      <c r="BK1329" t="s">
        <v>31</v>
      </c>
      <c r="BS1329" t="s">
        <v>412</v>
      </c>
      <c r="CI1329" t="s">
        <v>388</v>
      </c>
      <c r="CJ1329" s="14">
        <v>45014</v>
      </c>
      <c r="CK1329">
        <v>1</v>
      </c>
    </row>
    <row r="1330" spans="1:89">
      <c r="A1330" t="s">
        <v>1810</v>
      </c>
      <c r="B1330" t="s">
        <v>374</v>
      </c>
      <c r="C1330" t="s">
        <v>1811</v>
      </c>
      <c r="D1330" t="s">
        <v>2036</v>
      </c>
      <c r="E1330" t="s">
        <v>2037</v>
      </c>
      <c r="F1330" s="13">
        <v>44638.758668981478</v>
      </c>
      <c r="G1330" t="s">
        <v>641</v>
      </c>
      <c r="H1330" t="s">
        <v>642</v>
      </c>
      <c r="I1330" s="13">
        <v>44638.758668981478</v>
      </c>
      <c r="K1330" t="s">
        <v>412</v>
      </c>
      <c r="M1330" s="13">
        <v>44560</v>
      </c>
      <c r="R1330">
        <v>0</v>
      </c>
      <c r="S1330" t="s">
        <v>380</v>
      </c>
      <c r="T1330" t="s">
        <v>57</v>
      </c>
      <c r="V1330" t="s">
        <v>381</v>
      </c>
      <c r="W1330" t="s">
        <v>2038</v>
      </c>
      <c r="X1330" t="s">
        <v>2038</v>
      </c>
      <c r="AC1330" s="13">
        <v>44560</v>
      </c>
      <c r="AD1330" s="13">
        <v>44560</v>
      </c>
      <c r="AI1330">
        <v>-78</v>
      </c>
      <c r="AN1330" t="s">
        <v>31</v>
      </c>
      <c r="AO1330">
        <v>0</v>
      </c>
      <c r="AS1330" t="s">
        <v>526</v>
      </c>
      <c r="AX1330" t="s">
        <v>57</v>
      </c>
      <c r="AY1330" t="s">
        <v>386</v>
      </c>
      <c r="BF1330">
        <v>0</v>
      </c>
      <c r="BK1330" t="s">
        <v>31</v>
      </c>
      <c r="BS1330" t="s">
        <v>412</v>
      </c>
      <c r="CI1330" t="s">
        <v>388</v>
      </c>
      <c r="CJ1330" s="14">
        <v>45014</v>
      </c>
      <c r="CK1330">
        <v>1</v>
      </c>
    </row>
    <row r="1331" spans="1:89">
      <c r="A1331" t="s">
        <v>1872</v>
      </c>
      <c r="B1331" t="s">
        <v>374</v>
      </c>
      <c r="C1331" t="s">
        <v>1873</v>
      </c>
      <c r="D1331" t="s">
        <v>2039</v>
      </c>
      <c r="E1331" t="s">
        <v>2040</v>
      </c>
      <c r="F1331" s="13">
        <v>44638.758668981478</v>
      </c>
      <c r="G1331" t="s">
        <v>641</v>
      </c>
      <c r="H1331" t="s">
        <v>642</v>
      </c>
      <c r="I1331" s="13">
        <v>44638.758668981478</v>
      </c>
      <c r="K1331" t="s">
        <v>412</v>
      </c>
      <c r="M1331" s="13">
        <v>44612</v>
      </c>
      <c r="R1331">
        <v>0</v>
      </c>
      <c r="S1331" t="s">
        <v>380</v>
      </c>
      <c r="T1331" t="s">
        <v>57</v>
      </c>
      <c r="V1331" t="s">
        <v>381</v>
      </c>
      <c r="W1331" t="s">
        <v>2041</v>
      </c>
      <c r="X1331" t="s">
        <v>2041</v>
      </c>
      <c r="AC1331" s="13">
        <v>44612</v>
      </c>
      <c r="AD1331" s="13">
        <v>44612</v>
      </c>
      <c r="AI1331">
        <v>-26</v>
      </c>
      <c r="AN1331" t="s">
        <v>31</v>
      </c>
      <c r="AO1331">
        <v>0</v>
      </c>
      <c r="AS1331" t="s">
        <v>385</v>
      </c>
      <c r="AX1331" t="s">
        <v>57</v>
      </c>
      <c r="AY1331" t="s">
        <v>386</v>
      </c>
      <c r="BF1331">
        <v>0</v>
      </c>
      <c r="BK1331" t="s">
        <v>31</v>
      </c>
      <c r="BS1331" t="s">
        <v>412</v>
      </c>
      <c r="CI1331" t="s">
        <v>388</v>
      </c>
      <c r="CJ1331" s="14">
        <v>45014</v>
      </c>
      <c r="CK1331">
        <v>1</v>
      </c>
    </row>
    <row r="1332" spans="1:89">
      <c r="A1332" t="s">
        <v>1831</v>
      </c>
      <c r="B1332" t="s">
        <v>374</v>
      </c>
      <c r="C1332" t="s">
        <v>1832</v>
      </c>
      <c r="D1332" t="s">
        <v>2042</v>
      </c>
      <c r="E1332" t="s">
        <v>2043</v>
      </c>
      <c r="F1332" s="13">
        <v>44638.758657407408</v>
      </c>
      <c r="G1332" t="s">
        <v>641</v>
      </c>
      <c r="H1332" t="s">
        <v>642</v>
      </c>
      <c r="I1332" s="13">
        <v>44638.758657407408</v>
      </c>
      <c r="K1332" t="s">
        <v>412</v>
      </c>
      <c r="M1332" s="13">
        <v>44616</v>
      </c>
      <c r="R1332">
        <v>0</v>
      </c>
      <c r="S1332" t="s">
        <v>380</v>
      </c>
      <c r="T1332" t="s">
        <v>57</v>
      </c>
      <c r="V1332" t="s">
        <v>381</v>
      </c>
      <c r="W1332" t="s">
        <v>2044</v>
      </c>
      <c r="X1332" t="s">
        <v>2044</v>
      </c>
      <c r="AC1332" s="13">
        <v>44616</v>
      </c>
      <c r="AD1332" s="13">
        <v>44616</v>
      </c>
      <c r="AI1332">
        <v>-22</v>
      </c>
      <c r="AN1332" t="s">
        <v>31</v>
      </c>
      <c r="AO1332">
        <v>0</v>
      </c>
      <c r="AS1332" t="s">
        <v>385</v>
      </c>
      <c r="AX1332" t="s">
        <v>57</v>
      </c>
      <c r="AY1332" t="s">
        <v>386</v>
      </c>
      <c r="BF1332">
        <v>0</v>
      </c>
      <c r="BK1332" t="s">
        <v>31</v>
      </c>
      <c r="BS1332" t="s">
        <v>412</v>
      </c>
      <c r="CI1332" t="s">
        <v>388</v>
      </c>
      <c r="CJ1332" s="14">
        <v>45014</v>
      </c>
      <c r="CK1332">
        <v>1</v>
      </c>
    </row>
    <row r="1333" spans="1:89">
      <c r="A1333" t="s">
        <v>1769</v>
      </c>
      <c r="B1333" t="s">
        <v>374</v>
      </c>
      <c r="C1333" t="s">
        <v>1770</v>
      </c>
      <c r="D1333" t="s">
        <v>2045</v>
      </c>
      <c r="E1333" t="s">
        <v>2046</v>
      </c>
      <c r="F1333" s="13">
        <v>44638.758657407408</v>
      </c>
      <c r="G1333" t="s">
        <v>641</v>
      </c>
      <c r="H1333" t="s">
        <v>642</v>
      </c>
      <c r="I1333" s="13">
        <v>44638.758657407408</v>
      </c>
      <c r="K1333" t="s">
        <v>412</v>
      </c>
      <c r="M1333" s="13">
        <v>44651</v>
      </c>
      <c r="R1333">
        <v>0</v>
      </c>
      <c r="S1333" t="s">
        <v>380</v>
      </c>
      <c r="T1333" t="s">
        <v>57</v>
      </c>
      <c r="V1333" t="s">
        <v>381</v>
      </c>
      <c r="W1333" t="s">
        <v>1713</v>
      </c>
      <c r="X1333" t="s">
        <v>1713</v>
      </c>
      <c r="AC1333" s="13">
        <v>44651</v>
      </c>
      <c r="AD1333" s="13">
        <v>44651</v>
      </c>
      <c r="AI1333">
        <v>13</v>
      </c>
      <c r="AN1333" t="s">
        <v>31</v>
      </c>
      <c r="AO1333">
        <v>0</v>
      </c>
      <c r="AS1333" t="s">
        <v>385</v>
      </c>
      <c r="AX1333" t="s">
        <v>57</v>
      </c>
      <c r="AY1333" t="s">
        <v>386</v>
      </c>
      <c r="BF1333">
        <v>0</v>
      </c>
      <c r="BK1333" t="s">
        <v>31</v>
      </c>
      <c r="BS1333" t="s">
        <v>412</v>
      </c>
      <c r="CI1333" t="s">
        <v>388</v>
      </c>
      <c r="CJ1333" s="14">
        <v>45014</v>
      </c>
      <c r="CK1333">
        <v>1</v>
      </c>
    </row>
    <row r="1334" spans="1:89">
      <c r="A1334" t="s">
        <v>2047</v>
      </c>
      <c r="B1334" t="s">
        <v>374</v>
      </c>
      <c r="C1334" t="s">
        <v>2048</v>
      </c>
      <c r="D1334" t="s">
        <v>2049</v>
      </c>
      <c r="E1334" t="s">
        <v>2050</v>
      </c>
      <c r="F1334" s="13">
        <v>44638.758645833332</v>
      </c>
      <c r="G1334" t="s">
        <v>641</v>
      </c>
      <c r="H1334" t="s">
        <v>642</v>
      </c>
      <c r="I1334" s="13">
        <v>44638.758645833332</v>
      </c>
      <c r="K1334" t="s">
        <v>412</v>
      </c>
      <c r="M1334" s="13">
        <v>44591</v>
      </c>
      <c r="R1334">
        <v>0</v>
      </c>
      <c r="S1334" t="s">
        <v>380</v>
      </c>
      <c r="T1334" t="s">
        <v>57</v>
      </c>
      <c r="V1334" t="s">
        <v>381</v>
      </c>
      <c r="W1334" t="s">
        <v>2051</v>
      </c>
      <c r="X1334" t="s">
        <v>2051</v>
      </c>
      <c r="AC1334" s="13">
        <v>44591</v>
      </c>
      <c r="AD1334" s="13">
        <v>44591</v>
      </c>
      <c r="AI1334">
        <v>-47</v>
      </c>
      <c r="AN1334" t="s">
        <v>31</v>
      </c>
      <c r="AO1334">
        <v>0</v>
      </c>
      <c r="AS1334" t="s">
        <v>392</v>
      </c>
      <c r="AX1334" t="s">
        <v>57</v>
      </c>
      <c r="AY1334" t="s">
        <v>386</v>
      </c>
      <c r="BF1334">
        <v>0</v>
      </c>
      <c r="BK1334" t="s">
        <v>31</v>
      </c>
      <c r="BS1334" t="s">
        <v>412</v>
      </c>
      <c r="CI1334" t="s">
        <v>388</v>
      </c>
      <c r="CJ1334" s="14">
        <v>45014</v>
      </c>
      <c r="CK1334">
        <v>1</v>
      </c>
    </row>
    <row r="1335" spans="1:89">
      <c r="A1335" t="s">
        <v>2047</v>
      </c>
      <c r="B1335" t="s">
        <v>374</v>
      </c>
      <c r="C1335" t="s">
        <v>2048</v>
      </c>
      <c r="D1335" t="s">
        <v>2052</v>
      </c>
      <c r="E1335" t="s">
        <v>2053</v>
      </c>
      <c r="F1335" s="13">
        <v>44638.758645833332</v>
      </c>
      <c r="G1335" t="s">
        <v>641</v>
      </c>
      <c r="H1335" t="s">
        <v>642</v>
      </c>
      <c r="I1335" s="13">
        <v>44638.758645833332</v>
      </c>
      <c r="K1335" t="s">
        <v>412</v>
      </c>
      <c r="M1335" s="13">
        <v>44681</v>
      </c>
      <c r="R1335">
        <v>0</v>
      </c>
      <c r="S1335" t="s">
        <v>380</v>
      </c>
      <c r="T1335" t="s">
        <v>57</v>
      </c>
      <c r="V1335" t="s">
        <v>381</v>
      </c>
      <c r="W1335" t="s">
        <v>2051</v>
      </c>
      <c r="X1335" t="s">
        <v>2051</v>
      </c>
      <c r="AC1335" s="13">
        <v>44681</v>
      </c>
      <c r="AD1335" s="13">
        <v>44681</v>
      </c>
      <c r="AI1335">
        <v>43</v>
      </c>
      <c r="AN1335" t="s">
        <v>31</v>
      </c>
      <c r="AO1335">
        <v>0</v>
      </c>
      <c r="AS1335" t="s">
        <v>392</v>
      </c>
      <c r="AX1335" t="s">
        <v>57</v>
      </c>
      <c r="AY1335" t="s">
        <v>386</v>
      </c>
      <c r="BF1335">
        <v>0</v>
      </c>
      <c r="BK1335" t="s">
        <v>31</v>
      </c>
      <c r="BS1335" t="s">
        <v>412</v>
      </c>
      <c r="CI1335" t="s">
        <v>388</v>
      </c>
      <c r="CJ1335" s="14">
        <v>45014</v>
      </c>
      <c r="CK1335">
        <v>1</v>
      </c>
    </row>
    <row r="1336" spans="1:89">
      <c r="A1336" t="s">
        <v>2047</v>
      </c>
      <c r="B1336" t="s">
        <v>374</v>
      </c>
      <c r="C1336" t="s">
        <v>2048</v>
      </c>
      <c r="D1336" t="s">
        <v>2054</v>
      </c>
      <c r="E1336" t="s">
        <v>2055</v>
      </c>
      <c r="F1336" s="13">
        <v>44638.758634259262</v>
      </c>
      <c r="G1336" t="s">
        <v>641</v>
      </c>
      <c r="H1336" t="s">
        <v>642</v>
      </c>
      <c r="I1336" s="13">
        <v>44638.758634259262</v>
      </c>
      <c r="K1336" t="s">
        <v>412</v>
      </c>
      <c r="M1336" s="13">
        <v>44650</v>
      </c>
      <c r="R1336">
        <v>0</v>
      </c>
      <c r="S1336" t="s">
        <v>380</v>
      </c>
      <c r="T1336" t="s">
        <v>57</v>
      </c>
      <c r="V1336" t="s">
        <v>381</v>
      </c>
      <c r="W1336" t="s">
        <v>2051</v>
      </c>
      <c r="X1336" t="s">
        <v>2051</v>
      </c>
      <c r="AC1336" s="13">
        <v>44650</v>
      </c>
      <c r="AD1336" s="13">
        <v>44650</v>
      </c>
      <c r="AI1336">
        <v>12</v>
      </c>
      <c r="AN1336" t="s">
        <v>31</v>
      </c>
      <c r="AO1336">
        <v>0</v>
      </c>
      <c r="AS1336" t="s">
        <v>392</v>
      </c>
      <c r="AX1336" t="s">
        <v>57</v>
      </c>
      <c r="AY1336" t="s">
        <v>386</v>
      </c>
      <c r="BF1336">
        <v>0</v>
      </c>
      <c r="BK1336" t="s">
        <v>31</v>
      </c>
      <c r="BS1336" t="s">
        <v>412</v>
      </c>
      <c r="CI1336" t="s">
        <v>388</v>
      </c>
      <c r="CJ1336" s="14">
        <v>45014</v>
      </c>
      <c r="CK1336">
        <v>1</v>
      </c>
    </row>
    <row r="1337" spans="1:89">
      <c r="A1337" t="s">
        <v>637</v>
      </c>
      <c r="B1337" t="s">
        <v>374</v>
      </c>
      <c r="C1337" t="s">
        <v>638</v>
      </c>
      <c r="D1337" t="s">
        <v>2056</v>
      </c>
      <c r="E1337" t="s">
        <v>640</v>
      </c>
      <c r="F1337" s="13">
        <v>44638.751273148147</v>
      </c>
      <c r="G1337" t="s">
        <v>641</v>
      </c>
      <c r="H1337" t="s">
        <v>642</v>
      </c>
      <c r="I1337" s="13">
        <v>44833.703101851854</v>
      </c>
      <c r="K1337" t="s">
        <v>412</v>
      </c>
      <c r="M1337" s="13">
        <v>44742</v>
      </c>
      <c r="R1337">
        <v>0</v>
      </c>
      <c r="S1337" t="s">
        <v>380</v>
      </c>
      <c r="T1337" t="s">
        <v>57</v>
      </c>
      <c r="V1337" t="s">
        <v>381</v>
      </c>
      <c r="W1337" t="s">
        <v>643</v>
      </c>
      <c r="X1337" t="s">
        <v>643</v>
      </c>
      <c r="AC1337" s="13">
        <v>44834</v>
      </c>
      <c r="AD1337" s="13">
        <v>44834</v>
      </c>
      <c r="AI1337">
        <v>104</v>
      </c>
      <c r="AN1337" t="s">
        <v>31</v>
      </c>
      <c r="AO1337">
        <v>0</v>
      </c>
      <c r="AS1337" t="s">
        <v>538</v>
      </c>
      <c r="AX1337" t="s">
        <v>57</v>
      </c>
      <c r="AY1337" t="s">
        <v>442</v>
      </c>
      <c r="AZ1337" t="s">
        <v>644</v>
      </c>
      <c r="BF1337">
        <v>0</v>
      </c>
      <c r="BK1337" t="s">
        <v>31</v>
      </c>
      <c r="BS1337" t="s">
        <v>412</v>
      </c>
      <c r="CI1337" t="s">
        <v>388</v>
      </c>
      <c r="CJ1337" s="14">
        <v>45014</v>
      </c>
      <c r="CK1337">
        <v>1</v>
      </c>
    </row>
    <row r="1338" spans="1:89">
      <c r="A1338" t="s">
        <v>637</v>
      </c>
      <c r="B1338" t="s">
        <v>374</v>
      </c>
      <c r="C1338" t="s">
        <v>638</v>
      </c>
      <c r="D1338" t="s">
        <v>2057</v>
      </c>
      <c r="E1338" t="s">
        <v>646</v>
      </c>
      <c r="F1338" s="13">
        <v>44638.751261574071</v>
      </c>
      <c r="G1338" t="s">
        <v>641</v>
      </c>
      <c r="H1338" t="s">
        <v>642</v>
      </c>
      <c r="I1338" s="13">
        <v>44833.703101851854</v>
      </c>
      <c r="K1338" t="s">
        <v>412</v>
      </c>
      <c r="M1338" s="13">
        <v>44620</v>
      </c>
      <c r="R1338">
        <v>0</v>
      </c>
      <c r="S1338" t="s">
        <v>416</v>
      </c>
      <c r="T1338" t="s">
        <v>57</v>
      </c>
      <c r="V1338" t="s">
        <v>381</v>
      </c>
      <c r="W1338" t="s">
        <v>647</v>
      </c>
      <c r="X1338" t="s">
        <v>647</v>
      </c>
      <c r="AC1338" s="13">
        <v>44711</v>
      </c>
      <c r="AD1338" s="13">
        <v>44711</v>
      </c>
      <c r="AI1338">
        <v>-18</v>
      </c>
      <c r="AN1338" t="s">
        <v>31</v>
      </c>
      <c r="AO1338">
        <v>0</v>
      </c>
      <c r="AS1338" t="s">
        <v>648</v>
      </c>
      <c r="AX1338" t="s">
        <v>31</v>
      </c>
      <c r="AY1338" t="s">
        <v>386</v>
      </c>
      <c r="AZ1338" t="s">
        <v>649</v>
      </c>
      <c r="BF1338">
        <v>0</v>
      </c>
      <c r="BK1338" t="s">
        <v>31</v>
      </c>
      <c r="BS1338" t="s">
        <v>412</v>
      </c>
      <c r="CI1338" t="s">
        <v>388</v>
      </c>
      <c r="CJ1338" s="14">
        <v>45014</v>
      </c>
      <c r="CK1338">
        <v>1</v>
      </c>
    </row>
    <row r="1339" spans="1:89">
      <c r="A1339" t="s">
        <v>637</v>
      </c>
      <c r="B1339" t="s">
        <v>374</v>
      </c>
      <c r="C1339" t="s">
        <v>638</v>
      </c>
      <c r="D1339" t="s">
        <v>2058</v>
      </c>
      <c r="E1339" t="s">
        <v>651</v>
      </c>
      <c r="F1339" s="13">
        <v>44638.751261574071</v>
      </c>
      <c r="G1339" t="s">
        <v>641</v>
      </c>
      <c r="H1339" t="s">
        <v>642</v>
      </c>
      <c r="I1339" s="13">
        <v>44833.703101851854</v>
      </c>
      <c r="K1339" t="s">
        <v>412</v>
      </c>
      <c r="M1339" s="13">
        <v>44620</v>
      </c>
      <c r="R1339">
        <v>0</v>
      </c>
      <c r="S1339" t="s">
        <v>416</v>
      </c>
      <c r="T1339" t="s">
        <v>57</v>
      </c>
      <c r="V1339" t="s">
        <v>381</v>
      </c>
      <c r="W1339" t="s">
        <v>647</v>
      </c>
      <c r="X1339" t="s">
        <v>647</v>
      </c>
      <c r="AC1339" s="13">
        <v>44711</v>
      </c>
      <c r="AD1339" s="13">
        <v>44711</v>
      </c>
      <c r="AI1339">
        <v>-18</v>
      </c>
      <c r="AN1339" t="s">
        <v>31</v>
      </c>
      <c r="AO1339">
        <v>0</v>
      </c>
      <c r="AS1339" t="s">
        <v>392</v>
      </c>
      <c r="AX1339" t="s">
        <v>31</v>
      </c>
      <c r="AY1339" t="s">
        <v>386</v>
      </c>
      <c r="AZ1339" t="s">
        <v>652</v>
      </c>
      <c r="BF1339">
        <v>0</v>
      </c>
      <c r="BK1339" t="s">
        <v>31</v>
      </c>
      <c r="BS1339" t="s">
        <v>412</v>
      </c>
      <c r="CI1339" t="s">
        <v>388</v>
      </c>
      <c r="CJ1339" s="14">
        <v>45014</v>
      </c>
      <c r="CK1339">
        <v>1</v>
      </c>
    </row>
    <row r="1340" spans="1:89">
      <c r="A1340" t="s">
        <v>637</v>
      </c>
      <c r="B1340" t="s">
        <v>374</v>
      </c>
      <c r="C1340" t="s">
        <v>638</v>
      </c>
      <c r="D1340" t="s">
        <v>2059</v>
      </c>
      <c r="E1340" t="s">
        <v>654</v>
      </c>
      <c r="F1340" s="13">
        <v>44638.751250000001</v>
      </c>
      <c r="G1340" t="s">
        <v>641</v>
      </c>
      <c r="H1340" t="s">
        <v>642</v>
      </c>
      <c r="I1340" s="13">
        <v>44833.703101851854</v>
      </c>
      <c r="K1340" t="s">
        <v>412</v>
      </c>
      <c r="M1340" s="13">
        <v>44620</v>
      </c>
      <c r="R1340">
        <v>0</v>
      </c>
      <c r="S1340" t="s">
        <v>380</v>
      </c>
      <c r="T1340" t="s">
        <v>57</v>
      </c>
      <c r="V1340" t="s">
        <v>381</v>
      </c>
      <c r="W1340" t="s">
        <v>647</v>
      </c>
      <c r="X1340" t="s">
        <v>647</v>
      </c>
      <c r="AC1340" s="13">
        <v>44711</v>
      </c>
      <c r="AD1340" s="13">
        <v>44711</v>
      </c>
      <c r="AI1340">
        <v>-18</v>
      </c>
      <c r="AN1340" t="s">
        <v>31</v>
      </c>
      <c r="AO1340">
        <v>0</v>
      </c>
      <c r="AS1340" t="s">
        <v>385</v>
      </c>
      <c r="AX1340" t="s">
        <v>31</v>
      </c>
      <c r="AY1340" t="s">
        <v>442</v>
      </c>
      <c r="AZ1340" t="s">
        <v>655</v>
      </c>
      <c r="BF1340">
        <v>0</v>
      </c>
      <c r="BK1340" t="s">
        <v>31</v>
      </c>
      <c r="BS1340" t="s">
        <v>412</v>
      </c>
      <c r="CI1340" t="s">
        <v>388</v>
      </c>
      <c r="CJ1340" s="14">
        <v>45014</v>
      </c>
      <c r="CK1340">
        <v>1</v>
      </c>
    </row>
    <row r="1341" spans="1:89">
      <c r="A1341" t="s">
        <v>637</v>
      </c>
      <c r="B1341" t="s">
        <v>374</v>
      </c>
      <c r="C1341" t="s">
        <v>638</v>
      </c>
      <c r="D1341" t="s">
        <v>2060</v>
      </c>
      <c r="E1341" t="s">
        <v>657</v>
      </c>
      <c r="F1341" s="13">
        <v>44638.751250000001</v>
      </c>
      <c r="G1341" t="s">
        <v>641</v>
      </c>
      <c r="H1341" t="s">
        <v>642</v>
      </c>
      <c r="I1341" s="13">
        <v>44833.703101851854</v>
      </c>
      <c r="K1341" t="s">
        <v>412</v>
      </c>
      <c r="M1341" s="13">
        <v>44620</v>
      </c>
      <c r="R1341">
        <v>0</v>
      </c>
      <c r="S1341" t="s">
        <v>380</v>
      </c>
      <c r="T1341" t="s">
        <v>57</v>
      </c>
      <c r="V1341" t="s">
        <v>381</v>
      </c>
      <c r="W1341" t="s">
        <v>647</v>
      </c>
      <c r="X1341" t="s">
        <v>647</v>
      </c>
      <c r="AC1341" s="13">
        <v>44711</v>
      </c>
      <c r="AD1341" s="13">
        <v>44711</v>
      </c>
      <c r="AI1341">
        <v>-18</v>
      </c>
      <c r="AN1341" t="s">
        <v>31</v>
      </c>
      <c r="AO1341">
        <v>0</v>
      </c>
      <c r="AS1341" t="s">
        <v>385</v>
      </c>
      <c r="AX1341" t="s">
        <v>31</v>
      </c>
      <c r="AY1341" t="s">
        <v>442</v>
      </c>
      <c r="AZ1341" t="s">
        <v>658</v>
      </c>
      <c r="BF1341">
        <v>0</v>
      </c>
      <c r="BK1341" t="s">
        <v>31</v>
      </c>
      <c r="BS1341" t="s">
        <v>412</v>
      </c>
      <c r="CI1341" t="s">
        <v>388</v>
      </c>
      <c r="CJ1341" s="14">
        <v>45014</v>
      </c>
      <c r="CK1341">
        <v>1</v>
      </c>
    </row>
    <row r="1342" spans="1:89">
      <c r="A1342" t="s">
        <v>637</v>
      </c>
      <c r="B1342" t="s">
        <v>374</v>
      </c>
      <c r="C1342" t="s">
        <v>638</v>
      </c>
      <c r="D1342" t="s">
        <v>2061</v>
      </c>
      <c r="E1342" t="s">
        <v>660</v>
      </c>
      <c r="F1342" s="13">
        <v>44638.751238425924</v>
      </c>
      <c r="G1342" t="s">
        <v>641</v>
      </c>
      <c r="H1342" t="s">
        <v>642</v>
      </c>
      <c r="I1342" s="13">
        <v>44833.703101851854</v>
      </c>
      <c r="K1342" t="s">
        <v>412</v>
      </c>
      <c r="M1342" s="13">
        <v>44620</v>
      </c>
      <c r="R1342">
        <v>0</v>
      </c>
      <c r="S1342" t="s">
        <v>380</v>
      </c>
      <c r="T1342" t="s">
        <v>57</v>
      </c>
      <c r="V1342" t="s">
        <v>381</v>
      </c>
      <c r="W1342" t="s">
        <v>647</v>
      </c>
      <c r="X1342" t="s">
        <v>647</v>
      </c>
      <c r="AC1342" s="13">
        <v>44711</v>
      </c>
      <c r="AD1342" s="13">
        <v>44711</v>
      </c>
      <c r="AI1342">
        <v>-18</v>
      </c>
      <c r="AN1342" t="s">
        <v>31</v>
      </c>
      <c r="AO1342">
        <v>0</v>
      </c>
      <c r="AS1342" t="s">
        <v>526</v>
      </c>
      <c r="AX1342" t="s">
        <v>31</v>
      </c>
      <c r="AY1342" t="s">
        <v>442</v>
      </c>
      <c r="AZ1342" t="s">
        <v>661</v>
      </c>
      <c r="BF1342">
        <v>0</v>
      </c>
      <c r="BK1342" t="s">
        <v>31</v>
      </c>
      <c r="BS1342" t="s">
        <v>412</v>
      </c>
      <c r="CI1342" t="s">
        <v>388</v>
      </c>
      <c r="CJ1342" s="14">
        <v>45014</v>
      </c>
      <c r="CK1342">
        <v>1</v>
      </c>
    </row>
    <row r="1343" spans="1:89">
      <c r="A1343" t="s">
        <v>637</v>
      </c>
      <c r="B1343" t="s">
        <v>374</v>
      </c>
      <c r="C1343" t="s">
        <v>638</v>
      </c>
      <c r="D1343" t="s">
        <v>2062</v>
      </c>
      <c r="E1343" t="s">
        <v>663</v>
      </c>
      <c r="F1343" s="13">
        <v>44638.751238425924</v>
      </c>
      <c r="G1343" t="s">
        <v>641</v>
      </c>
      <c r="H1343" t="s">
        <v>642</v>
      </c>
      <c r="I1343" s="13">
        <v>44833.703101851854</v>
      </c>
      <c r="K1343" t="s">
        <v>412</v>
      </c>
      <c r="M1343" s="13">
        <v>44620</v>
      </c>
      <c r="R1343">
        <v>0</v>
      </c>
      <c r="S1343" t="s">
        <v>380</v>
      </c>
      <c r="T1343" t="s">
        <v>57</v>
      </c>
      <c r="V1343" t="s">
        <v>381</v>
      </c>
      <c r="W1343" t="s">
        <v>647</v>
      </c>
      <c r="X1343" t="s">
        <v>647</v>
      </c>
      <c r="AC1343" s="13">
        <v>44711</v>
      </c>
      <c r="AD1343" s="13">
        <v>44711</v>
      </c>
      <c r="AI1343">
        <v>-18</v>
      </c>
      <c r="AN1343" t="s">
        <v>31</v>
      </c>
      <c r="AO1343">
        <v>0</v>
      </c>
      <c r="AS1343" t="s">
        <v>648</v>
      </c>
      <c r="AX1343" t="s">
        <v>31</v>
      </c>
      <c r="AY1343" t="s">
        <v>442</v>
      </c>
      <c r="AZ1343" t="s">
        <v>648</v>
      </c>
      <c r="BF1343">
        <v>0</v>
      </c>
      <c r="BK1343" t="s">
        <v>31</v>
      </c>
      <c r="BS1343" t="s">
        <v>412</v>
      </c>
      <c r="CI1343" t="s">
        <v>388</v>
      </c>
      <c r="CJ1343" s="14">
        <v>45014</v>
      </c>
      <c r="CK1343">
        <v>1</v>
      </c>
    </row>
    <row r="1344" spans="1:89">
      <c r="A1344" t="s">
        <v>637</v>
      </c>
      <c r="B1344" t="s">
        <v>374</v>
      </c>
      <c r="C1344" t="s">
        <v>638</v>
      </c>
      <c r="D1344" t="s">
        <v>2063</v>
      </c>
      <c r="E1344" t="s">
        <v>665</v>
      </c>
      <c r="F1344" s="13">
        <v>44638.751238425924</v>
      </c>
      <c r="G1344" t="s">
        <v>641</v>
      </c>
      <c r="H1344" t="s">
        <v>642</v>
      </c>
      <c r="I1344" s="13">
        <v>44833.703101851854</v>
      </c>
      <c r="K1344" t="s">
        <v>412</v>
      </c>
      <c r="M1344" s="13">
        <v>44620</v>
      </c>
      <c r="R1344">
        <v>0</v>
      </c>
      <c r="S1344" t="s">
        <v>380</v>
      </c>
      <c r="T1344" t="s">
        <v>57</v>
      </c>
      <c r="V1344" t="s">
        <v>381</v>
      </c>
      <c r="W1344" t="s">
        <v>647</v>
      </c>
      <c r="X1344" t="s">
        <v>647</v>
      </c>
      <c r="AC1344" s="13">
        <v>44711</v>
      </c>
      <c r="AD1344" s="13">
        <v>44711</v>
      </c>
      <c r="AI1344">
        <v>-18</v>
      </c>
      <c r="AN1344" t="s">
        <v>31</v>
      </c>
      <c r="AO1344">
        <v>0</v>
      </c>
      <c r="AS1344" t="s">
        <v>385</v>
      </c>
      <c r="AX1344" t="s">
        <v>31</v>
      </c>
      <c r="AY1344" t="s">
        <v>442</v>
      </c>
      <c r="AZ1344" t="s">
        <v>666</v>
      </c>
      <c r="BF1344">
        <v>0</v>
      </c>
      <c r="BK1344" t="s">
        <v>31</v>
      </c>
      <c r="BS1344" t="s">
        <v>412</v>
      </c>
      <c r="CI1344" t="s">
        <v>388</v>
      </c>
      <c r="CJ1344" s="14">
        <v>45014</v>
      </c>
      <c r="CK1344">
        <v>1</v>
      </c>
    </row>
    <row r="1345" spans="1:89">
      <c r="A1345" t="s">
        <v>1181</v>
      </c>
      <c r="B1345" t="s">
        <v>374</v>
      </c>
      <c r="C1345" t="s">
        <v>1182</v>
      </c>
      <c r="D1345" t="s">
        <v>2064</v>
      </c>
      <c r="E1345" t="s">
        <v>671</v>
      </c>
      <c r="F1345" s="13">
        <v>44638.751226851855</v>
      </c>
      <c r="G1345" t="s">
        <v>641</v>
      </c>
      <c r="H1345" t="s">
        <v>642</v>
      </c>
      <c r="I1345" s="13">
        <v>44833.703101851854</v>
      </c>
      <c r="K1345" t="s">
        <v>412</v>
      </c>
      <c r="M1345" s="13">
        <v>44620</v>
      </c>
      <c r="R1345">
        <v>0</v>
      </c>
      <c r="S1345" t="s">
        <v>380</v>
      </c>
      <c r="T1345" t="s">
        <v>57</v>
      </c>
      <c r="V1345" t="s">
        <v>381</v>
      </c>
      <c r="W1345" t="s">
        <v>647</v>
      </c>
      <c r="X1345" t="s">
        <v>647</v>
      </c>
      <c r="AC1345" s="13">
        <v>44711</v>
      </c>
      <c r="AD1345" s="13">
        <v>44711</v>
      </c>
      <c r="AI1345">
        <v>-18</v>
      </c>
      <c r="AN1345" t="s">
        <v>31</v>
      </c>
      <c r="AO1345">
        <v>0</v>
      </c>
      <c r="AS1345" t="s">
        <v>538</v>
      </c>
      <c r="AX1345" t="s">
        <v>31</v>
      </c>
      <c r="AY1345" t="s">
        <v>442</v>
      </c>
      <c r="AZ1345" t="s">
        <v>672</v>
      </c>
      <c r="BF1345">
        <v>0</v>
      </c>
      <c r="BK1345" t="s">
        <v>31</v>
      </c>
      <c r="BS1345" t="s">
        <v>412</v>
      </c>
      <c r="CI1345" t="s">
        <v>388</v>
      </c>
      <c r="CJ1345" s="14">
        <v>45014</v>
      </c>
      <c r="CK1345">
        <v>1</v>
      </c>
    </row>
    <row r="1346" spans="1:89">
      <c r="A1346" t="s">
        <v>1181</v>
      </c>
      <c r="B1346" t="s">
        <v>374</v>
      </c>
      <c r="C1346" t="s">
        <v>1182</v>
      </c>
      <c r="D1346" t="s">
        <v>2065</v>
      </c>
      <c r="E1346" t="s">
        <v>668</v>
      </c>
      <c r="F1346" s="13">
        <v>44638.751226851855</v>
      </c>
      <c r="G1346" t="s">
        <v>641</v>
      </c>
      <c r="H1346" t="s">
        <v>642</v>
      </c>
      <c r="I1346" s="13">
        <v>44833.703101851854</v>
      </c>
      <c r="K1346" t="s">
        <v>412</v>
      </c>
      <c r="M1346" s="13">
        <v>44620</v>
      </c>
      <c r="R1346">
        <v>0</v>
      </c>
      <c r="S1346" t="s">
        <v>380</v>
      </c>
      <c r="T1346" t="s">
        <v>57</v>
      </c>
      <c r="V1346" t="s">
        <v>381</v>
      </c>
      <c r="W1346" t="s">
        <v>647</v>
      </c>
      <c r="X1346" t="s">
        <v>647</v>
      </c>
      <c r="AC1346" s="13">
        <v>44711</v>
      </c>
      <c r="AD1346" s="13">
        <v>44711</v>
      </c>
      <c r="AI1346">
        <v>-18</v>
      </c>
      <c r="AN1346" t="s">
        <v>31</v>
      </c>
      <c r="AO1346">
        <v>0</v>
      </c>
      <c r="AS1346" t="s">
        <v>648</v>
      </c>
      <c r="AX1346" t="s">
        <v>31</v>
      </c>
      <c r="AY1346" t="s">
        <v>442</v>
      </c>
      <c r="AZ1346" t="s">
        <v>669</v>
      </c>
      <c r="BF1346">
        <v>0</v>
      </c>
      <c r="BK1346" t="s">
        <v>31</v>
      </c>
      <c r="BS1346" t="s">
        <v>412</v>
      </c>
      <c r="CI1346" t="s">
        <v>388</v>
      </c>
      <c r="CJ1346" s="14">
        <v>45014</v>
      </c>
      <c r="CK1346">
        <v>1</v>
      </c>
    </row>
    <row r="1347" spans="1:89">
      <c r="A1347" t="s">
        <v>2066</v>
      </c>
      <c r="B1347" t="s">
        <v>374</v>
      </c>
      <c r="C1347" t="s">
        <v>2067</v>
      </c>
      <c r="D1347" t="s">
        <v>2068</v>
      </c>
      <c r="E1347" t="s">
        <v>2069</v>
      </c>
      <c r="F1347" s="13">
        <v>44638.441678240742</v>
      </c>
      <c r="G1347" t="s">
        <v>2070</v>
      </c>
      <c r="H1347" t="s">
        <v>2071</v>
      </c>
      <c r="I1347" s="13">
        <v>45012.044259259259</v>
      </c>
      <c r="K1347" t="s">
        <v>415</v>
      </c>
      <c r="M1347" s="13">
        <v>44651</v>
      </c>
      <c r="R1347">
        <v>0</v>
      </c>
      <c r="S1347" t="s">
        <v>380</v>
      </c>
      <c r="T1347" t="s">
        <v>57</v>
      </c>
      <c r="V1347" t="s">
        <v>478</v>
      </c>
      <c r="W1347" t="s">
        <v>2072</v>
      </c>
      <c r="X1347" t="s">
        <v>2072</v>
      </c>
      <c r="AC1347" s="13">
        <v>44742</v>
      </c>
      <c r="AD1347" s="13">
        <v>44651</v>
      </c>
      <c r="AF1347" t="s">
        <v>451</v>
      </c>
      <c r="AI1347">
        <v>-361</v>
      </c>
      <c r="AL1347" t="s">
        <v>2073</v>
      </c>
      <c r="AN1347" t="s">
        <v>31</v>
      </c>
      <c r="AO1347">
        <v>0</v>
      </c>
      <c r="AS1347" t="s">
        <v>385</v>
      </c>
      <c r="AX1347" t="s">
        <v>57</v>
      </c>
      <c r="AY1347" t="s">
        <v>442</v>
      </c>
      <c r="AZ1347" t="s">
        <v>2074</v>
      </c>
      <c r="BF1347">
        <v>0</v>
      </c>
      <c r="BK1347" t="s">
        <v>31</v>
      </c>
      <c r="BS1347" t="s">
        <v>419</v>
      </c>
      <c r="BT1347" t="s">
        <v>419</v>
      </c>
      <c r="CI1347" t="s">
        <v>388</v>
      </c>
      <c r="CJ1347" s="14">
        <v>45014</v>
      </c>
      <c r="CK1347">
        <v>1</v>
      </c>
    </row>
    <row r="1348" spans="1:89">
      <c r="A1348" t="s">
        <v>2075</v>
      </c>
      <c r="B1348" t="s">
        <v>374</v>
      </c>
      <c r="C1348" t="s">
        <v>2076</v>
      </c>
      <c r="D1348" t="s">
        <v>2077</v>
      </c>
      <c r="E1348" t="s">
        <v>2078</v>
      </c>
      <c r="F1348" s="13">
        <v>44637.628877314812</v>
      </c>
      <c r="G1348" t="s">
        <v>2079</v>
      </c>
      <c r="H1348" t="s">
        <v>2080</v>
      </c>
      <c r="I1348" s="13">
        <v>45012.044247685182</v>
      </c>
      <c r="K1348" t="s">
        <v>415</v>
      </c>
      <c r="M1348" s="13">
        <v>44673</v>
      </c>
      <c r="R1348">
        <v>0</v>
      </c>
      <c r="S1348" t="s">
        <v>380</v>
      </c>
      <c r="T1348" t="s">
        <v>57</v>
      </c>
      <c r="V1348" t="s">
        <v>478</v>
      </c>
      <c r="W1348" t="s">
        <v>2081</v>
      </c>
      <c r="X1348" t="s">
        <v>2081</v>
      </c>
      <c r="AF1348" t="s">
        <v>451</v>
      </c>
      <c r="AI1348">
        <v>-339</v>
      </c>
      <c r="AL1348" t="s">
        <v>2082</v>
      </c>
      <c r="AN1348" t="s">
        <v>31</v>
      </c>
      <c r="AO1348">
        <v>0</v>
      </c>
      <c r="AS1348" t="s">
        <v>385</v>
      </c>
      <c r="AX1348" t="s">
        <v>57</v>
      </c>
      <c r="AY1348" t="s">
        <v>386</v>
      </c>
      <c r="AZ1348" t="s">
        <v>2083</v>
      </c>
      <c r="BF1348">
        <v>0</v>
      </c>
      <c r="BK1348" t="s">
        <v>31</v>
      </c>
      <c r="BS1348" t="s">
        <v>419</v>
      </c>
      <c r="BT1348" t="s">
        <v>419</v>
      </c>
      <c r="CI1348" t="s">
        <v>388</v>
      </c>
      <c r="CJ1348" s="14">
        <v>45014</v>
      </c>
      <c r="CK1348">
        <v>1</v>
      </c>
    </row>
    <row r="1349" spans="1:89">
      <c r="A1349" t="s">
        <v>1655</v>
      </c>
      <c r="B1349" t="s">
        <v>374</v>
      </c>
      <c r="C1349" t="s">
        <v>1656</v>
      </c>
      <c r="D1349" t="s">
        <v>2084</v>
      </c>
      <c r="E1349" t="s">
        <v>2085</v>
      </c>
      <c r="F1349" s="13">
        <v>44637.545694444445</v>
      </c>
      <c r="G1349" t="s">
        <v>1659</v>
      </c>
      <c r="H1349" t="s">
        <v>1660</v>
      </c>
      <c r="I1349" s="13">
        <v>45012.044247685182</v>
      </c>
      <c r="K1349" t="s">
        <v>415</v>
      </c>
      <c r="M1349" s="13">
        <v>44742</v>
      </c>
      <c r="R1349">
        <v>0</v>
      </c>
      <c r="S1349" t="s">
        <v>380</v>
      </c>
      <c r="T1349" t="s">
        <v>57</v>
      </c>
      <c r="V1349" t="s">
        <v>478</v>
      </c>
      <c r="W1349" t="s">
        <v>2086</v>
      </c>
      <c r="X1349" t="s">
        <v>2086</v>
      </c>
      <c r="AF1349" t="s">
        <v>451</v>
      </c>
      <c r="AI1349">
        <v>-270</v>
      </c>
      <c r="AL1349" t="s">
        <v>2087</v>
      </c>
      <c r="AN1349" t="s">
        <v>31</v>
      </c>
      <c r="AO1349">
        <v>0</v>
      </c>
      <c r="AS1349" t="s">
        <v>385</v>
      </c>
      <c r="AX1349" t="s">
        <v>31</v>
      </c>
      <c r="AY1349" t="s">
        <v>442</v>
      </c>
      <c r="AZ1349" t="s">
        <v>2088</v>
      </c>
      <c r="BE1349" t="s">
        <v>1364</v>
      </c>
      <c r="BF1349">
        <v>0</v>
      </c>
      <c r="BK1349" t="s">
        <v>31</v>
      </c>
      <c r="BS1349" t="s">
        <v>419</v>
      </c>
      <c r="BT1349" t="s">
        <v>419</v>
      </c>
      <c r="CI1349" t="s">
        <v>388</v>
      </c>
      <c r="CJ1349" s="14">
        <v>45014</v>
      </c>
      <c r="CK1349">
        <v>1</v>
      </c>
    </row>
    <row r="1350" spans="1:89">
      <c r="A1350" t="s">
        <v>2089</v>
      </c>
      <c r="B1350" t="s">
        <v>374</v>
      </c>
      <c r="C1350" t="s">
        <v>2090</v>
      </c>
      <c r="D1350" t="s">
        <v>2091</v>
      </c>
      <c r="E1350" t="s">
        <v>2092</v>
      </c>
      <c r="F1350" s="13">
        <v>44637.512175925927</v>
      </c>
      <c r="G1350" t="s">
        <v>2079</v>
      </c>
      <c r="H1350" t="s">
        <v>2080</v>
      </c>
      <c r="I1350" s="13">
        <v>45012.044247685182</v>
      </c>
      <c r="K1350" t="s">
        <v>415</v>
      </c>
      <c r="M1350" s="13">
        <v>44666</v>
      </c>
      <c r="R1350">
        <v>0</v>
      </c>
      <c r="S1350" t="s">
        <v>380</v>
      </c>
      <c r="T1350" t="s">
        <v>57</v>
      </c>
      <c r="V1350" t="s">
        <v>478</v>
      </c>
      <c r="W1350" t="s">
        <v>2093</v>
      </c>
      <c r="X1350" t="s">
        <v>2093</v>
      </c>
      <c r="AF1350" t="s">
        <v>451</v>
      </c>
      <c r="AI1350">
        <v>-346</v>
      </c>
      <c r="AL1350" t="s">
        <v>2094</v>
      </c>
      <c r="AN1350" t="s">
        <v>31</v>
      </c>
      <c r="AO1350">
        <v>0</v>
      </c>
      <c r="AS1350" t="s">
        <v>702</v>
      </c>
      <c r="AX1350" t="s">
        <v>57</v>
      </c>
      <c r="AY1350" t="s">
        <v>386</v>
      </c>
      <c r="AZ1350" t="s">
        <v>2095</v>
      </c>
      <c r="BF1350">
        <v>0</v>
      </c>
      <c r="BK1350" t="s">
        <v>31</v>
      </c>
      <c r="BS1350" t="s">
        <v>419</v>
      </c>
      <c r="BT1350" t="s">
        <v>419</v>
      </c>
      <c r="CI1350" t="s">
        <v>388</v>
      </c>
      <c r="CJ1350" s="14">
        <v>45014</v>
      </c>
      <c r="CK1350">
        <v>1</v>
      </c>
    </row>
    <row r="1351" spans="1:89">
      <c r="A1351" t="s">
        <v>2096</v>
      </c>
      <c r="B1351" t="s">
        <v>374</v>
      </c>
      <c r="C1351" t="s">
        <v>2097</v>
      </c>
      <c r="D1351" t="s">
        <v>2098</v>
      </c>
      <c r="E1351" t="s">
        <v>2099</v>
      </c>
      <c r="F1351" s="13">
        <v>44637.236168981479</v>
      </c>
      <c r="G1351" t="s">
        <v>2100</v>
      </c>
      <c r="H1351" t="s">
        <v>2101</v>
      </c>
      <c r="I1351" s="13">
        <v>45012.044236111113</v>
      </c>
      <c r="K1351" t="s">
        <v>415</v>
      </c>
      <c r="M1351" s="13">
        <v>44681</v>
      </c>
      <c r="R1351">
        <v>0</v>
      </c>
      <c r="S1351" t="s">
        <v>380</v>
      </c>
      <c r="T1351" t="s">
        <v>57</v>
      </c>
      <c r="V1351" t="s">
        <v>478</v>
      </c>
      <c r="W1351" t="s">
        <v>2102</v>
      </c>
      <c r="X1351" t="s">
        <v>2102</v>
      </c>
      <c r="AC1351" s="13">
        <v>44681</v>
      </c>
      <c r="AD1351" s="13">
        <v>44681</v>
      </c>
      <c r="AF1351" t="s">
        <v>451</v>
      </c>
      <c r="AI1351">
        <v>-331</v>
      </c>
      <c r="AL1351" t="s">
        <v>2103</v>
      </c>
      <c r="AN1351" t="s">
        <v>31</v>
      </c>
      <c r="AO1351">
        <v>0</v>
      </c>
      <c r="AS1351" t="s">
        <v>385</v>
      </c>
      <c r="AX1351" t="s">
        <v>57</v>
      </c>
      <c r="AY1351" t="s">
        <v>442</v>
      </c>
      <c r="AZ1351" t="s">
        <v>2104</v>
      </c>
      <c r="BF1351">
        <v>0</v>
      </c>
      <c r="BK1351" t="s">
        <v>31</v>
      </c>
      <c r="BS1351" t="s">
        <v>419</v>
      </c>
      <c r="BT1351" t="s">
        <v>419</v>
      </c>
      <c r="CI1351" t="s">
        <v>388</v>
      </c>
      <c r="CJ1351" s="14">
        <v>45014</v>
      </c>
      <c r="CK1351">
        <v>1</v>
      </c>
    </row>
    <row r="1352" spans="1:89">
      <c r="A1352" t="s">
        <v>2105</v>
      </c>
      <c r="B1352" t="s">
        <v>374</v>
      </c>
      <c r="C1352" t="s">
        <v>1990</v>
      </c>
      <c r="D1352" t="s">
        <v>2106</v>
      </c>
      <c r="E1352" t="s">
        <v>2107</v>
      </c>
      <c r="F1352" s="13">
        <v>44636.812071759261</v>
      </c>
      <c r="G1352" t="s">
        <v>2108</v>
      </c>
      <c r="H1352" t="s">
        <v>2109</v>
      </c>
      <c r="I1352" s="13">
        <v>45012.044236111113</v>
      </c>
      <c r="K1352" t="s">
        <v>415</v>
      </c>
      <c r="M1352" s="13">
        <v>45107</v>
      </c>
      <c r="R1352">
        <v>0</v>
      </c>
      <c r="S1352" t="s">
        <v>380</v>
      </c>
      <c r="T1352" t="s">
        <v>57</v>
      </c>
      <c r="V1352" t="s">
        <v>381</v>
      </c>
      <c r="W1352" t="s">
        <v>2110</v>
      </c>
      <c r="X1352" t="s">
        <v>2110</v>
      </c>
      <c r="AF1352" t="s">
        <v>451</v>
      </c>
      <c r="AI1352">
        <v>95</v>
      </c>
      <c r="AL1352" t="s">
        <v>2111</v>
      </c>
      <c r="AN1352" t="s">
        <v>31</v>
      </c>
      <c r="AO1352">
        <v>0</v>
      </c>
      <c r="AS1352" t="s">
        <v>385</v>
      </c>
      <c r="AX1352" t="s">
        <v>31</v>
      </c>
      <c r="AY1352" t="s">
        <v>442</v>
      </c>
      <c r="AZ1352" t="s">
        <v>2112</v>
      </c>
      <c r="BF1352">
        <v>0</v>
      </c>
      <c r="BK1352" t="s">
        <v>31</v>
      </c>
      <c r="BS1352" t="s">
        <v>419</v>
      </c>
      <c r="BT1352" t="s">
        <v>419</v>
      </c>
      <c r="CI1352" t="s">
        <v>388</v>
      </c>
      <c r="CJ1352" s="14">
        <v>45014</v>
      </c>
      <c r="CK1352">
        <v>1</v>
      </c>
    </row>
    <row r="1353" spans="1:89">
      <c r="A1353" t="s">
        <v>2113</v>
      </c>
      <c r="B1353" t="s">
        <v>374</v>
      </c>
      <c r="C1353" t="s">
        <v>2114</v>
      </c>
      <c r="D1353" t="s">
        <v>2115</v>
      </c>
      <c r="E1353" t="s">
        <v>2116</v>
      </c>
      <c r="F1353" s="13">
        <v>44636.791597222225</v>
      </c>
      <c r="G1353" t="s">
        <v>2108</v>
      </c>
      <c r="H1353" t="s">
        <v>2109</v>
      </c>
      <c r="I1353" s="13">
        <v>44655.415659722225</v>
      </c>
      <c r="K1353" t="s">
        <v>379</v>
      </c>
      <c r="M1353" s="13">
        <v>44651</v>
      </c>
      <c r="R1353">
        <v>100</v>
      </c>
      <c r="S1353" t="s">
        <v>380</v>
      </c>
      <c r="T1353" t="s">
        <v>57</v>
      </c>
      <c r="V1353" t="s">
        <v>478</v>
      </c>
      <c r="W1353" t="s">
        <v>2117</v>
      </c>
      <c r="X1353" t="s">
        <v>2117</v>
      </c>
      <c r="AF1353" t="s">
        <v>382</v>
      </c>
      <c r="AG1353" t="s">
        <v>2118</v>
      </c>
      <c r="AI1353">
        <v>-4</v>
      </c>
      <c r="AJ1353" s="13">
        <v>44655</v>
      </c>
      <c r="AL1353" t="s">
        <v>2119</v>
      </c>
      <c r="AN1353" t="s">
        <v>31</v>
      </c>
      <c r="AO1353">
        <v>0</v>
      </c>
      <c r="AR1353" t="s">
        <v>2118</v>
      </c>
      <c r="AS1353" t="s">
        <v>648</v>
      </c>
      <c r="AX1353" t="s">
        <v>31</v>
      </c>
      <c r="AY1353" t="s">
        <v>386</v>
      </c>
      <c r="AZ1353" t="s">
        <v>2120</v>
      </c>
      <c r="BF1353">
        <v>0</v>
      </c>
      <c r="BK1353" t="s">
        <v>31</v>
      </c>
      <c r="BS1353" t="s">
        <v>379</v>
      </c>
      <c r="BT1353" t="s">
        <v>379</v>
      </c>
      <c r="CI1353" t="s">
        <v>388</v>
      </c>
      <c r="CJ1353" s="14">
        <v>45014</v>
      </c>
      <c r="CK1353">
        <v>1</v>
      </c>
    </row>
    <row r="1354" spans="1:89">
      <c r="A1354" t="s">
        <v>2121</v>
      </c>
      <c r="B1354" t="s">
        <v>374</v>
      </c>
      <c r="C1354" t="s">
        <v>2122</v>
      </c>
      <c r="D1354" t="s">
        <v>2123</v>
      </c>
      <c r="E1354" t="s">
        <v>2124</v>
      </c>
      <c r="F1354" s="13">
        <v>44636.787615740737</v>
      </c>
      <c r="G1354" t="s">
        <v>2125</v>
      </c>
      <c r="H1354" t="s">
        <v>2126</v>
      </c>
      <c r="I1354" s="13">
        <v>45012.044236111113</v>
      </c>
      <c r="K1354" t="s">
        <v>415</v>
      </c>
      <c r="M1354" s="13">
        <v>44719</v>
      </c>
      <c r="R1354">
        <v>0</v>
      </c>
      <c r="S1354" t="s">
        <v>416</v>
      </c>
      <c r="T1354" t="s">
        <v>57</v>
      </c>
      <c r="V1354" t="s">
        <v>478</v>
      </c>
      <c r="W1354" t="s">
        <v>2127</v>
      </c>
      <c r="X1354" t="s">
        <v>2127</v>
      </c>
      <c r="AF1354" t="s">
        <v>451</v>
      </c>
      <c r="AI1354">
        <v>-293</v>
      </c>
      <c r="AL1354" t="s">
        <v>2128</v>
      </c>
      <c r="AN1354" t="s">
        <v>31</v>
      </c>
      <c r="AO1354">
        <v>0</v>
      </c>
      <c r="AS1354" t="s">
        <v>392</v>
      </c>
      <c r="AX1354" t="s">
        <v>31</v>
      </c>
      <c r="AY1354" t="s">
        <v>386</v>
      </c>
      <c r="AZ1354" t="s">
        <v>2129</v>
      </c>
      <c r="BF1354">
        <v>0</v>
      </c>
      <c r="BK1354" t="s">
        <v>31</v>
      </c>
      <c r="BS1354" t="s">
        <v>419</v>
      </c>
      <c r="BT1354" t="s">
        <v>419</v>
      </c>
      <c r="CI1354" t="s">
        <v>388</v>
      </c>
      <c r="CJ1354" s="14">
        <v>45014</v>
      </c>
      <c r="CK1354">
        <v>1</v>
      </c>
    </row>
    <row r="1355" spans="1:89">
      <c r="A1355" t="s">
        <v>2121</v>
      </c>
      <c r="B1355" t="s">
        <v>374</v>
      </c>
      <c r="C1355" t="s">
        <v>2122</v>
      </c>
      <c r="D1355" t="s">
        <v>2130</v>
      </c>
      <c r="E1355" t="s">
        <v>2131</v>
      </c>
      <c r="F1355" s="13">
        <v>44636.767118055555</v>
      </c>
      <c r="G1355" t="s">
        <v>2125</v>
      </c>
      <c r="H1355" t="s">
        <v>2126</v>
      </c>
      <c r="I1355" s="13">
        <v>44636.776921296296</v>
      </c>
      <c r="K1355" t="s">
        <v>412</v>
      </c>
      <c r="R1355">
        <v>0</v>
      </c>
      <c r="S1355" t="s">
        <v>416</v>
      </c>
      <c r="T1355" t="s">
        <v>57</v>
      </c>
      <c r="V1355" t="s">
        <v>381</v>
      </c>
      <c r="W1355" t="s">
        <v>2132</v>
      </c>
      <c r="X1355" t="s">
        <v>2132</v>
      </c>
      <c r="AI1355">
        <v>14</v>
      </c>
      <c r="AL1355" t="s">
        <v>2133</v>
      </c>
      <c r="AN1355" t="s">
        <v>31</v>
      </c>
      <c r="AO1355">
        <v>0</v>
      </c>
      <c r="AS1355" t="s">
        <v>385</v>
      </c>
      <c r="AX1355" t="s">
        <v>57</v>
      </c>
      <c r="AY1355" t="s">
        <v>442</v>
      </c>
      <c r="AZ1355" t="s">
        <v>2134</v>
      </c>
      <c r="BF1355">
        <v>0</v>
      </c>
      <c r="BK1355" t="s">
        <v>31</v>
      </c>
      <c r="BS1355" t="s">
        <v>412</v>
      </c>
      <c r="BT1355" t="s">
        <v>412</v>
      </c>
      <c r="CI1355" t="s">
        <v>388</v>
      </c>
      <c r="CJ1355" s="14">
        <v>45014</v>
      </c>
      <c r="CK1355">
        <v>1</v>
      </c>
    </row>
    <row r="1356" spans="1:89">
      <c r="A1356" t="s">
        <v>2121</v>
      </c>
      <c r="B1356" t="s">
        <v>374</v>
      </c>
      <c r="C1356" t="s">
        <v>2122</v>
      </c>
      <c r="D1356" t="s">
        <v>2135</v>
      </c>
      <c r="E1356" t="s">
        <v>2136</v>
      </c>
      <c r="F1356" s="13">
        <v>44636.741377314815</v>
      </c>
      <c r="G1356" t="s">
        <v>2125</v>
      </c>
      <c r="H1356" t="s">
        <v>2126</v>
      </c>
      <c r="I1356" s="13">
        <v>45012.044224537036</v>
      </c>
      <c r="K1356" t="s">
        <v>415</v>
      </c>
      <c r="M1356" s="13">
        <v>44957</v>
      </c>
      <c r="R1356">
        <v>0</v>
      </c>
      <c r="S1356" t="s">
        <v>380</v>
      </c>
      <c r="T1356" t="s">
        <v>57</v>
      </c>
      <c r="V1356" t="s">
        <v>478</v>
      </c>
      <c r="W1356" t="s">
        <v>2137</v>
      </c>
      <c r="X1356" t="s">
        <v>2137</v>
      </c>
      <c r="AF1356" t="s">
        <v>451</v>
      </c>
      <c r="AI1356">
        <v>-55</v>
      </c>
      <c r="AL1356" t="s">
        <v>2138</v>
      </c>
      <c r="AN1356" t="s">
        <v>57</v>
      </c>
      <c r="AO1356">
        <v>0</v>
      </c>
      <c r="AS1356" t="s">
        <v>392</v>
      </c>
      <c r="AX1356" t="s">
        <v>57</v>
      </c>
      <c r="AY1356" t="s">
        <v>442</v>
      </c>
      <c r="AZ1356" t="s">
        <v>2139</v>
      </c>
      <c r="BF1356">
        <v>0</v>
      </c>
      <c r="BK1356" t="s">
        <v>31</v>
      </c>
      <c r="BS1356" t="s">
        <v>419</v>
      </c>
      <c r="BT1356" t="s">
        <v>419</v>
      </c>
      <c r="CI1356" t="s">
        <v>388</v>
      </c>
      <c r="CJ1356" s="14">
        <v>45014</v>
      </c>
      <c r="CK1356">
        <v>1</v>
      </c>
    </row>
    <row r="1357" spans="1:89">
      <c r="A1357" t="s">
        <v>2121</v>
      </c>
      <c r="B1357" t="s">
        <v>374</v>
      </c>
      <c r="C1357" t="s">
        <v>2122</v>
      </c>
      <c r="D1357" t="s">
        <v>2140</v>
      </c>
      <c r="E1357" t="s">
        <v>2141</v>
      </c>
      <c r="F1357" s="13">
        <v>44636.739247685182</v>
      </c>
      <c r="G1357" t="s">
        <v>2125</v>
      </c>
      <c r="H1357" t="s">
        <v>2126</v>
      </c>
      <c r="I1357" s="13">
        <v>45012.044224537036</v>
      </c>
      <c r="K1357" t="s">
        <v>415</v>
      </c>
      <c r="M1357" s="13">
        <v>44957</v>
      </c>
      <c r="R1357">
        <v>0</v>
      </c>
      <c r="S1357" t="s">
        <v>380</v>
      </c>
      <c r="T1357" t="s">
        <v>57</v>
      </c>
      <c r="V1357" t="s">
        <v>478</v>
      </c>
      <c r="W1357" t="s">
        <v>2137</v>
      </c>
      <c r="X1357" t="s">
        <v>2137</v>
      </c>
      <c r="AF1357" t="s">
        <v>451</v>
      </c>
      <c r="AI1357">
        <v>-55</v>
      </c>
      <c r="AL1357" t="s">
        <v>2138</v>
      </c>
      <c r="AN1357" t="s">
        <v>57</v>
      </c>
      <c r="AO1357">
        <v>0</v>
      </c>
      <c r="AS1357" t="s">
        <v>392</v>
      </c>
      <c r="AX1357" t="s">
        <v>57</v>
      </c>
      <c r="AY1357" t="s">
        <v>442</v>
      </c>
      <c r="AZ1357" t="s">
        <v>2142</v>
      </c>
      <c r="BF1357">
        <v>0</v>
      </c>
      <c r="BK1357" t="s">
        <v>31</v>
      </c>
      <c r="BS1357" t="s">
        <v>419</v>
      </c>
      <c r="BT1357" t="s">
        <v>419</v>
      </c>
      <c r="CI1357" t="s">
        <v>388</v>
      </c>
      <c r="CJ1357" s="14">
        <v>45014</v>
      </c>
      <c r="CK1357">
        <v>1</v>
      </c>
    </row>
    <row r="1358" spans="1:89">
      <c r="A1358" t="s">
        <v>2121</v>
      </c>
      <c r="B1358" t="s">
        <v>374</v>
      </c>
      <c r="C1358" t="s">
        <v>2122</v>
      </c>
      <c r="D1358" t="s">
        <v>2143</v>
      </c>
      <c r="E1358" t="s">
        <v>2144</v>
      </c>
      <c r="F1358" s="13">
        <v>44636.736446759256</v>
      </c>
      <c r="G1358" t="s">
        <v>2125</v>
      </c>
      <c r="H1358" t="s">
        <v>2126</v>
      </c>
      <c r="I1358" s="13">
        <v>45012.044224537036</v>
      </c>
      <c r="K1358" t="s">
        <v>415</v>
      </c>
      <c r="M1358" s="13">
        <v>44957</v>
      </c>
      <c r="R1358">
        <v>0</v>
      </c>
      <c r="S1358" t="s">
        <v>380</v>
      </c>
      <c r="T1358" t="s">
        <v>57</v>
      </c>
      <c r="V1358" t="s">
        <v>478</v>
      </c>
      <c r="W1358" t="s">
        <v>2137</v>
      </c>
      <c r="X1358" t="s">
        <v>2137</v>
      </c>
      <c r="AF1358" t="s">
        <v>451</v>
      </c>
      <c r="AI1358">
        <v>-55</v>
      </c>
      <c r="AL1358" t="s">
        <v>2138</v>
      </c>
      <c r="AN1358" t="s">
        <v>57</v>
      </c>
      <c r="AO1358">
        <v>0</v>
      </c>
      <c r="AS1358" t="s">
        <v>392</v>
      </c>
      <c r="AX1358" t="s">
        <v>57</v>
      </c>
      <c r="AY1358" t="s">
        <v>442</v>
      </c>
      <c r="AZ1358" t="s">
        <v>2145</v>
      </c>
      <c r="BF1358">
        <v>0</v>
      </c>
      <c r="BK1358" t="s">
        <v>31</v>
      </c>
      <c r="BS1358" t="s">
        <v>419</v>
      </c>
      <c r="BT1358" t="s">
        <v>419</v>
      </c>
      <c r="CI1358" t="s">
        <v>388</v>
      </c>
      <c r="CJ1358" s="14">
        <v>45014</v>
      </c>
      <c r="CK1358">
        <v>1</v>
      </c>
    </row>
    <row r="1359" spans="1:89">
      <c r="A1359" t="s">
        <v>2146</v>
      </c>
      <c r="B1359" t="s">
        <v>374</v>
      </c>
      <c r="C1359" t="s">
        <v>698</v>
      </c>
      <c r="D1359" t="s">
        <v>2147</v>
      </c>
      <c r="E1359" t="s">
        <v>2148</v>
      </c>
      <c r="F1359" s="13">
        <v>44636.628229166665</v>
      </c>
      <c r="G1359" t="s">
        <v>2149</v>
      </c>
      <c r="H1359" t="s">
        <v>2150</v>
      </c>
      <c r="I1359" s="13">
        <v>45012.044212962966</v>
      </c>
      <c r="K1359" t="s">
        <v>415</v>
      </c>
      <c r="M1359" s="13">
        <v>44880</v>
      </c>
      <c r="R1359">
        <v>0</v>
      </c>
      <c r="S1359" t="s">
        <v>380</v>
      </c>
      <c r="T1359" t="s">
        <v>57</v>
      </c>
      <c r="V1359" t="s">
        <v>478</v>
      </c>
      <c r="W1359" t="s">
        <v>2151</v>
      </c>
      <c r="X1359" t="s">
        <v>2151</v>
      </c>
      <c r="AF1359" t="s">
        <v>451</v>
      </c>
      <c r="AI1359">
        <v>-132</v>
      </c>
      <c r="AL1359" t="s">
        <v>2152</v>
      </c>
      <c r="AN1359" t="s">
        <v>31</v>
      </c>
      <c r="AO1359">
        <v>0</v>
      </c>
      <c r="AS1359" t="s">
        <v>385</v>
      </c>
      <c r="AX1359" t="s">
        <v>31</v>
      </c>
      <c r="AY1359" t="s">
        <v>442</v>
      </c>
      <c r="AZ1359" t="s">
        <v>2153</v>
      </c>
      <c r="BE1359" t="s">
        <v>2154</v>
      </c>
      <c r="BF1359">
        <v>0</v>
      </c>
      <c r="BK1359" t="s">
        <v>31</v>
      </c>
      <c r="BS1359" t="s">
        <v>419</v>
      </c>
      <c r="BT1359" t="s">
        <v>419</v>
      </c>
      <c r="CI1359" t="s">
        <v>388</v>
      </c>
      <c r="CJ1359" s="14">
        <v>45014</v>
      </c>
      <c r="CK1359">
        <v>1</v>
      </c>
    </row>
    <row r="1360" spans="1:89">
      <c r="A1360" t="s">
        <v>2155</v>
      </c>
      <c r="B1360" t="s">
        <v>374</v>
      </c>
      <c r="C1360" t="s">
        <v>2156</v>
      </c>
      <c r="D1360" t="s">
        <v>2157</v>
      </c>
      <c r="E1360" t="s">
        <v>2158</v>
      </c>
      <c r="F1360" s="13">
        <v>44636.498240740744</v>
      </c>
      <c r="G1360" t="s">
        <v>2159</v>
      </c>
      <c r="H1360" t="s">
        <v>2160</v>
      </c>
      <c r="I1360" s="13">
        <v>45012.044212962966</v>
      </c>
      <c r="K1360" t="s">
        <v>415</v>
      </c>
      <c r="M1360" s="13">
        <v>44718</v>
      </c>
      <c r="R1360">
        <v>0</v>
      </c>
      <c r="S1360" t="s">
        <v>416</v>
      </c>
      <c r="T1360" t="s">
        <v>57</v>
      </c>
      <c r="V1360" t="s">
        <v>478</v>
      </c>
      <c r="W1360" t="s">
        <v>2161</v>
      </c>
      <c r="X1360" t="s">
        <v>2161</v>
      </c>
      <c r="AC1360" s="13">
        <v>44718</v>
      </c>
      <c r="AD1360" s="13">
        <v>44718</v>
      </c>
      <c r="AF1360" t="s">
        <v>451</v>
      </c>
      <c r="AI1360">
        <v>-294</v>
      </c>
      <c r="AL1360" t="s">
        <v>2162</v>
      </c>
      <c r="AN1360" t="s">
        <v>31</v>
      </c>
      <c r="AO1360">
        <v>0</v>
      </c>
      <c r="AS1360" t="s">
        <v>385</v>
      </c>
      <c r="AX1360" t="s">
        <v>57</v>
      </c>
      <c r="AY1360" t="s">
        <v>386</v>
      </c>
      <c r="AZ1360" t="s">
        <v>2163</v>
      </c>
      <c r="BF1360">
        <v>0</v>
      </c>
      <c r="BK1360" t="s">
        <v>31</v>
      </c>
      <c r="BS1360" t="s">
        <v>419</v>
      </c>
      <c r="BT1360" t="s">
        <v>419</v>
      </c>
      <c r="CI1360" t="s">
        <v>388</v>
      </c>
      <c r="CJ1360" s="14">
        <v>45014</v>
      </c>
      <c r="CK1360">
        <v>1</v>
      </c>
    </row>
    <row r="1361" spans="1:89">
      <c r="A1361" t="s">
        <v>2164</v>
      </c>
      <c r="B1361" t="s">
        <v>374</v>
      </c>
      <c r="C1361" t="s">
        <v>2165</v>
      </c>
      <c r="D1361" t="s">
        <v>2166</v>
      </c>
      <c r="E1361" t="s">
        <v>2167</v>
      </c>
      <c r="F1361" s="13">
        <v>44636.479328703703</v>
      </c>
      <c r="G1361" t="s">
        <v>2168</v>
      </c>
      <c r="H1361" t="s">
        <v>2169</v>
      </c>
      <c r="I1361" s="13">
        <v>45012.044212962966</v>
      </c>
      <c r="K1361" t="s">
        <v>415</v>
      </c>
      <c r="M1361" s="13">
        <v>44742</v>
      </c>
      <c r="R1361">
        <v>0</v>
      </c>
      <c r="S1361" t="s">
        <v>380</v>
      </c>
      <c r="T1361" t="s">
        <v>57</v>
      </c>
      <c r="V1361" t="s">
        <v>478</v>
      </c>
      <c r="W1361" t="s">
        <v>2170</v>
      </c>
      <c r="X1361" t="s">
        <v>2170</v>
      </c>
      <c r="AC1361" s="13">
        <v>44834</v>
      </c>
      <c r="AD1361" s="13">
        <v>44742</v>
      </c>
      <c r="AF1361" t="s">
        <v>451</v>
      </c>
      <c r="AI1361">
        <v>-270</v>
      </c>
      <c r="AL1361" t="s">
        <v>2171</v>
      </c>
      <c r="AN1361" t="s">
        <v>57</v>
      </c>
      <c r="AO1361">
        <v>0</v>
      </c>
      <c r="AS1361" t="s">
        <v>1720</v>
      </c>
      <c r="AX1361" t="s">
        <v>57</v>
      </c>
      <c r="AY1361" t="s">
        <v>386</v>
      </c>
      <c r="AZ1361" t="s">
        <v>2172</v>
      </c>
      <c r="BF1361">
        <v>0</v>
      </c>
      <c r="BK1361" t="s">
        <v>31</v>
      </c>
      <c r="BS1361" t="s">
        <v>419</v>
      </c>
      <c r="BT1361" t="s">
        <v>419</v>
      </c>
      <c r="CI1361" t="s">
        <v>388</v>
      </c>
      <c r="CJ1361" s="14">
        <v>45014</v>
      </c>
      <c r="CK1361">
        <v>1</v>
      </c>
    </row>
    <row r="1362" spans="1:89">
      <c r="A1362" t="s">
        <v>2173</v>
      </c>
      <c r="B1362" t="s">
        <v>374</v>
      </c>
      <c r="C1362" t="s">
        <v>2174</v>
      </c>
      <c r="D1362" t="s">
        <v>2175</v>
      </c>
      <c r="E1362" t="s">
        <v>2176</v>
      </c>
      <c r="F1362" s="13">
        <v>44636.415092592593</v>
      </c>
      <c r="G1362" t="s">
        <v>1483</v>
      </c>
      <c r="H1362" t="s">
        <v>1484</v>
      </c>
      <c r="I1362" s="13">
        <v>45012.04420138889</v>
      </c>
      <c r="K1362" t="s">
        <v>415</v>
      </c>
      <c r="M1362" s="13">
        <v>44684</v>
      </c>
      <c r="R1362">
        <v>0</v>
      </c>
      <c r="S1362" t="s">
        <v>380</v>
      </c>
      <c r="T1362" t="s">
        <v>57</v>
      </c>
      <c r="V1362" t="s">
        <v>478</v>
      </c>
      <c r="W1362" t="s">
        <v>2177</v>
      </c>
      <c r="X1362" t="s">
        <v>2177</v>
      </c>
      <c r="AC1362" s="13">
        <v>44676</v>
      </c>
      <c r="AD1362" s="13">
        <v>44624</v>
      </c>
      <c r="AF1362" t="s">
        <v>451</v>
      </c>
      <c r="AI1362">
        <v>-328</v>
      </c>
      <c r="AL1362" t="s">
        <v>2178</v>
      </c>
      <c r="AN1362" t="s">
        <v>31</v>
      </c>
      <c r="AO1362">
        <v>0</v>
      </c>
      <c r="AS1362" t="s">
        <v>648</v>
      </c>
      <c r="AX1362" t="s">
        <v>31</v>
      </c>
      <c r="AY1362" t="s">
        <v>386</v>
      </c>
      <c r="AZ1362" t="s">
        <v>2179</v>
      </c>
      <c r="BF1362">
        <v>0</v>
      </c>
      <c r="BK1362" t="s">
        <v>31</v>
      </c>
      <c r="BS1362" t="s">
        <v>419</v>
      </c>
      <c r="BT1362" t="s">
        <v>419</v>
      </c>
      <c r="CI1362" t="s">
        <v>388</v>
      </c>
      <c r="CJ1362" s="14">
        <v>45014</v>
      </c>
      <c r="CK1362">
        <v>1</v>
      </c>
    </row>
    <row r="1363" spans="1:89">
      <c r="A1363" t="s">
        <v>1415</v>
      </c>
      <c r="B1363" t="s">
        <v>374</v>
      </c>
      <c r="C1363" t="s">
        <v>1416</v>
      </c>
      <c r="D1363" t="s">
        <v>2180</v>
      </c>
      <c r="E1363" t="s">
        <v>2181</v>
      </c>
      <c r="F1363" s="13">
        <v>44636.357164351852</v>
      </c>
      <c r="G1363" t="s">
        <v>1418</v>
      </c>
      <c r="H1363" t="s">
        <v>1419</v>
      </c>
      <c r="I1363" s="13">
        <v>45012.04420138889</v>
      </c>
      <c r="K1363" t="s">
        <v>415</v>
      </c>
      <c r="M1363" s="13">
        <v>44834</v>
      </c>
      <c r="R1363">
        <v>0</v>
      </c>
      <c r="S1363" t="s">
        <v>380</v>
      </c>
      <c r="T1363" t="s">
        <v>57</v>
      </c>
      <c r="V1363" t="s">
        <v>478</v>
      </c>
      <c r="W1363" t="s">
        <v>2182</v>
      </c>
      <c r="X1363" t="s">
        <v>2182</v>
      </c>
      <c r="AF1363" t="s">
        <v>451</v>
      </c>
      <c r="AI1363">
        <v>-178</v>
      </c>
      <c r="AL1363" t="s">
        <v>2183</v>
      </c>
      <c r="AN1363" t="s">
        <v>31</v>
      </c>
      <c r="AO1363">
        <v>0</v>
      </c>
      <c r="AS1363" t="s">
        <v>385</v>
      </c>
      <c r="AX1363" t="s">
        <v>31</v>
      </c>
      <c r="AY1363" t="s">
        <v>442</v>
      </c>
      <c r="AZ1363" t="s">
        <v>2184</v>
      </c>
      <c r="BF1363">
        <v>0</v>
      </c>
      <c r="BK1363" t="s">
        <v>31</v>
      </c>
      <c r="BS1363" t="s">
        <v>419</v>
      </c>
      <c r="BT1363" t="s">
        <v>419</v>
      </c>
      <c r="CI1363" t="s">
        <v>388</v>
      </c>
      <c r="CJ1363" s="14">
        <v>45014</v>
      </c>
      <c r="CK1363">
        <v>1</v>
      </c>
    </row>
    <row r="1364" spans="1:89">
      <c r="A1364" t="s">
        <v>2096</v>
      </c>
      <c r="B1364" t="s">
        <v>374</v>
      </c>
      <c r="C1364" t="s">
        <v>2097</v>
      </c>
      <c r="D1364" t="s">
        <v>2185</v>
      </c>
      <c r="E1364" t="s">
        <v>2186</v>
      </c>
      <c r="F1364" s="13">
        <v>44636.264421296299</v>
      </c>
      <c r="G1364" t="s">
        <v>2100</v>
      </c>
      <c r="H1364" t="s">
        <v>2101</v>
      </c>
      <c r="I1364" s="13">
        <v>45012.04420138889</v>
      </c>
      <c r="K1364" t="s">
        <v>415</v>
      </c>
      <c r="M1364" s="13">
        <v>44742</v>
      </c>
      <c r="R1364">
        <v>0</v>
      </c>
      <c r="S1364" t="s">
        <v>380</v>
      </c>
      <c r="T1364" t="s">
        <v>57</v>
      </c>
      <c r="V1364" t="s">
        <v>478</v>
      </c>
      <c r="W1364" t="s">
        <v>2187</v>
      </c>
      <c r="X1364" t="s">
        <v>2187</v>
      </c>
      <c r="AC1364" s="13">
        <v>44742</v>
      </c>
      <c r="AD1364" s="13">
        <v>44742</v>
      </c>
      <c r="AF1364" t="s">
        <v>451</v>
      </c>
      <c r="AI1364">
        <v>-270</v>
      </c>
      <c r="AL1364" t="s">
        <v>2188</v>
      </c>
      <c r="AN1364" t="s">
        <v>31</v>
      </c>
      <c r="AO1364">
        <v>0</v>
      </c>
      <c r="AS1364" t="s">
        <v>702</v>
      </c>
      <c r="AX1364" t="s">
        <v>57</v>
      </c>
      <c r="AY1364" t="s">
        <v>442</v>
      </c>
      <c r="AZ1364" t="s">
        <v>2189</v>
      </c>
      <c r="BF1364">
        <v>0</v>
      </c>
      <c r="BK1364" t="s">
        <v>31</v>
      </c>
      <c r="BS1364" t="s">
        <v>419</v>
      </c>
      <c r="BT1364" t="s">
        <v>419</v>
      </c>
      <c r="CI1364" t="s">
        <v>388</v>
      </c>
      <c r="CJ1364" s="14">
        <v>45014</v>
      </c>
      <c r="CK1364">
        <v>1</v>
      </c>
    </row>
    <row r="1365" spans="1:89">
      <c r="A1365" t="s">
        <v>2190</v>
      </c>
      <c r="B1365" t="s">
        <v>374</v>
      </c>
      <c r="C1365" t="s">
        <v>2191</v>
      </c>
      <c r="D1365" t="s">
        <v>2192</v>
      </c>
      <c r="E1365" t="s">
        <v>2193</v>
      </c>
      <c r="F1365" s="13">
        <v>44635.547256944446</v>
      </c>
      <c r="G1365" t="s">
        <v>2100</v>
      </c>
      <c r="H1365" t="s">
        <v>2101</v>
      </c>
      <c r="I1365" s="13">
        <v>45012.044189814813</v>
      </c>
      <c r="K1365" t="s">
        <v>415</v>
      </c>
      <c r="M1365" s="13">
        <v>44742</v>
      </c>
      <c r="R1365">
        <v>0</v>
      </c>
      <c r="S1365" t="s">
        <v>380</v>
      </c>
      <c r="T1365" t="s">
        <v>57</v>
      </c>
      <c r="V1365" t="s">
        <v>478</v>
      </c>
      <c r="W1365" t="s">
        <v>2187</v>
      </c>
      <c r="X1365" t="s">
        <v>2187</v>
      </c>
      <c r="AC1365" s="13">
        <v>44742</v>
      </c>
      <c r="AD1365" s="13">
        <v>44742</v>
      </c>
      <c r="AF1365" t="s">
        <v>451</v>
      </c>
      <c r="AI1365">
        <v>-270</v>
      </c>
      <c r="AL1365" t="s">
        <v>2194</v>
      </c>
      <c r="AN1365" t="s">
        <v>31</v>
      </c>
      <c r="AO1365">
        <v>0</v>
      </c>
      <c r="AS1365" t="s">
        <v>385</v>
      </c>
      <c r="AX1365" t="s">
        <v>57</v>
      </c>
      <c r="AY1365" t="s">
        <v>442</v>
      </c>
      <c r="AZ1365" t="s">
        <v>2195</v>
      </c>
      <c r="BF1365">
        <v>0</v>
      </c>
      <c r="BK1365" t="s">
        <v>31</v>
      </c>
      <c r="BS1365" t="s">
        <v>419</v>
      </c>
      <c r="BT1365" t="s">
        <v>419</v>
      </c>
      <c r="CI1365" t="s">
        <v>388</v>
      </c>
      <c r="CJ1365" s="14">
        <v>45014</v>
      </c>
      <c r="CK1365">
        <v>1</v>
      </c>
    </row>
    <row r="1366" spans="1:89">
      <c r="A1366" t="s">
        <v>2196</v>
      </c>
      <c r="B1366" t="s">
        <v>374</v>
      </c>
      <c r="C1366" t="s">
        <v>2197</v>
      </c>
      <c r="D1366" t="s">
        <v>2198</v>
      </c>
      <c r="E1366" t="s">
        <v>2199</v>
      </c>
      <c r="F1366" s="13">
        <v>44635.432662037034</v>
      </c>
      <c r="G1366" t="s">
        <v>2200</v>
      </c>
      <c r="H1366" t="s">
        <v>2201</v>
      </c>
      <c r="I1366" s="13">
        <v>44635.432662037034</v>
      </c>
      <c r="K1366" t="s">
        <v>412</v>
      </c>
      <c r="R1366">
        <v>0</v>
      </c>
      <c r="S1366" t="s">
        <v>416</v>
      </c>
      <c r="V1366" t="s">
        <v>381</v>
      </c>
      <c r="W1366" t="s">
        <v>2202</v>
      </c>
      <c r="X1366" t="s">
        <v>2202</v>
      </c>
      <c r="AI1366">
        <v>45</v>
      </c>
      <c r="AL1366" t="s">
        <v>2203</v>
      </c>
      <c r="AN1366" t="s">
        <v>31</v>
      </c>
      <c r="AO1366">
        <v>0</v>
      </c>
      <c r="AZ1366" t="s">
        <v>2204</v>
      </c>
      <c r="BF1366">
        <v>0</v>
      </c>
      <c r="BK1366" t="s">
        <v>31</v>
      </c>
      <c r="BS1366" t="s">
        <v>412</v>
      </c>
      <c r="BT1366" t="s">
        <v>412</v>
      </c>
      <c r="CI1366" t="s">
        <v>388</v>
      </c>
      <c r="CJ1366" s="14">
        <v>45014</v>
      </c>
      <c r="CK1366">
        <v>1</v>
      </c>
    </row>
    <row r="1367" spans="1:89">
      <c r="A1367" t="s">
        <v>2196</v>
      </c>
      <c r="B1367" t="s">
        <v>374</v>
      </c>
      <c r="C1367" t="s">
        <v>2197</v>
      </c>
      <c r="D1367" t="s">
        <v>2205</v>
      </c>
      <c r="E1367" t="s">
        <v>2206</v>
      </c>
      <c r="F1367" s="13">
        <v>44635.431562500002</v>
      </c>
      <c r="G1367" t="s">
        <v>2200</v>
      </c>
      <c r="H1367" t="s">
        <v>2201</v>
      </c>
      <c r="I1367" s="13">
        <v>44635.431562500002</v>
      </c>
      <c r="K1367" t="s">
        <v>412</v>
      </c>
      <c r="R1367">
        <v>0</v>
      </c>
      <c r="S1367" t="s">
        <v>416</v>
      </c>
      <c r="V1367" t="s">
        <v>381</v>
      </c>
      <c r="W1367" t="s">
        <v>2202</v>
      </c>
      <c r="X1367" t="s">
        <v>2202</v>
      </c>
      <c r="AI1367">
        <v>45</v>
      </c>
      <c r="AL1367" t="s">
        <v>2203</v>
      </c>
      <c r="AN1367" t="s">
        <v>31</v>
      </c>
      <c r="AO1367">
        <v>0</v>
      </c>
      <c r="AZ1367" t="s">
        <v>2207</v>
      </c>
      <c r="BF1367">
        <v>0</v>
      </c>
      <c r="BK1367" t="s">
        <v>31</v>
      </c>
      <c r="BS1367" t="s">
        <v>412</v>
      </c>
      <c r="BT1367" t="s">
        <v>412</v>
      </c>
      <c r="CI1367" t="s">
        <v>388</v>
      </c>
      <c r="CJ1367" s="14">
        <v>45014</v>
      </c>
      <c r="CK1367">
        <v>1</v>
      </c>
    </row>
    <row r="1368" spans="1:89">
      <c r="A1368" t="s">
        <v>2196</v>
      </c>
      <c r="B1368" t="s">
        <v>374</v>
      </c>
      <c r="C1368" t="s">
        <v>2197</v>
      </c>
      <c r="D1368" t="s">
        <v>2208</v>
      </c>
      <c r="E1368" t="s">
        <v>2209</v>
      </c>
      <c r="F1368" s="13">
        <v>44635.415914351855</v>
      </c>
      <c r="G1368" t="s">
        <v>2200</v>
      </c>
      <c r="H1368" t="s">
        <v>2201</v>
      </c>
      <c r="I1368" s="13">
        <v>44635.415925925925</v>
      </c>
      <c r="K1368" t="s">
        <v>412</v>
      </c>
      <c r="R1368">
        <v>0</v>
      </c>
      <c r="S1368" t="s">
        <v>416</v>
      </c>
      <c r="V1368" t="s">
        <v>381</v>
      </c>
      <c r="W1368" t="s">
        <v>2202</v>
      </c>
      <c r="X1368" t="s">
        <v>2202</v>
      </c>
      <c r="AI1368">
        <v>45</v>
      </c>
      <c r="AL1368" t="s">
        <v>2203</v>
      </c>
      <c r="AN1368" t="s">
        <v>31</v>
      </c>
      <c r="AO1368">
        <v>0</v>
      </c>
      <c r="AZ1368" t="s">
        <v>2210</v>
      </c>
      <c r="BF1368">
        <v>0</v>
      </c>
      <c r="BK1368" t="s">
        <v>31</v>
      </c>
      <c r="BS1368" t="s">
        <v>412</v>
      </c>
      <c r="BT1368" t="s">
        <v>412</v>
      </c>
      <c r="CI1368" t="s">
        <v>388</v>
      </c>
      <c r="CJ1368" s="14">
        <v>45014</v>
      </c>
      <c r="CK1368">
        <v>1</v>
      </c>
    </row>
    <row r="1369" spans="1:89">
      <c r="A1369" t="s">
        <v>435</v>
      </c>
      <c r="B1369" t="s">
        <v>374</v>
      </c>
      <c r="C1369" t="s">
        <v>436</v>
      </c>
      <c r="D1369" t="s">
        <v>2211</v>
      </c>
      <c r="E1369" t="s">
        <v>2212</v>
      </c>
      <c r="F1369" s="13">
        <v>44630.701249999998</v>
      </c>
      <c r="G1369" t="s">
        <v>439</v>
      </c>
      <c r="H1369" t="s">
        <v>440</v>
      </c>
      <c r="I1369" s="13">
        <v>45012.044189814813</v>
      </c>
      <c r="K1369" t="s">
        <v>415</v>
      </c>
      <c r="M1369" s="13">
        <v>44719</v>
      </c>
      <c r="R1369">
        <v>0</v>
      </c>
      <c r="S1369" t="s">
        <v>416</v>
      </c>
      <c r="T1369" t="s">
        <v>57</v>
      </c>
      <c r="V1369" t="s">
        <v>478</v>
      </c>
      <c r="W1369" t="s">
        <v>440</v>
      </c>
      <c r="X1369" t="s">
        <v>440</v>
      </c>
      <c r="AF1369" t="s">
        <v>451</v>
      </c>
      <c r="AI1369">
        <v>-293</v>
      </c>
      <c r="AL1369" t="s">
        <v>2213</v>
      </c>
      <c r="AN1369" t="s">
        <v>31</v>
      </c>
      <c r="AO1369">
        <v>0</v>
      </c>
      <c r="AS1369" t="s">
        <v>392</v>
      </c>
      <c r="AX1369" t="s">
        <v>57</v>
      </c>
      <c r="AY1369" t="s">
        <v>442</v>
      </c>
      <c r="AZ1369" t="s">
        <v>2214</v>
      </c>
      <c r="BF1369">
        <v>0</v>
      </c>
      <c r="BK1369" t="s">
        <v>31</v>
      </c>
      <c r="BS1369" t="s">
        <v>419</v>
      </c>
      <c r="BT1369" t="s">
        <v>419</v>
      </c>
      <c r="CI1369" t="s">
        <v>388</v>
      </c>
      <c r="CJ1369" s="14">
        <v>45014</v>
      </c>
      <c r="CK1369">
        <v>1</v>
      </c>
    </row>
    <row r="1370" spans="1:89">
      <c r="A1370" t="s">
        <v>435</v>
      </c>
      <c r="B1370" t="s">
        <v>374</v>
      </c>
      <c r="C1370" t="s">
        <v>436</v>
      </c>
      <c r="D1370" t="s">
        <v>2215</v>
      </c>
      <c r="E1370" t="s">
        <v>2216</v>
      </c>
      <c r="F1370" s="13">
        <v>44630.676840277774</v>
      </c>
      <c r="G1370" t="s">
        <v>439</v>
      </c>
      <c r="H1370" t="s">
        <v>440</v>
      </c>
      <c r="I1370" s="13">
        <v>45012.044189814813</v>
      </c>
      <c r="K1370" t="s">
        <v>415</v>
      </c>
      <c r="M1370" s="13">
        <v>44719</v>
      </c>
      <c r="R1370">
        <v>0</v>
      </c>
      <c r="S1370" t="s">
        <v>416</v>
      </c>
      <c r="T1370" t="s">
        <v>57</v>
      </c>
      <c r="V1370" t="s">
        <v>478</v>
      </c>
      <c r="W1370" t="s">
        <v>440</v>
      </c>
      <c r="X1370" t="s">
        <v>440</v>
      </c>
      <c r="AF1370" t="s">
        <v>451</v>
      </c>
      <c r="AI1370">
        <v>-293</v>
      </c>
      <c r="AL1370" t="s">
        <v>2217</v>
      </c>
      <c r="AN1370" t="s">
        <v>31</v>
      </c>
      <c r="AO1370">
        <v>0</v>
      </c>
      <c r="AS1370" t="s">
        <v>392</v>
      </c>
      <c r="AX1370" t="s">
        <v>57</v>
      </c>
      <c r="AY1370" t="s">
        <v>442</v>
      </c>
      <c r="AZ1370" t="s">
        <v>2218</v>
      </c>
      <c r="BF1370">
        <v>0</v>
      </c>
      <c r="BK1370" t="s">
        <v>31</v>
      </c>
      <c r="BS1370" t="s">
        <v>419</v>
      </c>
      <c r="BT1370" t="s">
        <v>419</v>
      </c>
      <c r="CI1370" t="s">
        <v>388</v>
      </c>
      <c r="CJ1370" s="14">
        <v>45014</v>
      </c>
      <c r="CK1370">
        <v>1</v>
      </c>
    </row>
    <row r="1371" spans="1:89">
      <c r="A1371" t="s">
        <v>435</v>
      </c>
      <c r="B1371" t="s">
        <v>374</v>
      </c>
      <c r="C1371" t="s">
        <v>436</v>
      </c>
      <c r="D1371" t="s">
        <v>2219</v>
      </c>
      <c r="E1371" t="s">
        <v>2220</v>
      </c>
      <c r="F1371" s="13">
        <v>44630.61996527778</v>
      </c>
      <c r="G1371" t="s">
        <v>439</v>
      </c>
      <c r="H1371" t="s">
        <v>440</v>
      </c>
      <c r="I1371" s="13">
        <v>45012.044178240743</v>
      </c>
      <c r="K1371" t="s">
        <v>415</v>
      </c>
      <c r="M1371" s="13">
        <v>44720</v>
      </c>
      <c r="R1371">
        <v>0</v>
      </c>
      <c r="S1371" t="s">
        <v>416</v>
      </c>
      <c r="T1371" t="s">
        <v>57</v>
      </c>
      <c r="V1371" t="s">
        <v>478</v>
      </c>
      <c r="W1371" t="s">
        <v>440</v>
      </c>
      <c r="X1371" t="s">
        <v>440</v>
      </c>
      <c r="AF1371" t="s">
        <v>451</v>
      </c>
      <c r="AI1371">
        <v>-292</v>
      </c>
      <c r="AL1371" t="s">
        <v>2221</v>
      </c>
      <c r="AN1371" t="s">
        <v>31</v>
      </c>
      <c r="AO1371">
        <v>0</v>
      </c>
      <c r="AS1371" t="s">
        <v>392</v>
      </c>
      <c r="AX1371" t="s">
        <v>57</v>
      </c>
      <c r="AY1371" t="s">
        <v>442</v>
      </c>
      <c r="AZ1371" t="s">
        <v>2222</v>
      </c>
      <c r="BF1371">
        <v>0</v>
      </c>
      <c r="BK1371" t="s">
        <v>31</v>
      </c>
      <c r="BS1371" t="s">
        <v>419</v>
      </c>
      <c r="BT1371" t="s">
        <v>419</v>
      </c>
      <c r="CI1371" t="s">
        <v>388</v>
      </c>
      <c r="CJ1371" s="14">
        <v>45014</v>
      </c>
      <c r="CK1371">
        <v>1</v>
      </c>
    </row>
    <row r="1372" spans="1:89">
      <c r="A1372" t="s">
        <v>435</v>
      </c>
      <c r="B1372" t="s">
        <v>374</v>
      </c>
      <c r="C1372" t="s">
        <v>436</v>
      </c>
      <c r="D1372" t="s">
        <v>2223</v>
      </c>
      <c r="E1372" t="s">
        <v>2224</v>
      </c>
      <c r="F1372" s="13">
        <v>44630.518460648149</v>
      </c>
      <c r="G1372" t="s">
        <v>439</v>
      </c>
      <c r="H1372" t="s">
        <v>440</v>
      </c>
      <c r="I1372" s="13">
        <v>45012.044178240743</v>
      </c>
      <c r="K1372" t="s">
        <v>415</v>
      </c>
      <c r="M1372" s="13">
        <v>44708</v>
      </c>
      <c r="R1372">
        <v>0</v>
      </c>
      <c r="S1372" t="s">
        <v>416</v>
      </c>
      <c r="T1372" t="s">
        <v>57</v>
      </c>
      <c r="V1372" t="s">
        <v>478</v>
      </c>
      <c r="W1372" t="s">
        <v>440</v>
      </c>
      <c r="X1372" t="s">
        <v>440</v>
      </c>
      <c r="AF1372" t="s">
        <v>451</v>
      </c>
      <c r="AI1372">
        <v>-304</v>
      </c>
      <c r="AL1372" t="s">
        <v>2225</v>
      </c>
      <c r="AN1372" t="s">
        <v>31</v>
      </c>
      <c r="AO1372">
        <v>0</v>
      </c>
      <c r="AS1372" t="s">
        <v>392</v>
      </c>
      <c r="AX1372" t="s">
        <v>57</v>
      </c>
      <c r="AY1372" t="s">
        <v>442</v>
      </c>
      <c r="AZ1372" t="s">
        <v>2226</v>
      </c>
      <c r="BF1372">
        <v>0</v>
      </c>
      <c r="BK1372" t="s">
        <v>31</v>
      </c>
      <c r="BS1372" t="s">
        <v>419</v>
      </c>
      <c r="BT1372" t="s">
        <v>419</v>
      </c>
      <c r="CI1372" t="s">
        <v>388</v>
      </c>
      <c r="CJ1372" s="14">
        <v>45014</v>
      </c>
      <c r="CK1372">
        <v>1</v>
      </c>
    </row>
    <row r="1373" spans="1:89">
      <c r="A1373" t="s">
        <v>2227</v>
      </c>
      <c r="B1373" t="s">
        <v>374</v>
      </c>
      <c r="C1373" t="s">
        <v>2228</v>
      </c>
      <c r="D1373" t="s">
        <v>2229</v>
      </c>
      <c r="E1373" t="s">
        <v>2230</v>
      </c>
      <c r="F1373" s="13">
        <v>44630.5075</v>
      </c>
      <c r="G1373" t="s">
        <v>2231</v>
      </c>
      <c r="H1373" t="s">
        <v>2232</v>
      </c>
      <c r="I1373" s="13">
        <v>45012.044178240743</v>
      </c>
      <c r="K1373" t="s">
        <v>415</v>
      </c>
      <c r="M1373" s="13">
        <v>44848</v>
      </c>
      <c r="R1373">
        <v>0</v>
      </c>
      <c r="S1373" t="s">
        <v>380</v>
      </c>
      <c r="T1373" t="s">
        <v>57</v>
      </c>
      <c r="V1373" t="s">
        <v>478</v>
      </c>
      <c r="W1373" t="s">
        <v>2233</v>
      </c>
      <c r="X1373" t="s">
        <v>2233</v>
      </c>
      <c r="AF1373" t="s">
        <v>451</v>
      </c>
      <c r="AI1373">
        <v>-164</v>
      </c>
      <c r="AL1373" t="s">
        <v>2234</v>
      </c>
      <c r="AN1373" t="s">
        <v>31</v>
      </c>
      <c r="AO1373">
        <v>0</v>
      </c>
      <c r="AS1373" t="s">
        <v>385</v>
      </c>
      <c r="AX1373" t="s">
        <v>31</v>
      </c>
      <c r="AY1373" t="s">
        <v>386</v>
      </c>
      <c r="AZ1373" t="s">
        <v>2235</v>
      </c>
      <c r="BF1373">
        <v>0</v>
      </c>
      <c r="BK1373" t="s">
        <v>31</v>
      </c>
      <c r="BS1373" t="s">
        <v>419</v>
      </c>
      <c r="BT1373" t="s">
        <v>419</v>
      </c>
      <c r="CI1373" t="s">
        <v>388</v>
      </c>
      <c r="CJ1373" s="14">
        <v>45014</v>
      </c>
      <c r="CK1373">
        <v>1</v>
      </c>
    </row>
    <row r="1374" spans="1:89">
      <c r="A1374" t="s">
        <v>435</v>
      </c>
      <c r="B1374" t="s">
        <v>374</v>
      </c>
      <c r="C1374" t="s">
        <v>436</v>
      </c>
      <c r="D1374" t="s">
        <v>2236</v>
      </c>
      <c r="E1374" t="s">
        <v>2237</v>
      </c>
      <c r="F1374" s="13">
        <v>44630.470138888886</v>
      </c>
      <c r="G1374" t="s">
        <v>439</v>
      </c>
      <c r="H1374" t="s">
        <v>440</v>
      </c>
      <c r="I1374" s="13">
        <v>45012.044166666667</v>
      </c>
      <c r="K1374" t="s">
        <v>415</v>
      </c>
      <c r="M1374" s="13">
        <v>44742</v>
      </c>
      <c r="R1374">
        <v>0</v>
      </c>
      <c r="S1374" t="s">
        <v>416</v>
      </c>
      <c r="T1374" t="s">
        <v>57</v>
      </c>
      <c r="V1374" t="s">
        <v>478</v>
      </c>
      <c r="W1374" t="s">
        <v>440</v>
      </c>
      <c r="X1374" t="s">
        <v>440</v>
      </c>
      <c r="AF1374" t="s">
        <v>451</v>
      </c>
      <c r="AI1374">
        <v>-270</v>
      </c>
      <c r="AL1374" t="s">
        <v>2238</v>
      </c>
      <c r="AN1374" t="s">
        <v>31</v>
      </c>
      <c r="AO1374">
        <v>0</v>
      </c>
      <c r="AS1374" t="s">
        <v>392</v>
      </c>
      <c r="AX1374" t="s">
        <v>57</v>
      </c>
      <c r="AY1374" t="s">
        <v>442</v>
      </c>
      <c r="AZ1374" t="s">
        <v>2239</v>
      </c>
      <c r="BF1374">
        <v>0</v>
      </c>
      <c r="BK1374" t="s">
        <v>31</v>
      </c>
      <c r="BS1374" t="s">
        <v>419</v>
      </c>
      <c r="BT1374" t="s">
        <v>419</v>
      </c>
      <c r="CI1374" t="s">
        <v>388</v>
      </c>
      <c r="CJ1374" s="14">
        <v>45014</v>
      </c>
      <c r="CK1374">
        <v>1</v>
      </c>
    </row>
    <row r="1375" spans="1:89">
      <c r="A1375" t="s">
        <v>2121</v>
      </c>
      <c r="B1375" t="s">
        <v>374</v>
      </c>
      <c r="C1375" t="s">
        <v>2122</v>
      </c>
      <c r="D1375" t="s">
        <v>2240</v>
      </c>
      <c r="E1375" t="s">
        <v>2241</v>
      </c>
      <c r="F1375" s="13">
        <v>44630.440706018519</v>
      </c>
      <c r="G1375" t="s">
        <v>2125</v>
      </c>
      <c r="H1375" t="s">
        <v>2126</v>
      </c>
      <c r="I1375" s="13">
        <v>45012.044166666667</v>
      </c>
      <c r="K1375" t="s">
        <v>415</v>
      </c>
      <c r="M1375" s="13">
        <v>44712</v>
      </c>
      <c r="R1375">
        <v>0</v>
      </c>
      <c r="S1375" t="s">
        <v>416</v>
      </c>
      <c r="T1375" t="s">
        <v>57</v>
      </c>
      <c r="V1375" t="s">
        <v>478</v>
      </c>
      <c r="W1375" t="s">
        <v>2127</v>
      </c>
      <c r="X1375" t="s">
        <v>2127</v>
      </c>
      <c r="AC1375" s="13">
        <v>45777</v>
      </c>
      <c r="AD1375" s="13">
        <v>45657</v>
      </c>
      <c r="AF1375" t="s">
        <v>451</v>
      </c>
      <c r="AI1375">
        <v>-300</v>
      </c>
      <c r="AL1375" t="s">
        <v>2242</v>
      </c>
      <c r="AN1375" t="s">
        <v>31</v>
      </c>
      <c r="AO1375">
        <v>0</v>
      </c>
      <c r="AS1375" t="s">
        <v>392</v>
      </c>
      <c r="AX1375" t="s">
        <v>57</v>
      </c>
      <c r="AY1375" t="s">
        <v>442</v>
      </c>
      <c r="AZ1375" t="s">
        <v>2243</v>
      </c>
      <c r="BF1375">
        <v>0</v>
      </c>
      <c r="BK1375" t="s">
        <v>31</v>
      </c>
      <c r="BS1375" t="s">
        <v>419</v>
      </c>
      <c r="BT1375" t="s">
        <v>419</v>
      </c>
      <c r="CI1375" t="s">
        <v>388</v>
      </c>
      <c r="CJ1375" s="14">
        <v>45014</v>
      </c>
      <c r="CK1375">
        <v>1</v>
      </c>
    </row>
    <row r="1376" spans="1:89">
      <c r="A1376" t="s">
        <v>2244</v>
      </c>
      <c r="B1376" t="s">
        <v>374</v>
      </c>
      <c r="C1376" t="s">
        <v>2245</v>
      </c>
      <c r="D1376" t="s">
        <v>2246</v>
      </c>
      <c r="E1376" t="s">
        <v>2247</v>
      </c>
      <c r="F1376" s="13">
        <v>44629.441805555558</v>
      </c>
      <c r="G1376" t="s">
        <v>2248</v>
      </c>
      <c r="H1376" t="s">
        <v>2249</v>
      </c>
      <c r="I1376" s="13">
        <v>45012.044166666667</v>
      </c>
      <c r="K1376" t="s">
        <v>415</v>
      </c>
      <c r="M1376" s="13">
        <v>44681</v>
      </c>
      <c r="R1376">
        <v>0</v>
      </c>
      <c r="S1376" t="s">
        <v>416</v>
      </c>
      <c r="T1376" t="s">
        <v>57</v>
      </c>
      <c r="V1376" t="s">
        <v>478</v>
      </c>
      <c r="W1376" t="s">
        <v>2250</v>
      </c>
      <c r="X1376" t="s">
        <v>2250</v>
      </c>
      <c r="AF1376" t="s">
        <v>451</v>
      </c>
      <c r="AI1376">
        <v>-331</v>
      </c>
      <c r="AL1376" t="s">
        <v>2251</v>
      </c>
      <c r="AN1376" t="s">
        <v>31</v>
      </c>
      <c r="AO1376">
        <v>0</v>
      </c>
      <c r="AS1376" t="s">
        <v>385</v>
      </c>
      <c r="AX1376" t="s">
        <v>31</v>
      </c>
      <c r="AY1376" t="s">
        <v>442</v>
      </c>
      <c r="AZ1376" t="s">
        <v>2252</v>
      </c>
      <c r="BF1376">
        <v>0</v>
      </c>
      <c r="BK1376" t="s">
        <v>31</v>
      </c>
      <c r="BS1376" t="s">
        <v>419</v>
      </c>
      <c r="BT1376" t="s">
        <v>419</v>
      </c>
      <c r="CI1376" t="s">
        <v>388</v>
      </c>
      <c r="CJ1376" s="14">
        <v>45014</v>
      </c>
      <c r="CK1376">
        <v>1</v>
      </c>
    </row>
    <row r="1377" spans="1:89">
      <c r="A1377" t="s">
        <v>2253</v>
      </c>
      <c r="B1377" t="s">
        <v>374</v>
      </c>
      <c r="C1377" t="s">
        <v>2254</v>
      </c>
      <c r="D1377" t="s">
        <v>2255</v>
      </c>
      <c r="E1377" t="s">
        <v>2256</v>
      </c>
      <c r="F1377" s="13">
        <v>44629.439085648148</v>
      </c>
      <c r="G1377" t="s">
        <v>2257</v>
      </c>
      <c r="H1377" t="s">
        <v>2258</v>
      </c>
      <c r="I1377" s="13">
        <v>44629.439791666664</v>
      </c>
      <c r="K1377" t="s">
        <v>412</v>
      </c>
      <c r="R1377">
        <v>0</v>
      </c>
      <c r="S1377" t="s">
        <v>380</v>
      </c>
      <c r="T1377" t="s">
        <v>57</v>
      </c>
      <c r="V1377" t="s">
        <v>381</v>
      </c>
      <c r="W1377" t="s">
        <v>2259</v>
      </c>
      <c r="X1377" t="s">
        <v>2259</v>
      </c>
      <c r="AI1377">
        <v>113</v>
      </c>
      <c r="AL1377" t="s">
        <v>2260</v>
      </c>
      <c r="AN1377" t="s">
        <v>31</v>
      </c>
      <c r="AO1377">
        <v>0</v>
      </c>
      <c r="AS1377" t="s">
        <v>385</v>
      </c>
      <c r="AX1377" t="s">
        <v>57</v>
      </c>
      <c r="AY1377" t="s">
        <v>386</v>
      </c>
      <c r="AZ1377" t="s">
        <v>2261</v>
      </c>
      <c r="BF1377">
        <v>0</v>
      </c>
      <c r="BK1377" t="s">
        <v>31</v>
      </c>
      <c r="BS1377" t="s">
        <v>412</v>
      </c>
      <c r="BT1377" t="s">
        <v>412</v>
      </c>
      <c r="CI1377" t="s">
        <v>388</v>
      </c>
      <c r="CJ1377" s="14">
        <v>45014</v>
      </c>
      <c r="CK1377">
        <v>1</v>
      </c>
    </row>
    <row r="1378" spans="1:89">
      <c r="A1378" t="s">
        <v>1479</v>
      </c>
      <c r="B1378" t="s">
        <v>374</v>
      </c>
      <c r="C1378" t="s">
        <v>1480</v>
      </c>
      <c r="D1378" t="s">
        <v>2262</v>
      </c>
      <c r="E1378" t="s">
        <v>2263</v>
      </c>
      <c r="F1378" s="13">
        <v>44629.43886574074</v>
      </c>
      <c r="G1378" t="s">
        <v>1483</v>
      </c>
      <c r="H1378" t="s">
        <v>1484</v>
      </c>
      <c r="I1378" s="13">
        <v>45012.044166666667</v>
      </c>
      <c r="K1378" t="s">
        <v>415</v>
      </c>
      <c r="M1378" s="13">
        <v>44669</v>
      </c>
      <c r="R1378">
        <v>0</v>
      </c>
      <c r="S1378" t="s">
        <v>380</v>
      </c>
      <c r="T1378" t="s">
        <v>57</v>
      </c>
      <c r="V1378" t="s">
        <v>478</v>
      </c>
      <c r="W1378" t="s">
        <v>2264</v>
      </c>
      <c r="X1378" t="s">
        <v>2264</v>
      </c>
      <c r="AC1378" s="13">
        <v>44669</v>
      </c>
      <c r="AD1378" s="13">
        <v>44593</v>
      </c>
      <c r="AF1378" t="s">
        <v>451</v>
      </c>
      <c r="AI1378">
        <v>-343</v>
      </c>
      <c r="AL1378" t="s">
        <v>2265</v>
      </c>
      <c r="AN1378" t="s">
        <v>31</v>
      </c>
      <c r="AO1378">
        <v>0</v>
      </c>
      <c r="AS1378" t="s">
        <v>648</v>
      </c>
      <c r="AX1378" t="s">
        <v>31</v>
      </c>
      <c r="AY1378" t="s">
        <v>386</v>
      </c>
      <c r="AZ1378" t="s">
        <v>2266</v>
      </c>
      <c r="BF1378">
        <v>0</v>
      </c>
      <c r="BK1378" t="s">
        <v>31</v>
      </c>
      <c r="BS1378" t="s">
        <v>419</v>
      </c>
      <c r="BT1378" t="s">
        <v>419</v>
      </c>
      <c r="CI1378" t="s">
        <v>388</v>
      </c>
      <c r="CJ1378" s="14">
        <v>45014</v>
      </c>
      <c r="CK1378">
        <v>1</v>
      </c>
    </row>
    <row r="1379" spans="1:89">
      <c r="A1379" t="s">
        <v>2267</v>
      </c>
      <c r="B1379" t="s">
        <v>374</v>
      </c>
      <c r="C1379" t="s">
        <v>2268</v>
      </c>
      <c r="D1379" t="s">
        <v>2269</v>
      </c>
      <c r="E1379" t="s">
        <v>2270</v>
      </c>
      <c r="F1379" s="13">
        <v>44629.380740740744</v>
      </c>
      <c r="G1379" t="s">
        <v>2271</v>
      </c>
      <c r="H1379" t="s">
        <v>2272</v>
      </c>
      <c r="I1379" s="13">
        <v>45012.04415509259</v>
      </c>
      <c r="K1379" t="s">
        <v>415</v>
      </c>
      <c r="M1379" s="13">
        <v>44711</v>
      </c>
      <c r="R1379">
        <v>0</v>
      </c>
      <c r="S1379" t="s">
        <v>380</v>
      </c>
      <c r="T1379" t="s">
        <v>57</v>
      </c>
      <c r="V1379" t="s">
        <v>478</v>
      </c>
      <c r="W1379" t="s">
        <v>2273</v>
      </c>
      <c r="X1379" t="s">
        <v>2273</v>
      </c>
      <c r="AF1379" t="s">
        <v>451</v>
      </c>
      <c r="AI1379">
        <v>-301</v>
      </c>
      <c r="AL1379" t="s">
        <v>2274</v>
      </c>
      <c r="AN1379" t="s">
        <v>31</v>
      </c>
      <c r="AO1379">
        <v>0</v>
      </c>
      <c r="AS1379" t="s">
        <v>392</v>
      </c>
      <c r="AX1379" t="s">
        <v>31</v>
      </c>
      <c r="AY1379" t="s">
        <v>386</v>
      </c>
      <c r="AZ1379" t="s">
        <v>2275</v>
      </c>
      <c r="BF1379">
        <v>0</v>
      </c>
      <c r="BK1379" t="s">
        <v>31</v>
      </c>
      <c r="BS1379" t="s">
        <v>419</v>
      </c>
      <c r="BT1379" t="s">
        <v>419</v>
      </c>
      <c r="CI1379" t="s">
        <v>388</v>
      </c>
      <c r="CJ1379" s="14">
        <v>45014</v>
      </c>
      <c r="CK1379">
        <v>1</v>
      </c>
    </row>
    <row r="1380" spans="1:89">
      <c r="A1380" t="s">
        <v>454</v>
      </c>
      <c r="B1380" t="s">
        <v>374</v>
      </c>
      <c r="C1380" t="s">
        <v>455</v>
      </c>
      <c r="D1380" t="s">
        <v>2276</v>
      </c>
      <c r="E1380" t="s">
        <v>1623</v>
      </c>
      <c r="F1380" s="13">
        <v>44628.468206018515</v>
      </c>
      <c r="G1380" t="s">
        <v>1591</v>
      </c>
      <c r="H1380" t="s">
        <v>1592</v>
      </c>
      <c r="I1380" s="13">
        <v>44628.469918981478</v>
      </c>
      <c r="K1380" t="s">
        <v>412</v>
      </c>
      <c r="R1380">
        <v>0</v>
      </c>
      <c r="S1380" t="s">
        <v>380</v>
      </c>
      <c r="T1380" t="s">
        <v>57</v>
      </c>
      <c r="V1380" t="s">
        <v>381</v>
      </c>
      <c r="W1380" t="s">
        <v>2277</v>
      </c>
      <c r="X1380" t="s">
        <v>2277</v>
      </c>
      <c r="AI1380">
        <v>68</v>
      </c>
      <c r="AL1380" t="s">
        <v>1624</v>
      </c>
      <c r="AN1380" t="s">
        <v>31</v>
      </c>
      <c r="AO1380">
        <v>0</v>
      </c>
      <c r="AS1380" t="s">
        <v>702</v>
      </c>
      <c r="AX1380" t="s">
        <v>31</v>
      </c>
      <c r="AY1380" t="s">
        <v>442</v>
      </c>
      <c r="AZ1380" t="s">
        <v>2278</v>
      </c>
      <c r="BF1380">
        <v>0</v>
      </c>
      <c r="BK1380" t="s">
        <v>31</v>
      </c>
      <c r="BS1380" t="s">
        <v>412</v>
      </c>
      <c r="BT1380" t="s">
        <v>412</v>
      </c>
      <c r="CI1380" t="s">
        <v>388</v>
      </c>
      <c r="CJ1380" s="14">
        <v>45014</v>
      </c>
      <c r="CK1380">
        <v>1</v>
      </c>
    </row>
    <row r="1381" spans="1:89">
      <c r="A1381" t="s">
        <v>2155</v>
      </c>
      <c r="B1381" t="s">
        <v>374</v>
      </c>
      <c r="C1381" t="s">
        <v>2156</v>
      </c>
      <c r="D1381" t="s">
        <v>2279</v>
      </c>
      <c r="E1381" t="s">
        <v>2158</v>
      </c>
      <c r="F1381" s="13">
        <v>44628.446759259263</v>
      </c>
      <c r="G1381" t="s">
        <v>2159</v>
      </c>
      <c r="H1381" t="s">
        <v>2160</v>
      </c>
      <c r="I1381" s="13">
        <v>44636.508414351854</v>
      </c>
      <c r="K1381" t="s">
        <v>409</v>
      </c>
      <c r="R1381">
        <v>0</v>
      </c>
      <c r="S1381" t="s">
        <v>416</v>
      </c>
      <c r="V1381" t="s">
        <v>381</v>
      </c>
      <c r="W1381" t="s">
        <v>2280</v>
      </c>
      <c r="X1381" t="s">
        <v>2280</v>
      </c>
      <c r="AI1381">
        <v>87</v>
      </c>
      <c r="AL1381" t="s">
        <v>2162</v>
      </c>
      <c r="AN1381" t="s">
        <v>31</v>
      </c>
      <c r="AO1381">
        <v>0</v>
      </c>
      <c r="AZ1381" t="s">
        <v>2281</v>
      </c>
      <c r="BF1381">
        <v>0</v>
      </c>
      <c r="BK1381" t="s">
        <v>31</v>
      </c>
      <c r="BS1381" t="s">
        <v>409</v>
      </c>
      <c r="BT1381" t="s">
        <v>409</v>
      </c>
      <c r="CI1381" t="s">
        <v>388</v>
      </c>
      <c r="CJ1381" s="14">
        <v>45014</v>
      </c>
      <c r="CK1381">
        <v>1</v>
      </c>
    </row>
    <row r="1382" spans="1:89">
      <c r="A1382" t="s">
        <v>711</v>
      </c>
      <c r="B1382" t="s">
        <v>374</v>
      </c>
      <c r="C1382" t="s">
        <v>712</v>
      </c>
      <c r="D1382" t="s">
        <v>2282</v>
      </c>
      <c r="E1382" t="s">
        <v>2283</v>
      </c>
      <c r="F1382" s="13">
        <v>44628.356747685182</v>
      </c>
      <c r="G1382" t="s">
        <v>2284</v>
      </c>
      <c r="H1382" t="s">
        <v>845</v>
      </c>
      <c r="I1382" s="13">
        <v>44628.358229166668</v>
      </c>
      <c r="R1382">
        <v>0</v>
      </c>
      <c r="S1382" t="s">
        <v>416</v>
      </c>
      <c r="T1382" t="s">
        <v>57</v>
      </c>
      <c r="V1382" t="s">
        <v>381</v>
      </c>
      <c r="W1382" t="s">
        <v>2285</v>
      </c>
      <c r="X1382" t="s">
        <v>2285</v>
      </c>
      <c r="AC1382" s="13">
        <v>44631</v>
      </c>
      <c r="AD1382" s="13">
        <v>44631</v>
      </c>
      <c r="AI1382">
        <v>3</v>
      </c>
      <c r="AN1382" t="s">
        <v>31</v>
      </c>
      <c r="AO1382">
        <v>0</v>
      </c>
      <c r="AS1382" t="s">
        <v>385</v>
      </c>
      <c r="AX1382" t="s">
        <v>57</v>
      </c>
      <c r="AY1382" t="s">
        <v>386</v>
      </c>
      <c r="AZ1382" t="s">
        <v>2286</v>
      </c>
      <c r="BF1382">
        <v>0</v>
      </c>
      <c r="BK1382" t="s">
        <v>31</v>
      </c>
      <c r="BS1382" t="s">
        <v>412</v>
      </c>
      <c r="CI1382" t="s">
        <v>388</v>
      </c>
      <c r="CJ1382" s="14">
        <v>45014</v>
      </c>
      <c r="CK1382">
        <v>1</v>
      </c>
    </row>
    <row r="1383" spans="1:89">
      <c r="A1383" t="s">
        <v>1497</v>
      </c>
      <c r="B1383" t="s">
        <v>374</v>
      </c>
      <c r="C1383" t="s">
        <v>1498</v>
      </c>
      <c r="D1383" t="s">
        <v>2287</v>
      </c>
      <c r="E1383" t="s">
        <v>2288</v>
      </c>
      <c r="F1383" s="13">
        <v>44627.594305555554</v>
      </c>
      <c r="G1383" t="s">
        <v>1501</v>
      </c>
      <c r="H1383" t="s">
        <v>1502</v>
      </c>
      <c r="I1383" s="13">
        <v>45012.04415509259</v>
      </c>
      <c r="K1383" t="s">
        <v>415</v>
      </c>
      <c r="M1383" s="13">
        <v>44680</v>
      </c>
      <c r="R1383">
        <v>0</v>
      </c>
      <c r="S1383" t="s">
        <v>416</v>
      </c>
      <c r="T1383" t="s">
        <v>57</v>
      </c>
      <c r="V1383" t="s">
        <v>478</v>
      </c>
      <c r="W1383" t="s">
        <v>2289</v>
      </c>
      <c r="X1383" t="s">
        <v>2289</v>
      </c>
      <c r="AF1383" t="s">
        <v>451</v>
      </c>
      <c r="AI1383">
        <v>-332</v>
      </c>
      <c r="AL1383" t="s">
        <v>2290</v>
      </c>
      <c r="AN1383" t="s">
        <v>31</v>
      </c>
      <c r="AO1383">
        <v>0</v>
      </c>
      <c r="AS1383" t="s">
        <v>392</v>
      </c>
      <c r="AX1383" t="s">
        <v>57</v>
      </c>
      <c r="AY1383" t="s">
        <v>442</v>
      </c>
      <c r="AZ1383" t="s">
        <v>2291</v>
      </c>
      <c r="BF1383">
        <v>0</v>
      </c>
      <c r="BK1383" t="s">
        <v>31</v>
      </c>
      <c r="BS1383" t="s">
        <v>419</v>
      </c>
      <c r="BT1383" t="s">
        <v>419</v>
      </c>
      <c r="CI1383" t="s">
        <v>388</v>
      </c>
      <c r="CJ1383" s="14">
        <v>45014</v>
      </c>
      <c r="CK1383">
        <v>1</v>
      </c>
    </row>
    <row r="1384" spans="1:89">
      <c r="A1384" t="s">
        <v>2292</v>
      </c>
      <c r="B1384" t="s">
        <v>374</v>
      </c>
      <c r="C1384" t="s">
        <v>2293</v>
      </c>
      <c r="D1384" t="s">
        <v>2294</v>
      </c>
      <c r="E1384" t="s">
        <v>2295</v>
      </c>
      <c r="F1384" s="13">
        <v>44622.540555555555</v>
      </c>
      <c r="G1384" t="s">
        <v>2296</v>
      </c>
      <c r="H1384" t="s">
        <v>2297</v>
      </c>
      <c r="I1384" s="13">
        <v>44622.541168981479</v>
      </c>
      <c r="K1384" t="s">
        <v>412</v>
      </c>
      <c r="R1384">
        <v>0</v>
      </c>
      <c r="S1384" t="s">
        <v>380</v>
      </c>
      <c r="T1384" t="s">
        <v>57</v>
      </c>
      <c r="V1384" t="s">
        <v>381</v>
      </c>
      <c r="W1384" t="s">
        <v>2298</v>
      </c>
      <c r="X1384" t="s">
        <v>2298</v>
      </c>
      <c r="AI1384">
        <v>58</v>
      </c>
      <c r="AL1384" t="s">
        <v>2299</v>
      </c>
      <c r="AN1384" t="s">
        <v>31</v>
      </c>
      <c r="AO1384">
        <v>0</v>
      </c>
      <c r="AS1384" t="s">
        <v>707</v>
      </c>
      <c r="AX1384" t="s">
        <v>57</v>
      </c>
      <c r="AY1384" t="s">
        <v>386</v>
      </c>
      <c r="AZ1384" t="s">
        <v>2300</v>
      </c>
      <c r="BE1384">
        <v>3.2</v>
      </c>
      <c r="BF1384">
        <v>0</v>
      </c>
      <c r="BK1384" t="s">
        <v>31</v>
      </c>
      <c r="BS1384" t="s">
        <v>412</v>
      </c>
      <c r="BT1384" t="s">
        <v>412</v>
      </c>
      <c r="CI1384" t="s">
        <v>388</v>
      </c>
      <c r="CJ1384" s="14">
        <v>45014</v>
      </c>
      <c r="CK1384">
        <v>1</v>
      </c>
    </row>
    <row r="1385" spans="1:89">
      <c r="A1385" t="s">
        <v>2292</v>
      </c>
      <c r="B1385" t="s">
        <v>374</v>
      </c>
      <c r="C1385" t="s">
        <v>2293</v>
      </c>
      <c r="D1385" t="s">
        <v>2301</v>
      </c>
      <c r="E1385" t="s">
        <v>2302</v>
      </c>
      <c r="F1385" s="13">
        <v>44622.537002314813</v>
      </c>
      <c r="G1385" t="s">
        <v>2296</v>
      </c>
      <c r="H1385" t="s">
        <v>2297</v>
      </c>
      <c r="I1385" s="13">
        <v>44622.538414351853</v>
      </c>
      <c r="K1385" t="s">
        <v>412</v>
      </c>
      <c r="R1385">
        <v>0</v>
      </c>
      <c r="S1385" t="s">
        <v>380</v>
      </c>
      <c r="T1385" t="s">
        <v>57</v>
      </c>
      <c r="V1385" t="s">
        <v>381</v>
      </c>
      <c r="W1385" t="s">
        <v>2298</v>
      </c>
      <c r="X1385" t="s">
        <v>2298</v>
      </c>
      <c r="AI1385">
        <v>29</v>
      </c>
      <c r="AL1385" t="s">
        <v>2299</v>
      </c>
      <c r="AN1385" t="s">
        <v>31</v>
      </c>
      <c r="AO1385">
        <v>0</v>
      </c>
      <c r="AS1385" t="s">
        <v>385</v>
      </c>
      <c r="AX1385" t="s">
        <v>57</v>
      </c>
      <c r="AY1385" t="s">
        <v>386</v>
      </c>
      <c r="AZ1385" t="s">
        <v>2303</v>
      </c>
      <c r="BE1385">
        <v>3.2</v>
      </c>
      <c r="BF1385">
        <v>0</v>
      </c>
      <c r="BK1385" t="s">
        <v>31</v>
      </c>
      <c r="BS1385" t="s">
        <v>412</v>
      </c>
      <c r="BT1385" t="s">
        <v>412</v>
      </c>
      <c r="CI1385" t="s">
        <v>388</v>
      </c>
      <c r="CJ1385" s="14">
        <v>45014</v>
      </c>
      <c r="CK1385">
        <v>1</v>
      </c>
    </row>
    <row r="1386" spans="1:89">
      <c r="A1386" t="s">
        <v>454</v>
      </c>
      <c r="B1386" t="s">
        <v>374</v>
      </c>
      <c r="C1386" t="s">
        <v>455</v>
      </c>
      <c r="D1386" t="s">
        <v>2304</v>
      </c>
      <c r="E1386" t="s">
        <v>2305</v>
      </c>
      <c r="F1386" s="13">
        <v>44622.000636574077</v>
      </c>
      <c r="G1386" t="s">
        <v>1264</v>
      </c>
      <c r="H1386" t="s">
        <v>1265</v>
      </c>
      <c r="I1386" s="13">
        <v>45012.04415509259</v>
      </c>
      <c r="K1386" t="s">
        <v>415</v>
      </c>
      <c r="M1386" s="13">
        <v>44819</v>
      </c>
      <c r="R1386">
        <v>0</v>
      </c>
      <c r="S1386" t="s">
        <v>380</v>
      </c>
      <c r="T1386" t="s">
        <v>57</v>
      </c>
      <c r="V1386" t="s">
        <v>478</v>
      </c>
      <c r="W1386" t="s">
        <v>2306</v>
      </c>
      <c r="X1386" t="s">
        <v>2306</v>
      </c>
      <c r="AF1386" t="s">
        <v>451</v>
      </c>
      <c r="AI1386">
        <v>-193</v>
      </c>
      <c r="AL1386" t="s">
        <v>2307</v>
      </c>
      <c r="AN1386" t="s">
        <v>31</v>
      </c>
      <c r="AO1386">
        <v>0</v>
      </c>
      <c r="AS1386" t="s">
        <v>392</v>
      </c>
      <c r="AX1386" t="s">
        <v>57</v>
      </c>
      <c r="AY1386" t="s">
        <v>442</v>
      </c>
      <c r="AZ1386" t="s">
        <v>2308</v>
      </c>
      <c r="BE1386" t="s">
        <v>2309</v>
      </c>
      <c r="BF1386">
        <v>0</v>
      </c>
      <c r="BK1386" t="s">
        <v>31</v>
      </c>
      <c r="BS1386" t="s">
        <v>419</v>
      </c>
      <c r="BT1386" t="s">
        <v>419</v>
      </c>
      <c r="CI1386" t="s">
        <v>388</v>
      </c>
      <c r="CJ1386" s="14">
        <v>45014</v>
      </c>
      <c r="CK1386">
        <v>1</v>
      </c>
    </row>
    <row r="1387" spans="1:89">
      <c r="A1387" t="s">
        <v>2310</v>
      </c>
      <c r="B1387" t="s">
        <v>374</v>
      </c>
      <c r="C1387" t="s">
        <v>607</v>
      </c>
      <c r="D1387" t="s">
        <v>2311</v>
      </c>
      <c r="E1387" t="s">
        <v>2312</v>
      </c>
      <c r="F1387" s="13">
        <v>44621.807881944442</v>
      </c>
      <c r="G1387" t="s">
        <v>2313</v>
      </c>
      <c r="H1387" t="s">
        <v>2314</v>
      </c>
      <c r="I1387" s="13">
        <v>44621.812430555554</v>
      </c>
      <c r="K1387" t="s">
        <v>412</v>
      </c>
      <c r="R1387">
        <v>0</v>
      </c>
      <c r="S1387" t="s">
        <v>380</v>
      </c>
      <c r="T1387" t="s">
        <v>57</v>
      </c>
      <c r="V1387" t="s">
        <v>381</v>
      </c>
      <c r="W1387" t="s">
        <v>2315</v>
      </c>
      <c r="X1387" t="s">
        <v>2315</v>
      </c>
      <c r="AC1387" s="13">
        <v>44742</v>
      </c>
      <c r="AD1387" s="13">
        <v>44742</v>
      </c>
      <c r="AI1387">
        <v>121</v>
      </c>
      <c r="AL1387" t="s">
        <v>2316</v>
      </c>
      <c r="AN1387" t="s">
        <v>31</v>
      </c>
      <c r="AO1387">
        <v>0</v>
      </c>
      <c r="AS1387" t="s">
        <v>744</v>
      </c>
      <c r="AX1387" t="s">
        <v>31</v>
      </c>
      <c r="AY1387" t="s">
        <v>442</v>
      </c>
      <c r="AZ1387" t="s">
        <v>2317</v>
      </c>
      <c r="BF1387">
        <v>0</v>
      </c>
      <c r="BK1387" t="s">
        <v>31</v>
      </c>
      <c r="BS1387" t="s">
        <v>412</v>
      </c>
      <c r="BT1387" t="s">
        <v>412</v>
      </c>
      <c r="CI1387" t="s">
        <v>388</v>
      </c>
      <c r="CJ1387" s="14">
        <v>45014</v>
      </c>
      <c r="CK1387">
        <v>1</v>
      </c>
    </row>
    <row r="1388" spans="1:89">
      <c r="A1388" t="s">
        <v>1655</v>
      </c>
      <c r="B1388" t="s">
        <v>374</v>
      </c>
      <c r="C1388" t="s">
        <v>1656</v>
      </c>
      <c r="D1388" t="s">
        <v>2318</v>
      </c>
      <c r="E1388" t="s">
        <v>2319</v>
      </c>
      <c r="F1388" s="13">
        <v>44621.80537037037</v>
      </c>
      <c r="G1388" t="s">
        <v>1659</v>
      </c>
      <c r="H1388" t="s">
        <v>1660</v>
      </c>
      <c r="I1388" s="13">
        <v>45012.04414351852</v>
      </c>
      <c r="K1388" t="s">
        <v>415</v>
      </c>
      <c r="M1388" s="13">
        <v>44650</v>
      </c>
      <c r="R1388">
        <v>100</v>
      </c>
      <c r="S1388" t="s">
        <v>380</v>
      </c>
      <c r="T1388" t="s">
        <v>57</v>
      </c>
      <c r="V1388" t="s">
        <v>478</v>
      </c>
      <c r="W1388" t="s">
        <v>1661</v>
      </c>
      <c r="X1388" t="s">
        <v>1661</v>
      </c>
      <c r="AB1388" t="s">
        <v>57</v>
      </c>
      <c r="AC1388" s="13">
        <v>44650</v>
      </c>
      <c r="AD1388" s="13">
        <v>44620</v>
      </c>
      <c r="AF1388" t="s">
        <v>382</v>
      </c>
      <c r="AG1388" t="s">
        <v>2320</v>
      </c>
      <c r="AI1388">
        <v>-362</v>
      </c>
      <c r="AJ1388" s="13">
        <v>44651</v>
      </c>
      <c r="AL1388" t="s">
        <v>1670</v>
      </c>
      <c r="AN1388" t="s">
        <v>31</v>
      </c>
      <c r="AO1388">
        <v>0</v>
      </c>
      <c r="AR1388" t="s">
        <v>2320</v>
      </c>
      <c r="AS1388" t="s">
        <v>385</v>
      </c>
      <c r="AX1388" t="s">
        <v>31</v>
      </c>
      <c r="AY1388" t="s">
        <v>442</v>
      </c>
      <c r="AZ1388" t="s">
        <v>2321</v>
      </c>
      <c r="BF1388">
        <v>0</v>
      </c>
      <c r="BK1388" t="s">
        <v>31</v>
      </c>
      <c r="BS1388" t="s">
        <v>1201</v>
      </c>
      <c r="BT1388" t="s">
        <v>1202</v>
      </c>
      <c r="CI1388" t="s">
        <v>388</v>
      </c>
      <c r="CJ1388" s="14">
        <v>45014</v>
      </c>
      <c r="CK1388">
        <v>1</v>
      </c>
    </row>
    <row r="1389" spans="1:89">
      <c r="A1389" t="s">
        <v>673</v>
      </c>
      <c r="B1389" t="s">
        <v>374</v>
      </c>
      <c r="C1389" t="s">
        <v>674</v>
      </c>
      <c r="D1389" t="s">
        <v>2322</v>
      </c>
      <c r="E1389" t="s">
        <v>2323</v>
      </c>
      <c r="F1389" s="13">
        <v>44621.722754629627</v>
      </c>
      <c r="G1389" t="s">
        <v>2324</v>
      </c>
      <c r="H1389" t="s">
        <v>2325</v>
      </c>
      <c r="I1389" s="13">
        <v>45012.04414351852</v>
      </c>
      <c r="K1389" t="s">
        <v>415</v>
      </c>
      <c r="M1389" s="13">
        <v>44895</v>
      </c>
      <c r="R1389">
        <v>0</v>
      </c>
      <c r="S1389" t="s">
        <v>380</v>
      </c>
      <c r="T1389" t="s">
        <v>57</v>
      </c>
      <c r="V1389" t="s">
        <v>478</v>
      </c>
      <c r="W1389" t="s">
        <v>2326</v>
      </c>
      <c r="X1389" t="s">
        <v>2326</v>
      </c>
      <c r="AF1389" t="s">
        <v>451</v>
      </c>
      <c r="AI1389">
        <v>-117</v>
      </c>
      <c r="AL1389" t="s">
        <v>2327</v>
      </c>
      <c r="AN1389" t="s">
        <v>31</v>
      </c>
      <c r="AO1389">
        <v>0</v>
      </c>
      <c r="AS1389" t="s">
        <v>385</v>
      </c>
      <c r="AX1389" t="s">
        <v>31</v>
      </c>
      <c r="AY1389" t="s">
        <v>442</v>
      </c>
      <c r="AZ1389" t="s">
        <v>2328</v>
      </c>
      <c r="BF1389">
        <v>0</v>
      </c>
      <c r="BK1389" t="s">
        <v>31</v>
      </c>
      <c r="BS1389" t="s">
        <v>419</v>
      </c>
      <c r="BT1389" t="s">
        <v>419</v>
      </c>
      <c r="CI1389" t="s">
        <v>388</v>
      </c>
      <c r="CJ1389" s="14">
        <v>45014</v>
      </c>
      <c r="CK1389">
        <v>1</v>
      </c>
    </row>
    <row r="1390" spans="1:89">
      <c r="A1390" t="s">
        <v>673</v>
      </c>
      <c r="B1390" t="s">
        <v>374</v>
      </c>
      <c r="C1390" t="s">
        <v>674</v>
      </c>
      <c r="D1390" t="s">
        <v>2329</v>
      </c>
      <c r="E1390" t="s">
        <v>2330</v>
      </c>
      <c r="F1390" s="13">
        <v>44621.721030092594</v>
      </c>
      <c r="G1390" t="s">
        <v>2324</v>
      </c>
      <c r="H1390" t="s">
        <v>2325</v>
      </c>
      <c r="I1390" s="13">
        <v>45012.044131944444</v>
      </c>
      <c r="K1390" t="s">
        <v>415</v>
      </c>
      <c r="M1390" s="13">
        <v>44651</v>
      </c>
      <c r="R1390">
        <v>0</v>
      </c>
      <c r="S1390" t="s">
        <v>380</v>
      </c>
      <c r="T1390" t="s">
        <v>57</v>
      </c>
      <c r="V1390" t="s">
        <v>478</v>
      </c>
      <c r="W1390" t="s">
        <v>2326</v>
      </c>
      <c r="X1390" t="s">
        <v>2326</v>
      </c>
      <c r="AF1390" t="s">
        <v>451</v>
      </c>
      <c r="AI1390">
        <v>-361</v>
      </c>
      <c r="AL1390" t="s">
        <v>2327</v>
      </c>
      <c r="AN1390" t="s">
        <v>31</v>
      </c>
      <c r="AO1390">
        <v>0</v>
      </c>
      <c r="AS1390" t="s">
        <v>385</v>
      </c>
      <c r="AX1390" t="s">
        <v>31</v>
      </c>
      <c r="AY1390" t="s">
        <v>386</v>
      </c>
      <c r="AZ1390" t="s">
        <v>2331</v>
      </c>
      <c r="BF1390">
        <v>0</v>
      </c>
      <c r="BK1390" t="s">
        <v>31</v>
      </c>
      <c r="BS1390" t="s">
        <v>419</v>
      </c>
      <c r="BT1390" t="s">
        <v>419</v>
      </c>
      <c r="CI1390" t="s">
        <v>388</v>
      </c>
      <c r="CJ1390" s="14">
        <v>45014</v>
      </c>
      <c r="CK1390">
        <v>1</v>
      </c>
    </row>
    <row r="1391" spans="1:89">
      <c r="A1391" t="s">
        <v>2332</v>
      </c>
      <c r="B1391" t="s">
        <v>374</v>
      </c>
      <c r="C1391" t="s">
        <v>2333</v>
      </c>
      <c r="D1391" t="s">
        <v>2334</v>
      </c>
      <c r="E1391" t="s">
        <v>2335</v>
      </c>
      <c r="F1391" s="13">
        <v>44621.682743055557</v>
      </c>
      <c r="G1391" t="s">
        <v>2336</v>
      </c>
      <c r="H1391" t="s">
        <v>2337</v>
      </c>
      <c r="I1391" s="13">
        <v>45012.044131944444</v>
      </c>
      <c r="K1391" t="s">
        <v>415</v>
      </c>
      <c r="M1391" s="13">
        <v>44742</v>
      </c>
      <c r="R1391">
        <v>0</v>
      </c>
      <c r="S1391" t="s">
        <v>380</v>
      </c>
      <c r="T1391" t="s">
        <v>57</v>
      </c>
      <c r="V1391" t="s">
        <v>478</v>
      </c>
      <c r="W1391" t="s">
        <v>2338</v>
      </c>
      <c r="X1391" t="s">
        <v>2338</v>
      </c>
      <c r="AF1391" t="s">
        <v>451</v>
      </c>
      <c r="AI1391">
        <v>-270</v>
      </c>
      <c r="AL1391" t="s">
        <v>2339</v>
      </c>
      <c r="AN1391" t="s">
        <v>31</v>
      </c>
      <c r="AO1391">
        <v>0</v>
      </c>
      <c r="AS1391" t="s">
        <v>526</v>
      </c>
      <c r="AX1391" t="s">
        <v>31</v>
      </c>
      <c r="AY1391" t="s">
        <v>442</v>
      </c>
      <c r="AZ1391" t="s">
        <v>2340</v>
      </c>
      <c r="BE1391" t="s">
        <v>2341</v>
      </c>
      <c r="BF1391">
        <v>0</v>
      </c>
      <c r="BK1391" t="s">
        <v>31</v>
      </c>
      <c r="BS1391" t="s">
        <v>419</v>
      </c>
      <c r="BT1391" t="s">
        <v>419</v>
      </c>
      <c r="CI1391" t="s">
        <v>388</v>
      </c>
      <c r="CJ1391" s="14">
        <v>45014</v>
      </c>
      <c r="CK1391">
        <v>1</v>
      </c>
    </row>
    <row r="1392" spans="1:89">
      <c r="A1392" t="s">
        <v>2342</v>
      </c>
      <c r="B1392" t="s">
        <v>374</v>
      </c>
      <c r="C1392" t="s">
        <v>2343</v>
      </c>
      <c r="D1392" t="s">
        <v>2344</v>
      </c>
      <c r="E1392" t="s">
        <v>2345</v>
      </c>
      <c r="F1392" s="13">
        <v>44621.635231481479</v>
      </c>
      <c r="G1392" t="s">
        <v>2346</v>
      </c>
      <c r="H1392" t="s">
        <v>2347</v>
      </c>
      <c r="I1392" s="13">
        <v>45012.044131944444</v>
      </c>
      <c r="K1392" t="s">
        <v>415</v>
      </c>
      <c r="M1392" s="13">
        <v>44712</v>
      </c>
      <c r="R1392">
        <v>0</v>
      </c>
      <c r="S1392" t="s">
        <v>380</v>
      </c>
      <c r="T1392" t="s">
        <v>57</v>
      </c>
      <c r="V1392" t="s">
        <v>478</v>
      </c>
      <c r="W1392" t="s">
        <v>2348</v>
      </c>
      <c r="X1392" t="s">
        <v>2348</v>
      </c>
      <c r="AF1392" t="s">
        <v>451</v>
      </c>
      <c r="AI1392">
        <v>-300</v>
      </c>
      <c r="AL1392" t="s">
        <v>2349</v>
      </c>
      <c r="AN1392" t="s">
        <v>31</v>
      </c>
      <c r="AO1392">
        <v>0</v>
      </c>
      <c r="AS1392" t="s">
        <v>385</v>
      </c>
      <c r="AX1392" t="s">
        <v>57</v>
      </c>
      <c r="AY1392" t="s">
        <v>442</v>
      </c>
      <c r="AZ1392" t="s">
        <v>2350</v>
      </c>
      <c r="BF1392">
        <v>0</v>
      </c>
      <c r="BK1392" t="s">
        <v>31</v>
      </c>
      <c r="BS1392" t="s">
        <v>419</v>
      </c>
      <c r="BT1392" t="s">
        <v>419</v>
      </c>
      <c r="CI1392" t="s">
        <v>388</v>
      </c>
      <c r="CJ1392" s="14">
        <v>45014</v>
      </c>
      <c r="CK1392">
        <v>1</v>
      </c>
    </row>
    <row r="1393" spans="1:89">
      <c r="A1393" t="s">
        <v>1655</v>
      </c>
      <c r="B1393" t="s">
        <v>374</v>
      </c>
      <c r="C1393" t="s">
        <v>1656</v>
      </c>
      <c r="D1393" t="s">
        <v>2351</v>
      </c>
      <c r="E1393" t="s">
        <v>2352</v>
      </c>
      <c r="F1393" s="13">
        <v>44621.624803240738</v>
      </c>
      <c r="G1393" t="s">
        <v>1659</v>
      </c>
      <c r="H1393" t="s">
        <v>1660</v>
      </c>
      <c r="I1393" s="13">
        <v>45012.044120370374</v>
      </c>
      <c r="K1393" t="s">
        <v>415</v>
      </c>
      <c r="M1393" s="13">
        <v>44681</v>
      </c>
      <c r="R1393">
        <v>0</v>
      </c>
      <c r="S1393" t="s">
        <v>380</v>
      </c>
      <c r="T1393" t="s">
        <v>57</v>
      </c>
      <c r="V1393" t="s">
        <v>478</v>
      </c>
      <c r="W1393" t="s">
        <v>2353</v>
      </c>
      <c r="X1393" t="s">
        <v>2353</v>
      </c>
      <c r="AC1393" s="13">
        <v>44681</v>
      </c>
      <c r="AD1393" s="13">
        <v>44681</v>
      </c>
      <c r="AF1393" t="s">
        <v>451</v>
      </c>
      <c r="AI1393">
        <v>-331</v>
      </c>
      <c r="AL1393" t="s">
        <v>2354</v>
      </c>
      <c r="AN1393" t="s">
        <v>31</v>
      </c>
      <c r="AO1393">
        <v>0</v>
      </c>
      <c r="AS1393" t="s">
        <v>385</v>
      </c>
      <c r="AX1393" t="s">
        <v>31</v>
      </c>
      <c r="AY1393" t="s">
        <v>386</v>
      </c>
      <c r="AZ1393" t="s">
        <v>2355</v>
      </c>
      <c r="BE1393" t="s">
        <v>1364</v>
      </c>
      <c r="BF1393">
        <v>0</v>
      </c>
      <c r="BK1393" t="s">
        <v>31</v>
      </c>
      <c r="BS1393" t="s">
        <v>419</v>
      </c>
      <c r="BT1393" t="s">
        <v>419</v>
      </c>
      <c r="CI1393" t="s">
        <v>388</v>
      </c>
      <c r="CJ1393" s="14">
        <v>45014</v>
      </c>
      <c r="CK1393">
        <v>1</v>
      </c>
    </row>
    <row r="1394" spans="1:89">
      <c r="A1394" t="s">
        <v>673</v>
      </c>
      <c r="B1394" t="s">
        <v>374</v>
      </c>
      <c r="C1394" t="s">
        <v>674</v>
      </c>
      <c r="D1394" t="s">
        <v>2356</v>
      </c>
      <c r="E1394" t="s">
        <v>2357</v>
      </c>
      <c r="F1394" s="13">
        <v>44621.426631944443</v>
      </c>
      <c r="G1394" t="s">
        <v>2358</v>
      </c>
      <c r="H1394" t="s">
        <v>2359</v>
      </c>
      <c r="I1394" s="13">
        <v>45012.044120370374</v>
      </c>
      <c r="K1394" t="s">
        <v>415</v>
      </c>
      <c r="M1394" s="13">
        <v>44651</v>
      </c>
      <c r="R1394">
        <v>0</v>
      </c>
      <c r="S1394" t="s">
        <v>380</v>
      </c>
      <c r="T1394" t="s">
        <v>57</v>
      </c>
      <c r="V1394" t="s">
        <v>478</v>
      </c>
      <c r="W1394" t="s">
        <v>2360</v>
      </c>
      <c r="X1394" t="s">
        <v>2360</v>
      </c>
      <c r="AF1394" t="s">
        <v>451</v>
      </c>
      <c r="AI1394">
        <v>-361</v>
      </c>
      <c r="AL1394" t="s">
        <v>2361</v>
      </c>
      <c r="AN1394" t="s">
        <v>31</v>
      </c>
      <c r="AO1394">
        <v>0</v>
      </c>
      <c r="AS1394" t="s">
        <v>538</v>
      </c>
      <c r="AX1394" t="s">
        <v>31</v>
      </c>
      <c r="AY1394" t="s">
        <v>442</v>
      </c>
      <c r="AZ1394" t="s">
        <v>2362</v>
      </c>
      <c r="BE1394" t="s">
        <v>2363</v>
      </c>
      <c r="BF1394">
        <v>0</v>
      </c>
      <c r="BK1394" t="s">
        <v>31</v>
      </c>
      <c r="BS1394" t="s">
        <v>419</v>
      </c>
      <c r="BT1394" t="s">
        <v>419</v>
      </c>
      <c r="CI1394" t="s">
        <v>388</v>
      </c>
      <c r="CJ1394" s="14">
        <v>45014</v>
      </c>
      <c r="CK1394">
        <v>1</v>
      </c>
    </row>
    <row r="1395" spans="1:89">
      <c r="A1395" t="s">
        <v>673</v>
      </c>
      <c r="B1395" t="s">
        <v>374</v>
      </c>
      <c r="C1395" t="s">
        <v>674</v>
      </c>
      <c r="D1395" t="s">
        <v>2364</v>
      </c>
      <c r="E1395" t="s">
        <v>2365</v>
      </c>
      <c r="F1395" s="13">
        <v>44621.405949074076</v>
      </c>
      <c r="G1395" t="s">
        <v>2358</v>
      </c>
      <c r="H1395" t="s">
        <v>2359</v>
      </c>
      <c r="I1395" s="13">
        <v>44621.406793981485</v>
      </c>
      <c r="K1395" t="s">
        <v>412</v>
      </c>
      <c r="R1395">
        <v>0</v>
      </c>
      <c r="S1395" t="s">
        <v>380</v>
      </c>
      <c r="T1395" t="s">
        <v>57</v>
      </c>
      <c r="V1395" t="s">
        <v>381</v>
      </c>
      <c r="W1395" t="s">
        <v>2359</v>
      </c>
      <c r="X1395" t="s">
        <v>2359</v>
      </c>
      <c r="AI1395">
        <v>60</v>
      </c>
      <c r="AL1395" t="s">
        <v>2366</v>
      </c>
      <c r="AN1395" t="s">
        <v>31</v>
      </c>
      <c r="AO1395">
        <v>0</v>
      </c>
      <c r="AS1395" t="s">
        <v>385</v>
      </c>
      <c r="AX1395" t="s">
        <v>31</v>
      </c>
      <c r="AY1395" t="s">
        <v>442</v>
      </c>
      <c r="AZ1395" t="s">
        <v>2367</v>
      </c>
      <c r="BF1395">
        <v>0</v>
      </c>
      <c r="BK1395" t="s">
        <v>31</v>
      </c>
      <c r="BS1395" t="s">
        <v>412</v>
      </c>
      <c r="BT1395" t="s">
        <v>412</v>
      </c>
      <c r="CI1395" t="s">
        <v>388</v>
      </c>
      <c r="CJ1395" s="14">
        <v>45014</v>
      </c>
      <c r="CK1395">
        <v>1</v>
      </c>
    </row>
    <row r="1396" spans="1:89">
      <c r="A1396" t="s">
        <v>2368</v>
      </c>
      <c r="B1396" t="s">
        <v>374</v>
      </c>
      <c r="C1396" t="s">
        <v>2369</v>
      </c>
      <c r="D1396" t="s">
        <v>2370</v>
      </c>
      <c r="E1396" t="s">
        <v>2371</v>
      </c>
      <c r="F1396" s="13">
        <v>44621.400127314817</v>
      </c>
      <c r="G1396" t="s">
        <v>2372</v>
      </c>
      <c r="H1396" t="s">
        <v>2373</v>
      </c>
      <c r="I1396" s="13">
        <v>44643.409305555557</v>
      </c>
      <c r="K1396" t="s">
        <v>379</v>
      </c>
      <c r="M1396" s="13">
        <v>44621</v>
      </c>
      <c r="R1396">
        <v>100</v>
      </c>
      <c r="S1396" t="s">
        <v>380</v>
      </c>
      <c r="T1396" t="s">
        <v>57</v>
      </c>
      <c r="V1396" t="s">
        <v>478</v>
      </c>
      <c r="W1396" t="s">
        <v>2374</v>
      </c>
      <c r="X1396" t="s">
        <v>2374</v>
      </c>
      <c r="AB1396" t="s">
        <v>57</v>
      </c>
      <c r="AF1396" t="s">
        <v>382</v>
      </c>
      <c r="AG1396" t="s">
        <v>2375</v>
      </c>
      <c r="AI1396">
        <v>-22</v>
      </c>
      <c r="AJ1396" s="13">
        <v>44628</v>
      </c>
      <c r="AL1396" t="s">
        <v>2376</v>
      </c>
      <c r="AN1396" t="s">
        <v>31</v>
      </c>
      <c r="AO1396">
        <v>0</v>
      </c>
      <c r="AR1396" t="s">
        <v>2375</v>
      </c>
      <c r="AS1396" t="s">
        <v>385</v>
      </c>
      <c r="AX1396" t="s">
        <v>57</v>
      </c>
      <c r="AY1396" t="s">
        <v>442</v>
      </c>
      <c r="AZ1396" t="s">
        <v>2377</v>
      </c>
      <c r="BC1396" t="s">
        <v>480</v>
      </c>
      <c r="BD1396" t="s">
        <v>2378</v>
      </c>
      <c r="BF1396">
        <v>0</v>
      </c>
      <c r="BK1396" t="s">
        <v>31</v>
      </c>
      <c r="BS1396" t="s">
        <v>379</v>
      </c>
      <c r="BT1396" t="s">
        <v>379</v>
      </c>
      <c r="CC1396" t="s">
        <v>2379</v>
      </c>
      <c r="CI1396" t="s">
        <v>388</v>
      </c>
      <c r="CJ1396" s="14">
        <v>45014</v>
      </c>
      <c r="CK1396">
        <v>1</v>
      </c>
    </row>
    <row r="1397" spans="1:89">
      <c r="A1397" t="s">
        <v>1535</v>
      </c>
      <c r="B1397" t="s">
        <v>374</v>
      </c>
      <c r="C1397" t="s">
        <v>1536</v>
      </c>
      <c r="D1397" t="s">
        <v>2380</v>
      </c>
      <c r="E1397" t="s">
        <v>2381</v>
      </c>
      <c r="F1397" s="13">
        <v>44621.380810185183</v>
      </c>
      <c r="G1397" t="s">
        <v>1539</v>
      </c>
      <c r="H1397" t="s">
        <v>1540</v>
      </c>
      <c r="I1397" s="13">
        <v>45012.044120370374</v>
      </c>
      <c r="K1397" t="s">
        <v>415</v>
      </c>
      <c r="M1397" s="13">
        <v>44640</v>
      </c>
      <c r="R1397">
        <v>0</v>
      </c>
      <c r="S1397" t="s">
        <v>380</v>
      </c>
      <c r="T1397" t="s">
        <v>57</v>
      </c>
      <c r="V1397" t="s">
        <v>478</v>
      </c>
      <c r="W1397" t="s">
        <v>1540</v>
      </c>
      <c r="X1397" t="s">
        <v>1540</v>
      </c>
      <c r="AC1397" s="13">
        <v>44652</v>
      </c>
      <c r="AD1397" s="13">
        <v>44651</v>
      </c>
      <c r="AF1397" t="s">
        <v>451</v>
      </c>
      <c r="AG1397" t="s">
        <v>2382</v>
      </c>
      <c r="AI1397">
        <v>-372</v>
      </c>
      <c r="AL1397" t="s">
        <v>2383</v>
      </c>
      <c r="AN1397" t="s">
        <v>31</v>
      </c>
      <c r="AO1397">
        <v>0</v>
      </c>
      <c r="AS1397" t="s">
        <v>392</v>
      </c>
      <c r="AX1397" t="s">
        <v>57</v>
      </c>
      <c r="AY1397" t="s">
        <v>386</v>
      </c>
      <c r="AZ1397" t="s">
        <v>2384</v>
      </c>
      <c r="BF1397">
        <v>0</v>
      </c>
      <c r="BK1397" t="s">
        <v>31</v>
      </c>
      <c r="BS1397" t="s">
        <v>419</v>
      </c>
      <c r="BT1397" t="s">
        <v>419</v>
      </c>
      <c r="CI1397" t="s">
        <v>388</v>
      </c>
      <c r="CJ1397" s="14">
        <v>45014</v>
      </c>
      <c r="CK1397">
        <v>1</v>
      </c>
    </row>
    <row r="1398" spans="1:89">
      <c r="A1398" t="s">
        <v>454</v>
      </c>
      <c r="B1398" t="s">
        <v>374</v>
      </c>
      <c r="C1398" t="s">
        <v>455</v>
      </c>
      <c r="D1398" t="s">
        <v>2385</v>
      </c>
      <c r="E1398" t="s">
        <v>2386</v>
      </c>
      <c r="F1398" s="13">
        <v>44620.996203703704</v>
      </c>
      <c r="G1398" t="s">
        <v>2387</v>
      </c>
      <c r="H1398" t="s">
        <v>2388</v>
      </c>
      <c r="I1398" s="13">
        <v>45012.044108796297</v>
      </c>
      <c r="K1398" t="s">
        <v>415</v>
      </c>
      <c r="M1398" s="13">
        <v>45169</v>
      </c>
      <c r="R1398">
        <v>0</v>
      </c>
      <c r="S1398" t="s">
        <v>380</v>
      </c>
      <c r="T1398" t="s">
        <v>57</v>
      </c>
      <c r="V1398" t="s">
        <v>381</v>
      </c>
      <c r="W1398" t="s">
        <v>2306</v>
      </c>
      <c r="X1398" t="s">
        <v>2306</v>
      </c>
      <c r="AF1398" t="s">
        <v>451</v>
      </c>
      <c r="AI1398">
        <v>157</v>
      </c>
      <c r="AL1398" t="s">
        <v>2389</v>
      </c>
      <c r="AN1398" t="s">
        <v>31</v>
      </c>
      <c r="AO1398">
        <v>0</v>
      </c>
      <c r="AS1398" t="s">
        <v>392</v>
      </c>
      <c r="AX1398" t="s">
        <v>57</v>
      </c>
      <c r="AY1398" t="s">
        <v>442</v>
      </c>
      <c r="AZ1398" t="s">
        <v>2390</v>
      </c>
      <c r="BE1398" t="s">
        <v>2391</v>
      </c>
      <c r="BF1398">
        <v>0</v>
      </c>
      <c r="BK1398" t="s">
        <v>31</v>
      </c>
      <c r="BS1398" t="s">
        <v>419</v>
      </c>
      <c r="BT1398" t="s">
        <v>419</v>
      </c>
      <c r="CI1398" t="s">
        <v>388</v>
      </c>
      <c r="CJ1398" s="14">
        <v>45014</v>
      </c>
      <c r="CK1398">
        <v>1</v>
      </c>
    </row>
    <row r="1399" spans="1:89">
      <c r="A1399" t="s">
        <v>454</v>
      </c>
      <c r="B1399" t="s">
        <v>374</v>
      </c>
      <c r="C1399" t="s">
        <v>455</v>
      </c>
      <c r="D1399" t="s">
        <v>2392</v>
      </c>
      <c r="E1399" t="s">
        <v>2393</v>
      </c>
      <c r="F1399" s="13">
        <v>44620.937708333331</v>
      </c>
      <c r="G1399" t="s">
        <v>2387</v>
      </c>
      <c r="H1399" t="s">
        <v>2388</v>
      </c>
      <c r="I1399" s="13">
        <v>45012.044108796297</v>
      </c>
      <c r="K1399" t="s">
        <v>415</v>
      </c>
      <c r="M1399" s="13">
        <v>44803</v>
      </c>
      <c r="R1399">
        <v>0</v>
      </c>
      <c r="S1399" t="s">
        <v>380</v>
      </c>
      <c r="T1399" t="s">
        <v>57</v>
      </c>
      <c r="V1399" t="s">
        <v>478</v>
      </c>
      <c r="W1399" t="s">
        <v>2306</v>
      </c>
      <c r="X1399" t="s">
        <v>2306</v>
      </c>
      <c r="AF1399" t="s">
        <v>451</v>
      </c>
      <c r="AI1399">
        <v>-209</v>
      </c>
      <c r="AL1399" t="s">
        <v>2394</v>
      </c>
      <c r="AN1399" t="s">
        <v>57</v>
      </c>
      <c r="AO1399">
        <v>0</v>
      </c>
      <c r="AS1399" t="s">
        <v>392</v>
      </c>
      <c r="AX1399" t="s">
        <v>57</v>
      </c>
      <c r="AY1399" t="s">
        <v>442</v>
      </c>
      <c r="AZ1399" t="s">
        <v>2395</v>
      </c>
      <c r="BE1399" t="s">
        <v>2396</v>
      </c>
      <c r="BF1399">
        <v>0</v>
      </c>
      <c r="BK1399" t="s">
        <v>31</v>
      </c>
      <c r="BS1399" t="s">
        <v>419</v>
      </c>
      <c r="BT1399" t="s">
        <v>419</v>
      </c>
      <c r="CI1399" t="s">
        <v>388</v>
      </c>
      <c r="CJ1399" s="14">
        <v>45014</v>
      </c>
      <c r="CK1399">
        <v>1</v>
      </c>
    </row>
    <row r="1400" spans="1:89">
      <c r="A1400" t="s">
        <v>454</v>
      </c>
      <c r="B1400" t="s">
        <v>374</v>
      </c>
      <c r="C1400" t="s">
        <v>455</v>
      </c>
      <c r="D1400" t="s">
        <v>2397</v>
      </c>
      <c r="E1400" t="s">
        <v>2398</v>
      </c>
      <c r="F1400" s="13">
        <v>44620.903287037036</v>
      </c>
      <c r="G1400" t="s">
        <v>2399</v>
      </c>
      <c r="H1400" t="s">
        <v>2400</v>
      </c>
      <c r="I1400" s="13">
        <v>45012.044108796297</v>
      </c>
      <c r="K1400" t="s">
        <v>415</v>
      </c>
      <c r="M1400" s="13">
        <v>44882</v>
      </c>
      <c r="R1400">
        <v>0</v>
      </c>
      <c r="S1400" t="s">
        <v>380</v>
      </c>
      <c r="T1400" t="s">
        <v>57</v>
      </c>
      <c r="V1400" t="s">
        <v>478</v>
      </c>
      <c r="W1400" t="s">
        <v>2401</v>
      </c>
      <c r="X1400" t="s">
        <v>2401</v>
      </c>
      <c r="AF1400" t="s">
        <v>451</v>
      </c>
      <c r="AI1400">
        <v>-130</v>
      </c>
      <c r="AL1400" t="s">
        <v>2402</v>
      </c>
      <c r="AN1400" t="s">
        <v>31</v>
      </c>
      <c r="AO1400">
        <v>0</v>
      </c>
      <c r="AS1400" t="s">
        <v>385</v>
      </c>
      <c r="AX1400" t="s">
        <v>57</v>
      </c>
      <c r="AY1400" t="s">
        <v>386</v>
      </c>
      <c r="AZ1400" t="s">
        <v>2403</v>
      </c>
      <c r="BE1400" t="s">
        <v>2404</v>
      </c>
      <c r="BF1400">
        <v>0</v>
      </c>
      <c r="BK1400" t="s">
        <v>31</v>
      </c>
      <c r="BS1400" t="s">
        <v>419</v>
      </c>
      <c r="BT1400" t="s">
        <v>419</v>
      </c>
      <c r="CI1400" t="s">
        <v>388</v>
      </c>
      <c r="CJ1400" s="14">
        <v>45014</v>
      </c>
      <c r="CK1400">
        <v>1</v>
      </c>
    </row>
    <row r="1401" spans="1:89">
      <c r="A1401" t="s">
        <v>454</v>
      </c>
      <c r="B1401" t="s">
        <v>374</v>
      </c>
      <c r="C1401" t="s">
        <v>455</v>
      </c>
      <c r="D1401" t="s">
        <v>2405</v>
      </c>
      <c r="E1401" t="s">
        <v>2406</v>
      </c>
      <c r="F1401" s="13">
        <v>44620.887777777774</v>
      </c>
      <c r="G1401" t="s">
        <v>2399</v>
      </c>
      <c r="H1401" t="s">
        <v>2400</v>
      </c>
      <c r="I1401" s="13">
        <v>45012.04409722222</v>
      </c>
      <c r="K1401" t="s">
        <v>415</v>
      </c>
      <c r="M1401" s="13">
        <v>44881</v>
      </c>
      <c r="R1401">
        <v>0</v>
      </c>
      <c r="S1401" t="s">
        <v>380</v>
      </c>
      <c r="T1401" t="s">
        <v>57</v>
      </c>
      <c r="V1401" t="s">
        <v>478</v>
      </c>
      <c r="W1401" t="s">
        <v>2401</v>
      </c>
      <c r="X1401" t="s">
        <v>2401</v>
      </c>
      <c r="AF1401" t="s">
        <v>451</v>
      </c>
      <c r="AI1401">
        <v>-131</v>
      </c>
      <c r="AL1401" t="s">
        <v>2407</v>
      </c>
      <c r="AN1401" t="s">
        <v>31</v>
      </c>
      <c r="AO1401">
        <v>0</v>
      </c>
      <c r="AS1401" t="s">
        <v>385</v>
      </c>
      <c r="AX1401" t="s">
        <v>57</v>
      </c>
      <c r="AY1401" t="s">
        <v>386</v>
      </c>
      <c r="AZ1401" t="s">
        <v>2408</v>
      </c>
      <c r="BE1401" t="s">
        <v>2409</v>
      </c>
      <c r="BF1401">
        <v>0</v>
      </c>
      <c r="BK1401" t="s">
        <v>31</v>
      </c>
      <c r="BS1401" t="s">
        <v>419</v>
      </c>
      <c r="BT1401" t="s">
        <v>419</v>
      </c>
      <c r="CI1401" t="s">
        <v>388</v>
      </c>
      <c r="CJ1401" s="14">
        <v>45014</v>
      </c>
      <c r="CK1401">
        <v>1</v>
      </c>
    </row>
    <row r="1402" spans="1:89">
      <c r="A1402" t="s">
        <v>454</v>
      </c>
      <c r="B1402" t="s">
        <v>374</v>
      </c>
      <c r="C1402" t="s">
        <v>455</v>
      </c>
      <c r="D1402" t="s">
        <v>2410</v>
      </c>
      <c r="E1402" t="s">
        <v>2411</v>
      </c>
      <c r="F1402" s="13">
        <v>44620.855370370373</v>
      </c>
      <c r="G1402" t="s">
        <v>2399</v>
      </c>
      <c r="H1402" t="s">
        <v>2400</v>
      </c>
      <c r="I1402" s="13">
        <v>45012.04409722222</v>
      </c>
      <c r="K1402" t="s">
        <v>415</v>
      </c>
      <c r="M1402" s="13">
        <v>44882</v>
      </c>
      <c r="R1402">
        <v>0</v>
      </c>
      <c r="S1402" t="s">
        <v>380</v>
      </c>
      <c r="T1402" t="s">
        <v>57</v>
      </c>
      <c r="V1402" t="s">
        <v>478</v>
      </c>
      <c r="W1402" t="s">
        <v>2401</v>
      </c>
      <c r="X1402" t="s">
        <v>2401</v>
      </c>
      <c r="AF1402" t="s">
        <v>451</v>
      </c>
      <c r="AI1402">
        <v>-130</v>
      </c>
      <c r="AL1402" t="s">
        <v>2412</v>
      </c>
      <c r="AN1402" t="s">
        <v>31</v>
      </c>
      <c r="AO1402">
        <v>0</v>
      </c>
      <c r="AS1402" t="s">
        <v>385</v>
      </c>
      <c r="AX1402" t="s">
        <v>57</v>
      </c>
      <c r="AY1402" t="s">
        <v>386</v>
      </c>
      <c r="AZ1402" t="s">
        <v>2413</v>
      </c>
      <c r="BE1402" t="s">
        <v>2414</v>
      </c>
      <c r="BF1402">
        <v>0</v>
      </c>
      <c r="BK1402" t="s">
        <v>31</v>
      </c>
      <c r="BS1402" t="s">
        <v>419</v>
      </c>
      <c r="BT1402" t="s">
        <v>419</v>
      </c>
      <c r="CI1402" t="s">
        <v>388</v>
      </c>
      <c r="CJ1402" s="14">
        <v>45014</v>
      </c>
      <c r="CK1402">
        <v>1</v>
      </c>
    </row>
    <row r="1403" spans="1:89">
      <c r="A1403" t="s">
        <v>454</v>
      </c>
      <c r="B1403" t="s">
        <v>374</v>
      </c>
      <c r="C1403" t="s">
        <v>455</v>
      </c>
      <c r="D1403" t="s">
        <v>2415</v>
      </c>
      <c r="E1403" t="s">
        <v>2416</v>
      </c>
      <c r="F1403" s="13">
        <v>44620.822314814817</v>
      </c>
      <c r="G1403" t="s">
        <v>2399</v>
      </c>
      <c r="H1403" t="s">
        <v>2400</v>
      </c>
      <c r="I1403" s="13">
        <v>45012.04409722222</v>
      </c>
      <c r="K1403" t="s">
        <v>415</v>
      </c>
      <c r="M1403" s="13">
        <v>44769</v>
      </c>
      <c r="R1403">
        <v>0</v>
      </c>
      <c r="S1403" t="s">
        <v>380</v>
      </c>
      <c r="T1403" t="s">
        <v>57</v>
      </c>
      <c r="V1403" t="s">
        <v>478</v>
      </c>
      <c r="W1403" t="s">
        <v>2417</v>
      </c>
      <c r="X1403" t="s">
        <v>2417</v>
      </c>
      <c r="AF1403" t="s">
        <v>451</v>
      </c>
      <c r="AI1403">
        <v>-243</v>
      </c>
      <c r="AL1403" t="s">
        <v>2418</v>
      </c>
      <c r="AN1403" t="s">
        <v>31</v>
      </c>
      <c r="AO1403">
        <v>0</v>
      </c>
      <c r="AS1403" t="s">
        <v>385</v>
      </c>
      <c r="AX1403" t="s">
        <v>57</v>
      </c>
      <c r="AY1403" t="s">
        <v>386</v>
      </c>
      <c r="AZ1403" t="s">
        <v>2419</v>
      </c>
      <c r="BE1403" t="s">
        <v>2420</v>
      </c>
      <c r="BF1403">
        <v>0</v>
      </c>
      <c r="BK1403" t="s">
        <v>31</v>
      </c>
      <c r="BS1403" t="s">
        <v>419</v>
      </c>
      <c r="BT1403" t="s">
        <v>419</v>
      </c>
      <c r="CI1403" t="s">
        <v>388</v>
      </c>
      <c r="CJ1403" s="14">
        <v>45014</v>
      </c>
      <c r="CK1403">
        <v>1</v>
      </c>
    </row>
    <row r="1404" spans="1:89">
      <c r="A1404" t="s">
        <v>697</v>
      </c>
      <c r="B1404" t="s">
        <v>374</v>
      </c>
      <c r="C1404" t="s">
        <v>698</v>
      </c>
      <c r="D1404" t="s">
        <v>2421</v>
      </c>
      <c r="E1404" t="s">
        <v>2422</v>
      </c>
      <c r="F1404" s="13">
        <v>44620.779594907406</v>
      </c>
      <c r="G1404" t="s">
        <v>2423</v>
      </c>
      <c r="H1404" t="s">
        <v>2424</v>
      </c>
      <c r="I1404" s="13">
        <v>45012.044085648151</v>
      </c>
      <c r="K1404" t="s">
        <v>415</v>
      </c>
      <c r="M1404" s="13">
        <v>44651</v>
      </c>
      <c r="R1404">
        <v>0</v>
      </c>
      <c r="S1404" t="s">
        <v>380</v>
      </c>
      <c r="T1404" t="s">
        <v>57</v>
      </c>
      <c r="V1404" t="s">
        <v>478</v>
      </c>
      <c r="W1404" t="s">
        <v>2425</v>
      </c>
      <c r="X1404" t="s">
        <v>2425</v>
      </c>
      <c r="AF1404" t="s">
        <v>451</v>
      </c>
      <c r="AI1404">
        <v>-361</v>
      </c>
      <c r="AL1404" t="s">
        <v>2426</v>
      </c>
      <c r="AN1404" t="s">
        <v>31</v>
      </c>
      <c r="AO1404">
        <v>0</v>
      </c>
      <c r="AS1404" t="s">
        <v>392</v>
      </c>
      <c r="AX1404" t="s">
        <v>31</v>
      </c>
      <c r="AY1404" t="s">
        <v>386</v>
      </c>
      <c r="AZ1404" t="s">
        <v>2427</v>
      </c>
      <c r="BF1404">
        <v>0</v>
      </c>
      <c r="BK1404" t="s">
        <v>31</v>
      </c>
      <c r="BS1404" t="s">
        <v>419</v>
      </c>
      <c r="BT1404" t="s">
        <v>419</v>
      </c>
      <c r="CI1404" t="s">
        <v>388</v>
      </c>
      <c r="CJ1404" s="14">
        <v>45014</v>
      </c>
      <c r="CK1404">
        <v>1</v>
      </c>
    </row>
    <row r="1405" spans="1:89">
      <c r="A1405" t="s">
        <v>697</v>
      </c>
      <c r="B1405" t="s">
        <v>374</v>
      </c>
      <c r="C1405" t="s">
        <v>698</v>
      </c>
      <c r="D1405" t="s">
        <v>2428</v>
      </c>
      <c r="E1405" t="s">
        <v>2429</v>
      </c>
      <c r="F1405" s="13">
        <v>44620.770682870374</v>
      </c>
      <c r="G1405" t="s">
        <v>2423</v>
      </c>
      <c r="H1405" t="s">
        <v>2424</v>
      </c>
      <c r="I1405" s="13">
        <v>45012.044085648151</v>
      </c>
      <c r="K1405" t="s">
        <v>415</v>
      </c>
      <c r="M1405" s="13">
        <v>44742</v>
      </c>
      <c r="R1405">
        <v>0</v>
      </c>
      <c r="S1405" t="s">
        <v>380</v>
      </c>
      <c r="T1405" t="s">
        <v>57</v>
      </c>
      <c r="V1405" t="s">
        <v>478</v>
      </c>
      <c r="W1405" t="s">
        <v>2425</v>
      </c>
      <c r="X1405" t="s">
        <v>2425</v>
      </c>
      <c r="AF1405" t="s">
        <v>451</v>
      </c>
      <c r="AI1405">
        <v>-270</v>
      </c>
      <c r="AL1405" t="s">
        <v>2430</v>
      </c>
      <c r="AN1405" t="s">
        <v>31</v>
      </c>
      <c r="AO1405">
        <v>0</v>
      </c>
      <c r="AS1405" t="s">
        <v>526</v>
      </c>
      <c r="AX1405" t="s">
        <v>31</v>
      </c>
      <c r="AY1405" t="s">
        <v>386</v>
      </c>
      <c r="AZ1405" t="s">
        <v>2431</v>
      </c>
      <c r="BF1405">
        <v>0</v>
      </c>
      <c r="BK1405" t="s">
        <v>31</v>
      </c>
      <c r="BS1405" t="s">
        <v>419</v>
      </c>
      <c r="BT1405" t="s">
        <v>419</v>
      </c>
      <c r="CI1405" t="s">
        <v>388</v>
      </c>
      <c r="CJ1405" s="14">
        <v>45014</v>
      </c>
      <c r="CK1405">
        <v>1</v>
      </c>
    </row>
    <row r="1406" spans="1:89">
      <c r="A1406" t="s">
        <v>454</v>
      </c>
      <c r="B1406" t="s">
        <v>374</v>
      </c>
      <c r="C1406" t="s">
        <v>455</v>
      </c>
      <c r="D1406" t="s">
        <v>2432</v>
      </c>
      <c r="E1406" t="s">
        <v>2433</v>
      </c>
      <c r="F1406" s="13">
        <v>44620.740208333336</v>
      </c>
      <c r="G1406" t="s">
        <v>2399</v>
      </c>
      <c r="H1406" t="s">
        <v>2400</v>
      </c>
      <c r="I1406" s="13">
        <v>45012.044085648151</v>
      </c>
      <c r="K1406" t="s">
        <v>415</v>
      </c>
      <c r="M1406" s="13">
        <v>44769</v>
      </c>
      <c r="R1406">
        <v>0</v>
      </c>
      <c r="S1406" t="s">
        <v>380</v>
      </c>
      <c r="T1406" t="s">
        <v>57</v>
      </c>
      <c r="V1406" t="s">
        <v>478</v>
      </c>
      <c r="W1406" t="s">
        <v>2417</v>
      </c>
      <c r="X1406" t="s">
        <v>2417</v>
      </c>
      <c r="AF1406" t="s">
        <v>451</v>
      </c>
      <c r="AI1406">
        <v>-243</v>
      </c>
      <c r="AL1406" t="s">
        <v>2434</v>
      </c>
      <c r="AN1406" t="s">
        <v>31</v>
      </c>
      <c r="AO1406">
        <v>0</v>
      </c>
      <c r="AS1406" t="s">
        <v>385</v>
      </c>
      <c r="AX1406" t="s">
        <v>57</v>
      </c>
      <c r="AY1406" t="s">
        <v>386</v>
      </c>
      <c r="AZ1406" t="s">
        <v>2435</v>
      </c>
      <c r="BE1406" t="s">
        <v>2436</v>
      </c>
      <c r="BF1406">
        <v>0</v>
      </c>
      <c r="BK1406" t="s">
        <v>31</v>
      </c>
      <c r="BS1406" t="s">
        <v>419</v>
      </c>
      <c r="BT1406" t="s">
        <v>419</v>
      </c>
      <c r="CI1406" t="s">
        <v>388</v>
      </c>
      <c r="CJ1406" s="14">
        <v>45014</v>
      </c>
      <c r="CK1406">
        <v>1</v>
      </c>
    </row>
    <row r="1407" spans="1:89">
      <c r="A1407" t="s">
        <v>2332</v>
      </c>
      <c r="B1407" t="s">
        <v>374</v>
      </c>
      <c r="C1407" t="s">
        <v>2333</v>
      </c>
      <c r="D1407" t="s">
        <v>2437</v>
      </c>
      <c r="E1407" t="e">
        <f>- Incorporate the Bankerâ€™s check in the monthly review process, as conducted by the CRAs. This review will confirm that the client data is correctly updated on the source system (i.e. COCL data extract) to confirm that all clients are correctly linked to a Banker and that there are no unmanaged clients.  - CRAs will update the Banker details on the source system where CIB clients were incorrectly or not linked to a Banker.</f>
        <v>#NAME?</v>
      </c>
      <c r="F1407" s="13">
        <v>44620.735821759263</v>
      </c>
      <c r="G1407" t="s">
        <v>2438</v>
      </c>
      <c r="H1407" t="s">
        <v>2439</v>
      </c>
      <c r="I1407" s="13">
        <v>45012.044074074074</v>
      </c>
      <c r="K1407" t="s">
        <v>415</v>
      </c>
      <c r="M1407" s="13">
        <v>44681</v>
      </c>
      <c r="R1407">
        <v>0</v>
      </c>
      <c r="S1407" t="s">
        <v>380</v>
      </c>
      <c r="T1407" t="s">
        <v>57</v>
      </c>
      <c r="V1407" t="s">
        <v>478</v>
      </c>
      <c r="W1407" t="s">
        <v>2440</v>
      </c>
      <c r="X1407" t="s">
        <v>2440</v>
      </c>
      <c r="AC1407" s="13">
        <v>44652</v>
      </c>
      <c r="AD1407" s="13">
        <v>44621</v>
      </c>
      <c r="AF1407" t="s">
        <v>451</v>
      </c>
      <c r="AI1407">
        <v>-331</v>
      </c>
      <c r="AL1407" t="s">
        <v>2441</v>
      </c>
      <c r="AN1407" t="s">
        <v>31</v>
      </c>
      <c r="AO1407">
        <v>0</v>
      </c>
      <c r="AS1407" t="s">
        <v>385</v>
      </c>
      <c r="AX1407" t="s">
        <v>57</v>
      </c>
      <c r="AY1407" t="s">
        <v>386</v>
      </c>
      <c r="AZ1407" t="s">
        <v>2442</v>
      </c>
      <c r="BE1407" t="s">
        <v>2443</v>
      </c>
      <c r="BF1407">
        <v>0</v>
      </c>
      <c r="BK1407" t="s">
        <v>31</v>
      </c>
      <c r="BS1407" t="s">
        <v>419</v>
      </c>
      <c r="BT1407" t="s">
        <v>419</v>
      </c>
      <c r="CI1407" t="s">
        <v>388</v>
      </c>
      <c r="CJ1407" s="14">
        <v>45014</v>
      </c>
      <c r="CK1407">
        <v>1</v>
      </c>
    </row>
    <row r="1408" spans="1:89">
      <c r="A1408" t="s">
        <v>2444</v>
      </c>
      <c r="B1408" t="s">
        <v>374</v>
      </c>
      <c r="C1408" t="s">
        <v>2445</v>
      </c>
      <c r="D1408" t="s">
        <v>2446</v>
      </c>
      <c r="E1408" t="s">
        <v>2447</v>
      </c>
      <c r="F1408" s="13">
        <v>44620.728726851848</v>
      </c>
      <c r="G1408" t="s">
        <v>1526</v>
      </c>
      <c r="H1408" t="s">
        <v>1527</v>
      </c>
      <c r="I1408" s="13">
        <v>44620.72928240741</v>
      </c>
      <c r="K1408" t="s">
        <v>412</v>
      </c>
      <c r="R1408">
        <v>0</v>
      </c>
      <c r="S1408" t="s">
        <v>380</v>
      </c>
      <c r="T1408" t="s">
        <v>57</v>
      </c>
      <c r="V1408" t="s">
        <v>381</v>
      </c>
      <c r="W1408" t="s">
        <v>2448</v>
      </c>
      <c r="X1408" t="s">
        <v>2448</v>
      </c>
      <c r="AI1408">
        <v>77</v>
      </c>
      <c r="AL1408" t="s">
        <v>2449</v>
      </c>
      <c r="AN1408" t="s">
        <v>31</v>
      </c>
      <c r="AO1408">
        <v>0</v>
      </c>
      <c r="AS1408" t="s">
        <v>538</v>
      </c>
      <c r="AX1408" t="s">
        <v>31</v>
      </c>
      <c r="AY1408" t="s">
        <v>442</v>
      </c>
      <c r="AZ1408" t="s">
        <v>2450</v>
      </c>
      <c r="BF1408">
        <v>0</v>
      </c>
      <c r="BK1408" t="s">
        <v>31</v>
      </c>
      <c r="BS1408" t="s">
        <v>412</v>
      </c>
      <c r="BT1408" t="s">
        <v>412</v>
      </c>
      <c r="CI1408" t="s">
        <v>388</v>
      </c>
      <c r="CJ1408" s="14">
        <v>45014</v>
      </c>
      <c r="CK1408">
        <v>1</v>
      </c>
    </row>
    <row r="1409" spans="1:89">
      <c r="A1409" t="s">
        <v>2451</v>
      </c>
      <c r="B1409" t="s">
        <v>374</v>
      </c>
      <c r="C1409" t="s">
        <v>2452</v>
      </c>
      <c r="D1409" t="s">
        <v>2453</v>
      </c>
      <c r="E1409" t="s">
        <v>2454</v>
      </c>
      <c r="F1409" s="13">
        <v>44620.713182870371</v>
      </c>
      <c r="G1409" t="s">
        <v>2455</v>
      </c>
      <c r="H1409" t="s">
        <v>2456</v>
      </c>
      <c r="I1409" s="13">
        <v>44620.713182870371</v>
      </c>
      <c r="K1409" t="s">
        <v>412</v>
      </c>
      <c r="R1409">
        <v>0</v>
      </c>
      <c r="S1409" t="s">
        <v>380</v>
      </c>
      <c r="V1409" t="s">
        <v>381</v>
      </c>
      <c r="W1409" t="s">
        <v>2457</v>
      </c>
      <c r="X1409" t="s">
        <v>2457</v>
      </c>
      <c r="AI1409">
        <v>31</v>
      </c>
      <c r="AL1409" t="s">
        <v>2458</v>
      </c>
      <c r="AN1409" t="s">
        <v>31</v>
      </c>
      <c r="AO1409">
        <v>0</v>
      </c>
      <c r="AZ1409" t="s">
        <v>2459</v>
      </c>
      <c r="BF1409">
        <v>0</v>
      </c>
      <c r="BK1409" t="s">
        <v>31</v>
      </c>
      <c r="BS1409" t="s">
        <v>412</v>
      </c>
      <c r="BT1409" t="s">
        <v>412</v>
      </c>
      <c r="CI1409" t="s">
        <v>388</v>
      </c>
      <c r="CJ1409" s="14">
        <v>45014</v>
      </c>
      <c r="CK1409">
        <v>1</v>
      </c>
    </row>
    <row r="1410" spans="1:89">
      <c r="A1410" t="s">
        <v>454</v>
      </c>
      <c r="B1410" t="s">
        <v>374</v>
      </c>
      <c r="C1410" t="s">
        <v>455</v>
      </c>
      <c r="D1410" t="s">
        <v>2460</v>
      </c>
      <c r="E1410" t="s">
        <v>2461</v>
      </c>
      <c r="F1410" s="13">
        <v>44620.708668981482</v>
      </c>
      <c r="G1410" t="s">
        <v>1264</v>
      </c>
      <c r="H1410" t="s">
        <v>1265</v>
      </c>
      <c r="I1410" s="13">
        <v>44620.719456018516</v>
      </c>
      <c r="K1410" t="s">
        <v>379</v>
      </c>
      <c r="M1410" s="13">
        <v>44620</v>
      </c>
      <c r="R1410">
        <v>100</v>
      </c>
      <c r="S1410" t="s">
        <v>380</v>
      </c>
      <c r="T1410" t="s">
        <v>57</v>
      </c>
      <c r="V1410" t="s">
        <v>381</v>
      </c>
      <c r="W1410" t="s">
        <v>2306</v>
      </c>
      <c r="X1410" t="s">
        <v>2306</v>
      </c>
      <c r="AF1410" t="s">
        <v>382</v>
      </c>
      <c r="AG1410" t="s">
        <v>2462</v>
      </c>
      <c r="AI1410">
        <v>0</v>
      </c>
      <c r="AL1410" t="s">
        <v>2463</v>
      </c>
      <c r="AN1410" t="s">
        <v>31</v>
      </c>
      <c r="AO1410">
        <v>0</v>
      </c>
      <c r="AS1410" t="s">
        <v>385</v>
      </c>
      <c r="AX1410" t="s">
        <v>57</v>
      </c>
      <c r="AY1410" t="s">
        <v>386</v>
      </c>
      <c r="AZ1410" t="s">
        <v>2464</v>
      </c>
      <c r="BF1410">
        <v>0</v>
      </c>
      <c r="BK1410" t="s">
        <v>31</v>
      </c>
      <c r="BS1410" t="s">
        <v>379</v>
      </c>
      <c r="BT1410" t="s">
        <v>379</v>
      </c>
      <c r="CI1410" t="s">
        <v>388</v>
      </c>
      <c r="CJ1410" s="14">
        <v>45014</v>
      </c>
      <c r="CK1410">
        <v>1</v>
      </c>
    </row>
    <row r="1411" spans="1:89">
      <c r="A1411" t="s">
        <v>2451</v>
      </c>
      <c r="B1411" t="s">
        <v>374</v>
      </c>
      <c r="C1411" t="s">
        <v>2452</v>
      </c>
      <c r="D1411" t="s">
        <v>2465</v>
      </c>
      <c r="E1411" t="s">
        <v>2466</v>
      </c>
      <c r="F1411" s="13">
        <v>44620.703148148146</v>
      </c>
      <c r="G1411" t="s">
        <v>2455</v>
      </c>
      <c r="H1411" t="s">
        <v>2456</v>
      </c>
      <c r="I1411" s="13">
        <v>44620.703148148146</v>
      </c>
      <c r="K1411" t="s">
        <v>412</v>
      </c>
      <c r="R1411">
        <v>0</v>
      </c>
      <c r="S1411" t="s">
        <v>380</v>
      </c>
      <c r="V1411" t="s">
        <v>381</v>
      </c>
      <c r="W1411" t="s">
        <v>2467</v>
      </c>
      <c r="X1411" t="s">
        <v>2467</v>
      </c>
      <c r="AI1411">
        <v>31</v>
      </c>
      <c r="AL1411" t="s">
        <v>2468</v>
      </c>
      <c r="AN1411" t="s">
        <v>31</v>
      </c>
      <c r="AO1411">
        <v>0</v>
      </c>
      <c r="AZ1411" t="s">
        <v>2469</v>
      </c>
      <c r="BF1411">
        <v>0</v>
      </c>
      <c r="BK1411" t="s">
        <v>31</v>
      </c>
      <c r="BS1411" t="s">
        <v>412</v>
      </c>
      <c r="BT1411" t="s">
        <v>412</v>
      </c>
      <c r="CI1411" t="s">
        <v>388</v>
      </c>
      <c r="CJ1411" s="14">
        <v>45014</v>
      </c>
      <c r="CK1411">
        <v>1</v>
      </c>
    </row>
    <row r="1412" spans="1:89">
      <c r="A1412" t="s">
        <v>2451</v>
      </c>
      <c r="B1412" t="s">
        <v>374</v>
      </c>
      <c r="C1412" t="s">
        <v>2452</v>
      </c>
      <c r="D1412" t="s">
        <v>2470</v>
      </c>
      <c r="E1412" t="s">
        <v>2471</v>
      </c>
      <c r="F1412" s="13">
        <v>44620.69327546296</v>
      </c>
      <c r="G1412" t="s">
        <v>2455</v>
      </c>
      <c r="H1412" t="s">
        <v>2456</v>
      </c>
      <c r="I1412" s="13">
        <v>44620.693287037036</v>
      </c>
      <c r="K1412" t="s">
        <v>412</v>
      </c>
      <c r="R1412">
        <v>0</v>
      </c>
      <c r="S1412" t="s">
        <v>380</v>
      </c>
      <c r="V1412" t="s">
        <v>381</v>
      </c>
      <c r="W1412" t="s">
        <v>2440</v>
      </c>
      <c r="X1412" t="s">
        <v>2440</v>
      </c>
      <c r="AI1412">
        <v>31</v>
      </c>
      <c r="AL1412" t="s">
        <v>2472</v>
      </c>
      <c r="AN1412" t="s">
        <v>31</v>
      </c>
      <c r="AO1412">
        <v>0</v>
      </c>
      <c r="AZ1412" t="s">
        <v>2473</v>
      </c>
      <c r="BF1412">
        <v>0</v>
      </c>
      <c r="BK1412" t="s">
        <v>31</v>
      </c>
      <c r="BS1412" t="s">
        <v>412</v>
      </c>
      <c r="BT1412" t="s">
        <v>412</v>
      </c>
      <c r="CI1412" t="s">
        <v>388</v>
      </c>
      <c r="CJ1412" s="14">
        <v>45014</v>
      </c>
      <c r="CK1412">
        <v>1</v>
      </c>
    </row>
    <row r="1413" spans="1:89">
      <c r="A1413" t="s">
        <v>454</v>
      </c>
      <c r="B1413" t="s">
        <v>374</v>
      </c>
      <c r="C1413" t="s">
        <v>455</v>
      </c>
      <c r="D1413" t="s">
        <v>2474</v>
      </c>
      <c r="E1413" t="s">
        <v>2475</v>
      </c>
      <c r="F1413" s="13">
        <v>44620.67695601852</v>
      </c>
      <c r="G1413" t="s">
        <v>2399</v>
      </c>
      <c r="H1413" t="s">
        <v>2400</v>
      </c>
      <c r="I1413" s="13">
        <v>45012.044074074074</v>
      </c>
      <c r="K1413" t="s">
        <v>415</v>
      </c>
      <c r="M1413" s="13">
        <v>44769</v>
      </c>
      <c r="R1413">
        <v>0</v>
      </c>
      <c r="S1413" t="s">
        <v>380</v>
      </c>
      <c r="T1413" t="s">
        <v>57</v>
      </c>
      <c r="V1413" t="s">
        <v>478</v>
      </c>
      <c r="W1413" t="s">
        <v>2417</v>
      </c>
      <c r="X1413" t="s">
        <v>2417</v>
      </c>
      <c r="AF1413" t="s">
        <v>451</v>
      </c>
      <c r="AI1413">
        <v>-243</v>
      </c>
      <c r="AL1413" t="s">
        <v>2476</v>
      </c>
      <c r="AN1413" t="s">
        <v>31</v>
      </c>
      <c r="AO1413">
        <v>0</v>
      </c>
      <c r="AS1413" t="s">
        <v>385</v>
      </c>
      <c r="AX1413" t="s">
        <v>57</v>
      </c>
      <c r="AY1413" t="s">
        <v>386</v>
      </c>
      <c r="AZ1413" t="s">
        <v>2477</v>
      </c>
      <c r="BE1413" t="s">
        <v>2478</v>
      </c>
      <c r="BF1413">
        <v>0</v>
      </c>
      <c r="BK1413" t="s">
        <v>31</v>
      </c>
      <c r="BS1413" t="s">
        <v>419</v>
      </c>
      <c r="BT1413" t="s">
        <v>419</v>
      </c>
      <c r="CI1413" t="s">
        <v>388</v>
      </c>
      <c r="CJ1413" s="14">
        <v>45014</v>
      </c>
      <c r="CK1413">
        <v>1</v>
      </c>
    </row>
    <row r="1414" spans="1:89">
      <c r="A1414" t="s">
        <v>1522</v>
      </c>
      <c r="B1414" t="s">
        <v>374</v>
      </c>
      <c r="C1414" t="s">
        <v>1523</v>
      </c>
      <c r="D1414" t="s">
        <v>2479</v>
      </c>
      <c r="E1414" t="s">
        <v>2480</v>
      </c>
      <c r="F1414" s="13">
        <v>44620.67114583333</v>
      </c>
      <c r="G1414" t="s">
        <v>1526</v>
      </c>
      <c r="H1414" t="s">
        <v>1527</v>
      </c>
      <c r="I1414" s="13">
        <v>44620.671770833331</v>
      </c>
      <c r="K1414" t="s">
        <v>412</v>
      </c>
      <c r="R1414">
        <v>0</v>
      </c>
      <c r="S1414" t="s">
        <v>380</v>
      </c>
      <c r="T1414" t="s">
        <v>57</v>
      </c>
      <c r="V1414" t="s">
        <v>381</v>
      </c>
      <c r="W1414" t="s">
        <v>2481</v>
      </c>
      <c r="X1414" t="s">
        <v>2481</v>
      </c>
      <c r="AI1414">
        <v>31</v>
      </c>
      <c r="AL1414" t="s">
        <v>2482</v>
      </c>
      <c r="AN1414" t="s">
        <v>31</v>
      </c>
      <c r="AO1414">
        <v>0</v>
      </c>
      <c r="AS1414" t="s">
        <v>538</v>
      </c>
      <c r="AX1414" t="s">
        <v>31</v>
      </c>
      <c r="AY1414" t="s">
        <v>442</v>
      </c>
      <c r="AZ1414" t="s">
        <v>2483</v>
      </c>
      <c r="BF1414">
        <v>0</v>
      </c>
      <c r="BK1414" t="s">
        <v>31</v>
      </c>
      <c r="BS1414" t="s">
        <v>412</v>
      </c>
      <c r="BT1414" t="s">
        <v>412</v>
      </c>
      <c r="CI1414" t="s">
        <v>388</v>
      </c>
      <c r="CJ1414" s="14">
        <v>45014</v>
      </c>
      <c r="CK1414">
        <v>1</v>
      </c>
    </row>
    <row r="1415" spans="1:89">
      <c r="A1415" t="s">
        <v>2484</v>
      </c>
      <c r="B1415" t="s">
        <v>374</v>
      </c>
      <c r="C1415" t="s">
        <v>2485</v>
      </c>
      <c r="D1415" t="s">
        <v>2486</v>
      </c>
      <c r="E1415" t="s">
        <v>2487</v>
      </c>
      <c r="F1415" s="13">
        <v>44620.663888888892</v>
      </c>
      <c r="G1415" t="s">
        <v>1526</v>
      </c>
      <c r="H1415" t="s">
        <v>1527</v>
      </c>
      <c r="I1415" s="13">
        <v>44620.664456018516</v>
      </c>
      <c r="K1415" t="s">
        <v>412</v>
      </c>
      <c r="R1415">
        <v>0</v>
      </c>
      <c r="S1415" t="s">
        <v>380</v>
      </c>
      <c r="T1415" t="s">
        <v>57</v>
      </c>
      <c r="V1415" t="s">
        <v>381</v>
      </c>
      <c r="W1415" t="s">
        <v>2481</v>
      </c>
      <c r="X1415" t="s">
        <v>2481</v>
      </c>
      <c r="AI1415">
        <v>31</v>
      </c>
      <c r="AL1415" t="s">
        <v>2488</v>
      </c>
      <c r="AN1415" t="s">
        <v>31</v>
      </c>
      <c r="AO1415">
        <v>0</v>
      </c>
      <c r="AS1415" t="s">
        <v>538</v>
      </c>
      <c r="AX1415" t="s">
        <v>31</v>
      </c>
      <c r="AY1415" t="s">
        <v>442</v>
      </c>
      <c r="AZ1415" t="s">
        <v>2483</v>
      </c>
      <c r="BF1415">
        <v>0</v>
      </c>
      <c r="BK1415" t="s">
        <v>31</v>
      </c>
      <c r="BS1415" t="s">
        <v>412</v>
      </c>
      <c r="BT1415" t="s">
        <v>412</v>
      </c>
      <c r="CI1415" t="s">
        <v>388</v>
      </c>
      <c r="CJ1415" s="14">
        <v>45014</v>
      </c>
      <c r="CK1415">
        <v>1</v>
      </c>
    </row>
    <row r="1416" spans="1:89">
      <c r="A1416" t="s">
        <v>2451</v>
      </c>
      <c r="B1416" t="s">
        <v>374</v>
      </c>
      <c r="C1416" t="s">
        <v>2452</v>
      </c>
      <c r="D1416" t="s">
        <v>2489</v>
      </c>
      <c r="E1416" t="s">
        <v>2490</v>
      </c>
      <c r="F1416" s="13">
        <v>44620.6637962963</v>
      </c>
      <c r="G1416" t="s">
        <v>2455</v>
      </c>
      <c r="H1416" t="s">
        <v>2456</v>
      </c>
      <c r="I1416" s="13">
        <v>44620.663807870369</v>
      </c>
      <c r="K1416" t="s">
        <v>412</v>
      </c>
      <c r="R1416">
        <v>0</v>
      </c>
      <c r="S1416" t="s">
        <v>380</v>
      </c>
      <c r="V1416" t="s">
        <v>381</v>
      </c>
      <c r="W1416" t="s">
        <v>2467</v>
      </c>
      <c r="X1416" t="s">
        <v>2467</v>
      </c>
      <c r="AI1416">
        <v>31</v>
      </c>
      <c r="AL1416" t="s">
        <v>2491</v>
      </c>
      <c r="AN1416" t="s">
        <v>31</v>
      </c>
      <c r="AO1416">
        <v>0</v>
      </c>
      <c r="AZ1416" t="s">
        <v>2492</v>
      </c>
      <c r="BF1416">
        <v>0</v>
      </c>
      <c r="BK1416" t="s">
        <v>31</v>
      </c>
      <c r="BS1416" t="s">
        <v>412</v>
      </c>
      <c r="BT1416" t="s">
        <v>412</v>
      </c>
      <c r="CI1416" t="s">
        <v>388</v>
      </c>
      <c r="CJ1416" s="14">
        <v>45014</v>
      </c>
      <c r="CK1416">
        <v>1</v>
      </c>
    </row>
    <row r="1417" spans="1:89">
      <c r="A1417" t="s">
        <v>2332</v>
      </c>
      <c r="B1417" t="s">
        <v>374</v>
      </c>
      <c r="C1417" t="s">
        <v>2333</v>
      </c>
      <c r="D1417" t="s">
        <v>2493</v>
      </c>
      <c r="E1417" t="s">
        <v>2494</v>
      </c>
      <c r="F1417" s="13">
        <v>44620.655925925923</v>
      </c>
      <c r="G1417" t="s">
        <v>2438</v>
      </c>
      <c r="H1417" t="s">
        <v>2439</v>
      </c>
      <c r="I1417" s="13">
        <v>45012.044074074074</v>
      </c>
      <c r="K1417" t="s">
        <v>415</v>
      </c>
      <c r="M1417" s="13">
        <v>44742</v>
      </c>
      <c r="R1417">
        <v>0</v>
      </c>
      <c r="S1417" t="s">
        <v>380</v>
      </c>
      <c r="T1417" t="s">
        <v>57</v>
      </c>
      <c r="V1417" t="s">
        <v>478</v>
      </c>
      <c r="W1417" t="s">
        <v>2440</v>
      </c>
      <c r="X1417" t="s">
        <v>2440</v>
      </c>
      <c r="AF1417" t="s">
        <v>451</v>
      </c>
      <c r="AI1417">
        <v>-270</v>
      </c>
      <c r="AL1417" t="s">
        <v>2495</v>
      </c>
      <c r="AN1417" t="s">
        <v>31</v>
      </c>
      <c r="AO1417">
        <v>0</v>
      </c>
      <c r="AS1417" t="s">
        <v>522</v>
      </c>
      <c r="AX1417" t="s">
        <v>57</v>
      </c>
      <c r="AY1417" t="s">
        <v>442</v>
      </c>
      <c r="AZ1417" t="s">
        <v>2496</v>
      </c>
      <c r="BE1417" t="s">
        <v>2443</v>
      </c>
      <c r="BF1417">
        <v>0</v>
      </c>
      <c r="BK1417" t="s">
        <v>31</v>
      </c>
      <c r="BS1417" t="s">
        <v>419</v>
      </c>
      <c r="BT1417" t="s">
        <v>419</v>
      </c>
      <c r="CI1417" t="s">
        <v>388</v>
      </c>
      <c r="CJ1417" s="14">
        <v>45014</v>
      </c>
      <c r="CK1417">
        <v>1</v>
      </c>
    </row>
    <row r="1418" spans="1:89">
      <c r="A1418" t="s">
        <v>2451</v>
      </c>
      <c r="B1418" t="s">
        <v>374</v>
      </c>
      <c r="C1418" t="s">
        <v>2452</v>
      </c>
      <c r="D1418" t="s">
        <v>2497</v>
      </c>
      <c r="E1418" t="s">
        <v>2498</v>
      </c>
      <c r="F1418" s="13">
        <v>44620.652465277781</v>
      </c>
      <c r="G1418" t="s">
        <v>2455</v>
      </c>
      <c r="H1418" t="s">
        <v>2456</v>
      </c>
      <c r="I1418" s="13">
        <v>44620.652465277781</v>
      </c>
      <c r="K1418" t="s">
        <v>412</v>
      </c>
      <c r="R1418">
        <v>0</v>
      </c>
      <c r="S1418" t="s">
        <v>380</v>
      </c>
      <c r="V1418" t="s">
        <v>381</v>
      </c>
      <c r="W1418" t="s">
        <v>2499</v>
      </c>
      <c r="X1418" t="s">
        <v>2499</v>
      </c>
      <c r="AI1418">
        <v>31</v>
      </c>
      <c r="AL1418" t="s">
        <v>2500</v>
      </c>
      <c r="AN1418" t="s">
        <v>31</v>
      </c>
      <c r="AO1418">
        <v>0</v>
      </c>
      <c r="AZ1418" t="s">
        <v>2501</v>
      </c>
      <c r="BF1418">
        <v>0</v>
      </c>
      <c r="BK1418" t="s">
        <v>31</v>
      </c>
      <c r="BS1418" t="s">
        <v>412</v>
      </c>
      <c r="BT1418" t="s">
        <v>412</v>
      </c>
      <c r="CI1418" t="s">
        <v>388</v>
      </c>
      <c r="CJ1418" s="14">
        <v>45014</v>
      </c>
      <c r="CK1418">
        <v>1</v>
      </c>
    </row>
    <row r="1419" spans="1:89">
      <c r="A1419" t="s">
        <v>2502</v>
      </c>
      <c r="B1419" t="s">
        <v>374</v>
      </c>
      <c r="C1419" t="s">
        <v>2503</v>
      </c>
      <c r="D1419" t="s">
        <v>2504</v>
      </c>
      <c r="E1419" t="s">
        <v>2505</v>
      </c>
      <c r="F1419" s="13">
        <v>44620.645752314813</v>
      </c>
      <c r="G1419" t="s">
        <v>2506</v>
      </c>
      <c r="H1419" t="s">
        <v>2507</v>
      </c>
      <c r="I1419" s="13">
        <v>44620.651701388888</v>
      </c>
      <c r="K1419" t="s">
        <v>379</v>
      </c>
      <c r="M1419" s="13">
        <v>44620</v>
      </c>
      <c r="R1419">
        <v>100</v>
      </c>
      <c r="S1419" t="s">
        <v>380</v>
      </c>
      <c r="T1419" t="s">
        <v>57</v>
      </c>
      <c r="V1419" t="s">
        <v>381</v>
      </c>
      <c r="W1419" t="s">
        <v>2507</v>
      </c>
      <c r="X1419" t="s">
        <v>2507</v>
      </c>
      <c r="AF1419" t="s">
        <v>382</v>
      </c>
      <c r="AG1419" t="s">
        <v>382</v>
      </c>
      <c r="AI1419">
        <v>0</v>
      </c>
      <c r="AL1419" t="s">
        <v>2508</v>
      </c>
      <c r="AN1419" t="s">
        <v>31</v>
      </c>
      <c r="AO1419">
        <v>0</v>
      </c>
      <c r="AS1419" t="s">
        <v>538</v>
      </c>
      <c r="AX1419" t="s">
        <v>57</v>
      </c>
      <c r="AY1419" t="s">
        <v>386</v>
      </c>
      <c r="AZ1419" t="s">
        <v>2509</v>
      </c>
      <c r="BF1419">
        <v>0</v>
      </c>
      <c r="BK1419" t="s">
        <v>31</v>
      </c>
      <c r="BS1419" t="s">
        <v>379</v>
      </c>
      <c r="BT1419" t="s">
        <v>379</v>
      </c>
      <c r="CI1419" t="s">
        <v>388</v>
      </c>
      <c r="CJ1419" s="14">
        <v>45014</v>
      </c>
      <c r="CK1419">
        <v>1</v>
      </c>
    </row>
    <row r="1420" spans="1:89">
      <c r="A1420" t="s">
        <v>2451</v>
      </c>
      <c r="B1420" t="s">
        <v>374</v>
      </c>
      <c r="C1420" t="s">
        <v>2452</v>
      </c>
      <c r="D1420" t="s">
        <v>2510</v>
      </c>
      <c r="E1420" t="s">
        <v>2511</v>
      </c>
      <c r="F1420" s="13">
        <v>44620.640706018516</v>
      </c>
      <c r="G1420" t="s">
        <v>2455</v>
      </c>
      <c r="H1420" t="s">
        <v>2456</v>
      </c>
      <c r="I1420" s="13">
        <v>44620.641504629632</v>
      </c>
      <c r="K1420" t="s">
        <v>412</v>
      </c>
      <c r="R1420">
        <v>0</v>
      </c>
      <c r="S1420" t="s">
        <v>380</v>
      </c>
      <c r="T1420" t="s">
        <v>57</v>
      </c>
      <c r="V1420" t="s">
        <v>381</v>
      </c>
      <c r="W1420" t="s">
        <v>2512</v>
      </c>
      <c r="X1420" t="s">
        <v>2512</v>
      </c>
      <c r="AC1420" s="13">
        <v>44562</v>
      </c>
      <c r="AD1420" s="13">
        <v>44562</v>
      </c>
      <c r="AI1420">
        <v>31</v>
      </c>
      <c r="AL1420" t="s">
        <v>2513</v>
      </c>
      <c r="AN1420" t="s">
        <v>31</v>
      </c>
      <c r="AO1420">
        <v>0</v>
      </c>
      <c r="AS1420" t="s">
        <v>392</v>
      </c>
      <c r="AX1420" t="s">
        <v>57</v>
      </c>
      <c r="AY1420" t="s">
        <v>442</v>
      </c>
      <c r="AZ1420" t="s">
        <v>2514</v>
      </c>
      <c r="BF1420">
        <v>0</v>
      </c>
      <c r="BK1420" t="s">
        <v>31</v>
      </c>
      <c r="BS1420" t="s">
        <v>412</v>
      </c>
      <c r="BT1420" t="s">
        <v>412</v>
      </c>
      <c r="CI1420" t="s">
        <v>388</v>
      </c>
      <c r="CJ1420" s="14">
        <v>45014</v>
      </c>
      <c r="CK1420">
        <v>1</v>
      </c>
    </row>
    <row r="1421" spans="1:89">
      <c r="A1421" t="s">
        <v>2227</v>
      </c>
      <c r="B1421" t="s">
        <v>374</v>
      </c>
      <c r="C1421" t="s">
        <v>2228</v>
      </c>
      <c r="D1421" t="s">
        <v>2515</v>
      </c>
      <c r="E1421" t="s">
        <v>2516</v>
      </c>
      <c r="F1421" s="13">
        <v>44620.598229166666</v>
      </c>
      <c r="G1421" t="s">
        <v>2231</v>
      </c>
      <c r="H1421" t="s">
        <v>2232</v>
      </c>
      <c r="I1421" s="13">
        <v>44972.596226851849</v>
      </c>
      <c r="K1421" t="s">
        <v>379</v>
      </c>
      <c r="M1421" s="13">
        <v>44848</v>
      </c>
      <c r="R1421">
        <v>100</v>
      </c>
      <c r="S1421" t="s">
        <v>380</v>
      </c>
      <c r="T1421" t="s">
        <v>57</v>
      </c>
      <c r="V1421" t="s">
        <v>381</v>
      </c>
      <c r="W1421" t="s">
        <v>2233</v>
      </c>
      <c r="X1421" t="s">
        <v>2233</v>
      </c>
      <c r="AF1421" t="s">
        <v>382</v>
      </c>
      <c r="AG1421" t="s">
        <v>2517</v>
      </c>
      <c r="AI1421">
        <v>228</v>
      </c>
      <c r="AL1421" t="s">
        <v>2518</v>
      </c>
      <c r="AN1421" t="s">
        <v>31</v>
      </c>
      <c r="AO1421">
        <v>0</v>
      </c>
      <c r="AS1421" t="s">
        <v>385</v>
      </c>
      <c r="AX1421" t="s">
        <v>57</v>
      </c>
      <c r="AY1421" t="s">
        <v>386</v>
      </c>
      <c r="AZ1421" t="s">
        <v>2519</v>
      </c>
      <c r="BF1421">
        <v>0</v>
      </c>
      <c r="BK1421" t="s">
        <v>31</v>
      </c>
      <c r="BS1421" t="s">
        <v>379</v>
      </c>
      <c r="BT1421" t="s">
        <v>379</v>
      </c>
      <c r="CI1421" t="s">
        <v>388</v>
      </c>
      <c r="CJ1421" s="14">
        <v>45014</v>
      </c>
      <c r="CK1421">
        <v>1</v>
      </c>
    </row>
    <row r="1422" spans="1:89">
      <c r="A1422" t="s">
        <v>1421</v>
      </c>
      <c r="B1422" t="s">
        <v>374</v>
      </c>
      <c r="C1422" t="s">
        <v>1422</v>
      </c>
      <c r="D1422" t="s">
        <v>2520</v>
      </c>
      <c r="E1422" t="s">
        <v>2521</v>
      </c>
      <c r="F1422" s="13">
        <v>44620.581793981481</v>
      </c>
      <c r="G1422" t="s">
        <v>2522</v>
      </c>
      <c r="H1422" t="s">
        <v>2523</v>
      </c>
      <c r="I1422" s="13">
        <v>45012.044074074074</v>
      </c>
      <c r="K1422" t="s">
        <v>415</v>
      </c>
      <c r="M1422" s="13">
        <v>44681</v>
      </c>
      <c r="R1422">
        <v>0</v>
      </c>
      <c r="S1422" t="s">
        <v>380</v>
      </c>
      <c r="T1422" t="s">
        <v>57</v>
      </c>
      <c r="V1422" t="s">
        <v>478</v>
      </c>
      <c r="W1422" t="s">
        <v>1425</v>
      </c>
      <c r="X1422" t="s">
        <v>1425</v>
      </c>
      <c r="AF1422" t="s">
        <v>451</v>
      </c>
      <c r="AI1422">
        <v>-331</v>
      </c>
      <c r="AL1422" t="s">
        <v>2524</v>
      </c>
      <c r="AN1422" t="s">
        <v>31</v>
      </c>
      <c r="AO1422">
        <v>0</v>
      </c>
      <c r="AS1422" t="s">
        <v>392</v>
      </c>
      <c r="AX1422" t="s">
        <v>57</v>
      </c>
      <c r="AY1422" t="s">
        <v>386</v>
      </c>
      <c r="AZ1422" t="s">
        <v>2525</v>
      </c>
      <c r="BF1422">
        <v>0</v>
      </c>
      <c r="BK1422" t="s">
        <v>31</v>
      </c>
      <c r="BS1422" t="s">
        <v>419</v>
      </c>
      <c r="BT1422" t="s">
        <v>419</v>
      </c>
      <c r="CI1422" t="s">
        <v>388</v>
      </c>
      <c r="CJ1422" s="14">
        <v>45014</v>
      </c>
      <c r="CK1422">
        <v>1</v>
      </c>
    </row>
    <row r="1423" spans="1:89">
      <c r="A1423" t="s">
        <v>567</v>
      </c>
      <c r="B1423" t="s">
        <v>374</v>
      </c>
      <c r="C1423" t="s">
        <v>568</v>
      </c>
      <c r="D1423" t="s">
        <v>2526</v>
      </c>
      <c r="E1423" t="s">
        <v>2527</v>
      </c>
      <c r="F1423" s="13">
        <v>44620.54347222222</v>
      </c>
      <c r="G1423" t="s">
        <v>2522</v>
      </c>
      <c r="H1423" t="s">
        <v>2523</v>
      </c>
      <c r="I1423" s="13">
        <v>45012.044062499997</v>
      </c>
      <c r="K1423" t="s">
        <v>415</v>
      </c>
      <c r="M1423" s="13">
        <v>44895</v>
      </c>
      <c r="R1423">
        <v>0</v>
      </c>
      <c r="S1423" t="s">
        <v>380</v>
      </c>
      <c r="T1423" t="s">
        <v>57</v>
      </c>
      <c r="V1423" t="s">
        <v>478</v>
      </c>
      <c r="W1423" t="s">
        <v>1425</v>
      </c>
      <c r="X1423" t="s">
        <v>1425</v>
      </c>
      <c r="AF1423" t="s">
        <v>451</v>
      </c>
      <c r="AI1423">
        <v>-117</v>
      </c>
      <c r="AL1423" t="s">
        <v>2528</v>
      </c>
      <c r="AN1423" t="s">
        <v>31</v>
      </c>
      <c r="AO1423">
        <v>0</v>
      </c>
      <c r="AS1423" t="s">
        <v>392</v>
      </c>
      <c r="AX1423" t="s">
        <v>57</v>
      </c>
      <c r="AY1423" t="s">
        <v>442</v>
      </c>
      <c r="AZ1423" t="s">
        <v>2529</v>
      </c>
      <c r="BF1423">
        <v>0</v>
      </c>
      <c r="BK1423" t="s">
        <v>31</v>
      </c>
      <c r="BS1423" t="s">
        <v>419</v>
      </c>
      <c r="BT1423" t="s">
        <v>419</v>
      </c>
      <c r="CI1423" t="s">
        <v>388</v>
      </c>
      <c r="CJ1423" s="14">
        <v>45014</v>
      </c>
      <c r="CK1423">
        <v>1</v>
      </c>
    </row>
    <row r="1424" spans="1:89">
      <c r="A1424" t="s">
        <v>454</v>
      </c>
      <c r="B1424" t="s">
        <v>374</v>
      </c>
      <c r="C1424" t="s">
        <v>455</v>
      </c>
      <c r="D1424" t="s">
        <v>2530</v>
      </c>
      <c r="E1424" t="s">
        <v>2531</v>
      </c>
      <c r="F1424" s="13">
        <v>44620.537997685184</v>
      </c>
      <c r="G1424" t="s">
        <v>2399</v>
      </c>
      <c r="H1424" t="s">
        <v>2400</v>
      </c>
      <c r="I1424" s="13">
        <v>45012.044062499997</v>
      </c>
      <c r="K1424" t="s">
        <v>415</v>
      </c>
      <c r="M1424" s="13">
        <v>44890</v>
      </c>
      <c r="R1424">
        <v>0</v>
      </c>
      <c r="S1424" t="s">
        <v>380</v>
      </c>
      <c r="T1424" t="s">
        <v>57</v>
      </c>
      <c r="V1424" t="s">
        <v>478</v>
      </c>
      <c r="W1424" t="s">
        <v>2417</v>
      </c>
      <c r="X1424" t="s">
        <v>2417</v>
      </c>
      <c r="AF1424" t="s">
        <v>451</v>
      </c>
      <c r="AI1424">
        <v>-122</v>
      </c>
      <c r="AL1424" t="s">
        <v>2532</v>
      </c>
      <c r="AN1424" t="s">
        <v>31</v>
      </c>
      <c r="AO1424">
        <v>0</v>
      </c>
      <c r="AS1424" t="s">
        <v>385</v>
      </c>
      <c r="AX1424" t="s">
        <v>57</v>
      </c>
      <c r="AY1424" t="s">
        <v>386</v>
      </c>
      <c r="AZ1424" t="s">
        <v>2533</v>
      </c>
      <c r="BF1424">
        <v>0</v>
      </c>
      <c r="BK1424" t="s">
        <v>31</v>
      </c>
      <c r="BS1424" t="s">
        <v>419</v>
      </c>
      <c r="BT1424" t="s">
        <v>419</v>
      </c>
      <c r="CI1424" t="s">
        <v>388</v>
      </c>
      <c r="CJ1424" s="14">
        <v>45014</v>
      </c>
      <c r="CK1424">
        <v>1</v>
      </c>
    </row>
    <row r="1425" spans="1:89">
      <c r="A1425" t="s">
        <v>1522</v>
      </c>
      <c r="B1425" t="s">
        <v>374</v>
      </c>
      <c r="C1425" t="s">
        <v>1523</v>
      </c>
      <c r="D1425" t="s">
        <v>2534</v>
      </c>
      <c r="E1425" t="s">
        <v>2535</v>
      </c>
      <c r="F1425" s="13">
        <v>44620.521423611113</v>
      </c>
      <c r="G1425" t="s">
        <v>1526</v>
      </c>
      <c r="H1425" t="s">
        <v>1527</v>
      </c>
      <c r="I1425" s="13">
        <v>44620.521956018521</v>
      </c>
      <c r="K1425" t="s">
        <v>412</v>
      </c>
      <c r="R1425">
        <v>0</v>
      </c>
      <c r="S1425" t="s">
        <v>380</v>
      </c>
      <c r="T1425" t="s">
        <v>57</v>
      </c>
      <c r="V1425" t="s">
        <v>381</v>
      </c>
      <c r="W1425" t="s">
        <v>2536</v>
      </c>
      <c r="X1425" t="s">
        <v>2536</v>
      </c>
      <c r="AI1425">
        <v>0</v>
      </c>
      <c r="AL1425" t="s">
        <v>2537</v>
      </c>
      <c r="AN1425" t="s">
        <v>31</v>
      </c>
      <c r="AO1425">
        <v>0</v>
      </c>
      <c r="AS1425" t="s">
        <v>385</v>
      </c>
      <c r="AX1425" t="s">
        <v>31</v>
      </c>
      <c r="AY1425" t="s">
        <v>386</v>
      </c>
      <c r="AZ1425" t="s">
        <v>2538</v>
      </c>
      <c r="BF1425">
        <v>0</v>
      </c>
      <c r="BK1425" t="s">
        <v>31</v>
      </c>
      <c r="BS1425" t="s">
        <v>412</v>
      </c>
      <c r="BT1425" t="s">
        <v>412</v>
      </c>
      <c r="CI1425" t="s">
        <v>388</v>
      </c>
      <c r="CJ1425" s="14">
        <v>45014</v>
      </c>
      <c r="CK1425">
        <v>1</v>
      </c>
    </row>
    <row r="1426" spans="1:89">
      <c r="A1426" t="s">
        <v>1497</v>
      </c>
      <c r="B1426" t="s">
        <v>374</v>
      </c>
      <c r="C1426" t="s">
        <v>1498</v>
      </c>
      <c r="D1426" t="s">
        <v>2539</v>
      </c>
      <c r="E1426" t="s">
        <v>2540</v>
      </c>
      <c r="F1426" s="13">
        <v>44620.514236111114</v>
      </c>
      <c r="G1426" t="s">
        <v>439</v>
      </c>
      <c r="H1426" t="s">
        <v>440</v>
      </c>
      <c r="I1426" s="13">
        <v>45012.044062499997</v>
      </c>
      <c r="K1426" t="s">
        <v>415</v>
      </c>
      <c r="M1426" s="13">
        <v>44691</v>
      </c>
      <c r="R1426">
        <v>0</v>
      </c>
      <c r="S1426" t="s">
        <v>416</v>
      </c>
      <c r="T1426" t="s">
        <v>31</v>
      </c>
      <c r="V1426" t="s">
        <v>478</v>
      </c>
      <c r="W1426" t="s">
        <v>440</v>
      </c>
      <c r="X1426" t="s">
        <v>440</v>
      </c>
      <c r="AF1426" t="s">
        <v>451</v>
      </c>
      <c r="AI1426">
        <v>-321</v>
      </c>
      <c r="AL1426" t="s">
        <v>2541</v>
      </c>
      <c r="AN1426" t="s">
        <v>31</v>
      </c>
      <c r="AO1426">
        <v>0</v>
      </c>
      <c r="AS1426" t="s">
        <v>392</v>
      </c>
      <c r="AX1426" t="s">
        <v>57</v>
      </c>
      <c r="AY1426" t="s">
        <v>442</v>
      </c>
      <c r="AZ1426" t="s">
        <v>2542</v>
      </c>
      <c r="BF1426">
        <v>0</v>
      </c>
      <c r="BK1426" t="s">
        <v>31</v>
      </c>
      <c r="BS1426" t="s">
        <v>419</v>
      </c>
      <c r="BT1426" t="s">
        <v>419</v>
      </c>
      <c r="CI1426" t="s">
        <v>388</v>
      </c>
      <c r="CJ1426" s="14">
        <v>45014</v>
      </c>
      <c r="CK1426">
        <v>1</v>
      </c>
    </row>
    <row r="1427" spans="1:89">
      <c r="A1427" t="s">
        <v>2543</v>
      </c>
      <c r="B1427" t="s">
        <v>374</v>
      </c>
      <c r="C1427" t="s">
        <v>2544</v>
      </c>
      <c r="D1427" t="s">
        <v>2545</v>
      </c>
      <c r="E1427" t="s">
        <v>2546</v>
      </c>
      <c r="F1427" s="13">
        <v>44620.485601851855</v>
      </c>
      <c r="G1427" t="s">
        <v>1526</v>
      </c>
      <c r="H1427" t="s">
        <v>1527</v>
      </c>
      <c r="I1427" s="13">
        <v>44620.486168981479</v>
      </c>
      <c r="K1427" t="s">
        <v>412</v>
      </c>
      <c r="R1427">
        <v>0</v>
      </c>
      <c r="S1427" t="s">
        <v>380</v>
      </c>
      <c r="T1427" t="s">
        <v>57</v>
      </c>
      <c r="V1427" t="s">
        <v>381</v>
      </c>
      <c r="W1427" t="s">
        <v>2547</v>
      </c>
      <c r="X1427" t="s">
        <v>2547</v>
      </c>
      <c r="AI1427">
        <v>122</v>
      </c>
      <c r="AL1427" t="s">
        <v>2548</v>
      </c>
      <c r="AN1427" t="s">
        <v>31</v>
      </c>
      <c r="AO1427">
        <v>0</v>
      </c>
      <c r="AS1427" t="s">
        <v>392</v>
      </c>
      <c r="AX1427" t="s">
        <v>31</v>
      </c>
      <c r="AY1427" t="s">
        <v>442</v>
      </c>
      <c r="AZ1427" t="s">
        <v>2549</v>
      </c>
      <c r="BF1427">
        <v>0</v>
      </c>
      <c r="BK1427" t="s">
        <v>31</v>
      </c>
      <c r="BS1427" t="s">
        <v>412</v>
      </c>
      <c r="BT1427" t="s">
        <v>412</v>
      </c>
      <c r="CI1427" t="s">
        <v>388</v>
      </c>
      <c r="CJ1427" s="14">
        <v>45014</v>
      </c>
      <c r="CK1427">
        <v>1</v>
      </c>
    </row>
    <row r="1428" spans="1:89">
      <c r="A1428" t="s">
        <v>2550</v>
      </c>
      <c r="B1428" t="s">
        <v>374</v>
      </c>
      <c r="C1428" t="s">
        <v>2551</v>
      </c>
      <c r="D1428" t="s">
        <v>2552</v>
      </c>
      <c r="E1428" t="s">
        <v>2553</v>
      </c>
      <c r="F1428" s="13">
        <v>44620.470543981479</v>
      </c>
      <c r="G1428" t="s">
        <v>1526</v>
      </c>
      <c r="H1428" t="s">
        <v>1527</v>
      </c>
      <c r="I1428" s="13">
        <v>44620.471076388887</v>
      </c>
      <c r="K1428" t="s">
        <v>412</v>
      </c>
      <c r="R1428">
        <v>0</v>
      </c>
      <c r="S1428" t="s">
        <v>380</v>
      </c>
      <c r="T1428" t="s">
        <v>57</v>
      </c>
      <c r="V1428" t="s">
        <v>381</v>
      </c>
      <c r="W1428" t="s">
        <v>2547</v>
      </c>
      <c r="X1428" t="s">
        <v>2547</v>
      </c>
      <c r="AI1428">
        <v>31</v>
      </c>
      <c r="AL1428" t="s">
        <v>2554</v>
      </c>
      <c r="AN1428" t="s">
        <v>31</v>
      </c>
      <c r="AO1428">
        <v>0</v>
      </c>
      <c r="AS1428" t="s">
        <v>392</v>
      </c>
      <c r="AX1428" t="s">
        <v>31</v>
      </c>
      <c r="AY1428" t="s">
        <v>442</v>
      </c>
      <c r="AZ1428" t="s">
        <v>2555</v>
      </c>
      <c r="BF1428">
        <v>0</v>
      </c>
      <c r="BK1428" t="s">
        <v>31</v>
      </c>
      <c r="BS1428" t="s">
        <v>412</v>
      </c>
      <c r="BT1428" t="s">
        <v>412</v>
      </c>
      <c r="CI1428" t="s">
        <v>388</v>
      </c>
      <c r="CJ1428" s="14">
        <v>45014</v>
      </c>
      <c r="CK1428">
        <v>1</v>
      </c>
    </row>
    <row r="1429" spans="1:89">
      <c r="A1429" t="s">
        <v>454</v>
      </c>
      <c r="B1429" t="s">
        <v>374</v>
      </c>
      <c r="C1429" t="s">
        <v>455</v>
      </c>
      <c r="D1429" t="s">
        <v>2556</v>
      </c>
      <c r="E1429" t="s">
        <v>2557</v>
      </c>
      <c r="F1429" s="13">
        <v>44620.463773148149</v>
      </c>
      <c r="G1429" t="s">
        <v>2399</v>
      </c>
      <c r="H1429" t="s">
        <v>2400</v>
      </c>
      <c r="I1429" s="13">
        <v>45012.044050925928</v>
      </c>
      <c r="K1429" t="s">
        <v>415</v>
      </c>
      <c r="M1429" s="13">
        <v>44769</v>
      </c>
      <c r="R1429">
        <v>0</v>
      </c>
      <c r="S1429" t="s">
        <v>380</v>
      </c>
      <c r="T1429" t="s">
        <v>57</v>
      </c>
      <c r="V1429" t="s">
        <v>478</v>
      </c>
      <c r="W1429" t="s">
        <v>2417</v>
      </c>
      <c r="X1429" t="s">
        <v>2417</v>
      </c>
      <c r="AF1429" t="s">
        <v>451</v>
      </c>
      <c r="AI1429">
        <v>-243</v>
      </c>
      <c r="AL1429" t="s">
        <v>2558</v>
      </c>
      <c r="AN1429" t="s">
        <v>31</v>
      </c>
      <c r="AO1429">
        <v>0</v>
      </c>
      <c r="AS1429" t="s">
        <v>385</v>
      </c>
      <c r="AX1429" t="s">
        <v>57</v>
      </c>
      <c r="AY1429" t="s">
        <v>386</v>
      </c>
      <c r="AZ1429" t="s">
        <v>2559</v>
      </c>
      <c r="BE1429" t="s">
        <v>2560</v>
      </c>
      <c r="BF1429">
        <v>0</v>
      </c>
      <c r="BK1429" t="s">
        <v>31</v>
      </c>
      <c r="BS1429" t="s">
        <v>419</v>
      </c>
      <c r="BT1429" t="s">
        <v>419</v>
      </c>
      <c r="CI1429" t="s">
        <v>388</v>
      </c>
      <c r="CJ1429" s="14">
        <v>45014</v>
      </c>
      <c r="CK1429">
        <v>1</v>
      </c>
    </row>
    <row r="1430" spans="1:89">
      <c r="A1430" t="s">
        <v>2550</v>
      </c>
      <c r="B1430" t="s">
        <v>374</v>
      </c>
      <c r="C1430" t="s">
        <v>2551</v>
      </c>
      <c r="D1430" t="s">
        <v>2561</v>
      </c>
      <c r="E1430" t="s">
        <v>2562</v>
      </c>
      <c r="F1430" s="13">
        <v>44620.460659722223</v>
      </c>
      <c r="G1430" t="s">
        <v>1526</v>
      </c>
      <c r="H1430" t="s">
        <v>1527</v>
      </c>
      <c r="I1430" s="13">
        <v>44620.4612037037</v>
      </c>
      <c r="K1430" t="s">
        <v>412</v>
      </c>
      <c r="R1430">
        <v>0</v>
      </c>
      <c r="S1430" t="s">
        <v>380</v>
      </c>
      <c r="T1430" t="s">
        <v>57</v>
      </c>
      <c r="V1430" t="s">
        <v>381</v>
      </c>
      <c r="W1430" t="s">
        <v>2547</v>
      </c>
      <c r="X1430" t="s">
        <v>2547</v>
      </c>
      <c r="AI1430">
        <v>0</v>
      </c>
      <c r="AL1430" t="s">
        <v>2563</v>
      </c>
      <c r="AN1430" t="s">
        <v>31</v>
      </c>
      <c r="AO1430">
        <v>0</v>
      </c>
      <c r="AS1430" t="s">
        <v>385</v>
      </c>
      <c r="AX1430" t="s">
        <v>31</v>
      </c>
      <c r="AY1430" t="s">
        <v>386</v>
      </c>
      <c r="AZ1430" t="s">
        <v>2564</v>
      </c>
      <c r="BF1430">
        <v>0</v>
      </c>
      <c r="BK1430" t="s">
        <v>31</v>
      </c>
      <c r="BS1430" t="s">
        <v>412</v>
      </c>
      <c r="BT1430" t="s">
        <v>412</v>
      </c>
      <c r="CI1430" t="s">
        <v>388</v>
      </c>
      <c r="CJ1430" s="14">
        <v>45014</v>
      </c>
      <c r="CK1430">
        <v>1</v>
      </c>
    </row>
    <row r="1431" spans="1:89">
      <c r="A1431" t="s">
        <v>2565</v>
      </c>
      <c r="B1431" t="s">
        <v>374</v>
      </c>
      <c r="C1431" t="s">
        <v>2566</v>
      </c>
      <c r="D1431" t="s">
        <v>2567</v>
      </c>
      <c r="E1431" t="s">
        <v>2568</v>
      </c>
      <c r="F1431" s="13">
        <v>44620.453194444446</v>
      </c>
      <c r="G1431" t="s">
        <v>2149</v>
      </c>
      <c r="H1431" t="s">
        <v>2150</v>
      </c>
      <c r="I1431" s="13">
        <v>45012.044050925928</v>
      </c>
      <c r="K1431" t="s">
        <v>415</v>
      </c>
      <c r="M1431" s="13">
        <v>44824</v>
      </c>
      <c r="R1431">
        <v>0</v>
      </c>
      <c r="S1431" t="s">
        <v>380</v>
      </c>
      <c r="T1431" t="s">
        <v>57</v>
      </c>
      <c r="V1431" t="s">
        <v>478</v>
      </c>
      <c r="W1431" t="s">
        <v>2569</v>
      </c>
      <c r="X1431" t="s">
        <v>2569</v>
      </c>
      <c r="AC1431" s="13">
        <v>44200</v>
      </c>
      <c r="AD1431" s="13">
        <v>44197</v>
      </c>
      <c r="AF1431" t="s">
        <v>451</v>
      </c>
      <c r="AI1431">
        <v>-188</v>
      </c>
      <c r="AL1431" t="s">
        <v>2570</v>
      </c>
      <c r="AN1431" t="s">
        <v>31</v>
      </c>
      <c r="AO1431">
        <v>0</v>
      </c>
      <c r="AS1431" t="s">
        <v>392</v>
      </c>
      <c r="AX1431" t="s">
        <v>31</v>
      </c>
      <c r="AY1431" t="s">
        <v>442</v>
      </c>
      <c r="AZ1431" t="s">
        <v>2571</v>
      </c>
      <c r="BE1431" t="s">
        <v>2572</v>
      </c>
      <c r="BF1431">
        <v>0</v>
      </c>
      <c r="BK1431" t="s">
        <v>31</v>
      </c>
      <c r="BS1431" t="s">
        <v>419</v>
      </c>
      <c r="BT1431" t="s">
        <v>419</v>
      </c>
      <c r="CI1431" t="s">
        <v>388</v>
      </c>
      <c r="CJ1431" s="14">
        <v>45014</v>
      </c>
      <c r="CK1431">
        <v>1</v>
      </c>
    </row>
    <row r="1432" spans="1:89">
      <c r="A1432" t="s">
        <v>2573</v>
      </c>
      <c r="B1432" t="s">
        <v>374</v>
      </c>
      <c r="C1432" t="s">
        <v>2574</v>
      </c>
      <c r="D1432" t="s">
        <v>2575</v>
      </c>
      <c r="E1432" t="s">
        <v>2576</v>
      </c>
      <c r="F1432" s="13">
        <v>44620.4455787037</v>
      </c>
      <c r="G1432" t="s">
        <v>2577</v>
      </c>
      <c r="H1432" t="s">
        <v>2578</v>
      </c>
      <c r="I1432" s="13">
        <v>45012.044050925928</v>
      </c>
      <c r="K1432" t="s">
        <v>415</v>
      </c>
      <c r="M1432" s="13">
        <v>44742</v>
      </c>
      <c r="R1432">
        <v>0</v>
      </c>
      <c r="S1432" t="s">
        <v>380</v>
      </c>
      <c r="T1432" t="s">
        <v>57</v>
      </c>
      <c r="V1432" t="s">
        <v>478</v>
      </c>
      <c r="W1432" t="s">
        <v>2578</v>
      </c>
      <c r="X1432" t="s">
        <v>2578</v>
      </c>
      <c r="AF1432" t="s">
        <v>451</v>
      </c>
      <c r="AI1432">
        <v>-270</v>
      </c>
      <c r="AL1432" t="s">
        <v>2579</v>
      </c>
      <c r="AN1432" t="s">
        <v>31</v>
      </c>
      <c r="AO1432">
        <v>0</v>
      </c>
      <c r="AS1432" t="s">
        <v>392</v>
      </c>
      <c r="AX1432" t="s">
        <v>31</v>
      </c>
      <c r="AY1432" t="s">
        <v>442</v>
      </c>
      <c r="AZ1432" t="s">
        <v>2580</v>
      </c>
      <c r="BF1432">
        <v>0</v>
      </c>
      <c r="BK1432" t="s">
        <v>31</v>
      </c>
      <c r="BS1432" t="s">
        <v>419</v>
      </c>
      <c r="BT1432" t="s">
        <v>419</v>
      </c>
      <c r="CI1432" t="s">
        <v>388</v>
      </c>
      <c r="CJ1432" s="14">
        <v>45014</v>
      </c>
      <c r="CK1432">
        <v>1</v>
      </c>
    </row>
    <row r="1433" spans="1:89">
      <c r="A1433" t="s">
        <v>2581</v>
      </c>
      <c r="B1433" t="s">
        <v>374</v>
      </c>
      <c r="C1433" t="s">
        <v>2582</v>
      </c>
      <c r="D1433" t="s">
        <v>2583</v>
      </c>
      <c r="E1433" t="s">
        <v>2584</v>
      </c>
      <c r="F1433" s="13">
        <v>44620.427476851852</v>
      </c>
      <c r="G1433" t="s">
        <v>2079</v>
      </c>
      <c r="H1433" t="s">
        <v>2080</v>
      </c>
      <c r="I1433" s="13">
        <v>45012.044050925928</v>
      </c>
      <c r="K1433" t="s">
        <v>415</v>
      </c>
      <c r="M1433" s="13">
        <v>44712</v>
      </c>
      <c r="R1433">
        <v>0</v>
      </c>
      <c r="S1433" t="s">
        <v>416</v>
      </c>
      <c r="T1433" t="s">
        <v>57</v>
      </c>
      <c r="V1433" t="s">
        <v>478</v>
      </c>
      <c r="W1433" t="s">
        <v>2585</v>
      </c>
      <c r="X1433" t="s">
        <v>2585</v>
      </c>
      <c r="AF1433" t="s">
        <v>451</v>
      </c>
      <c r="AI1433">
        <v>-300</v>
      </c>
      <c r="AL1433" t="s">
        <v>2586</v>
      </c>
      <c r="AN1433" t="s">
        <v>31</v>
      </c>
      <c r="AO1433">
        <v>0</v>
      </c>
      <c r="AS1433" t="s">
        <v>392</v>
      </c>
      <c r="AX1433" t="s">
        <v>57</v>
      </c>
      <c r="AY1433" t="s">
        <v>386</v>
      </c>
      <c r="AZ1433" t="s">
        <v>2587</v>
      </c>
      <c r="BF1433">
        <v>0</v>
      </c>
      <c r="BK1433" t="s">
        <v>31</v>
      </c>
      <c r="BS1433" t="s">
        <v>419</v>
      </c>
      <c r="BT1433" t="s">
        <v>419</v>
      </c>
      <c r="CI1433" t="s">
        <v>388</v>
      </c>
      <c r="CJ1433" s="14">
        <v>45014</v>
      </c>
      <c r="CK1433">
        <v>1</v>
      </c>
    </row>
    <row r="1434" spans="1:89">
      <c r="A1434" t="s">
        <v>2105</v>
      </c>
      <c r="B1434" t="s">
        <v>374</v>
      </c>
      <c r="C1434" t="s">
        <v>1990</v>
      </c>
      <c r="D1434" t="s">
        <v>2588</v>
      </c>
      <c r="E1434" t="s">
        <v>2589</v>
      </c>
      <c r="F1434" s="13">
        <v>44620.414189814815</v>
      </c>
      <c r="G1434" t="s">
        <v>2108</v>
      </c>
      <c r="H1434" t="s">
        <v>2109</v>
      </c>
      <c r="I1434" s="13">
        <v>44621.764432870368</v>
      </c>
      <c r="K1434" t="s">
        <v>409</v>
      </c>
      <c r="R1434">
        <v>0</v>
      </c>
      <c r="S1434" t="s">
        <v>380</v>
      </c>
      <c r="T1434" t="s">
        <v>57</v>
      </c>
      <c r="V1434" t="s">
        <v>381</v>
      </c>
      <c r="W1434" t="s">
        <v>2590</v>
      </c>
      <c r="X1434" t="s">
        <v>2590</v>
      </c>
      <c r="AI1434">
        <v>305</v>
      </c>
      <c r="AL1434" t="s">
        <v>2591</v>
      </c>
      <c r="AN1434" t="s">
        <v>31</v>
      </c>
      <c r="AO1434">
        <v>0</v>
      </c>
      <c r="AS1434" t="s">
        <v>526</v>
      </c>
      <c r="AX1434" t="s">
        <v>31</v>
      </c>
      <c r="AY1434" t="s">
        <v>442</v>
      </c>
      <c r="AZ1434" t="s">
        <v>2592</v>
      </c>
      <c r="BF1434">
        <v>0</v>
      </c>
      <c r="BK1434" t="s">
        <v>31</v>
      </c>
      <c r="BS1434" t="s">
        <v>409</v>
      </c>
      <c r="BT1434" t="s">
        <v>409</v>
      </c>
      <c r="CI1434" t="s">
        <v>388</v>
      </c>
      <c r="CJ1434" s="14">
        <v>45014</v>
      </c>
      <c r="CK1434">
        <v>1</v>
      </c>
    </row>
    <row r="1435" spans="1:89">
      <c r="A1435" t="s">
        <v>454</v>
      </c>
      <c r="B1435" t="s">
        <v>374</v>
      </c>
      <c r="C1435" t="s">
        <v>455</v>
      </c>
      <c r="D1435" t="s">
        <v>2593</v>
      </c>
      <c r="E1435" t="s">
        <v>2594</v>
      </c>
      <c r="F1435" s="13">
        <v>44620.396273148152</v>
      </c>
      <c r="G1435" t="s">
        <v>2399</v>
      </c>
      <c r="H1435" t="s">
        <v>2400</v>
      </c>
      <c r="I1435" s="13">
        <v>45012.044039351851</v>
      </c>
      <c r="K1435" t="s">
        <v>415</v>
      </c>
      <c r="M1435" s="13">
        <v>44769</v>
      </c>
      <c r="R1435">
        <v>0</v>
      </c>
      <c r="S1435" t="s">
        <v>380</v>
      </c>
      <c r="T1435" t="s">
        <v>57</v>
      </c>
      <c r="V1435" t="s">
        <v>478</v>
      </c>
      <c r="W1435" t="s">
        <v>2417</v>
      </c>
      <c r="X1435" t="s">
        <v>2417</v>
      </c>
      <c r="AF1435" t="s">
        <v>451</v>
      </c>
      <c r="AI1435">
        <v>-243</v>
      </c>
      <c r="AL1435" t="s">
        <v>2595</v>
      </c>
      <c r="AN1435" t="s">
        <v>31</v>
      </c>
      <c r="AO1435">
        <v>0</v>
      </c>
      <c r="AS1435" t="s">
        <v>385</v>
      </c>
      <c r="AX1435" t="s">
        <v>57</v>
      </c>
      <c r="AY1435" t="s">
        <v>386</v>
      </c>
      <c r="AZ1435" t="s">
        <v>2596</v>
      </c>
      <c r="BE1435" t="s">
        <v>2597</v>
      </c>
      <c r="BF1435">
        <v>0</v>
      </c>
      <c r="BK1435" t="s">
        <v>31</v>
      </c>
      <c r="BS1435" t="s">
        <v>419</v>
      </c>
      <c r="BT1435" t="s">
        <v>419</v>
      </c>
      <c r="CI1435" t="s">
        <v>388</v>
      </c>
      <c r="CJ1435" s="14">
        <v>45014</v>
      </c>
      <c r="CK1435">
        <v>1</v>
      </c>
    </row>
    <row r="1436" spans="1:89">
      <c r="A1436" t="s">
        <v>2105</v>
      </c>
      <c r="B1436" t="s">
        <v>374</v>
      </c>
      <c r="C1436" t="s">
        <v>1990</v>
      </c>
      <c r="D1436" t="s">
        <v>2598</v>
      </c>
      <c r="E1436" t="s">
        <v>2599</v>
      </c>
      <c r="F1436" s="13">
        <v>44620.361747685187</v>
      </c>
      <c r="G1436" t="s">
        <v>2108</v>
      </c>
      <c r="H1436" t="s">
        <v>2109</v>
      </c>
      <c r="I1436" s="13">
        <v>44620.651678240742</v>
      </c>
      <c r="K1436" t="s">
        <v>409</v>
      </c>
      <c r="R1436">
        <v>0</v>
      </c>
      <c r="S1436" t="s">
        <v>380</v>
      </c>
      <c r="T1436" t="s">
        <v>57</v>
      </c>
      <c r="V1436" t="s">
        <v>381</v>
      </c>
      <c r="W1436" t="s">
        <v>2600</v>
      </c>
      <c r="X1436" t="s">
        <v>2600</v>
      </c>
      <c r="AI1436">
        <v>487</v>
      </c>
      <c r="AL1436" t="s">
        <v>2601</v>
      </c>
      <c r="AN1436" t="s">
        <v>31</v>
      </c>
      <c r="AO1436">
        <v>0</v>
      </c>
      <c r="AS1436" t="s">
        <v>385</v>
      </c>
      <c r="AX1436" t="s">
        <v>31</v>
      </c>
      <c r="AY1436" t="s">
        <v>442</v>
      </c>
      <c r="AZ1436" t="s">
        <v>2602</v>
      </c>
      <c r="BF1436">
        <v>0</v>
      </c>
      <c r="BK1436" t="s">
        <v>31</v>
      </c>
      <c r="BS1436" t="s">
        <v>409</v>
      </c>
      <c r="BT1436" t="s">
        <v>409</v>
      </c>
      <c r="CI1436" t="s">
        <v>388</v>
      </c>
      <c r="CJ1436" s="14">
        <v>45014</v>
      </c>
      <c r="CK1436">
        <v>1</v>
      </c>
    </row>
    <row r="1437" spans="1:89">
      <c r="A1437" t="s">
        <v>2603</v>
      </c>
      <c r="B1437" t="s">
        <v>374</v>
      </c>
      <c r="C1437" t="s">
        <v>2604</v>
      </c>
      <c r="D1437" t="s">
        <v>2605</v>
      </c>
      <c r="E1437" t="s">
        <v>2606</v>
      </c>
      <c r="F1437" s="13">
        <v>44620.346898148149</v>
      </c>
      <c r="G1437" t="s">
        <v>2607</v>
      </c>
      <c r="H1437" t="s">
        <v>2608</v>
      </c>
      <c r="I1437" s="13">
        <v>45012.044039351851</v>
      </c>
      <c r="K1437" t="s">
        <v>415</v>
      </c>
      <c r="M1437" s="13">
        <v>44925</v>
      </c>
      <c r="R1437">
        <v>0</v>
      </c>
      <c r="S1437" t="s">
        <v>380</v>
      </c>
      <c r="T1437" t="s">
        <v>57</v>
      </c>
      <c r="V1437" t="s">
        <v>478</v>
      </c>
      <c r="W1437" t="s">
        <v>2609</v>
      </c>
      <c r="X1437" t="s">
        <v>2609</v>
      </c>
      <c r="AF1437" t="s">
        <v>451</v>
      </c>
      <c r="AI1437">
        <v>-87</v>
      </c>
      <c r="AL1437" t="s">
        <v>2610</v>
      </c>
      <c r="AN1437" t="s">
        <v>31</v>
      </c>
      <c r="AO1437">
        <v>0</v>
      </c>
      <c r="AS1437" t="s">
        <v>385</v>
      </c>
      <c r="AX1437" t="s">
        <v>31</v>
      </c>
      <c r="AY1437" t="s">
        <v>386</v>
      </c>
      <c r="AZ1437" t="s">
        <v>2606</v>
      </c>
      <c r="BF1437">
        <v>0</v>
      </c>
      <c r="BK1437" t="s">
        <v>31</v>
      </c>
      <c r="BS1437" t="s">
        <v>419</v>
      </c>
      <c r="BT1437" t="s">
        <v>419</v>
      </c>
      <c r="CI1437" t="s">
        <v>388</v>
      </c>
      <c r="CJ1437" s="14">
        <v>45014</v>
      </c>
      <c r="CK1437">
        <v>1</v>
      </c>
    </row>
    <row r="1438" spans="1:89">
      <c r="A1438" t="s">
        <v>2603</v>
      </c>
      <c r="B1438" t="s">
        <v>374</v>
      </c>
      <c r="C1438" t="s">
        <v>2604</v>
      </c>
      <c r="D1438" t="s">
        <v>2611</v>
      </c>
      <c r="E1438" t="s">
        <v>2612</v>
      </c>
      <c r="F1438" s="13">
        <v>44620.340648148151</v>
      </c>
      <c r="G1438" t="s">
        <v>2607</v>
      </c>
      <c r="H1438" t="s">
        <v>2608</v>
      </c>
      <c r="I1438" s="13">
        <v>45012.044039351851</v>
      </c>
      <c r="K1438" t="s">
        <v>415</v>
      </c>
      <c r="M1438" s="13">
        <v>44651</v>
      </c>
      <c r="R1438">
        <v>0</v>
      </c>
      <c r="S1438" t="s">
        <v>380</v>
      </c>
      <c r="T1438" t="s">
        <v>57</v>
      </c>
      <c r="V1438" t="s">
        <v>478</v>
      </c>
      <c r="W1438" t="s">
        <v>2609</v>
      </c>
      <c r="X1438" t="s">
        <v>2609</v>
      </c>
      <c r="AF1438" t="s">
        <v>451</v>
      </c>
      <c r="AI1438">
        <v>-361</v>
      </c>
      <c r="AL1438" t="s">
        <v>2613</v>
      </c>
      <c r="AN1438" t="s">
        <v>31</v>
      </c>
      <c r="AO1438">
        <v>0</v>
      </c>
      <c r="AS1438" t="s">
        <v>385</v>
      </c>
      <c r="AX1438" t="s">
        <v>31</v>
      </c>
      <c r="AY1438" t="s">
        <v>386</v>
      </c>
      <c r="AZ1438" t="s">
        <v>2612</v>
      </c>
      <c r="BF1438">
        <v>0</v>
      </c>
      <c r="BK1438" t="s">
        <v>31</v>
      </c>
      <c r="BS1438" t="s">
        <v>419</v>
      </c>
      <c r="BT1438" t="s">
        <v>419</v>
      </c>
      <c r="CI1438" t="s">
        <v>388</v>
      </c>
      <c r="CJ1438" s="14">
        <v>45014</v>
      </c>
      <c r="CK1438">
        <v>1</v>
      </c>
    </row>
    <row r="1439" spans="1:89">
      <c r="A1439" t="s">
        <v>2603</v>
      </c>
      <c r="B1439" t="s">
        <v>374</v>
      </c>
      <c r="C1439" t="s">
        <v>2604</v>
      </c>
      <c r="D1439" t="s">
        <v>2614</v>
      </c>
      <c r="E1439" t="s">
        <v>2615</v>
      </c>
      <c r="F1439" s="13">
        <v>44620.332719907405</v>
      </c>
      <c r="G1439" t="s">
        <v>2607</v>
      </c>
      <c r="H1439" t="s">
        <v>2608</v>
      </c>
      <c r="I1439" s="13">
        <v>45012.044027777774</v>
      </c>
      <c r="K1439" t="s">
        <v>415</v>
      </c>
      <c r="M1439" s="13">
        <v>44742</v>
      </c>
      <c r="R1439">
        <v>0</v>
      </c>
      <c r="S1439" t="s">
        <v>380</v>
      </c>
      <c r="T1439" t="s">
        <v>57</v>
      </c>
      <c r="V1439" t="s">
        <v>478</v>
      </c>
      <c r="W1439" t="s">
        <v>2616</v>
      </c>
      <c r="X1439" t="s">
        <v>2616</v>
      </c>
      <c r="AF1439" t="s">
        <v>451</v>
      </c>
      <c r="AI1439">
        <v>-270</v>
      </c>
      <c r="AL1439" t="s">
        <v>2617</v>
      </c>
      <c r="AN1439" t="s">
        <v>31</v>
      </c>
      <c r="AO1439">
        <v>0</v>
      </c>
      <c r="AS1439" t="s">
        <v>385</v>
      </c>
      <c r="AX1439" t="s">
        <v>31</v>
      </c>
      <c r="AY1439" t="s">
        <v>386</v>
      </c>
      <c r="AZ1439" t="s">
        <v>2615</v>
      </c>
      <c r="BF1439">
        <v>0</v>
      </c>
      <c r="BK1439" t="s">
        <v>31</v>
      </c>
      <c r="BS1439" t="s">
        <v>419</v>
      </c>
      <c r="BT1439" t="s">
        <v>419</v>
      </c>
      <c r="CI1439" t="s">
        <v>388</v>
      </c>
      <c r="CJ1439" s="14">
        <v>45014</v>
      </c>
      <c r="CK1439">
        <v>1</v>
      </c>
    </row>
    <row r="1440" spans="1:89">
      <c r="A1440" t="s">
        <v>2444</v>
      </c>
      <c r="B1440" t="s">
        <v>374</v>
      </c>
      <c r="C1440" t="s">
        <v>2445</v>
      </c>
      <c r="D1440" t="s">
        <v>2618</v>
      </c>
      <c r="E1440" t="s">
        <v>2619</v>
      </c>
      <c r="F1440" s="13">
        <v>44619.996770833335</v>
      </c>
      <c r="G1440" t="s">
        <v>1526</v>
      </c>
      <c r="H1440" t="s">
        <v>1527</v>
      </c>
      <c r="I1440" s="13">
        <v>44619.99800925926</v>
      </c>
      <c r="K1440" t="s">
        <v>412</v>
      </c>
      <c r="R1440">
        <v>0</v>
      </c>
      <c r="S1440" t="s">
        <v>380</v>
      </c>
      <c r="T1440" t="s">
        <v>57</v>
      </c>
      <c r="V1440" t="s">
        <v>381</v>
      </c>
      <c r="W1440" t="s">
        <v>2620</v>
      </c>
      <c r="X1440" t="s">
        <v>2620</v>
      </c>
      <c r="AC1440" s="13">
        <v>44834</v>
      </c>
      <c r="AD1440" s="13">
        <v>44834</v>
      </c>
      <c r="AI1440">
        <v>215</v>
      </c>
      <c r="AL1440" t="s">
        <v>2621</v>
      </c>
      <c r="AN1440" t="s">
        <v>31</v>
      </c>
      <c r="AO1440">
        <v>0</v>
      </c>
      <c r="AS1440" t="s">
        <v>385</v>
      </c>
      <c r="AX1440" t="s">
        <v>57</v>
      </c>
      <c r="AY1440" t="s">
        <v>442</v>
      </c>
      <c r="AZ1440" t="s">
        <v>2622</v>
      </c>
      <c r="BF1440">
        <v>0</v>
      </c>
      <c r="BK1440" t="s">
        <v>31</v>
      </c>
      <c r="BS1440" t="s">
        <v>412</v>
      </c>
      <c r="BT1440" t="s">
        <v>412</v>
      </c>
      <c r="CI1440" t="s">
        <v>388</v>
      </c>
      <c r="CJ1440" s="14">
        <v>45014</v>
      </c>
      <c r="CK1440">
        <v>1</v>
      </c>
    </row>
    <row r="1441" spans="1:89">
      <c r="A1441" t="s">
        <v>2444</v>
      </c>
      <c r="B1441" t="s">
        <v>374</v>
      </c>
      <c r="C1441" t="s">
        <v>2445</v>
      </c>
      <c r="D1441" t="s">
        <v>2623</v>
      </c>
      <c r="E1441" t="s">
        <v>2624</v>
      </c>
      <c r="F1441" s="13">
        <v>44619.987824074073</v>
      </c>
      <c r="G1441" t="s">
        <v>1526</v>
      </c>
      <c r="H1441" t="s">
        <v>1527</v>
      </c>
      <c r="I1441" s="13">
        <v>44619.988541666666</v>
      </c>
      <c r="K1441" t="s">
        <v>412</v>
      </c>
      <c r="R1441">
        <v>0</v>
      </c>
      <c r="S1441" t="s">
        <v>380</v>
      </c>
      <c r="T1441" t="s">
        <v>57</v>
      </c>
      <c r="V1441" t="s">
        <v>381</v>
      </c>
      <c r="W1441" t="s">
        <v>2625</v>
      </c>
      <c r="X1441" t="s">
        <v>2625</v>
      </c>
      <c r="AC1441" s="13">
        <v>44757</v>
      </c>
      <c r="AD1441" s="13">
        <v>44757</v>
      </c>
      <c r="AI1441">
        <v>138</v>
      </c>
      <c r="AL1441" t="s">
        <v>2626</v>
      </c>
      <c r="AN1441" t="s">
        <v>31</v>
      </c>
      <c r="AO1441">
        <v>0</v>
      </c>
      <c r="AS1441" t="s">
        <v>385</v>
      </c>
      <c r="AX1441" t="s">
        <v>57</v>
      </c>
      <c r="AY1441" t="s">
        <v>442</v>
      </c>
      <c r="AZ1441" t="s">
        <v>2627</v>
      </c>
      <c r="BF1441">
        <v>0</v>
      </c>
      <c r="BK1441" t="s">
        <v>31</v>
      </c>
      <c r="BS1441" t="s">
        <v>412</v>
      </c>
      <c r="BT1441" t="s">
        <v>412</v>
      </c>
      <c r="CI1441" t="s">
        <v>388</v>
      </c>
      <c r="CJ1441" s="14">
        <v>45014</v>
      </c>
      <c r="CK1441">
        <v>1</v>
      </c>
    </row>
    <row r="1442" spans="1:89">
      <c r="A1442" t="s">
        <v>2444</v>
      </c>
      <c r="B1442" t="s">
        <v>374</v>
      </c>
      <c r="C1442" t="s">
        <v>2445</v>
      </c>
      <c r="D1442" t="s">
        <v>2628</v>
      </c>
      <c r="E1442" t="s">
        <v>2629</v>
      </c>
      <c r="F1442" s="13">
        <v>44619.985300925924</v>
      </c>
      <c r="G1442" t="s">
        <v>1526</v>
      </c>
      <c r="H1442" t="s">
        <v>1527</v>
      </c>
      <c r="I1442" s="13">
        <v>44619.986388888887</v>
      </c>
      <c r="K1442" t="s">
        <v>412</v>
      </c>
      <c r="R1442">
        <v>0</v>
      </c>
      <c r="S1442" t="s">
        <v>380</v>
      </c>
      <c r="T1442" t="s">
        <v>57</v>
      </c>
      <c r="V1442" t="s">
        <v>381</v>
      </c>
      <c r="W1442" t="s">
        <v>2625</v>
      </c>
      <c r="X1442" t="s">
        <v>2625</v>
      </c>
      <c r="AC1442" s="13">
        <v>44757</v>
      </c>
      <c r="AD1442" s="13">
        <v>44757</v>
      </c>
      <c r="AI1442">
        <v>138</v>
      </c>
      <c r="AL1442" t="s">
        <v>2626</v>
      </c>
      <c r="AN1442" t="s">
        <v>31</v>
      </c>
      <c r="AO1442">
        <v>0</v>
      </c>
      <c r="AS1442" t="s">
        <v>385</v>
      </c>
      <c r="AX1442" t="s">
        <v>57</v>
      </c>
      <c r="AY1442" t="s">
        <v>442</v>
      </c>
      <c r="AZ1442" t="s">
        <v>2630</v>
      </c>
      <c r="BF1442">
        <v>0</v>
      </c>
      <c r="BK1442" t="s">
        <v>31</v>
      </c>
      <c r="BS1442" t="s">
        <v>412</v>
      </c>
      <c r="BT1442" t="s">
        <v>412</v>
      </c>
      <c r="CI1442" t="s">
        <v>388</v>
      </c>
      <c r="CJ1442" s="14">
        <v>45014</v>
      </c>
      <c r="CK1442">
        <v>1</v>
      </c>
    </row>
    <row r="1443" spans="1:89">
      <c r="A1443" t="s">
        <v>2444</v>
      </c>
      <c r="B1443" t="s">
        <v>374</v>
      </c>
      <c r="C1443" t="s">
        <v>2445</v>
      </c>
      <c r="D1443" t="s">
        <v>2631</v>
      </c>
      <c r="E1443" t="s">
        <v>2632</v>
      </c>
      <c r="F1443" s="13">
        <v>44619.982928240737</v>
      </c>
      <c r="G1443" t="s">
        <v>1526</v>
      </c>
      <c r="H1443" t="s">
        <v>1527</v>
      </c>
      <c r="I1443" s="13">
        <v>44619.983981481484</v>
      </c>
      <c r="K1443" t="s">
        <v>412</v>
      </c>
      <c r="R1443">
        <v>0</v>
      </c>
      <c r="S1443" t="s">
        <v>380</v>
      </c>
      <c r="T1443" t="s">
        <v>57</v>
      </c>
      <c r="V1443" t="s">
        <v>381</v>
      </c>
      <c r="W1443" t="s">
        <v>2633</v>
      </c>
      <c r="X1443" t="s">
        <v>2633</v>
      </c>
      <c r="AC1443" s="13">
        <v>44757</v>
      </c>
      <c r="AD1443" s="13">
        <v>44757</v>
      </c>
      <c r="AI1443">
        <v>138</v>
      </c>
      <c r="AL1443" t="s">
        <v>2626</v>
      </c>
      <c r="AN1443" t="s">
        <v>31</v>
      </c>
      <c r="AO1443">
        <v>0</v>
      </c>
      <c r="AS1443" t="s">
        <v>385</v>
      </c>
      <c r="AX1443" t="s">
        <v>57</v>
      </c>
      <c r="AY1443" t="s">
        <v>442</v>
      </c>
      <c r="AZ1443" t="s">
        <v>2634</v>
      </c>
      <c r="BF1443">
        <v>0</v>
      </c>
      <c r="BK1443" t="s">
        <v>31</v>
      </c>
      <c r="BS1443" t="s">
        <v>412</v>
      </c>
      <c r="BT1443" t="s">
        <v>412</v>
      </c>
      <c r="CI1443" t="s">
        <v>388</v>
      </c>
      <c r="CJ1443" s="14">
        <v>45014</v>
      </c>
      <c r="CK1443">
        <v>1</v>
      </c>
    </row>
    <row r="1444" spans="1:89">
      <c r="A1444" t="s">
        <v>2444</v>
      </c>
      <c r="B1444" t="s">
        <v>374</v>
      </c>
      <c r="C1444" t="s">
        <v>2445</v>
      </c>
      <c r="D1444" t="s">
        <v>2635</v>
      </c>
      <c r="E1444" t="s">
        <v>2636</v>
      </c>
      <c r="F1444" s="13">
        <v>44619.980717592596</v>
      </c>
      <c r="G1444" t="s">
        <v>1526</v>
      </c>
      <c r="H1444" t="s">
        <v>1527</v>
      </c>
      <c r="I1444" s="13">
        <v>44619.981678240743</v>
      </c>
      <c r="K1444" t="s">
        <v>412</v>
      </c>
      <c r="R1444">
        <v>0</v>
      </c>
      <c r="S1444" t="s">
        <v>380</v>
      </c>
      <c r="T1444" t="s">
        <v>57</v>
      </c>
      <c r="V1444" t="s">
        <v>381</v>
      </c>
      <c r="W1444" t="s">
        <v>2625</v>
      </c>
      <c r="X1444" t="s">
        <v>2625</v>
      </c>
      <c r="AC1444" s="13">
        <v>44757</v>
      </c>
      <c r="AD1444" s="13">
        <v>44757</v>
      </c>
      <c r="AI1444">
        <v>138</v>
      </c>
      <c r="AL1444" t="s">
        <v>2626</v>
      </c>
      <c r="AN1444" t="s">
        <v>31</v>
      </c>
      <c r="AO1444">
        <v>0</v>
      </c>
      <c r="AS1444" t="s">
        <v>385</v>
      </c>
      <c r="AX1444" t="s">
        <v>57</v>
      </c>
      <c r="AY1444" t="s">
        <v>442</v>
      </c>
      <c r="AZ1444" t="s">
        <v>2637</v>
      </c>
      <c r="BF1444">
        <v>0</v>
      </c>
      <c r="BK1444" t="s">
        <v>31</v>
      </c>
      <c r="BS1444" t="s">
        <v>412</v>
      </c>
      <c r="BT1444" t="s">
        <v>412</v>
      </c>
      <c r="CI1444" t="s">
        <v>388</v>
      </c>
      <c r="CJ1444" s="14">
        <v>45014</v>
      </c>
      <c r="CK1444">
        <v>1</v>
      </c>
    </row>
    <row r="1445" spans="1:89">
      <c r="A1445" t="s">
        <v>2444</v>
      </c>
      <c r="B1445" t="s">
        <v>374</v>
      </c>
      <c r="C1445" t="s">
        <v>2445</v>
      </c>
      <c r="D1445" t="s">
        <v>2638</v>
      </c>
      <c r="E1445" t="s">
        <v>2639</v>
      </c>
      <c r="F1445" s="13">
        <v>44619.973356481481</v>
      </c>
      <c r="G1445" t="s">
        <v>1526</v>
      </c>
      <c r="H1445" t="s">
        <v>1527</v>
      </c>
      <c r="I1445" s="13">
        <v>44619.974143518521</v>
      </c>
      <c r="K1445" t="s">
        <v>412</v>
      </c>
      <c r="R1445">
        <v>0</v>
      </c>
      <c r="S1445" t="s">
        <v>380</v>
      </c>
      <c r="T1445" t="s">
        <v>57</v>
      </c>
      <c r="V1445" t="s">
        <v>381</v>
      </c>
      <c r="W1445" t="s">
        <v>2640</v>
      </c>
      <c r="X1445" t="s">
        <v>2640</v>
      </c>
      <c r="AC1445" s="13">
        <v>44757</v>
      </c>
      <c r="AD1445" s="13">
        <v>44757</v>
      </c>
      <c r="AI1445">
        <v>138</v>
      </c>
      <c r="AL1445" t="s">
        <v>2626</v>
      </c>
      <c r="AN1445" t="s">
        <v>31</v>
      </c>
      <c r="AO1445">
        <v>0</v>
      </c>
      <c r="AS1445" t="s">
        <v>385</v>
      </c>
      <c r="AX1445" t="s">
        <v>57</v>
      </c>
      <c r="AY1445" t="s">
        <v>442</v>
      </c>
      <c r="AZ1445" t="s">
        <v>2641</v>
      </c>
      <c r="BF1445">
        <v>0</v>
      </c>
      <c r="BK1445" t="s">
        <v>31</v>
      </c>
      <c r="BS1445" t="s">
        <v>412</v>
      </c>
      <c r="BT1445" t="s">
        <v>412</v>
      </c>
      <c r="CI1445" t="s">
        <v>388</v>
      </c>
      <c r="CJ1445" s="14">
        <v>45014</v>
      </c>
      <c r="CK1445">
        <v>1</v>
      </c>
    </row>
    <row r="1446" spans="1:89">
      <c r="A1446" t="s">
        <v>2444</v>
      </c>
      <c r="B1446" t="s">
        <v>374</v>
      </c>
      <c r="C1446" t="s">
        <v>2445</v>
      </c>
      <c r="D1446" t="s">
        <v>2642</v>
      </c>
      <c r="E1446" t="s">
        <v>2643</v>
      </c>
      <c r="F1446" s="13">
        <v>44619.967303240737</v>
      </c>
      <c r="G1446" t="s">
        <v>1526</v>
      </c>
      <c r="H1446" t="s">
        <v>1527</v>
      </c>
      <c r="I1446" s="13">
        <v>44619.968553240738</v>
      </c>
      <c r="K1446" t="s">
        <v>412</v>
      </c>
      <c r="R1446">
        <v>0</v>
      </c>
      <c r="S1446" t="s">
        <v>380</v>
      </c>
      <c r="T1446" t="s">
        <v>57</v>
      </c>
      <c r="V1446" t="s">
        <v>381</v>
      </c>
      <c r="W1446" t="s">
        <v>2644</v>
      </c>
      <c r="X1446" t="s">
        <v>2644</v>
      </c>
      <c r="AC1446" s="13">
        <v>44757</v>
      </c>
      <c r="AD1446" s="13">
        <v>44757</v>
      </c>
      <c r="AI1446">
        <v>138</v>
      </c>
      <c r="AL1446" t="s">
        <v>2645</v>
      </c>
      <c r="AN1446" t="s">
        <v>31</v>
      </c>
      <c r="AO1446">
        <v>0</v>
      </c>
      <c r="AS1446" t="s">
        <v>392</v>
      </c>
      <c r="AX1446" t="s">
        <v>57</v>
      </c>
      <c r="AY1446" t="s">
        <v>442</v>
      </c>
      <c r="AZ1446" t="s">
        <v>2634</v>
      </c>
      <c r="BF1446">
        <v>0</v>
      </c>
      <c r="BK1446" t="s">
        <v>31</v>
      </c>
      <c r="BS1446" t="s">
        <v>412</v>
      </c>
      <c r="BT1446" t="s">
        <v>412</v>
      </c>
      <c r="CI1446" t="s">
        <v>388</v>
      </c>
      <c r="CJ1446" s="14">
        <v>45014</v>
      </c>
      <c r="CK1446">
        <v>1</v>
      </c>
    </row>
    <row r="1447" spans="1:89">
      <c r="A1447" t="s">
        <v>2444</v>
      </c>
      <c r="B1447" t="s">
        <v>374</v>
      </c>
      <c r="C1447" t="s">
        <v>2445</v>
      </c>
      <c r="D1447" t="s">
        <v>2646</v>
      </c>
      <c r="E1447" t="s">
        <v>2647</v>
      </c>
      <c r="F1447" s="13">
        <v>44619.964421296296</v>
      </c>
      <c r="G1447" t="s">
        <v>1526</v>
      </c>
      <c r="H1447" t="s">
        <v>1527</v>
      </c>
      <c r="I1447" s="13">
        <v>44619.965648148151</v>
      </c>
      <c r="K1447" t="s">
        <v>412</v>
      </c>
      <c r="R1447">
        <v>0</v>
      </c>
      <c r="S1447" t="s">
        <v>380</v>
      </c>
      <c r="T1447" t="s">
        <v>57</v>
      </c>
      <c r="V1447" t="s">
        <v>381</v>
      </c>
      <c r="W1447" t="s">
        <v>2644</v>
      </c>
      <c r="X1447" t="s">
        <v>2644</v>
      </c>
      <c r="AC1447" s="13">
        <v>44757</v>
      </c>
      <c r="AD1447" s="13">
        <v>44757</v>
      </c>
      <c r="AI1447">
        <v>138</v>
      </c>
      <c r="AL1447" t="s">
        <v>2645</v>
      </c>
      <c r="AN1447" t="s">
        <v>31</v>
      </c>
      <c r="AO1447">
        <v>0</v>
      </c>
      <c r="AS1447" t="s">
        <v>385</v>
      </c>
      <c r="AX1447" t="s">
        <v>57</v>
      </c>
      <c r="AY1447" t="s">
        <v>442</v>
      </c>
      <c r="AZ1447" t="s">
        <v>2648</v>
      </c>
      <c r="BF1447">
        <v>0</v>
      </c>
      <c r="BK1447" t="s">
        <v>31</v>
      </c>
      <c r="BS1447" t="s">
        <v>412</v>
      </c>
      <c r="BT1447" t="s">
        <v>412</v>
      </c>
      <c r="CI1447" t="s">
        <v>388</v>
      </c>
      <c r="CJ1447" s="14">
        <v>45014</v>
      </c>
      <c r="CK1447">
        <v>1</v>
      </c>
    </row>
    <row r="1448" spans="1:89">
      <c r="A1448" t="s">
        <v>2444</v>
      </c>
      <c r="B1448" t="s">
        <v>374</v>
      </c>
      <c r="C1448" t="s">
        <v>2445</v>
      </c>
      <c r="D1448" t="s">
        <v>2649</v>
      </c>
      <c r="E1448" t="s">
        <v>2643</v>
      </c>
      <c r="F1448" s="13">
        <v>44619.943854166668</v>
      </c>
      <c r="G1448" t="s">
        <v>1526</v>
      </c>
      <c r="H1448" t="s">
        <v>1527</v>
      </c>
      <c r="I1448" s="13">
        <v>44619.944756944446</v>
      </c>
      <c r="K1448" t="s">
        <v>412</v>
      </c>
      <c r="R1448">
        <v>0</v>
      </c>
      <c r="S1448" t="s">
        <v>380</v>
      </c>
      <c r="T1448" t="s">
        <v>57</v>
      </c>
      <c r="V1448" t="s">
        <v>381</v>
      </c>
      <c r="W1448" t="s">
        <v>2633</v>
      </c>
      <c r="X1448" t="s">
        <v>2633</v>
      </c>
      <c r="AC1448" s="13">
        <v>44782</v>
      </c>
      <c r="AD1448" s="13">
        <v>44782</v>
      </c>
      <c r="AI1448">
        <v>163</v>
      </c>
      <c r="AL1448" t="s">
        <v>2650</v>
      </c>
      <c r="AN1448" t="s">
        <v>31</v>
      </c>
      <c r="AO1448">
        <v>0</v>
      </c>
      <c r="AS1448" t="s">
        <v>392</v>
      </c>
      <c r="AX1448" t="s">
        <v>57</v>
      </c>
      <c r="AY1448" t="s">
        <v>442</v>
      </c>
      <c r="AZ1448" t="s">
        <v>2634</v>
      </c>
      <c r="BF1448">
        <v>0</v>
      </c>
      <c r="BK1448" t="s">
        <v>31</v>
      </c>
      <c r="BS1448" t="s">
        <v>412</v>
      </c>
      <c r="BT1448" t="s">
        <v>412</v>
      </c>
      <c r="CI1448" t="s">
        <v>388</v>
      </c>
      <c r="CJ1448" s="14">
        <v>45014</v>
      </c>
      <c r="CK1448">
        <v>1</v>
      </c>
    </row>
    <row r="1449" spans="1:89">
      <c r="A1449" t="s">
        <v>2444</v>
      </c>
      <c r="B1449" t="s">
        <v>374</v>
      </c>
      <c r="C1449" t="s">
        <v>2445</v>
      </c>
      <c r="D1449" t="s">
        <v>2651</v>
      </c>
      <c r="E1449" t="s">
        <v>2652</v>
      </c>
      <c r="F1449" s="13">
        <v>44619.940567129626</v>
      </c>
      <c r="G1449" t="s">
        <v>1526</v>
      </c>
      <c r="H1449" t="s">
        <v>1527</v>
      </c>
      <c r="I1449" s="13">
        <v>44619.942071759258</v>
      </c>
      <c r="K1449" t="s">
        <v>412</v>
      </c>
      <c r="R1449">
        <v>0</v>
      </c>
      <c r="S1449" t="s">
        <v>380</v>
      </c>
      <c r="T1449" t="s">
        <v>57</v>
      </c>
      <c r="V1449" t="s">
        <v>381</v>
      </c>
      <c r="W1449" t="s">
        <v>2633</v>
      </c>
      <c r="X1449" t="s">
        <v>2633</v>
      </c>
      <c r="AC1449" s="13">
        <v>44782</v>
      </c>
      <c r="AD1449" s="13">
        <v>44782</v>
      </c>
      <c r="AI1449">
        <v>163</v>
      </c>
      <c r="AL1449" t="s">
        <v>2650</v>
      </c>
      <c r="AN1449" t="s">
        <v>31</v>
      </c>
      <c r="AO1449">
        <v>0</v>
      </c>
      <c r="AS1449" t="s">
        <v>385</v>
      </c>
      <c r="AX1449" t="s">
        <v>57</v>
      </c>
      <c r="AY1449" t="s">
        <v>442</v>
      </c>
      <c r="AZ1449" t="s">
        <v>2653</v>
      </c>
      <c r="BE1449" t="s">
        <v>2654</v>
      </c>
      <c r="BF1449">
        <v>0</v>
      </c>
      <c r="BK1449" t="s">
        <v>31</v>
      </c>
      <c r="BS1449" t="s">
        <v>412</v>
      </c>
      <c r="BT1449" t="s">
        <v>412</v>
      </c>
      <c r="CI1449" t="s">
        <v>388</v>
      </c>
      <c r="CJ1449" s="14">
        <v>45014</v>
      </c>
      <c r="CK1449">
        <v>1</v>
      </c>
    </row>
    <row r="1450" spans="1:89">
      <c r="A1450" t="s">
        <v>1522</v>
      </c>
      <c r="B1450" t="s">
        <v>374</v>
      </c>
      <c r="C1450" t="s">
        <v>1523</v>
      </c>
      <c r="D1450" t="s">
        <v>2655</v>
      </c>
      <c r="E1450" t="s">
        <v>2656</v>
      </c>
      <c r="F1450" s="13">
        <v>44619.882094907407</v>
      </c>
      <c r="G1450" t="s">
        <v>1526</v>
      </c>
      <c r="H1450" t="s">
        <v>1527</v>
      </c>
      <c r="I1450" s="13">
        <v>44619.882708333331</v>
      </c>
      <c r="K1450" t="s">
        <v>412</v>
      </c>
      <c r="R1450">
        <v>0</v>
      </c>
      <c r="S1450" t="s">
        <v>380</v>
      </c>
      <c r="T1450" t="s">
        <v>57</v>
      </c>
      <c r="V1450" t="s">
        <v>381</v>
      </c>
      <c r="W1450" t="s">
        <v>2657</v>
      </c>
      <c r="X1450" t="s">
        <v>2657</v>
      </c>
      <c r="AI1450">
        <v>62</v>
      </c>
      <c r="AL1450" t="s">
        <v>2658</v>
      </c>
      <c r="AN1450" t="s">
        <v>31</v>
      </c>
      <c r="AO1450">
        <v>0</v>
      </c>
      <c r="AS1450" t="s">
        <v>385</v>
      </c>
      <c r="AX1450" t="s">
        <v>31</v>
      </c>
      <c r="AY1450" t="s">
        <v>386</v>
      </c>
      <c r="AZ1450" t="s">
        <v>2659</v>
      </c>
      <c r="BF1450">
        <v>0</v>
      </c>
      <c r="BK1450" t="s">
        <v>31</v>
      </c>
      <c r="BS1450" t="s">
        <v>412</v>
      </c>
      <c r="BT1450" t="s">
        <v>412</v>
      </c>
      <c r="CI1450" t="s">
        <v>388</v>
      </c>
      <c r="CJ1450" s="14">
        <v>45014</v>
      </c>
      <c r="CK1450">
        <v>1</v>
      </c>
    </row>
    <row r="1451" spans="1:89">
      <c r="A1451" t="s">
        <v>1522</v>
      </c>
      <c r="B1451" t="s">
        <v>374</v>
      </c>
      <c r="C1451" t="s">
        <v>1523</v>
      </c>
      <c r="D1451" t="s">
        <v>2660</v>
      </c>
      <c r="E1451" t="s">
        <v>2661</v>
      </c>
      <c r="F1451" s="13">
        <v>44619.879571759258</v>
      </c>
      <c r="G1451" t="s">
        <v>1526</v>
      </c>
      <c r="H1451" t="s">
        <v>1527</v>
      </c>
      <c r="I1451" s="13">
        <v>44619.880069444444</v>
      </c>
      <c r="K1451" t="s">
        <v>412</v>
      </c>
      <c r="R1451">
        <v>0</v>
      </c>
      <c r="S1451" t="s">
        <v>380</v>
      </c>
      <c r="T1451" t="s">
        <v>57</v>
      </c>
      <c r="V1451" t="s">
        <v>381</v>
      </c>
      <c r="W1451" t="s">
        <v>2662</v>
      </c>
      <c r="X1451" t="s">
        <v>2662</v>
      </c>
      <c r="AI1451">
        <v>62</v>
      </c>
      <c r="AL1451" t="s">
        <v>2658</v>
      </c>
      <c r="AN1451" t="s">
        <v>31</v>
      </c>
      <c r="AO1451">
        <v>0</v>
      </c>
      <c r="AS1451" t="s">
        <v>392</v>
      </c>
      <c r="AX1451" t="s">
        <v>31</v>
      </c>
      <c r="AY1451" t="s">
        <v>442</v>
      </c>
      <c r="AZ1451" t="s">
        <v>2663</v>
      </c>
      <c r="BF1451">
        <v>0</v>
      </c>
      <c r="BK1451" t="s">
        <v>31</v>
      </c>
      <c r="BS1451" t="s">
        <v>412</v>
      </c>
      <c r="BT1451" t="s">
        <v>412</v>
      </c>
      <c r="CI1451" t="s">
        <v>388</v>
      </c>
      <c r="CJ1451" s="14">
        <v>45014</v>
      </c>
      <c r="CK1451">
        <v>1</v>
      </c>
    </row>
    <row r="1452" spans="1:89">
      <c r="A1452" t="s">
        <v>1522</v>
      </c>
      <c r="B1452" t="s">
        <v>374</v>
      </c>
      <c r="C1452" t="s">
        <v>1523</v>
      </c>
      <c r="D1452" t="s">
        <v>2664</v>
      </c>
      <c r="E1452" t="s">
        <v>2665</v>
      </c>
      <c r="F1452" s="13">
        <v>44619.877430555556</v>
      </c>
      <c r="G1452" t="s">
        <v>1526</v>
      </c>
      <c r="H1452" t="s">
        <v>1527</v>
      </c>
      <c r="I1452" s="13">
        <v>44619.877939814818</v>
      </c>
      <c r="K1452" t="s">
        <v>412</v>
      </c>
      <c r="R1452">
        <v>0</v>
      </c>
      <c r="S1452" t="s">
        <v>380</v>
      </c>
      <c r="T1452" t="s">
        <v>57</v>
      </c>
      <c r="V1452" t="s">
        <v>381</v>
      </c>
      <c r="W1452" t="s">
        <v>2666</v>
      </c>
      <c r="X1452" t="s">
        <v>2666</v>
      </c>
      <c r="AI1452">
        <v>62</v>
      </c>
      <c r="AL1452" t="s">
        <v>2658</v>
      </c>
      <c r="AN1452" t="s">
        <v>31</v>
      </c>
      <c r="AO1452">
        <v>0</v>
      </c>
      <c r="AS1452" t="s">
        <v>392</v>
      </c>
      <c r="AX1452" t="s">
        <v>31</v>
      </c>
      <c r="AY1452" t="s">
        <v>442</v>
      </c>
      <c r="AZ1452" t="s">
        <v>2667</v>
      </c>
      <c r="BF1452">
        <v>0</v>
      </c>
      <c r="BK1452" t="s">
        <v>31</v>
      </c>
      <c r="BS1452" t="s">
        <v>412</v>
      </c>
      <c r="BT1452" t="s">
        <v>412</v>
      </c>
      <c r="CI1452" t="s">
        <v>388</v>
      </c>
      <c r="CJ1452" s="14">
        <v>45014</v>
      </c>
      <c r="CK1452">
        <v>1</v>
      </c>
    </row>
    <row r="1453" spans="1:89">
      <c r="A1453" t="s">
        <v>1522</v>
      </c>
      <c r="B1453" t="s">
        <v>374</v>
      </c>
      <c r="C1453" t="s">
        <v>1523</v>
      </c>
      <c r="D1453" t="s">
        <v>2668</v>
      </c>
      <c r="E1453" t="s">
        <v>2669</v>
      </c>
      <c r="F1453" s="13">
        <v>44619.875659722224</v>
      </c>
      <c r="G1453" t="s">
        <v>1526</v>
      </c>
      <c r="H1453" t="s">
        <v>1527</v>
      </c>
      <c r="I1453" s="13">
        <v>44619.876273148147</v>
      </c>
      <c r="K1453" t="s">
        <v>412</v>
      </c>
      <c r="R1453">
        <v>0</v>
      </c>
      <c r="S1453" t="s">
        <v>380</v>
      </c>
      <c r="T1453" t="s">
        <v>57</v>
      </c>
      <c r="V1453" t="s">
        <v>381</v>
      </c>
      <c r="W1453" t="s">
        <v>2670</v>
      </c>
      <c r="X1453" t="s">
        <v>2670</v>
      </c>
      <c r="AI1453">
        <v>62</v>
      </c>
      <c r="AL1453" t="s">
        <v>2658</v>
      </c>
      <c r="AN1453" t="s">
        <v>31</v>
      </c>
      <c r="AO1453">
        <v>0</v>
      </c>
      <c r="AS1453" t="s">
        <v>744</v>
      </c>
      <c r="AX1453" t="s">
        <v>31</v>
      </c>
      <c r="AY1453" t="s">
        <v>442</v>
      </c>
      <c r="AZ1453" t="s">
        <v>2671</v>
      </c>
      <c r="BF1453">
        <v>0</v>
      </c>
      <c r="BK1453" t="s">
        <v>31</v>
      </c>
      <c r="BS1453" t="s">
        <v>412</v>
      </c>
      <c r="BT1453" t="s">
        <v>412</v>
      </c>
      <c r="CI1453" t="s">
        <v>388</v>
      </c>
      <c r="CJ1453" s="14">
        <v>45014</v>
      </c>
      <c r="CK1453">
        <v>1</v>
      </c>
    </row>
    <row r="1454" spans="1:89">
      <c r="A1454" t="s">
        <v>1522</v>
      </c>
      <c r="B1454" t="s">
        <v>374</v>
      </c>
      <c r="C1454" t="s">
        <v>1523</v>
      </c>
      <c r="D1454" t="s">
        <v>2672</v>
      </c>
      <c r="E1454" t="s">
        <v>2673</v>
      </c>
      <c r="F1454" s="13">
        <v>44619.873611111114</v>
      </c>
      <c r="G1454" t="s">
        <v>1526</v>
      </c>
      <c r="H1454" t="s">
        <v>1527</v>
      </c>
      <c r="I1454" s="13">
        <v>44619.874386574076</v>
      </c>
      <c r="K1454" t="s">
        <v>412</v>
      </c>
      <c r="R1454">
        <v>0</v>
      </c>
      <c r="S1454" t="s">
        <v>380</v>
      </c>
      <c r="T1454" t="s">
        <v>57</v>
      </c>
      <c r="V1454" t="s">
        <v>381</v>
      </c>
      <c r="W1454" t="s">
        <v>2657</v>
      </c>
      <c r="X1454" t="s">
        <v>2657</v>
      </c>
      <c r="AI1454">
        <v>62</v>
      </c>
      <c r="AL1454" t="s">
        <v>2658</v>
      </c>
      <c r="AN1454" t="s">
        <v>31</v>
      </c>
      <c r="AO1454">
        <v>0</v>
      </c>
      <c r="AS1454" t="s">
        <v>385</v>
      </c>
      <c r="AX1454" t="s">
        <v>31</v>
      </c>
      <c r="AY1454" t="s">
        <v>386</v>
      </c>
      <c r="AZ1454" t="s">
        <v>2673</v>
      </c>
      <c r="BF1454">
        <v>0</v>
      </c>
      <c r="BK1454" t="s">
        <v>31</v>
      </c>
      <c r="BS1454" t="s">
        <v>412</v>
      </c>
      <c r="BT1454" t="s">
        <v>412</v>
      </c>
      <c r="CI1454" t="s">
        <v>388</v>
      </c>
      <c r="CJ1454" s="14">
        <v>45014</v>
      </c>
      <c r="CK1454">
        <v>1</v>
      </c>
    </row>
    <row r="1455" spans="1:89">
      <c r="A1455" t="s">
        <v>1522</v>
      </c>
      <c r="B1455" t="s">
        <v>374</v>
      </c>
      <c r="C1455" t="s">
        <v>1523</v>
      </c>
      <c r="D1455" t="s">
        <v>2674</v>
      </c>
      <c r="E1455" t="s">
        <v>2675</v>
      </c>
      <c r="F1455" s="13">
        <v>44619.872025462966</v>
      </c>
      <c r="G1455" t="s">
        <v>1526</v>
      </c>
      <c r="H1455" t="s">
        <v>1527</v>
      </c>
      <c r="I1455" s="13">
        <v>44619.872546296298</v>
      </c>
      <c r="K1455" t="s">
        <v>412</v>
      </c>
      <c r="R1455">
        <v>0</v>
      </c>
      <c r="S1455" t="s">
        <v>380</v>
      </c>
      <c r="T1455" t="s">
        <v>57</v>
      </c>
      <c r="V1455" t="s">
        <v>381</v>
      </c>
      <c r="W1455" t="s">
        <v>2657</v>
      </c>
      <c r="X1455" t="s">
        <v>2657</v>
      </c>
      <c r="AI1455">
        <v>62</v>
      </c>
      <c r="AL1455" t="s">
        <v>2658</v>
      </c>
      <c r="AN1455" t="s">
        <v>31</v>
      </c>
      <c r="AO1455">
        <v>0</v>
      </c>
      <c r="AS1455" t="s">
        <v>392</v>
      </c>
      <c r="AX1455" t="s">
        <v>31</v>
      </c>
      <c r="AY1455" t="s">
        <v>442</v>
      </c>
      <c r="AZ1455" t="s">
        <v>2676</v>
      </c>
      <c r="BF1455">
        <v>0</v>
      </c>
      <c r="BK1455" t="s">
        <v>31</v>
      </c>
      <c r="BS1455" t="s">
        <v>412</v>
      </c>
      <c r="BT1455" t="s">
        <v>412</v>
      </c>
      <c r="CI1455" t="s">
        <v>388</v>
      </c>
      <c r="CJ1455" s="14">
        <v>45014</v>
      </c>
      <c r="CK1455">
        <v>1</v>
      </c>
    </row>
    <row r="1456" spans="1:89">
      <c r="A1456" t="s">
        <v>1522</v>
      </c>
      <c r="B1456" t="s">
        <v>374</v>
      </c>
      <c r="C1456" t="s">
        <v>1523</v>
      </c>
      <c r="D1456" t="s">
        <v>2677</v>
      </c>
      <c r="E1456" t="s">
        <v>2678</v>
      </c>
      <c r="F1456" s="13">
        <v>44619.869791666664</v>
      </c>
      <c r="G1456" t="s">
        <v>1526</v>
      </c>
      <c r="H1456" t="s">
        <v>1527</v>
      </c>
      <c r="I1456" s="13">
        <v>44619.870497685188</v>
      </c>
      <c r="K1456" t="s">
        <v>412</v>
      </c>
      <c r="R1456">
        <v>0</v>
      </c>
      <c r="S1456" t="s">
        <v>380</v>
      </c>
      <c r="T1456" t="s">
        <v>57</v>
      </c>
      <c r="V1456" t="s">
        <v>381</v>
      </c>
      <c r="W1456" t="s">
        <v>2679</v>
      </c>
      <c r="X1456" t="s">
        <v>2679</v>
      </c>
      <c r="AI1456">
        <v>62</v>
      </c>
      <c r="AL1456" t="s">
        <v>2658</v>
      </c>
      <c r="AN1456" t="s">
        <v>31</v>
      </c>
      <c r="AO1456">
        <v>0</v>
      </c>
      <c r="AS1456" t="s">
        <v>538</v>
      </c>
      <c r="AX1456" t="s">
        <v>31</v>
      </c>
      <c r="AY1456" t="s">
        <v>386</v>
      </c>
      <c r="AZ1456" t="s">
        <v>2680</v>
      </c>
      <c r="BF1456">
        <v>0</v>
      </c>
      <c r="BK1456" t="s">
        <v>31</v>
      </c>
      <c r="BS1456" t="s">
        <v>412</v>
      </c>
      <c r="BT1456" t="s">
        <v>412</v>
      </c>
      <c r="CI1456" t="s">
        <v>388</v>
      </c>
      <c r="CJ1456" s="14">
        <v>45014</v>
      </c>
      <c r="CK1456">
        <v>1</v>
      </c>
    </row>
    <row r="1457" spans="1:89">
      <c r="A1457" t="s">
        <v>1522</v>
      </c>
      <c r="B1457" t="s">
        <v>374</v>
      </c>
      <c r="C1457" t="s">
        <v>1523</v>
      </c>
      <c r="D1457" t="s">
        <v>2681</v>
      </c>
      <c r="E1457" t="s">
        <v>2682</v>
      </c>
      <c r="F1457" s="13">
        <v>44619.867939814816</v>
      </c>
      <c r="G1457" t="s">
        <v>1526</v>
      </c>
      <c r="H1457" t="s">
        <v>1527</v>
      </c>
      <c r="I1457" s="13">
        <v>44619.86859953704</v>
      </c>
      <c r="K1457" t="s">
        <v>412</v>
      </c>
      <c r="R1457">
        <v>0</v>
      </c>
      <c r="S1457" t="s">
        <v>380</v>
      </c>
      <c r="T1457" t="s">
        <v>57</v>
      </c>
      <c r="V1457" t="s">
        <v>381</v>
      </c>
      <c r="W1457" t="s">
        <v>2679</v>
      </c>
      <c r="X1457" t="s">
        <v>2679</v>
      </c>
      <c r="AI1457">
        <v>62</v>
      </c>
      <c r="AL1457" t="s">
        <v>2658</v>
      </c>
      <c r="AN1457" t="s">
        <v>31</v>
      </c>
      <c r="AO1457">
        <v>0</v>
      </c>
      <c r="AS1457" t="s">
        <v>385</v>
      </c>
      <c r="AX1457" t="s">
        <v>31</v>
      </c>
      <c r="AY1457" t="s">
        <v>442</v>
      </c>
      <c r="AZ1457" t="s">
        <v>2683</v>
      </c>
      <c r="BF1457">
        <v>0</v>
      </c>
      <c r="BK1457" t="s">
        <v>31</v>
      </c>
      <c r="BS1457" t="s">
        <v>412</v>
      </c>
      <c r="BT1457" t="s">
        <v>412</v>
      </c>
      <c r="CI1457" t="s">
        <v>388</v>
      </c>
      <c r="CJ1457" s="14">
        <v>45014</v>
      </c>
      <c r="CK1457">
        <v>1</v>
      </c>
    </row>
    <row r="1458" spans="1:89">
      <c r="A1458" t="s">
        <v>1522</v>
      </c>
      <c r="B1458" t="s">
        <v>374</v>
      </c>
      <c r="C1458" t="s">
        <v>1523</v>
      </c>
      <c r="D1458" t="s">
        <v>2684</v>
      </c>
      <c r="E1458" t="s">
        <v>2685</v>
      </c>
      <c r="F1458" s="13">
        <v>44619.865162037036</v>
      </c>
      <c r="G1458" t="s">
        <v>1526</v>
      </c>
      <c r="H1458" t="s">
        <v>1527</v>
      </c>
      <c r="I1458" s="13">
        <v>44619.866412037038</v>
      </c>
      <c r="K1458" t="s">
        <v>412</v>
      </c>
      <c r="R1458">
        <v>0</v>
      </c>
      <c r="S1458" t="s">
        <v>380</v>
      </c>
      <c r="T1458" t="s">
        <v>57</v>
      </c>
      <c r="V1458" t="s">
        <v>381</v>
      </c>
      <c r="W1458" t="s">
        <v>2686</v>
      </c>
      <c r="X1458" t="s">
        <v>2686</v>
      </c>
      <c r="AI1458">
        <v>62</v>
      </c>
      <c r="AL1458" t="s">
        <v>2658</v>
      </c>
      <c r="AN1458" t="s">
        <v>31</v>
      </c>
      <c r="AO1458">
        <v>0</v>
      </c>
      <c r="AS1458" t="s">
        <v>707</v>
      </c>
      <c r="AX1458" t="s">
        <v>31</v>
      </c>
      <c r="AY1458" t="s">
        <v>386</v>
      </c>
      <c r="AZ1458" t="s">
        <v>2687</v>
      </c>
      <c r="BF1458">
        <v>0</v>
      </c>
      <c r="BK1458" t="s">
        <v>31</v>
      </c>
      <c r="BS1458" t="s">
        <v>412</v>
      </c>
      <c r="BT1458" t="s">
        <v>412</v>
      </c>
      <c r="CI1458" t="s">
        <v>388</v>
      </c>
      <c r="CJ1458" s="14">
        <v>45014</v>
      </c>
      <c r="CK1458">
        <v>1</v>
      </c>
    </row>
    <row r="1459" spans="1:89">
      <c r="A1459" t="s">
        <v>1522</v>
      </c>
      <c r="B1459" t="s">
        <v>374</v>
      </c>
      <c r="C1459" t="s">
        <v>1523</v>
      </c>
      <c r="D1459" t="s">
        <v>2688</v>
      </c>
      <c r="E1459" t="s">
        <v>2689</v>
      </c>
      <c r="F1459" s="13">
        <v>44619.863206018519</v>
      </c>
      <c r="G1459" t="s">
        <v>1526</v>
      </c>
      <c r="H1459" t="s">
        <v>1527</v>
      </c>
      <c r="I1459" s="13">
        <v>44619.864074074074</v>
      </c>
      <c r="K1459" t="s">
        <v>412</v>
      </c>
      <c r="R1459">
        <v>0</v>
      </c>
      <c r="S1459" t="s">
        <v>380</v>
      </c>
      <c r="T1459" t="s">
        <v>57</v>
      </c>
      <c r="V1459" t="s">
        <v>381</v>
      </c>
      <c r="W1459" t="s">
        <v>2686</v>
      </c>
      <c r="X1459" t="s">
        <v>2686</v>
      </c>
      <c r="AI1459">
        <v>62</v>
      </c>
      <c r="AL1459" t="s">
        <v>2658</v>
      </c>
      <c r="AN1459" t="s">
        <v>31</v>
      </c>
      <c r="AO1459">
        <v>0</v>
      </c>
      <c r="AS1459" t="s">
        <v>648</v>
      </c>
      <c r="AX1459" t="s">
        <v>31</v>
      </c>
      <c r="AY1459" t="s">
        <v>442</v>
      </c>
      <c r="AZ1459" t="s">
        <v>2690</v>
      </c>
      <c r="BF1459">
        <v>0</v>
      </c>
      <c r="BK1459" t="s">
        <v>31</v>
      </c>
      <c r="BS1459" t="s">
        <v>412</v>
      </c>
      <c r="BT1459" t="s">
        <v>412</v>
      </c>
      <c r="CI1459" t="s">
        <v>388</v>
      </c>
      <c r="CJ1459" s="14">
        <v>45014</v>
      </c>
      <c r="CK1459">
        <v>1</v>
      </c>
    </row>
    <row r="1460" spans="1:89">
      <c r="A1460" t="s">
        <v>1522</v>
      </c>
      <c r="B1460" t="s">
        <v>374</v>
      </c>
      <c r="C1460" t="s">
        <v>1523</v>
      </c>
      <c r="D1460" t="s">
        <v>2691</v>
      </c>
      <c r="E1460" t="s">
        <v>2656</v>
      </c>
      <c r="F1460" s="13">
        <v>44619.861168981479</v>
      </c>
      <c r="G1460" t="s">
        <v>1526</v>
      </c>
      <c r="H1460" t="s">
        <v>1527</v>
      </c>
      <c r="I1460" s="13">
        <v>44619.861747685187</v>
      </c>
      <c r="K1460" t="s">
        <v>412</v>
      </c>
      <c r="R1460">
        <v>0</v>
      </c>
      <c r="S1460" t="s">
        <v>380</v>
      </c>
      <c r="T1460" t="s">
        <v>57</v>
      </c>
      <c r="V1460" t="s">
        <v>381</v>
      </c>
      <c r="W1460" t="s">
        <v>2657</v>
      </c>
      <c r="X1460" t="s">
        <v>2657</v>
      </c>
      <c r="AI1460">
        <v>62</v>
      </c>
      <c r="AL1460" t="s">
        <v>2658</v>
      </c>
      <c r="AN1460" t="s">
        <v>31</v>
      </c>
      <c r="AO1460">
        <v>0</v>
      </c>
      <c r="AS1460" t="s">
        <v>648</v>
      </c>
      <c r="AX1460" t="s">
        <v>31</v>
      </c>
      <c r="AY1460" t="s">
        <v>442</v>
      </c>
      <c r="AZ1460" t="s">
        <v>2692</v>
      </c>
      <c r="BF1460">
        <v>0</v>
      </c>
      <c r="BK1460" t="s">
        <v>31</v>
      </c>
      <c r="BS1460" t="s">
        <v>412</v>
      </c>
      <c r="BT1460" t="s">
        <v>412</v>
      </c>
      <c r="CI1460" t="s">
        <v>388</v>
      </c>
      <c r="CJ1460" s="14">
        <v>45014</v>
      </c>
      <c r="CK1460">
        <v>1</v>
      </c>
    </row>
    <row r="1461" spans="1:89">
      <c r="A1461" t="s">
        <v>2693</v>
      </c>
      <c r="B1461" t="s">
        <v>374</v>
      </c>
      <c r="C1461" t="s">
        <v>2694</v>
      </c>
      <c r="D1461" t="s">
        <v>2695</v>
      </c>
      <c r="E1461" t="s">
        <v>2696</v>
      </c>
      <c r="F1461" s="13">
        <v>44619.849710648145</v>
      </c>
      <c r="G1461" t="s">
        <v>1526</v>
      </c>
      <c r="H1461" t="s">
        <v>1527</v>
      </c>
      <c r="I1461" s="13">
        <v>44619.850358796299</v>
      </c>
      <c r="K1461" t="s">
        <v>412</v>
      </c>
      <c r="R1461">
        <v>0</v>
      </c>
      <c r="S1461" t="s">
        <v>380</v>
      </c>
      <c r="T1461" t="s">
        <v>57</v>
      </c>
      <c r="V1461" t="s">
        <v>381</v>
      </c>
      <c r="W1461" t="s">
        <v>2697</v>
      </c>
      <c r="X1461" t="s">
        <v>2697</v>
      </c>
      <c r="AI1461">
        <v>154</v>
      </c>
      <c r="AL1461" t="s">
        <v>2698</v>
      </c>
      <c r="AN1461" t="s">
        <v>31</v>
      </c>
      <c r="AO1461">
        <v>0</v>
      </c>
      <c r="AS1461" t="s">
        <v>392</v>
      </c>
      <c r="AX1461" t="s">
        <v>31</v>
      </c>
      <c r="AY1461" t="s">
        <v>442</v>
      </c>
      <c r="AZ1461" t="s">
        <v>2699</v>
      </c>
      <c r="BF1461">
        <v>0</v>
      </c>
      <c r="BK1461" t="s">
        <v>31</v>
      </c>
      <c r="BS1461" t="s">
        <v>412</v>
      </c>
      <c r="BT1461" t="s">
        <v>412</v>
      </c>
      <c r="CI1461" t="s">
        <v>388</v>
      </c>
      <c r="CJ1461" s="14">
        <v>45014</v>
      </c>
      <c r="CK1461">
        <v>1</v>
      </c>
    </row>
    <row r="1462" spans="1:89">
      <c r="A1462" t="s">
        <v>2700</v>
      </c>
      <c r="B1462" t="s">
        <v>374</v>
      </c>
      <c r="C1462" t="s">
        <v>2701</v>
      </c>
      <c r="D1462" t="s">
        <v>2702</v>
      </c>
      <c r="E1462" t="s">
        <v>2703</v>
      </c>
      <c r="F1462" s="13">
        <v>44619.839861111112</v>
      </c>
      <c r="G1462" t="s">
        <v>1526</v>
      </c>
      <c r="H1462" t="s">
        <v>1527</v>
      </c>
      <c r="I1462" s="13">
        <v>44619.840555555558</v>
      </c>
      <c r="K1462" t="s">
        <v>412</v>
      </c>
      <c r="R1462">
        <v>0</v>
      </c>
      <c r="S1462" t="s">
        <v>380</v>
      </c>
      <c r="T1462" t="s">
        <v>57</v>
      </c>
      <c r="V1462" t="s">
        <v>381</v>
      </c>
      <c r="W1462" t="s">
        <v>2704</v>
      </c>
      <c r="X1462" t="s">
        <v>2704</v>
      </c>
      <c r="AI1462">
        <v>1</v>
      </c>
      <c r="AL1462" t="s">
        <v>2705</v>
      </c>
      <c r="AN1462" t="s">
        <v>31</v>
      </c>
      <c r="AO1462">
        <v>0</v>
      </c>
      <c r="AS1462" t="s">
        <v>461</v>
      </c>
      <c r="AX1462" t="s">
        <v>31</v>
      </c>
      <c r="AY1462" t="s">
        <v>442</v>
      </c>
      <c r="AZ1462" t="s">
        <v>2706</v>
      </c>
      <c r="BF1462">
        <v>0</v>
      </c>
      <c r="BK1462" t="s">
        <v>31</v>
      </c>
      <c r="BS1462" t="s">
        <v>412</v>
      </c>
      <c r="BT1462" t="s">
        <v>412</v>
      </c>
      <c r="CI1462" t="s">
        <v>388</v>
      </c>
      <c r="CJ1462" s="14">
        <v>45014</v>
      </c>
      <c r="CK1462">
        <v>1</v>
      </c>
    </row>
    <row r="1463" spans="1:89">
      <c r="A1463" t="s">
        <v>2700</v>
      </c>
      <c r="B1463" t="s">
        <v>374</v>
      </c>
      <c r="C1463" t="s">
        <v>2701</v>
      </c>
      <c r="D1463" t="s">
        <v>2707</v>
      </c>
      <c r="E1463" t="s">
        <v>2708</v>
      </c>
      <c r="F1463" s="13">
        <v>44619.832939814813</v>
      </c>
      <c r="G1463" t="s">
        <v>1526</v>
      </c>
      <c r="H1463" t="s">
        <v>1527</v>
      </c>
      <c r="I1463" s="13">
        <v>44619.833854166667</v>
      </c>
      <c r="K1463" t="s">
        <v>412</v>
      </c>
      <c r="R1463">
        <v>0</v>
      </c>
      <c r="S1463" t="s">
        <v>380</v>
      </c>
      <c r="T1463" t="s">
        <v>57</v>
      </c>
      <c r="V1463" t="s">
        <v>381</v>
      </c>
      <c r="W1463" t="s">
        <v>2704</v>
      </c>
      <c r="X1463" t="s">
        <v>2704</v>
      </c>
      <c r="AI1463">
        <v>2</v>
      </c>
      <c r="AL1463" t="s">
        <v>2709</v>
      </c>
      <c r="AN1463" t="s">
        <v>31</v>
      </c>
      <c r="AO1463">
        <v>0</v>
      </c>
      <c r="AS1463" t="s">
        <v>385</v>
      </c>
      <c r="AX1463" t="s">
        <v>31</v>
      </c>
      <c r="AY1463" t="s">
        <v>442</v>
      </c>
      <c r="AZ1463" t="s">
        <v>2710</v>
      </c>
      <c r="BF1463">
        <v>0</v>
      </c>
      <c r="BK1463" t="s">
        <v>31</v>
      </c>
      <c r="BS1463" t="s">
        <v>412</v>
      </c>
      <c r="BT1463" t="s">
        <v>412</v>
      </c>
      <c r="CI1463" t="s">
        <v>388</v>
      </c>
      <c r="CJ1463" s="14">
        <v>45014</v>
      </c>
      <c r="CK1463">
        <v>1</v>
      </c>
    </row>
    <row r="1464" spans="1:89">
      <c r="A1464" t="s">
        <v>2700</v>
      </c>
      <c r="B1464" t="s">
        <v>374</v>
      </c>
      <c r="C1464" t="s">
        <v>2701</v>
      </c>
      <c r="D1464" t="s">
        <v>2711</v>
      </c>
      <c r="E1464" t="s">
        <v>2712</v>
      </c>
      <c r="F1464" s="13">
        <v>44619.825590277775</v>
      </c>
      <c r="G1464" t="s">
        <v>1526</v>
      </c>
      <c r="H1464" t="s">
        <v>1527</v>
      </c>
      <c r="I1464" s="13">
        <v>44619.826145833336</v>
      </c>
      <c r="K1464" t="s">
        <v>412</v>
      </c>
      <c r="R1464">
        <v>0</v>
      </c>
      <c r="S1464" t="s">
        <v>380</v>
      </c>
      <c r="T1464" t="s">
        <v>57</v>
      </c>
      <c r="V1464" t="s">
        <v>381</v>
      </c>
      <c r="W1464" t="s">
        <v>2704</v>
      </c>
      <c r="X1464" t="s">
        <v>2704</v>
      </c>
      <c r="AI1464">
        <v>2</v>
      </c>
      <c r="AL1464" t="s">
        <v>2713</v>
      </c>
      <c r="AN1464" t="s">
        <v>31</v>
      </c>
      <c r="AO1464">
        <v>0</v>
      </c>
      <c r="AS1464" t="s">
        <v>522</v>
      </c>
      <c r="AX1464" t="s">
        <v>31</v>
      </c>
      <c r="AY1464" t="s">
        <v>442</v>
      </c>
      <c r="AZ1464" t="s">
        <v>2714</v>
      </c>
      <c r="BF1464">
        <v>0</v>
      </c>
      <c r="BK1464" t="s">
        <v>31</v>
      </c>
      <c r="BS1464" t="s">
        <v>412</v>
      </c>
      <c r="BT1464" t="s">
        <v>412</v>
      </c>
      <c r="CI1464" t="s">
        <v>388</v>
      </c>
      <c r="CJ1464" s="14">
        <v>45014</v>
      </c>
      <c r="CK1464">
        <v>1</v>
      </c>
    </row>
    <row r="1465" spans="1:89">
      <c r="A1465" t="s">
        <v>2700</v>
      </c>
      <c r="B1465" t="s">
        <v>374</v>
      </c>
      <c r="C1465" t="s">
        <v>2701</v>
      </c>
      <c r="D1465" t="s">
        <v>2715</v>
      </c>
      <c r="E1465" t="s">
        <v>2716</v>
      </c>
      <c r="F1465" s="13">
        <v>44619.818888888891</v>
      </c>
      <c r="G1465" t="s">
        <v>1526</v>
      </c>
      <c r="H1465" t="s">
        <v>1527</v>
      </c>
      <c r="I1465" s="13">
        <v>44619.819733796299</v>
      </c>
      <c r="K1465" t="s">
        <v>412</v>
      </c>
      <c r="R1465">
        <v>0</v>
      </c>
      <c r="S1465" t="s">
        <v>380</v>
      </c>
      <c r="T1465" t="s">
        <v>57</v>
      </c>
      <c r="V1465" t="s">
        <v>381</v>
      </c>
      <c r="W1465" t="s">
        <v>2704</v>
      </c>
      <c r="X1465" t="s">
        <v>2704</v>
      </c>
      <c r="AI1465">
        <v>29</v>
      </c>
      <c r="AL1465" t="s">
        <v>2717</v>
      </c>
      <c r="AN1465" t="s">
        <v>31</v>
      </c>
      <c r="AO1465">
        <v>0</v>
      </c>
      <c r="AS1465" t="s">
        <v>385</v>
      </c>
      <c r="AX1465" t="s">
        <v>31</v>
      </c>
      <c r="AY1465" t="s">
        <v>442</v>
      </c>
      <c r="AZ1465" t="s">
        <v>2718</v>
      </c>
      <c r="BF1465">
        <v>0</v>
      </c>
      <c r="BK1465" t="s">
        <v>31</v>
      </c>
      <c r="BS1465" t="s">
        <v>412</v>
      </c>
      <c r="BT1465" t="s">
        <v>412</v>
      </c>
      <c r="CI1465" t="s">
        <v>388</v>
      </c>
      <c r="CJ1465" s="14">
        <v>45014</v>
      </c>
      <c r="CK1465">
        <v>1</v>
      </c>
    </row>
    <row r="1466" spans="1:89">
      <c r="A1466" t="s">
        <v>2700</v>
      </c>
      <c r="B1466" t="s">
        <v>374</v>
      </c>
      <c r="C1466" t="s">
        <v>2701</v>
      </c>
      <c r="D1466" t="s">
        <v>2719</v>
      </c>
      <c r="E1466" t="s">
        <v>2720</v>
      </c>
      <c r="F1466" s="13">
        <v>44619.785949074074</v>
      </c>
      <c r="G1466" t="s">
        <v>1526</v>
      </c>
      <c r="H1466" t="s">
        <v>1527</v>
      </c>
      <c r="I1466" s="13">
        <v>44619.788599537038</v>
      </c>
      <c r="K1466" t="s">
        <v>412</v>
      </c>
      <c r="R1466">
        <v>0</v>
      </c>
      <c r="S1466" t="s">
        <v>380</v>
      </c>
      <c r="T1466" t="s">
        <v>57</v>
      </c>
      <c r="V1466" t="s">
        <v>381</v>
      </c>
      <c r="W1466" t="s">
        <v>2721</v>
      </c>
      <c r="X1466" t="s">
        <v>2721</v>
      </c>
      <c r="AI1466">
        <v>47</v>
      </c>
      <c r="AL1466" t="s">
        <v>2722</v>
      </c>
      <c r="AN1466" t="s">
        <v>31</v>
      </c>
      <c r="AO1466">
        <v>0</v>
      </c>
      <c r="AS1466" t="s">
        <v>385</v>
      </c>
      <c r="AX1466" t="s">
        <v>31</v>
      </c>
      <c r="AY1466" t="s">
        <v>386</v>
      </c>
      <c r="AZ1466" t="s">
        <v>2723</v>
      </c>
      <c r="BE1466" t="s">
        <v>2724</v>
      </c>
      <c r="BF1466">
        <v>0</v>
      </c>
      <c r="BK1466" t="s">
        <v>31</v>
      </c>
      <c r="BS1466" t="s">
        <v>412</v>
      </c>
      <c r="BT1466" t="s">
        <v>412</v>
      </c>
      <c r="CI1466" t="s">
        <v>388</v>
      </c>
      <c r="CJ1466" s="14">
        <v>45014</v>
      </c>
      <c r="CK1466">
        <v>1</v>
      </c>
    </row>
    <row r="1467" spans="1:89">
      <c r="A1467" t="s">
        <v>2725</v>
      </c>
      <c r="B1467" t="s">
        <v>374</v>
      </c>
      <c r="C1467" t="s">
        <v>2726</v>
      </c>
      <c r="D1467" t="s">
        <v>2727</v>
      </c>
      <c r="E1467" t="s">
        <v>2728</v>
      </c>
      <c r="F1467" s="13">
        <v>44618.468761574077</v>
      </c>
      <c r="G1467" t="s">
        <v>2729</v>
      </c>
      <c r="H1467" t="s">
        <v>2730</v>
      </c>
      <c r="I1467" s="13">
        <v>45012.044027777774</v>
      </c>
      <c r="K1467" t="s">
        <v>415</v>
      </c>
      <c r="M1467" s="13">
        <v>44926</v>
      </c>
      <c r="R1467">
        <v>0</v>
      </c>
      <c r="S1467" t="s">
        <v>380</v>
      </c>
      <c r="T1467" t="s">
        <v>57</v>
      </c>
      <c r="V1467" t="s">
        <v>478</v>
      </c>
      <c r="W1467" t="s">
        <v>2731</v>
      </c>
      <c r="X1467" t="s">
        <v>2731</v>
      </c>
      <c r="AF1467" t="s">
        <v>451</v>
      </c>
      <c r="AI1467">
        <v>-86</v>
      </c>
      <c r="AL1467" t="s">
        <v>2732</v>
      </c>
      <c r="AN1467" t="s">
        <v>31</v>
      </c>
      <c r="AO1467">
        <v>0</v>
      </c>
      <c r="AS1467" t="s">
        <v>392</v>
      </c>
      <c r="AX1467" t="s">
        <v>57</v>
      </c>
      <c r="AY1467" t="s">
        <v>386</v>
      </c>
      <c r="AZ1467" t="s">
        <v>2733</v>
      </c>
      <c r="BE1467">
        <v>6</v>
      </c>
      <c r="BF1467">
        <v>0</v>
      </c>
      <c r="BK1467" t="s">
        <v>31</v>
      </c>
      <c r="BS1467" t="s">
        <v>419</v>
      </c>
      <c r="BT1467" t="s">
        <v>419</v>
      </c>
      <c r="CI1467" t="s">
        <v>388</v>
      </c>
      <c r="CJ1467" s="14">
        <v>45014</v>
      </c>
      <c r="CK1467">
        <v>1</v>
      </c>
    </row>
    <row r="1468" spans="1:89">
      <c r="A1468" t="s">
        <v>2725</v>
      </c>
      <c r="B1468" t="s">
        <v>374</v>
      </c>
      <c r="C1468" t="s">
        <v>2726</v>
      </c>
      <c r="D1468" t="s">
        <v>2734</v>
      </c>
      <c r="E1468" t="s">
        <v>2735</v>
      </c>
      <c r="F1468" s="13">
        <v>44618.457881944443</v>
      </c>
      <c r="G1468" t="s">
        <v>2729</v>
      </c>
      <c r="H1468" t="s">
        <v>2730</v>
      </c>
      <c r="I1468" s="13">
        <v>45012.044027777774</v>
      </c>
      <c r="K1468" t="s">
        <v>415</v>
      </c>
      <c r="M1468" s="13">
        <v>44651</v>
      </c>
      <c r="R1468">
        <v>0</v>
      </c>
      <c r="S1468" t="s">
        <v>380</v>
      </c>
      <c r="T1468" t="s">
        <v>57</v>
      </c>
      <c r="V1468" t="s">
        <v>478</v>
      </c>
      <c r="W1468" t="s">
        <v>2731</v>
      </c>
      <c r="X1468" t="s">
        <v>2731</v>
      </c>
      <c r="Y1468" t="s">
        <v>480</v>
      </c>
      <c r="AE1468" t="s">
        <v>2736</v>
      </c>
      <c r="AF1468" t="s">
        <v>451</v>
      </c>
      <c r="AG1468" t="s">
        <v>2737</v>
      </c>
      <c r="AI1468">
        <v>-361</v>
      </c>
      <c r="AL1468" t="s">
        <v>2738</v>
      </c>
      <c r="AN1468" t="s">
        <v>31</v>
      </c>
      <c r="AO1468">
        <v>0</v>
      </c>
      <c r="AS1468" t="s">
        <v>385</v>
      </c>
      <c r="AT1468" t="s">
        <v>57</v>
      </c>
      <c r="AV1468" s="13">
        <v>44741</v>
      </c>
      <c r="AX1468" t="s">
        <v>57</v>
      </c>
      <c r="AY1468" t="s">
        <v>386</v>
      </c>
      <c r="AZ1468" t="s">
        <v>2739</v>
      </c>
      <c r="BE1468">
        <v>5</v>
      </c>
      <c r="BF1468">
        <v>0</v>
      </c>
      <c r="BK1468" t="s">
        <v>31</v>
      </c>
      <c r="BS1468" t="s">
        <v>484</v>
      </c>
      <c r="BT1468" t="s">
        <v>484</v>
      </c>
      <c r="CI1468" t="s">
        <v>388</v>
      </c>
      <c r="CJ1468" s="14">
        <v>45014</v>
      </c>
      <c r="CK1468">
        <v>1</v>
      </c>
    </row>
    <row r="1469" spans="1:89">
      <c r="A1469" t="s">
        <v>2740</v>
      </c>
      <c r="B1469" t="s">
        <v>374</v>
      </c>
      <c r="C1469" t="s">
        <v>2741</v>
      </c>
      <c r="D1469" t="s">
        <v>2742</v>
      </c>
      <c r="E1469" t="s">
        <v>2743</v>
      </c>
      <c r="F1469" s="13">
        <v>44618.449733796297</v>
      </c>
      <c r="G1469" t="s">
        <v>2729</v>
      </c>
      <c r="H1469" t="s">
        <v>2730</v>
      </c>
      <c r="I1469" s="13">
        <v>45012.044016203705</v>
      </c>
      <c r="K1469" t="s">
        <v>415</v>
      </c>
      <c r="M1469" s="13">
        <v>44651</v>
      </c>
      <c r="R1469">
        <v>0</v>
      </c>
      <c r="S1469" t="s">
        <v>380</v>
      </c>
      <c r="T1469" t="s">
        <v>57</v>
      </c>
      <c r="V1469" t="s">
        <v>478</v>
      </c>
      <c r="W1469" t="s">
        <v>2731</v>
      </c>
      <c r="X1469" t="s">
        <v>2731</v>
      </c>
      <c r="Y1469" t="s">
        <v>480</v>
      </c>
      <c r="AE1469" t="s">
        <v>2736</v>
      </c>
      <c r="AF1469" t="s">
        <v>451</v>
      </c>
      <c r="AG1469" t="s">
        <v>2737</v>
      </c>
      <c r="AI1469">
        <v>-361</v>
      </c>
      <c r="AL1469" t="s">
        <v>2744</v>
      </c>
      <c r="AN1469" t="s">
        <v>31</v>
      </c>
      <c r="AO1469">
        <v>0</v>
      </c>
      <c r="AS1469" t="s">
        <v>385</v>
      </c>
      <c r="AT1469" t="s">
        <v>57</v>
      </c>
      <c r="AV1469" s="13">
        <v>44741</v>
      </c>
      <c r="AX1469" t="s">
        <v>57</v>
      </c>
      <c r="AY1469" t="s">
        <v>386</v>
      </c>
      <c r="AZ1469" t="s">
        <v>2745</v>
      </c>
      <c r="BE1469">
        <v>4</v>
      </c>
      <c r="BF1469">
        <v>0</v>
      </c>
      <c r="BK1469" t="s">
        <v>31</v>
      </c>
      <c r="BS1469" t="s">
        <v>484</v>
      </c>
      <c r="BT1469" t="s">
        <v>484</v>
      </c>
      <c r="CI1469" t="s">
        <v>388</v>
      </c>
      <c r="CJ1469" s="14">
        <v>45014</v>
      </c>
      <c r="CK1469">
        <v>1</v>
      </c>
    </row>
    <row r="1470" spans="1:89">
      <c r="A1470" t="s">
        <v>2746</v>
      </c>
      <c r="B1470" t="s">
        <v>374</v>
      </c>
      <c r="C1470" t="s">
        <v>2747</v>
      </c>
      <c r="D1470" t="s">
        <v>2748</v>
      </c>
      <c r="E1470" t="s">
        <v>2749</v>
      </c>
      <c r="F1470" s="13">
        <v>44618.437916666669</v>
      </c>
      <c r="G1470" t="s">
        <v>2729</v>
      </c>
      <c r="H1470" t="s">
        <v>2730</v>
      </c>
      <c r="I1470" s="13">
        <v>45012.044016203705</v>
      </c>
      <c r="K1470" t="s">
        <v>415</v>
      </c>
      <c r="M1470" s="13">
        <v>44651</v>
      </c>
      <c r="R1470">
        <v>0</v>
      </c>
      <c r="S1470" t="s">
        <v>380</v>
      </c>
      <c r="T1470" t="s">
        <v>57</v>
      </c>
      <c r="V1470" t="s">
        <v>478</v>
      </c>
      <c r="W1470" t="s">
        <v>2731</v>
      </c>
      <c r="X1470" t="s">
        <v>2731</v>
      </c>
      <c r="Y1470" t="s">
        <v>480</v>
      </c>
      <c r="AE1470" t="s">
        <v>2750</v>
      </c>
      <c r="AF1470" t="s">
        <v>451</v>
      </c>
      <c r="AG1470" t="s">
        <v>2737</v>
      </c>
      <c r="AI1470">
        <v>-361</v>
      </c>
      <c r="AL1470" t="s">
        <v>2751</v>
      </c>
      <c r="AN1470" t="s">
        <v>31</v>
      </c>
      <c r="AO1470">
        <v>0</v>
      </c>
      <c r="AS1470" t="s">
        <v>385</v>
      </c>
      <c r="AT1470" t="s">
        <v>57</v>
      </c>
      <c r="AV1470" s="13">
        <v>44741</v>
      </c>
      <c r="AX1470" t="s">
        <v>57</v>
      </c>
      <c r="AY1470" t="s">
        <v>386</v>
      </c>
      <c r="AZ1470" t="s">
        <v>2752</v>
      </c>
      <c r="BE1470">
        <v>3</v>
      </c>
      <c r="BF1470">
        <v>0</v>
      </c>
      <c r="BK1470" t="s">
        <v>31</v>
      </c>
      <c r="BS1470" t="s">
        <v>484</v>
      </c>
      <c r="BT1470" t="s">
        <v>484</v>
      </c>
      <c r="CI1470" t="s">
        <v>388</v>
      </c>
      <c r="CJ1470" s="14">
        <v>45014</v>
      </c>
      <c r="CK1470">
        <v>1</v>
      </c>
    </row>
    <row r="1471" spans="1:89">
      <c r="A1471" t="s">
        <v>2753</v>
      </c>
      <c r="B1471" t="s">
        <v>374</v>
      </c>
      <c r="C1471" t="s">
        <v>2754</v>
      </c>
      <c r="D1471" t="s">
        <v>2755</v>
      </c>
      <c r="E1471" t="s">
        <v>2756</v>
      </c>
      <c r="F1471" s="13">
        <v>44618.431446759256</v>
      </c>
      <c r="G1471" t="s">
        <v>2729</v>
      </c>
      <c r="H1471" t="s">
        <v>2730</v>
      </c>
      <c r="I1471" s="13">
        <v>45012.044016203705</v>
      </c>
      <c r="K1471" t="s">
        <v>415</v>
      </c>
      <c r="M1471" s="13">
        <v>44651</v>
      </c>
      <c r="R1471">
        <v>0</v>
      </c>
      <c r="S1471" t="s">
        <v>380</v>
      </c>
      <c r="T1471" t="s">
        <v>57</v>
      </c>
      <c r="V1471" t="s">
        <v>478</v>
      </c>
      <c r="W1471" t="s">
        <v>2731</v>
      </c>
      <c r="X1471" t="s">
        <v>2731</v>
      </c>
      <c r="Y1471" t="s">
        <v>480</v>
      </c>
      <c r="AE1471" t="s">
        <v>2757</v>
      </c>
      <c r="AF1471" t="s">
        <v>451</v>
      </c>
      <c r="AG1471" t="s">
        <v>2758</v>
      </c>
      <c r="AI1471">
        <v>-361</v>
      </c>
      <c r="AL1471" t="s">
        <v>2759</v>
      </c>
      <c r="AN1471" t="s">
        <v>31</v>
      </c>
      <c r="AO1471">
        <v>0</v>
      </c>
      <c r="AS1471" t="s">
        <v>385</v>
      </c>
      <c r="AT1471" t="s">
        <v>57</v>
      </c>
      <c r="AV1471" s="13">
        <v>44741</v>
      </c>
      <c r="AX1471" t="s">
        <v>57</v>
      </c>
      <c r="AY1471" t="s">
        <v>386</v>
      </c>
      <c r="AZ1471" t="s">
        <v>2760</v>
      </c>
      <c r="BE1471">
        <v>2</v>
      </c>
      <c r="BF1471">
        <v>0</v>
      </c>
      <c r="BK1471" t="s">
        <v>31</v>
      </c>
      <c r="BS1471" t="s">
        <v>484</v>
      </c>
      <c r="BT1471" t="s">
        <v>484</v>
      </c>
      <c r="CI1471" t="s">
        <v>388</v>
      </c>
      <c r="CJ1471" s="14">
        <v>45014</v>
      </c>
      <c r="CK1471">
        <v>1</v>
      </c>
    </row>
    <row r="1472" spans="1:89">
      <c r="A1472" t="s">
        <v>2244</v>
      </c>
      <c r="B1472" t="s">
        <v>374</v>
      </c>
      <c r="C1472" t="s">
        <v>2245</v>
      </c>
      <c r="D1472" t="s">
        <v>2761</v>
      </c>
      <c r="E1472" t="s">
        <v>2466</v>
      </c>
      <c r="F1472" s="13">
        <v>44617.840937499997</v>
      </c>
      <c r="G1472" t="s">
        <v>2248</v>
      </c>
      <c r="H1472" t="s">
        <v>2249</v>
      </c>
      <c r="I1472" s="13">
        <v>45012.044004629628</v>
      </c>
      <c r="K1472" t="s">
        <v>415</v>
      </c>
      <c r="M1472" s="13">
        <v>44627</v>
      </c>
      <c r="R1472">
        <v>0</v>
      </c>
      <c r="S1472" t="s">
        <v>416</v>
      </c>
      <c r="T1472" t="s">
        <v>57</v>
      </c>
      <c r="V1472" t="s">
        <v>478</v>
      </c>
      <c r="W1472" t="s">
        <v>2762</v>
      </c>
      <c r="X1472" t="s">
        <v>2762</v>
      </c>
      <c r="Y1472" t="s">
        <v>480</v>
      </c>
      <c r="AF1472" t="s">
        <v>451</v>
      </c>
      <c r="AG1472" t="s">
        <v>2763</v>
      </c>
      <c r="AI1472">
        <v>-385</v>
      </c>
      <c r="AL1472" t="s">
        <v>2764</v>
      </c>
      <c r="AN1472" t="s">
        <v>31</v>
      </c>
      <c r="AO1472">
        <v>0</v>
      </c>
      <c r="AS1472" t="s">
        <v>385</v>
      </c>
      <c r="AT1472" t="s">
        <v>31</v>
      </c>
      <c r="AX1472" t="s">
        <v>31</v>
      </c>
      <c r="AY1472" t="s">
        <v>442</v>
      </c>
      <c r="AZ1472" t="s">
        <v>2765</v>
      </c>
      <c r="BF1472">
        <v>0</v>
      </c>
      <c r="BK1472" t="s">
        <v>31</v>
      </c>
      <c r="BS1472" t="s">
        <v>484</v>
      </c>
      <c r="BT1472" t="s">
        <v>484</v>
      </c>
      <c r="CI1472" t="s">
        <v>388</v>
      </c>
      <c r="CJ1472" s="14">
        <v>45014</v>
      </c>
      <c r="CK1472">
        <v>1</v>
      </c>
    </row>
    <row r="1473" spans="1:89">
      <c r="A1473" t="s">
        <v>2244</v>
      </c>
      <c r="B1473" t="s">
        <v>374</v>
      </c>
      <c r="C1473" t="s">
        <v>2245</v>
      </c>
      <c r="D1473" t="s">
        <v>2766</v>
      </c>
      <c r="E1473" t="s">
        <v>2767</v>
      </c>
      <c r="F1473" s="13">
        <v>44617.766712962963</v>
      </c>
      <c r="G1473" t="s">
        <v>2248</v>
      </c>
      <c r="H1473" t="s">
        <v>2249</v>
      </c>
      <c r="I1473" s="13">
        <v>45012.044004629628</v>
      </c>
      <c r="K1473" t="s">
        <v>415</v>
      </c>
      <c r="M1473" s="13">
        <v>44651</v>
      </c>
      <c r="R1473">
        <v>0</v>
      </c>
      <c r="S1473" t="s">
        <v>416</v>
      </c>
      <c r="T1473" t="s">
        <v>57</v>
      </c>
      <c r="V1473" t="s">
        <v>478</v>
      </c>
      <c r="W1473" t="s">
        <v>2768</v>
      </c>
      <c r="X1473" t="s">
        <v>2768</v>
      </c>
      <c r="AF1473" t="s">
        <v>451</v>
      </c>
      <c r="AI1473">
        <v>-361</v>
      </c>
      <c r="AL1473" t="s">
        <v>2769</v>
      </c>
      <c r="AN1473" t="s">
        <v>31</v>
      </c>
      <c r="AO1473">
        <v>0</v>
      </c>
      <c r="AS1473" t="s">
        <v>385</v>
      </c>
      <c r="AX1473" t="s">
        <v>31</v>
      </c>
      <c r="AY1473" t="s">
        <v>442</v>
      </c>
      <c r="AZ1473" t="s">
        <v>2770</v>
      </c>
      <c r="BF1473">
        <v>0</v>
      </c>
      <c r="BK1473" t="s">
        <v>31</v>
      </c>
      <c r="BS1473" t="s">
        <v>419</v>
      </c>
      <c r="BT1473" t="s">
        <v>419</v>
      </c>
      <c r="CI1473" t="s">
        <v>388</v>
      </c>
      <c r="CJ1473" s="14">
        <v>45014</v>
      </c>
      <c r="CK1473">
        <v>1</v>
      </c>
    </row>
    <row r="1474" spans="1:89">
      <c r="A1474" t="s">
        <v>2740</v>
      </c>
      <c r="B1474" t="s">
        <v>374</v>
      </c>
      <c r="C1474" t="s">
        <v>2741</v>
      </c>
      <c r="D1474" t="s">
        <v>2771</v>
      </c>
      <c r="E1474" t="s">
        <v>2772</v>
      </c>
      <c r="F1474" s="13">
        <v>44617.712245370371</v>
      </c>
      <c r="G1474" t="s">
        <v>2729</v>
      </c>
      <c r="H1474" t="s">
        <v>2730</v>
      </c>
      <c r="I1474" s="13">
        <v>45012.044004629628</v>
      </c>
      <c r="K1474" t="s">
        <v>415</v>
      </c>
      <c r="M1474" s="13">
        <v>44926</v>
      </c>
      <c r="R1474">
        <v>0</v>
      </c>
      <c r="S1474" t="s">
        <v>380</v>
      </c>
      <c r="T1474" t="s">
        <v>57</v>
      </c>
      <c r="V1474" t="s">
        <v>478</v>
      </c>
      <c r="W1474" t="s">
        <v>2731</v>
      </c>
      <c r="X1474" t="s">
        <v>2731</v>
      </c>
      <c r="AC1474" s="13">
        <v>45107</v>
      </c>
      <c r="AD1474" s="13">
        <v>44929</v>
      </c>
      <c r="AF1474" t="s">
        <v>451</v>
      </c>
      <c r="AI1474">
        <v>-86</v>
      </c>
      <c r="AL1474" t="s">
        <v>2773</v>
      </c>
      <c r="AN1474" t="s">
        <v>31</v>
      </c>
      <c r="AO1474">
        <v>0</v>
      </c>
      <c r="AS1474" t="s">
        <v>702</v>
      </c>
      <c r="AX1474" t="s">
        <v>57</v>
      </c>
      <c r="AY1474" t="s">
        <v>442</v>
      </c>
      <c r="AZ1474" t="s">
        <v>2774</v>
      </c>
      <c r="BE1474">
        <v>1</v>
      </c>
      <c r="BF1474">
        <v>0</v>
      </c>
      <c r="BK1474" t="s">
        <v>31</v>
      </c>
      <c r="BS1474" t="s">
        <v>419</v>
      </c>
      <c r="BT1474" t="s">
        <v>419</v>
      </c>
      <c r="CI1474" t="s">
        <v>388</v>
      </c>
      <c r="CJ1474" s="14">
        <v>45014</v>
      </c>
      <c r="CK1474">
        <v>1</v>
      </c>
    </row>
    <row r="1475" spans="1:89">
      <c r="A1475" t="s">
        <v>1655</v>
      </c>
      <c r="B1475" t="s">
        <v>374</v>
      </c>
      <c r="C1475" t="s">
        <v>1656</v>
      </c>
      <c r="D1475" t="s">
        <v>2775</v>
      </c>
      <c r="E1475" t="s">
        <v>2776</v>
      </c>
      <c r="F1475" s="13">
        <v>44617.710474537038</v>
      </c>
      <c r="G1475" t="s">
        <v>2777</v>
      </c>
      <c r="H1475" t="s">
        <v>2778</v>
      </c>
      <c r="I1475" s="13">
        <v>45012.043993055559</v>
      </c>
      <c r="K1475" t="s">
        <v>415</v>
      </c>
      <c r="M1475" s="13">
        <v>44712</v>
      </c>
      <c r="R1475">
        <v>0</v>
      </c>
      <c r="S1475" t="s">
        <v>380</v>
      </c>
      <c r="T1475" t="s">
        <v>57</v>
      </c>
      <c r="V1475" t="s">
        <v>478</v>
      </c>
      <c r="W1475" t="s">
        <v>2779</v>
      </c>
      <c r="X1475" t="s">
        <v>2779</v>
      </c>
      <c r="AF1475" t="s">
        <v>451</v>
      </c>
      <c r="AI1475">
        <v>-300</v>
      </c>
      <c r="AL1475" t="s">
        <v>2087</v>
      </c>
      <c r="AN1475" t="s">
        <v>31</v>
      </c>
      <c r="AO1475">
        <v>0</v>
      </c>
      <c r="AS1475" t="s">
        <v>385</v>
      </c>
      <c r="AX1475" t="s">
        <v>31</v>
      </c>
      <c r="AY1475" t="s">
        <v>442</v>
      </c>
      <c r="AZ1475" t="s">
        <v>2780</v>
      </c>
      <c r="BF1475">
        <v>0</v>
      </c>
      <c r="BK1475" t="s">
        <v>31</v>
      </c>
      <c r="BS1475" t="s">
        <v>419</v>
      </c>
      <c r="BT1475" t="s">
        <v>419</v>
      </c>
      <c r="CI1475" t="s">
        <v>388</v>
      </c>
      <c r="CJ1475" s="14">
        <v>45014</v>
      </c>
      <c r="CK1475">
        <v>1</v>
      </c>
    </row>
    <row r="1476" spans="1:89">
      <c r="A1476" t="s">
        <v>1655</v>
      </c>
      <c r="B1476" t="s">
        <v>374</v>
      </c>
      <c r="C1476" t="s">
        <v>1656</v>
      </c>
      <c r="D1476" t="s">
        <v>2781</v>
      </c>
      <c r="E1476" t="s">
        <v>2782</v>
      </c>
      <c r="F1476" s="13">
        <v>44617.708194444444</v>
      </c>
      <c r="G1476" t="s">
        <v>2777</v>
      </c>
      <c r="H1476" t="s">
        <v>2778</v>
      </c>
      <c r="I1476" s="13">
        <v>45012.043993055559</v>
      </c>
      <c r="K1476" t="s">
        <v>415</v>
      </c>
      <c r="M1476" s="13">
        <v>44650</v>
      </c>
      <c r="R1476">
        <v>0</v>
      </c>
      <c r="S1476" t="s">
        <v>380</v>
      </c>
      <c r="T1476" t="s">
        <v>57</v>
      </c>
      <c r="V1476" t="s">
        <v>478</v>
      </c>
      <c r="W1476" t="s">
        <v>2783</v>
      </c>
      <c r="X1476" t="s">
        <v>2783</v>
      </c>
      <c r="AF1476" t="s">
        <v>451</v>
      </c>
      <c r="AI1476">
        <v>-362</v>
      </c>
      <c r="AL1476" t="s">
        <v>2087</v>
      </c>
      <c r="AN1476" t="s">
        <v>31</v>
      </c>
      <c r="AO1476">
        <v>0</v>
      </c>
      <c r="AS1476" t="s">
        <v>538</v>
      </c>
      <c r="AX1476" t="s">
        <v>57</v>
      </c>
      <c r="AY1476" t="s">
        <v>442</v>
      </c>
      <c r="AZ1476" t="s">
        <v>2784</v>
      </c>
      <c r="BF1476">
        <v>0</v>
      </c>
      <c r="BK1476" t="s">
        <v>31</v>
      </c>
      <c r="BS1476" t="s">
        <v>419</v>
      </c>
      <c r="BT1476" t="s">
        <v>419</v>
      </c>
      <c r="CI1476" t="s">
        <v>388</v>
      </c>
      <c r="CJ1476" s="14">
        <v>45014</v>
      </c>
      <c r="CK1476">
        <v>1</v>
      </c>
    </row>
    <row r="1477" spans="1:89">
      <c r="A1477" t="s">
        <v>1655</v>
      </c>
      <c r="B1477" t="s">
        <v>374</v>
      </c>
      <c r="C1477" t="s">
        <v>1656</v>
      </c>
      <c r="D1477" t="s">
        <v>2785</v>
      </c>
      <c r="E1477" t="s">
        <v>2786</v>
      </c>
      <c r="F1477" s="13">
        <v>44617.664571759262</v>
      </c>
      <c r="G1477" t="s">
        <v>2777</v>
      </c>
      <c r="H1477" t="s">
        <v>2778</v>
      </c>
      <c r="I1477" s="13">
        <v>45012.043993055559</v>
      </c>
      <c r="K1477" t="s">
        <v>415</v>
      </c>
      <c r="M1477" s="13">
        <v>44651</v>
      </c>
      <c r="R1477">
        <v>0</v>
      </c>
      <c r="S1477" t="s">
        <v>380</v>
      </c>
      <c r="T1477" t="s">
        <v>57</v>
      </c>
      <c r="V1477" t="s">
        <v>478</v>
      </c>
      <c r="W1477" t="s">
        <v>2787</v>
      </c>
      <c r="X1477" t="s">
        <v>2787</v>
      </c>
      <c r="AC1477" s="13">
        <v>44651</v>
      </c>
      <c r="AD1477" s="13">
        <v>44621</v>
      </c>
      <c r="AF1477" t="s">
        <v>451</v>
      </c>
      <c r="AI1477">
        <v>-361</v>
      </c>
      <c r="AL1477" t="s">
        <v>2788</v>
      </c>
      <c r="AN1477" t="s">
        <v>31</v>
      </c>
      <c r="AO1477">
        <v>0</v>
      </c>
      <c r="AS1477" t="s">
        <v>707</v>
      </c>
      <c r="AX1477" t="s">
        <v>31</v>
      </c>
      <c r="AY1477" t="s">
        <v>386</v>
      </c>
      <c r="AZ1477" t="s">
        <v>2789</v>
      </c>
      <c r="BE1477" t="s">
        <v>1404</v>
      </c>
      <c r="BF1477">
        <v>0</v>
      </c>
      <c r="BK1477" t="s">
        <v>31</v>
      </c>
      <c r="BS1477" t="s">
        <v>419</v>
      </c>
      <c r="BT1477" t="s">
        <v>419</v>
      </c>
      <c r="CI1477" t="s">
        <v>388</v>
      </c>
      <c r="CJ1477" s="14">
        <v>45014</v>
      </c>
      <c r="CK1477">
        <v>1</v>
      </c>
    </row>
    <row r="1478" spans="1:89">
      <c r="A1478" t="s">
        <v>2244</v>
      </c>
      <c r="B1478" t="s">
        <v>374</v>
      </c>
      <c r="C1478" t="s">
        <v>2245</v>
      </c>
      <c r="D1478" t="s">
        <v>2790</v>
      </c>
      <c r="E1478" t="s">
        <v>2791</v>
      </c>
      <c r="F1478" s="13">
        <v>44617.660416666666</v>
      </c>
      <c r="G1478" t="s">
        <v>2248</v>
      </c>
      <c r="H1478" t="s">
        <v>2249</v>
      </c>
      <c r="I1478" s="13">
        <v>45012.043981481482</v>
      </c>
      <c r="K1478" t="s">
        <v>415</v>
      </c>
      <c r="M1478" s="13">
        <v>44651</v>
      </c>
      <c r="R1478">
        <v>20</v>
      </c>
      <c r="S1478" t="s">
        <v>416</v>
      </c>
      <c r="T1478" t="s">
        <v>57</v>
      </c>
      <c r="V1478" t="s">
        <v>478</v>
      </c>
      <c r="W1478" t="s">
        <v>2792</v>
      </c>
      <c r="X1478" t="s">
        <v>2792</v>
      </c>
      <c r="AF1478" t="s">
        <v>1301</v>
      </c>
      <c r="AG1478" t="s">
        <v>2793</v>
      </c>
      <c r="AI1478">
        <v>-361</v>
      </c>
      <c r="AJ1478" s="13">
        <v>44742</v>
      </c>
      <c r="AL1478" t="s">
        <v>2794</v>
      </c>
      <c r="AN1478" t="s">
        <v>31</v>
      </c>
      <c r="AO1478">
        <v>0</v>
      </c>
      <c r="AR1478" t="s">
        <v>2795</v>
      </c>
      <c r="AS1478" t="s">
        <v>385</v>
      </c>
      <c r="AX1478" t="s">
        <v>31</v>
      </c>
      <c r="AY1478" t="s">
        <v>442</v>
      </c>
      <c r="AZ1478" t="s">
        <v>2796</v>
      </c>
      <c r="BF1478">
        <v>0</v>
      </c>
      <c r="BK1478" t="s">
        <v>31</v>
      </c>
      <c r="BS1478" t="s">
        <v>419</v>
      </c>
      <c r="BT1478" t="s">
        <v>419</v>
      </c>
      <c r="CI1478" t="s">
        <v>388</v>
      </c>
      <c r="CJ1478" s="14">
        <v>45014</v>
      </c>
      <c r="CK1478">
        <v>1</v>
      </c>
    </row>
    <row r="1479" spans="1:89">
      <c r="A1479" t="s">
        <v>2797</v>
      </c>
      <c r="B1479" t="s">
        <v>374</v>
      </c>
      <c r="C1479" t="s">
        <v>2798</v>
      </c>
      <c r="D1479" t="s">
        <v>2799</v>
      </c>
      <c r="E1479" t="s">
        <v>2800</v>
      </c>
      <c r="F1479" s="13">
        <v>44617.6562037037</v>
      </c>
      <c r="G1479" t="s">
        <v>2801</v>
      </c>
      <c r="H1479" t="s">
        <v>2802</v>
      </c>
      <c r="I1479" s="13">
        <v>45012.043981481482</v>
      </c>
      <c r="K1479" t="s">
        <v>415</v>
      </c>
      <c r="M1479" s="13">
        <v>44651</v>
      </c>
      <c r="R1479">
        <v>0</v>
      </c>
      <c r="S1479" t="s">
        <v>380</v>
      </c>
      <c r="T1479" t="s">
        <v>57</v>
      </c>
      <c r="V1479" t="s">
        <v>478</v>
      </c>
      <c r="W1479" t="s">
        <v>2803</v>
      </c>
      <c r="X1479" t="s">
        <v>2803</v>
      </c>
      <c r="AC1479" s="13">
        <v>44561</v>
      </c>
      <c r="AD1479" s="13">
        <v>44561</v>
      </c>
      <c r="AF1479" t="s">
        <v>451</v>
      </c>
      <c r="AI1479">
        <v>-361</v>
      </c>
      <c r="AL1479" t="s">
        <v>2804</v>
      </c>
      <c r="AN1479" t="s">
        <v>31</v>
      </c>
      <c r="AO1479">
        <v>0</v>
      </c>
      <c r="AS1479" t="s">
        <v>385</v>
      </c>
      <c r="AX1479" t="s">
        <v>31</v>
      </c>
      <c r="AY1479" t="s">
        <v>442</v>
      </c>
      <c r="AZ1479" t="s">
        <v>2805</v>
      </c>
      <c r="BF1479">
        <v>0</v>
      </c>
      <c r="BK1479" t="s">
        <v>31</v>
      </c>
      <c r="BS1479" t="s">
        <v>419</v>
      </c>
      <c r="BT1479" t="s">
        <v>419</v>
      </c>
      <c r="CI1479" t="s">
        <v>388</v>
      </c>
      <c r="CJ1479" s="14">
        <v>45014</v>
      </c>
      <c r="CK1479">
        <v>1</v>
      </c>
    </row>
    <row r="1480" spans="1:89">
      <c r="A1480" t="s">
        <v>2797</v>
      </c>
      <c r="B1480" t="s">
        <v>374</v>
      </c>
      <c r="C1480" t="s">
        <v>2798</v>
      </c>
      <c r="D1480" t="s">
        <v>2806</v>
      </c>
      <c r="E1480" t="s">
        <v>2807</v>
      </c>
      <c r="F1480" s="13">
        <v>44617.647881944446</v>
      </c>
      <c r="G1480" t="s">
        <v>2801</v>
      </c>
      <c r="H1480" t="s">
        <v>2802</v>
      </c>
      <c r="I1480" s="13">
        <v>45012.043981481482</v>
      </c>
      <c r="K1480" t="s">
        <v>415</v>
      </c>
      <c r="M1480" s="13">
        <v>44651</v>
      </c>
      <c r="R1480">
        <v>0</v>
      </c>
      <c r="S1480" t="s">
        <v>380</v>
      </c>
      <c r="T1480" t="s">
        <v>57</v>
      </c>
      <c r="V1480" t="s">
        <v>478</v>
      </c>
      <c r="W1480" t="s">
        <v>2808</v>
      </c>
      <c r="X1480" t="s">
        <v>2808</v>
      </c>
      <c r="AC1480" s="13">
        <v>44561</v>
      </c>
      <c r="AD1480" s="13">
        <v>44561</v>
      </c>
      <c r="AF1480" t="s">
        <v>451</v>
      </c>
      <c r="AI1480">
        <v>-361</v>
      </c>
      <c r="AL1480" t="s">
        <v>2809</v>
      </c>
      <c r="AN1480" t="s">
        <v>31</v>
      </c>
      <c r="AO1480">
        <v>0</v>
      </c>
      <c r="AS1480" t="s">
        <v>385</v>
      </c>
      <c r="AX1480" t="s">
        <v>31</v>
      </c>
      <c r="AY1480" t="s">
        <v>442</v>
      </c>
      <c r="AZ1480" t="s">
        <v>2810</v>
      </c>
      <c r="BF1480">
        <v>0</v>
      </c>
      <c r="BK1480" t="s">
        <v>31</v>
      </c>
      <c r="BS1480" t="s">
        <v>419</v>
      </c>
      <c r="BT1480" t="s">
        <v>419</v>
      </c>
      <c r="CI1480" t="s">
        <v>388</v>
      </c>
      <c r="CJ1480" s="14">
        <v>45014</v>
      </c>
      <c r="CK1480">
        <v>1</v>
      </c>
    </row>
    <row r="1481" spans="1:89">
      <c r="A1481" t="s">
        <v>2797</v>
      </c>
      <c r="B1481" t="s">
        <v>374</v>
      </c>
      <c r="C1481" t="s">
        <v>2798</v>
      </c>
      <c r="D1481" t="s">
        <v>2811</v>
      </c>
      <c r="E1481" t="s">
        <v>2812</v>
      </c>
      <c r="F1481" s="13">
        <v>44617.639062499999</v>
      </c>
      <c r="G1481" t="s">
        <v>2801</v>
      </c>
      <c r="H1481" t="s">
        <v>2802</v>
      </c>
      <c r="I1481" s="13">
        <v>45012.043969907405</v>
      </c>
      <c r="K1481" t="s">
        <v>415</v>
      </c>
      <c r="M1481" s="13">
        <v>44651</v>
      </c>
      <c r="R1481">
        <v>0</v>
      </c>
      <c r="S1481" t="s">
        <v>380</v>
      </c>
      <c r="T1481" t="s">
        <v>57</v>
      </c>
      <c r="V1481" t="s">
        <v>478</v>
      </c>
      <c r="W1481" t="s">
        <v>2808</v>
      </c>
      <c r="X1481" t="s">
        <v>2808</v>
      </c>
      <c r="AC1481" s="13">
        <v>44561</v>
      </c>
      <c r="AD1481" s="13">
        <v>44561</v>
      </c>
      <c r="AF1481" t="s">
        <v>451</v>
      </c>
      <c r="AI1481">
        <v>-361</v>
      </c>
      <c r="AL1481" t="s">
        <v>2813</v>
      </c>
      <c r="AN1481" t="s">
        <v>31</v>
      </c>
      <c r="AO1481">
        <v>0</v>
      </c>
      <c r="AS1481" t="s">
        <v>385</v>
      </c>
      <c r="AX1481" t="s">
        <v>31</v>
      </c>
      <c r="AY1481" t="s">
        <v>442</v>
      </c>
      <c r="AZ1481" t="s">
        <v>2814</v>
      </c>
      <c r="BF1481">
        <v>0</v>
      </c>
      <c r="BK1481" t="s">
        <v>31</v>
      </c>
      <c r="BS1481" t="s">
        <v>419</v>
      </c>
      <c r="BT1481" t="s">
        <v>419</v>
      </c>
      <c r="CI1481" t="s">
        <v>388</v>
      </c>
      <c r="CJ1481" s="14">
        <v>45014</v>
      </c>
      <c r="CK1481">
        <v>1</v>
      </c>
    </row>
    <row r="1482" spans="1:89">
      <c r="A1482" t="s">
        <v>2797</v>
      </c>
      <c r="B1482" t="s">
        <v>374</v>
      </c>
      <c r="C1482" t="s">
        <v>2798</v>
      </c>
      <c r="D1482" t="s">
        <v>2815</v>
      </c>
      <c r="E1482" t="s">
        <v>2816</v>
      </c>
      <c r="F1482" s="13">
        <v>44617.632407407407</v>
      </c>
      <c r="G1482" t="s">
        <v>2801</v>
      </c>
      <c r="H1482" t="s">
        <v>2802</v>
      </c>
      <c r="I1482" s="13">
        <v>45012.043969907405</v>
      </c>
      <c r="K1482" t="s">
        <v>415</v>
      </c>
      <c r="M1482" s="13">
        <v>44651</v>
      </c>
      <c r="R1482">
        <v>0</v>
      </c>
      <c r="S1482" t="s">
        <v>380</v>
      </c>
      <c r="T1482" t="s">
        <v>57</v>
      </c>
      <c r="V1482" t="s">
        <v>478</v>
      </c>
      <c r="W1482" t="s">
        <v>2817</v>
      </c>
      <c r="X1482" t="s">
        <v>2817</v>
      </c>
      <c r="AC1482" s="13">
        <v>44561</v>
      </c>
      <c r="AD1482" s="13">
        <v>44561</v>
      </c>
      <c r="AF1482" t="s">
        <v>451</v>
      </c>
      <c r="AI1482">
        <v>-361</v>
      </c>
      <c r="AL1482" t="s">
        <v>2818</v>
      </c>
      <c r="AN1482" t="s">
        <v>31</v>
      </c>
      <c r="AO1482">
        <v>0</v>
      </c>
      <c r="AS1482" t="s">
        <v>385</v>
      </c>
      <c r="AX1482" t="s">
        <v>31</v>
      </c>
      <c r="AY1482" t="s">
        <v>442</v>
      </c>
      <c r="AZ1482" t="s">
        <v>2819</v>
      </c>
      <c r="BF1482">
        <v>0</v>
      </c>
      <c r="BK1482" t="s">
        <v>31</v>
      </c>
      <c r="BS1482" t="s">
        <v>419</v>
      </c>
      <c r="BT1482" t="s">
        <v>419</v>
      </c>
      <c r="CI1482" t="s">
        <v>388</v>
      </c>
      <c r="CJ1482" s="14">
        <v>45014</v>
      </c>
      <c r="CK1482">
        <v>1</v>
      </c>
    </row>
    <row r="1483" spans="1:89">
      <c r="A1483" t="s">
        <v>1655</v>
      </c>
      <c r="B1483" t="s">
        <v>374</v>
      </c>
      <c r="C1483" t="s">
        <v>1656</v>
      </c>
      <c r="D1483" t="s">
        <v>2820</v>
      </c>
      <c r="E1483" t="s">
        <v>2821</v>
      </c>
      <c r="F1483" s="13">
        <v>44617.623391203706</v>
      </c>
      <c r="G1483" t="s">
        <v>2777</v>
      </c>
      <c r="H1483" t="s">
        <v>2778</v>
      </c>
      <c r="I1483" s="13">
        <v>45012.043969907405</v>
      </c>
      <c r="K1483" t="s">
        <v>415</v>
      </c>
      <c r="M1483" s="13">
        <v>44834</v>
      </c>
      <c r="R1483">
        <v>0</v>
      </c>
      <c r="S1483" t="s">
        <v>380</v>
      </c>
      <c r="T1483" t="s">
        <v>57</v>
      </c>
      <c r="V1483" t="s">
        <v>478</v>
      </c>
      <c r="W1483" t="s">
        <v>2822</v>
      </c>
      <c r="X1483" t="s">
        <v>2822</v>
      </c>
      <c r="AC1483" s="13">
        <v>44834</v>
      </c>
      <c r="AD1483" s="13">
        <v>44742</v>
      </c>
      <c r="AF1483" t="s">
        <v>451</v>
      </c>
      <c r="AI1483">
        <v>-178</v>
      </c>
      <c r="AL1483" t="s">
        <v>2823</v>
      </c>
      <c r="AN1483" t="s">
        <v>31</v>
      </c>
      <c r="AO1483">
        <v>0</v>
      </c>
      <c r="AS1483" t="s">
        <v>392</v>
      </c>
      <c r="AX1483" t="s">
        <v>31</v>
      </c>
      <c r="AY1483" t="s">
        <v>442</v>
      </c>
      <c r="AZ1483" t="s">
        <v>2824</v>
      </c>
      <c r="BE1483" t="s">
        <v>2825</v>
      </c>
      <c r="BF1483">
        <v>0</v>
      </c>
      <c r="BK1483" t="s">
        <v>31</v>
      </c>
      <c r="BS1483" t="s">
        <v>419</v>
      </c>
      <c r="BT1483" t="s">
        <v>419</v>
      </c>
      <c r="CI1483" t="s">
        <v>388</v>
      </c>
      <c r="CJ1483" s="14">
        <v>45014</v>
      </c>
      <c r="CK1483">
        <v>1</v>
      </c>
    </row>
    <row r="1484" spans="1:89">
      <c r="A1484" t="s">
        <v>2797</v>
      </c>
      <c r="B1484" t="s">
        <v>374</v>
      </c>
      <c r="C1484" t="s">
        <v>2798</v>
      </c>
      <c r="D1484" t="s">
        <v>2826</v>
      </c>
      <c r="E1484" t="s">
        <v>2827</v>
      </c>
      <c r="F1484" s="13">
        <v>44617.622337962966</v>
      </c>
      <c r="G1484" t="s">
        <v>2801</v>
      </c>
      <c r="H1484" t="s">
        <v>2802</v>
      </c>
      <c r="I1484" s="13">
        <v>45012.043958333335</v>
      </c>
      <c r="K1484" t="s">
        <v>415</v>
      </c>
      <c r="M1484" s="13">
        <v>44651</v>
      </c>
      <c r="R1484">
        <v>0</v>
      </c>
      <c r="S1484" t="s">
        <v>380</v>
      </c>
      <c r="T1484" t="s">
        <v>57</v>
      </c>
      <c r="V1484" t="s">
        <v>478</v>
      </c>
      <c r="W1484" t="s">
        <v>2828</v>
      </c>
      <c r="X1484" t="s">
        <v>2828</v>
      </c>
      <c r="AC1484" s="13">
        <v>44561</v>
      </c>
      <c r="AD1484" s="13">
        <v>44561</v>
      </c>
      <c r="AF1484" t="s">
        <v>451</v>
      </c>
      <c r="AI1484">
        <v>-361</v>
      </c>
      <c r="AL1484" t="s">
        <v>2829</v>
      </c>
      <c r="AN1484" t="s">
        <v>31</v>
      </c>
      <c r="AO1484">
        <v>0</v>
      </c>
      <c r="AS1484" t="s">
        <v>538</v>
      </c>
      <c r="AX1484" t="s">
        <v>31</v>
      </c>
      <c r="AY1484" t="s">
        <v>442</v>
      </c>
      <c r="AZ1484" t="s">
        <v>2830</v>
      </c>
      <c r="BF1484">
        <v>0</v>
      </c>
      <c r="BK1484" t="s">
        <v>31</v>
      </c>
      <c r="BS1484" t="s">
        <v>419</v>
      </c>
      <c r="BT1484" t="s">
        <v>419</v>
      </c>
      <c r="CI1484" t="s">
        <v>388</v>
      </c>
      <c r="CJ1484" s="14">
        <v>45014</v>
      </c>
      <c r="CK1484">
        <v>1</v>
      </c>
    </row>
    <row r="1485" spans="1:89">
      <c r="A1485" t="s">
        <v>2797</v>
      </c>
      <c r="B1485" t="s">
        <v>374</v>
      </c>
      <c r="C1485" t="s">
        <v>2798</v>
      </c>
      <c r="D1485" t="s">
        <v>2831</v>
      </c>
      <c r="E1485" t="s">
        <v>2832</v>
      </c>
      <c r="F1485" s="13">
        <v>44617.600289351853</v>
      </c>
      <c r="G1485" t="s">
        <v>2801</v>
      </c>
      <c r="H1485" t="s">
        <v>2802</v>
      </c>
      <c r="I1485" s="13">
        <v>45012.043958333335</v>
      </c>
      <c r="K1485" t="s">
        <v>415</v>
      </c>
      <c r="M1485" s="13">
        <v>44651</v>
      </c>
      <c r="R1485">
        <v>0</v>
      </c>
      <c r="S1485" t="s">
        <v>380</v>
      </c>
      <c r="T1485" t="s">
        <v>57</v>
      </c>
      <c r="V1485" t="s">
        <v>478</v>
      </c>
      <c r="W1485" t="s">
        <v>2828</v>
      </c>
      <c r="X1485" t="s">
        <v>2828</v>
      </c>
      <c r="AC1485" s="13">
        <v>44561</v>
      </c>
      <c r="AD1485" s="13">
        <v>44561</v>
      </c>
      <c r="AF1485" t="s">
        <v>451</v>
      </c>
      <c r="AI1485">
        <v>-361</v>
      </c>
      <c r="AL1485" t="s">
        <v>2833</v>
      </c>
      <c r="AN1485" t="s">
        <v>31</v>
      </c>
      <c r="AO1485">
        <v>0</v>
      </c>
      <c r="AS1485" t="s">
        <v>526</v>
      </c>
      <c r="AX1485" t="s">
        <v>31</v>
      </c>
      <c r="AY1485" t="s">
        <v>442</v>
      </c>
      <c r="AZ1485" t="s">
        <v>2834</v>
      </c>
      <c r="BF1485">
        <v>0</v>
      </c>
      <c r="BK1485" t="s">
        <v>31</v>
      </c>
      <c r="BS1485" t="s">
        <v>419</v>
      </c>
      <c r="BT1485" t="s">
        <v>419</v>
      </c>
      <c r="CI1485" t="s">
        <v>388</v>
      </c>
      <c r="CJ1485" s="14">
        <v>45014</v>
      </c>
      <c r="CK1485">
        <v>1</v>
      </c>
    </row>
    <row r="1486" spans="1:89">
      <c r="A1486" t="s">
        <v>2835</v>
      </c>
      <c r="B1486" t="s">
        <v>374</v>
      </c>
      <c r="C1486" t="s">
        <v>2836</v>
      </c>
      <c r="D1486" t="s">
        <v>2837</v>
      </c>
      <c r="E1486" t="s">
        <v>2838</v>
      </c>
      <c r="F1486" s="13">
        <v>44617.594618055555</v>
      </c>
      <c r="G1486" t="s">
        <v>2346</v>
      </c>
      <c r="H1486" t="s">
        <v>2347</v>
      </c>
      <c r="I1486" s="13">
        <v>45012.043958333335</v>
      </c>
      <c r="K1486" t="s">
        <v>415</v>
      </c>
      <c r="M1486" s="13">
        <v>44712</v>
      </c>
      <c r="R1486">
        <v>0</v>
      </c>
      <c r="S1486" t="s">
        <v>380</v>
      </c>
      <c r="T1486" t="s">
        <v>57</v>
      </c>
      <c r="V1486" t="s">
        <v>478</v>
      </c>
      <c r="W1486" t="s">
        <v>2839</v>
      </c>
      <c r="X1486" t="s">
        <v>2839</v>
      </c>
      <c r="AC1486" s="13">
        <v>44804</v>
      </c>
      <c r="AD1486" s="13">
        <v>44713</v>
      </c>
      <c r="AF1486" t="s">
        <v>451</v>
      </c>
      <c r="AI1486">
        <v>-300</v>
      </c>
      <c r="AL1486" t="s">
        <v>2840</v>
      </c>
      <c r="AN1486" t="s">
        <v>31</v>
      </c>
      <c r="AO1486">
        <v>0</v>
      </c>
      <c r="AS1486" t="s">
        <v>538</v>
      </c>
      <c r="AX1486" t="s">
        <v>57</v>
      </c>
      <c r="AY1486" t="s">
        <v>442</v>
      </c>
      <c r="AZ1486" t="s">
        <v>2841</v>
      </c>
      <c r="BE1486">
        <v>1</v>
      </c>
      <c r="BF1486">
        <v>0</v>
      </c>
      <c r="BK1486" t="s">
        <v>31</v>
      </c>
      <c r="BS1486" t="s">
        <v>419</v>
      </c>
      <c r="BT1486" t="s">
        <v>419</v>
      </c>
      <c r="CI1486" t="s">
        <v>388</v>
      </c>
      <c r="CJ1486" s="14">
        <v>45014</v>
      </c>
      <c r="CK1486">
        <v>1</v>
      </c>
    </row>
    <row r="1487" spans="1:89">
      <c r="A1487" t="s">
        <v>2565</v>
      </c>
      <c r="B1487" t="s">
        <v>374</v>
      </c>
      <c r="C1487" t="s">
        <v>2566</v>
      </c>
      <c r="D1487" t="s">
        <v>2842</v>
      </c>
      <c r="E1487" t="s">
        <v>2843</v>
      </c>
      <c r="F1487" s="13">
        <v>44617.567407407405</v>
      </c>
      <c r="G1487" t="s">
        <v>2149</v>
      </c>
      <c r="H1487" t="s">
        <v>2150</v>
      </c>
      <c r="I1487" s="13">
        <v>45012.043958333335</v>
      </c>
      <c r="K1487" t="s">
        <v>415</v>
      </c>
      <c r="M1487" s="13">
        <v>44644</v>
      </c>
      <c r="R1487">
        <v>0</v>
      </c>
      <c r="S1487" t="s">
        <v>380</v>
      </c>
      <c r="T1487" t="s">
        <v>57</v>
      </c>
      <c r="V1487" t="s">
        <v>478</v>
      </c>
      <c r="W1487" t="s">
        <v>2844</v>
      </c>
      <c r="X1487" t="s">
        <v>2844</v>
      </c>
      <c r="AC1487" s="13">
        <v>44200</v>
      </c>
      <c r="AD1487" s="13">
        <v>44197</v>
      </c>
      <c r="AF1487" t="s">
        <v>451</v>
      </c>
      <c r="AI1487">
        <v>-368</v>
      </c>
      <c r="AL1487" t="s">
        <v>2845</v>
      </c>
      <c r="AN1487" t="s">
        <v>31</v>
      </c>
      <c r="AO1487">
        <v>0</v>
      </c>
      <c r="AS1487" t="s">
        <v>385</v>
      </c>
      <c r="AX1487" t="s">
        <v>31</v>
      </c>
      <c r="AY1487" t="s">
        <v>442</v>
      </c>
      <c r="AZ1487" t="s">
        <v>2846</v>
      </c>
      <c r="BE1487" t="s">
        <v>2847</v>
      </c>
      <c r="BF1487">
        <v>0</v>
      </c>
      <c r="BK1487" t="s">
        <v>31</v>
      </c>
      <c r="BS1487" t="s">
        <v>419</v>
      </c>
      <c r="BT1487" t="s">
        <v>419</v>
      </c>
      <c r="CI1487" t="s">
        <v>388</v>
      </c>
      <c r="CJ1487" s="14">
        <v>45014</v>
      </c>
      <c r="CK1487">
        <v>1</v>
      </c>
    </row>
    <row r="1488" spans="1:89">
      <c r="A1488" t="s">
        <v>2848</v>
      </c>
      <c r="B1488" t="s">
        <v>374</v>
      </c>
      <c r="C1488" t="s">
        <v>2849</v>
      </c>
      <c r="D1488" t="s">
        <v>2850</v>
      </c>
      <c r="E1488" t="s">
        <v>2851</v>
      </c>
      <c r="F1488" s="13">
        <v>44617.556516203702</v>
      </c>
      <c r="G1488" t="s">
        <v>1591</v>
      </c>
      <c r="H1488" t="s">
        <v>1592</v>
      </c>
      <c r="I1488" s="13">
        <v>44617.561053240737</v>
      </c>
      <c r="K1488" t="s">
        <v>412</v>
      </c>
      <c r="R1488">
        <v>0</v>
      </c>
      <c r="S1488" t="s">
        <v>380</v>
      </c>
      <c r="T1488" t="s">
        <v>57</v>
      </c>
      <c r="V1488" t="s">
        <v>381</v>
      </c>
      <c r="W1488" t="s">
        <v>2852</v>
      </c>
      <c r="X1488" t="s">
        <v>2852</v>
      </c>
      <c r="AC1488" s="13">
        <v>44696</v>
      </c>
      <c r="AD1488" s="13">
        <v>44607</v>
      </c>
      <c r="AI1488">
        <v>79</v>
      </c>
      <c r="AL1488" t="s">
        <v>2853</v>
      </c>
      <c r="AN1488" t="s">
        <v>31</v>
      </c>
      <c r="AO1488">
        <v>0</v>
      </c>
      <c r="AS1488" t="s">
        <v>702</v>
      </c>
      <c r="AX1488" t="s">
        <v>57</v>
      </c>
      <c r="AY1488" t="s">
        <v>386</v>
      </c>
      <c r="AZ1488" t="s">
        <v>2854</v>
      </c>
      <c r="BE1488" t="s">
        <v>2855</v>
      </c>
      <c r="BF1488">
        <v>0</v>
      </c>
      <c r="BK1488" t="s">
        <v>31</v>
      </c>
      <c r="BS1488" t="s">
        <v>412</v>
      </c>
      <c r="BT1488" t="s">
        <v>412</v>
      </c>
      <c r="CI1488" t="s">
        <v>388</v>
      </c>
      <c r="CJ1488" s="14">
        <v>45014</v>
      </c>
      <c r="CK1488">
        <v>1</v>
      </c>
    </row>
    <row r="1489" spans="1:89">
      <c r="A1489" t="s">
        <v>1655</v>
      </c>
      <c r="B1489" t="s">
        <v>374</v>
      </c>
      <c r="C1489" t="s">
        <v>1656</v>
      </c>
      <c r="D1489" t="s">
        <v>2856</v>
      </c>
      <c r="E1489" t="s">
        <v>2857</v>
      </c>
      <c r="F1489" s="13">
        <v>44617.521863425929</v>
      </c>
      <c r="G1489" t="s">
        <v>2777</v>
      </c>
      <c r="H1489" t="s">
        <v>2778</v>
      </c>
      <c r="I1489" s="13">
        <v>45012.043946759259</v>
      </c>
      <c r="K1489" t="s">
        <v>415</v>
      </c>
      <c r="M1489" s="13">
        <v>44680</v>
      </c>
      <c r="R1489">
        <v>0</v>
      </c>
      <c r="S1489" t="s">
        <v>380</v>
      </c>
      <c r="T1489" t="s">
        <v>57</v>
      </c>
      <c r="V1489" t="s">
        <v>478</v>
      </c>
      <c r="W1489" t="s">
        <v>1661</v>
      </c>
      <c r="X1489" t="s">
        <v>1661</v>
      </c>
      <c r="AC1489" s="13">
        <v>44680</v>
      </c>
      <c r="AD1489" s="13">
        <v>44592</v>
      </c>
      <c r="AF1489" t="s">
        <v>451</v>
      </c>
      <c r="AI1489">
        <v>-332</v>
      </c>
      <c r="AL1489" t="s">
        <v>2858</v>
      </c>
      <c r="AN1489" t="s">
        <v>31</v>
      </c>
      <c r="AO1489">
        <v>0</v>
      </c>
      <c r="AS1489" t="s">
        <v>385</v>
      </c>
      <c r="AX1489" t="s">
        <v>31</v>
      </c>
      <c r="AY1489" t="s">
        <v>442</v>
      </c>
      <c r="AZ1489" t="s">
        <v>2859</v>
      </c>
      <c r="BF1489">
        <v>0</v>
      </c>
      <c r="BK1489" t="s">
        <v>31</v>
      </c>
      <c r="BS1489" t="s">
        <v>419</v>
      </c>
      <c r="BT1489" t="s">
        <v>419</v>
      </c>
      <c r="CI1489" t="s">
        <v>388</v>
      </c>
      <c r="CJ1489" s="14">
        <v>45014</v>
      </c>
      <c r="CK1489">
        <v>1</v>
      </c>
    </row>
    <row r="1490" spans="1:89">
      <c r="A1490" t="s">
        <v>1655</v>
      </c>
      <c r="B1490" t="s">
        <v>374</v>
      </c>
      <c r="C1490" t="s">
        <v>1656</v>
      </c>
      <c r="D1490" t="s">
        <v>2860</v>
      </c>
      <c r="E1490" t="s">
        <v>2861</v>
      </c>
      <c r="F1490" s="13">
        <v>44617.51635416667</v>
      </c>
      <c r="G1490" t="s">
        <v>2777</v>
      </c>
      <c r="H1490" t="s">
        <v>2778</v>
      </c>
      <c r="I1490" s="13">
        <v>45012.043946759259</v>
      </c>
      <c r="K1490" t="s">
        <v>415</v>
      </c>
      <c r="M1490" s="13">
        <v>44834</v>
      </c>
      <c r="R1490">
        <v>0</v>
      </c>
      <c r="S1490" t="s">
        <v>380</v>
      </c>
      <c r="T1490" t="s">
        <v>57</v>
      </c>
      <c r="V1490" t="s">
        <v>478</v>
      </c>
      <c r="W1490" t="s">
        <v>1661</v>
      </c>
      <c r="X1490" t="s">
        <v>1661</v>
      </c>
      <c r="AC1490" s="13">
        <v>44834</v>
      </c>
      <c r="AD1490" s="13">
        <v>44285</v>
      </c>
      <c r="AF1490" t="s">
        <v>451</v>
      </c>
      <c r="AI1490">
        <v>-178</v>
      </c>
      <c r="AL1490" t="s">
        <v>2858</v>
      </c>
      <c r="AN1490" t="s">
        <v>31</v>
      </c>
      <c r="AO1490">
        <v>0</v>
      </c>
      <c r="AS1490" t="s">
        <v>385</v>
      </c>
      <c r="AX1490" t="s">
        <v>31</v>
      </c>
      <c r="AY1490" t="s">
        <v>442</v>
      </c>
      <c r="AZ1490" t="s">
        <v>1663</v>
      </c>
      <c r="BE1490" t="s">
        <v>2862</v>
      </c>
      <c r="BF1490">
        <v>0</v>
      </c>
      <c r="BK1490" t="s">
        <v>31</v>
      </c>
      <c r="BS1490" t="s">
        <v>419</v>
      </c>
      <c r="BT1490" t="s">
        <v>419</v>
      </c>
      <c r="CI1490" t="s">
        <v>388</v>
      </c>
      <c r="CJ1490" s="14">
        <v>45014</v>
      </c>
      <c r="CK1490">
        <v>1</v>
      </c>
    </row>
    <row r="1491" spans="1:89">
      <c r="A1491" t="s">
        <v>1655</v>
      </c>
      <c r="B1491" t="s">
        <v>374</v>
      </c>
      <c r="C1491" t="s">
        <v>1656</v>
      </c>
      <c r="D1491" t="s">
        <v>2863</v>
      </c>
      <c r="E1491" t="s">
        <v>2864</v>
      </c>
      <c r="F1491" s="13">
        <v>44617.509722222225</v>
      </c>
      <c r="G1491" t="s">
        <v>2777</v>
      </c>
      <c r="H1491" t="s">
        <v>2778</v>
      </c>
      <c r="I1491" s="13">
        <v>45012.043946759259</v>
      </c>
      <c r="K1491" t="s">
        <v>415</v>
      </c>
      <c r="M1491" s="13">
        <v>44834</v>
      </c>
      <c r="R1491">
        <v>0</v>
      </c>
      <c r="S1491" t="s">
        <v>380</v>
      </c>
      <c r="T1491" t="s">
        <v>57</v>
      </c>
      <c r="V1491" t="s">
        <v>478</v>
      </c>
      <c r="W1491" t="s">
        <v>1661</v>
      </c>
      <c r="X1491" t="s">
        <v>1661</v>
      </c>
      <c r="AC1491" s="13">
        <v>44834</v>
      </c>
      <c r="AD1491" s="13">
        <v>44603</v>
      </c>
      <c r="AF1491" t="s">
        <v>451</v>
      </c>
      <c r="AI1491">
        <v>-178</v>
      </c>
      <c r="AL1491" t="s">
        <v>2858</v>
      </c>
      <c r="AN1491" t="s">
        <v>31</v>
      </c>
      <c r="AO1491">
        <v>0</v>
      </c>
      <c r="AS1491" t="s">
        <v>385</v>
      </c>
      <c r="AX1491" t="s">
        <v>31</v>
      </c>
      <c r="AY1491" t="s">
        <v>442</v>
      </c>
      <c r="AZ1491" t="s">
        <v>1666</v>
      </c>
      <c r="BF1491">
        <v>0</v>
      </c>
      <c r="BK1491" t="s">
        <v>31</v>
      </c>
      <c r="BS1491" t="s">
        <v>419</v>
      </c>
      <c r="BT1491" t="s">
        <v>419</v>
      </c>
      <c r="CI1491" t="s">
        <v>388</v>
      </c>
      <c r="CJ1491" s="14">
        <v>45014</v>
      </c>
      <c r="CK1491">
        <v>1</v>
      </c>
    </row>
    <row r="1492" spans="1:89">
      <c r="A1492" t="s">
        <v>1655</v>
      </c>
      <c r="B1492" t="s">
        <v>374</v>
      </c>
      <c r="C1492" t="s">
        <v>1656</v>
      </c>
      <c r="D1492" t="s">
        <v>2865</v>
      </c>
      <c r="E1492" t="s">
        <v>2866</v>
      </c>
      <c r="F1492" s="13">
        <v>44617.461516203701</v>
      </c>
      <c r="G1492" t="s">
        <v>2777</v>
      </c>
      <c r="H1492" t="s">
        <v>2778</v>
      </c>
      <c r="I1492" s="13">
        <v>45012.043935185182</v>
      </c>
      <c r="K1492" t="s">
        <v>415</v>
      </c>
      <c r="M1492" s="13">
        <v>44650</v>
      </c>
      <c r="R1492">
        <v>100</v>
      </c>
      <c r="S1492" t="s">
        <v>380</v>
      </c>
      <c r="T1492" t="s">
        <v>57</v>
      </c>
      <c r="V1492" t="s">
        <v>478</v>
      </c>
      <c r="W1492" t="s">
        <v>1661</v>
      </c>
      <c r="X1492" t="s">
        <v>1661</v>
      </c>
      <c r="AB1492" t="s">
        <v>57</v>
      </c>
      <c r="AC1492" s="13">
        <v>44650</v>
      </c>
      <c r="AD1492" s="13">
        <v>44501</v>
      </c>
      <c r="AF1492" t="s">
        <v>382</v>
      </c>
      <c r="AG1492" t="s">
        <v>2867</v>
      </c>
      <c r="AI1492">
        <v>-362</v>
      </c>
      <c r="AJ1492" s="13">
        <v>44651</v>
      </c>
      <c r="AL1492" t="s">
        <v>1670</v>
      </c>
      <c r="AN1492" t="s">
        <v>31</v>
      </c>
      <c r="AO1492">
        <v>0</v>
      </c>
      <c r="AR1492" t="s">
        <v>2868</v>
      </c>
      <c r="AS1492" t="s">
        <v>385</v>
      </c>
      <c r="AX1492" t="s">
        <v>31</v>
      </c>
      <c r="AY1492" t="s">
        <v>442</v>
      </c>
      <c r="AZ1492" t="s">
        <v>2869</v>
      </c>
      <c r="BE1492" t="s">
        <v>2870</v>
      </c>
      <c r="BF1492">
        <v>0</v>
      </c>
      <c r="BK1492" t="s">
        <v>31</v>
      </c>
      <c r="BS1492" t="s">
        <v>1201</v>
      </c>
      <c r="BT1492" t="s">
        <v>1202</v>
      </c>
      <c r="CI1492" t="s">
        <v>388</v>
      </c>
      <c r="CJ1492" s="14">
        <v>45014</v>
      </c>
      <c r="CK1492">
        <v>1</v>
      </c>
    </row>
    <row r="1493" spans="1:89">
      <c r="A1493" t="s">
        <v>1655</v>
      </c>
      <c r="B1493" t="s">
        <v>374</v>
      </c>
      <c r="C1493" t="s">
        <v>1656</v>
      </c>
      <c r="D1493" t="s">
        <v>2871</v>
      </c>
      <c r="E1493" t="s">
        <v>2872</v>
      </c>
      <c r="F1493" s="13">
        <v>44617.375555555554</v>
      </c>
      <c r="G1493" t="s">
        <v>2777</v>
      </c>
      <c r="H1493" t="s">
        <v>2778</v>
      </c>
      <c r="I1493" s="13">
        <v>44617.375555555554</v>
      </c>
      <c r="K1493" t="s">
        <v>412</v>
      </c>
      <c r="R1493">
        <v>0</v>
      </c>
      <c r="S1493" t="s">
        <v>380</v>
      </c>
      <c r="V1493" t="s">
        <v>381</v>
      </c>
      <c r="W1493" t="s">
        <v>1661</v>
      </c>
      <c r="X1493" t="s">
        <v>1661</v>
      </c>
      <c r="AI1493">
        <v>217</v>
      </c>
      <c r="AL1493" t="s">
        <v>2873</v>
      </c>
      <c r="AN1493" t="s">
        <v>31</v>
      </c>
      <c r="AO1493">
        <v>0</v>
      </c>
      <c r="AZ1493" t="s">
        <v>2874</v>
      </c>
      <c r="BF1493">
        <v>0</v>
      </c>
      <c r="BK1493" t="s">
        <v>31</v>
      </c>
      <c r="BS1493" t="s">
        <v>412</v>
      </c>
      <c r="BT1493" t="s">
        <v>412</v>
      </c>
      <c r="CI1493" t="s">
        <v>388</v>
      </c>
      <c r="CJ1493" s="14">
        <v>45014</v>
      </c>
      <c r="CK1493">
        <v>1</v>
      </c>
    </row>
    <row r="1494" spans="1:89">
      <c r="A1494" t="s">
        <v>1655</v>
      </c>
      <c r="B1494" t="s">
        <v>374</v>
      </c>
      <c r="C1494" t="s">
        <v>1656</v>
      </c>
      <c r="D1494" t="s">
        <v>2875</v>
      </c>
      <c r="E1494" t="s">
        <v>2876</v>
      </c>
      <c r="F1494" s="13">
        <v>44617.365335648145</v>
      </c>
      <c r="G1494" t="s">
        <v>2777</v>
      </c>
      <c r="H1494" t="s">
        <v>2778</v>
      </c>
      <c r="I1494" s="13">
        <v>45012.043935185182</v>
      </c>
      <c r="K1494" t="s">
        <v>415</v>
      </c>
      <c r="M1494" s="13">
        <v>44834</v>
      </c>
      <c r="R1494">
        <v>0</v>
      </c>
      <c r="S1494" t="s">
        <v>380</v>
      </c>
      <c r="T1494" t="s">
        <v>57</v>
      </c>
      <c r="V1494" t="s">
        <v>478</v>
      </c>
      <c r="W1494" t="s">
        <v>1661</v>
      </c>
      <c r="X1494" t="s">
        <v>1661</v>
      </c>
      <c r="AC1494" s="13">
        <v>44742</v>
      </c>
      <c r="AD1494" s="13">
        <v>44286</v>
      </c>
      <c r="AF1494" t="s">
        <v>451</v>
      </c>
      <c r="AI1494">
        <v>-178</v>
      </c>
      <c r="AL1494" t="s">
        <v>2858</v>
      </c>
      <c r="AN1494" t="s">
        <v>31</v>
      </c>
      <c r="AO1494">
        <v>0</v>
      </c>
      <c r="AS1494" t="s">
        <v>385</v>
      </c>
      <c r="AX1494" t="s">
        <v>31</v>
      </c>
      <c r="AY1494" t="s">
        <v>442</v>
      </c>
      <c r="AZ1494" t="s">
        <v>2877</v>
      </c>
      <c r="BE1494" t="s">
        <v>2862</v>
      </c>
      <c r="BF1494">
        <v>0</v>
      </c>
      <c r="BK1494" t="s">
        <v>31</v>
      </c>
      <c r="BS1494" t="s">
        <v>419</v>
      </c>
      <c r="BT1494" t="s">
        <v>419</v>
      </c>
      <c r="CI1494" t="s">
        <v>388</v>
      </c>
      <c r="CJ1494" s="14">
        <v>45014</v>
      </c>
      <c r="CK1494">
        <v>1</v>
      </c>
    </row>
    <row r="1495" spans="1:89">
      <c r="A1495" t="s">
        <v>2096</v>
      </c>
      <c r="B1495" t="s">
        <v>374</v>
      </c>
      <c r="C1495" t="s">
        <v>2097</v>
      </c>
      <c r="D1495" t="s">
        <v>2878</v>
      </c>
      <c r="E1495" t="s">
        <v>2879</v>
      </c>
      <c r="F1495" s="13">
        <v>44617.175486111111</v>
      </c>
      <c r="G1495" t="s">
        <v>2100</v>
      </c>
      <c r="H1495" t="s">
        <v>2101</v>
      </c>
      <c r="I1495" s="13">
        <v>45012.043935185182</v>
      </c>
      <c r="K1495" t="s">
        <v>415</v>
      </c>
      <c r="M1495" s="13">
        <v>44652</v>
      </c>
      <c r="R1495">
        <v>0</v>
      </c>
      <c r="S1495" t="s">
        <v>380</v>
      </c>
      <c r="T1495" t="s">
        <v>57</v>
      </c>
      <c r="V1495" t="s">
        <v>478</v>
      </c>
      <c r="W1495" t="s">
        <v>2187</v>
      </c>
      <c r="X1495" t="s">
        <v>2187</v>
      </c>
      <c r="AC1495" s="13">
        <v>44652</v>
      </c>
      <c r="AD1495" s="13">
        <v>44652</v>
      </c>
      <c r="AF1495" t="s">
        <v>451</v>
      </c>
      <c r="AG1495" t="s">
        <v>2880</v>
      </c>
      <c r="AI1495">
        <v>-360</v>
      </c>
      <c r="AL1495" t="s">
        <v>2881</v>
      </c>
      <c r="AN1495" t="s">
        <v>31</v>
      </c>
      <c r="AO1495">
        <v>0</v>
      </c>
      <c r="AS1495" t="s">
        <v>707</v>
      </c>
      <c r="AX1495" t="s">
        <v>57</v>
      </c>
      <c r="AY1495" t="s">
        <v>386</v>
      </c>
      <c r="AZ1495" t="s">
        <v>2882</v>
      </c>
      <c r="BE1495" t="s">
        <v>2883</v>
      </c>
      <c r="BF1495">
        <v>0</v>
      </c>
      <c r="BK1495" t="s">
        <v>31</v>
      </c>
      <c r="BS1495" t="s">
        <v>419</v>
      </c>
      <c r="BT1495" t="s">
        <v>419</v>
      </c>
      <c r="CI1495" t="s">
        <v>388</v>
      </c>
      <c r="CJ1495" s="14">
        <v>45014</v>
      </c>
      <c r="CK1495">
        <v>1</v>
      </c>
    </row>
    <row r="1496" spans="1:89">
      <c r="A1496" t="s">
        <v>2096</v>
      </c>
      <c r="B1496" t="s">
        <v>374</v>
      </c>
      <c r="C1496" t="s">
        <v>2097</v>
      </c>
      <c r="D1496" t="s">
        <v>2884</v>
      </c>
      <c r="E1496" t="s">
        <v>2885</v>
      </c>
      <c r="F1496" s="13">
        <v>44616.942627314813</v>
      </c>
      <c r="G1496" t="s">
        <v>2100</v>
      </c>
      <c r="H1496" t="s">
        <v>2101</v>
      </c>
      <c r="I1496" s="13">
        <v>45012.043935185182</v>
      </c>
      <c r="K1496" t="s">
        <v>415</v>
      </c>
      <c r="M1496" s="13">
        <v>44681</v>
      </c>
      <c r="R1496">
        <v>0</v>
      </c>
      <c r="S1496" t="s">
        <v>380</v>
      </c>
      <c r="T1496" t="s">
        <v>57</v>
      </c>
      <c r="V1496" t="s">
        <v>478</v>
      </c>
      <c r="W1496" t="s">
        <v>2187</v>
      </c>
      <c r="X1496" t="s">
        <v>2187</v>
      </c>
      <c r="AC1496" s="13">
        <v>44681</v>
      </c>
      <c r="AD1496" s="13">
        <v>44681</v>
      </c>
      <c r="AF1496" t="s">
        <v>451</v>
      </c>
      <c r="AI1496">
        <v>-331</v>
      </c>
      <c r="AL1496" t="s">
        <v>2886</v>
      </c>
      <c r="AN1496" t="s">
        <v>31</v>
      </c>
      <c r="AO1496">
        <v>0</v>
      </c>
      <c r="AS1496" t="s">
        <v>385</v>
      </c>
      <c r="AX1496" t="s">
        <v>57</v>
      </c>
      <c r="AY1496" t="s">
        <v>386</v>
      </c>
      <c r="AZ1496" t="s">
        <v>2887</v>
      </c>
      <c r="BF1496">
        <v>0</v>
      </c>
      <c r="BK1496" t="s">
        <v>31</v>
      </c>
      <c r="BS1496" t="s">
        <v>419</v>
      </c>
      <c r="BT1496" t="s">
        <v>419</v>
      </c>
      <c r="CI1496" t="s">
        <v>388</v>
      </c>
      <c r="CJ1496" s="14">
        <v>45014</v>
      </c>
      <c r="CK1496">
        <v>1</v>
      </c>
    </row>
    <row r="1497" spans="1:89">
      <c r="A1497" t="s">
        <v>2096</v>
      </c>
      <c r="B1497" t="s">
        <v>374</v>
      </c>
      <c r="C1497" t="s">
        <v>2097</v>
      </c>
      <c r="D1497" t="s">
        <v>2888</v>
      </c>
      <c r="E1497" t="s">
        <v>2889</v>
      </c>
      <c r="F1497" s="13">
        <v>44616.702905092592</v>
      </c>
      <c r="G1497" t="s">
        <v>2890</v>
      </c>
      <c r="H1497" t="s">
        <v>2891</v>
      </c>
      <c r="I1497" s="13">
        <v>45012.043923611112</v>
      </c>
      <c r="K1497" t="s">
        <v>415</v>
      </c>
      <c r="M1497" s="13">
        <v>44681</v>
      </c>
      <c r="R1497">
        <v>0</v>
      </c>
      <c r="S1497" t="s">
        <v>380</v>
      </c>
      <c r="T1497" t="s">
        <v>57</v>
      </c>
      <c r="V1497" t="s">
        <v>478</v>
      </c>
      <c r="W1497" t="s">
        <v>2187</v>
      </c>
      <c r="X1497" t="s">
        <v>2187</v>
      </c>
      <c r="AC1497" s="13">
        <v>44681</v>
      </c>
      <c r="AD1497" s="13">
        <v>44681</v>
      </c>
      <c r="AF1497" t="s">
        <v>451</v>
      </c>
      <c r="AI1497">
        <v>-331</v>
      </c>
      <c r="AL1497" t="s">
        <v>2892</v>
      </c>
      <c r="AN1497" t="s">
        <v>31</v>
      </c>
      <c r="AO1497">
        <v>0</v>
      </c>
      <c r="AS1497" t="s">
        <v>385</v>
      </c>
      <c r="AX1497" t="s">
        <v>57</v>
      </c>
      <c r="AY1497" t="s">
        <v>386</v>
      </c>
      <c r="AZ1497" t="s">
        <v>2893</v>
      </c>
      <c r="BF1497">
        <v>0</v>
      </c>
      <c r="BK1497" t="s">
        <v>31</v>
      </c>
      <c r="BS1497" t="s">
        <v>419</v>
      </c>
      <c r="BT1497" t="s">
        <v>419</v>
      </c>
      <c r="CI1497" t="s">
        <v>388</v>
      </c>
      <c r="CJ1497" s="14">
        <v>45014</v>
      </c>
      <c r="CK1497">
        <v>1</v>
      </c>
    </row>
    <row r="1498" spans="1:89">
      <c r="A1498" t="s">
        <v>2096</v>
      </c>
      <c r="B1498" t="s">
        <v>374</v>
      </c>
      <c r="C1498" t="s">
        <v>2097</v>
      </c>
      <c r="D1498" t="s">
        <v>2894</v>
      </c>
      <c r="E1498" t="s">
        <v>2895</v>
      </c>
      <c r="F1498" s="13">
        <v>44616.699675925927</v>
      </c>
      <c r="G1498" t="s">
        <v>2890</v>
      </c>
      <c r="H1498" t="s">
        <v>2891</v>
      </c>
      <c r="I1498" s="13">
        <v>45012.043923611112</v>
      </c>
      <c r="K1498" t="s">
        <v>415</v>
      </c>
      <c r="M1498" s="13">
        <v>44670</v>
      </c>
      <c r="R1498">
        <v>0</v>
      </c>
      <c r="S1498" t="s">
        <v>380</v>
      </c>
      <c r="T1498" t="s">
        <v>57</v>
      </c>
      <c r="V1498" t="s">
        <v>478</v>
      </c>
      <c r="W1498" t="s">
        <v>2187</v>
      </c>
      <c r="X1498" t="s">
        <v>2187</v>
      </c>
      <c r="AC1498" s="13">
        <v>44670</v>
      </c>
      <c r="AD1498" s="13">
        <v>44670</v>
      </c>
      <c r="AF1498" t="s">
        <v>451</v>
      </c>
      <c r="AI1498">
        <v>-342</v>
      </c>
      <c r="AL1498" t="s">
        <v>2896</v>
      </c>
      <c r="AN1498" t="s">
        <v>31</v>
      </c>
      <c r="AO1498">
        <v>0</v>
      </c>
      <c r="AS1498" t="s">
        <v>385</v>
      </c>
      <c r="AX1498" t="s">
        <v>57</v>
      </c>
      <c r="AY1498" t="s">
        <v>386</v>
      </c>
      <c r="AZ1498" t="s">
        <v>2897</v>
      </c>
      <c r="BF1498">
        <v>0</v>
      </c>
      <c r="BK1498" t="s">
        <v>31</v>
      </c>
      <c r="BS1498" t="s">
        <v>419</v>
      </c>
      <c r="BT1498" t="s">
        <v>419</v>
      </c>
      <c r="CI1498" t="s">
        <v>388</v>
      </c>
      <c r="CJ1498" s="14">
        <v>45014</v>
      </c>
      <c r="CK1498">
        <v>1</v>
      </c>
    </row>
    <row r="1499" spans="1:89">
      <c r="A1499" t="s">
        <v>2096</v>
      </c>
      <c r="B1499" t="s">
        <v>374</v>
      </c>
      <c r="C1499" t="s">
        <v>2097</v>
      </c>
      <c r="D1499" t="s">
        <v>2898</v>
      </c>
      <c r="E1499" t="s">
        <v>2885</v>
      </c>
      <c r="F1499" s="13">
        <v>44616.621458333335</v>
      </c>
      <c r="G1499" t="s">
        <v>2100</v>
      </c>
      <c r="H1499" t="s">
        <v>2101</v>
      </c>
      <c r="I1499" s="13">
        <v>44616.961493055554</v>
      </c>
      <c r="K1499" t="s">
        <v>409</v>
      </c>
      <c r="R1499">
        <v>0</v>
      </c>
      <c r="S1499" t="s">
        <v>380</v>
      </c>
      <c r="T1499" t="s">
        <v>57</v>
      </c>
      <c r="V1499" t="s">
        <v>381</v>
      </c>
      <c r="W1499" t="s">
        <v>2102</v>
      </c>
      <c r="X1499" t="s">
        <v>2102</v>
      </c>
      <c r="AC1499" s="13">
        <v>44681</v>
      </c>
      <c r="AD1499" s="13">
        <v>44681</v>
      </c>
      <c r="AI1499">
        <v>65</v>
      </c>
      <c r="AL1499" t="s">
        <v>2886</v>
      </c>
      <c r="AN1499" t="s">
        <v>31</v>
      </c>
      <c r="AO1499">
        <v>0</v>
      </c>
      <c r="AS1499" t="s">
        <v>385</v>
      </c>
      <c r="AX1499" t="s">
        <v>57</v>
      </c>
      <c r="AY1499" t="s">
        <v>386</v>
      </c>
      <c r="AZ1499" t="s">
        <v>2899</v>
      </c>
      <c r="BF1499">
        <v>0</v>
      </c>
      <c r="BK1499" t="s">
        <v>31</v>
      </c>
      <c r="BS1499" t="s">
        <v>409</v>
      </c>
      <c r="BT1499" t="s">
        <v>409</v>
      </c>
      <c r="CI1499" t="s">
        <v>388</v>
      </c>
      <c r="CJ1499" s="14">
        <v>45014</v>
      </c>
      <c r="CK1499">
        <v>1</v>
      </c>
    </row>
    <row r="1500" spans="1:89">
      <c r="A1500" t="s">
        <v>2096</v>
      </c>
      <c r="B1500" t="s">
        <v>374</v>
      </c>
      <c r="C1500" t="s">
        <v>2097</v>
      </c>
      <c r="D1500" t="s">
        <v>2900</v>
      </c>
      <c r="E1500" t="s">
        <v>2885</v>
      </c>
      <c r="F1500" s="13">
        <v>44616.610451388886</v>
      </c>
      <c r="G1500" t="s">
        <v>2100</v>
      </c>
      <c r="H1500" t="s">
        <v>2101</v>
      </c>
      <c r="I1500" s="13">
        <v>44616.624664351853</v>
      </c>
      <c r="K1500" t="s">
        <v>409</v>
      </c>
      <c r="R1500">
        <v>0</v>
      </c>
      <c r="S1500" t="s">
        <v>380</v>
      </c>
      <c r="T1500" t="s">
        <v>57</v>
      </c>
      <c r="V1500" t="s">
        <v>381</v>
      </c>
      <c r="W1500" t="s">
        <v>2187</v>
      </c>
      <c r="X1500" t="s">
        <v>2187</v>
      </c>
      <c r="AC1500" s="13">
        <v>44681</v>
      </c>
      <c r="AD1500" s="13">
        <v>44681</v>
      </c>
      <c r="AI1500">
        <v>65</v>
      </c>
      <c r="AL1500" t="s">
        <v>2886</v>
      </c>
      <c r="AN1500" t="s">
        <v>31</v>
      </c>
      <c r="AO1500">
        <v>0</v>
      </c>
      <c r="AS1500" t="s">
        <v>526</v>
      </c>
      <c r="AX1500" t="s">
        <v>57</v>
      </c>
      <c r="AY1500" t="s">
        <v>386</v>
      </c>
      <c r="AZ1500" t="s">
        <v>2901</v>
      </c>
      <c r="BE1500" t="s">
        <v>2902</v>
      </c>
      <c r="BF1500">
        <v>0</v>
      </c>
      <c r="BK1500" t="s">
        <v>31</v>
      </c>
      <c r="BS1500" t="s">
        <v>409</v>
      </c>
      <c r="BT1500" t="s">
        <v>409</v>
      </c>
      <c r="CI1500" t="s">
        <v>388</v>
      </c>
      <c r="CJ1500" s="14">
        <v>45014</v>
      </c>
      <c r="CK1500">
        <v>1</v>
      </c>
    </row>
    <row r="1501" spans="1:89">
      <c r="A1501" t="s">
        <v>2096</v>
      </c>
      <c r="B1501" t="s">
        <v>374</v>
      </c>
      <c r="C1501" t="s">
        <v>2097</v>
      </c>
      <c r="D1501" t="s">
        <v>2903</v>
      </c>
      <c r="E1501" t="s">
        <v>2904</v>
      </c>
      <c r="F1501" s="13">
        <v>44616.601666666669</v>
      </c>
      <c r="G1501" t="s">
        <v>2100</v>
      </c>
      <c r="H1501" t="s">
        <v>2101</v>
      </c>
      <c r="I1501" s="13">
        <v>45012.043923611112</v>
      </c>
      <c r="K1501" t="s">
        <v>415</v>
      </c>
      <c r="M1501" s="13">
        <v>44804</v>
      </c>
      <c r="R1501">
        <v>0</v>
      </c>
      <c r="S1501" t="s">
        <v>380</v>
      </c>
      <c r="T1501" t="s">
        <v>57</v>
      </c>
      <c r="V1501" t="s">
        <v>478</v>
      </c>
      <c r="W1501" t="s">
        <v>2187</v>
      </c>
      <c r="X1501" t="s">
        <v>2187</v>
      </c>
      <c r="AC1501" s="13">
        <v>44804</v>
      </c>
      <c r="AD1501" s="13">
        <v>44804</v>
      </c>
      <c r="AF1501" t="s">
        <v>451</v>
      </c>
      <c r="AI1501">
        <v>-208</v>
      </c>
      <c r="AL1501" t="s">
        <v>2905</v>
      </c>
      <c r="AN1501" t="s">
        <v>31</v>
      </c>
      <c r="AO1501">
        <v>0</v>
      </c>
      <c r="AS1501" t="s">
        <v>385</v>
      </c>
      <c r="AX1501" t="s">
        <v>57</v>
      </c>
      <c r="AY1501" t="s">
        <v>386</v>
      </c>
      <c r="AZ1501" t="s">
        <v>2906</v>
      </c>
      <c r="BE1501" t="s">
        <v>2907</v>
      </c>
      <c r="BF1501">
        <v>0</v>
      </c>
      <c r="BK1501" t="s">
        <v>31</v>
      </c>
      <c r="BS1501" t="s">
        <v>419</v>
      </c>
      <c r="BT1501" t="s">
        <v>419</v>
      </c>
      <c r="CI1501" t="s">
        <v>388</v>
      </c>
      <c r="CJ1501" s="14">
        <v>45014</v>
      </c>
      <c r="CK1501">
        <v>1</v>
      </c>
    </row>
    <row r="1502" spans="1:89">
      <c r="A1502" t="s">
        <v>2096</v>
      </c>
      <c r="B1502" t="s">
        <v>374</v>
      </c>
      <c r="C1502" t="s">
        <v>2097</v>
      </c>
      <c r="D1502" t="s">
        <v>2908</v>
      </c>
      <c r="E1502" t="s">
        <v>2909</v>
      </c>
      <c r="F1502" s="13">
        <v>44616.578009259261</v>
      </c>
      <c r="G1502" t="s">
        <v>2100</v>
      </c>
      <c r="H1502" t="s">
        <v>2101</v>
      </c>
      <c r="I1502" s="13">
        <v>45012.043912037036</v>
      </c>
      <c r="K1502" t="s">
        <v>415</v>
      </c>
      <c r="M1502" s="13">
        <v>44650</v>
      </c>
      <c r="R1502">
        <v>0</v>
      </c>
      <c r="S1502" t="s">
        <v>380</v>
      </c>
      <c r="T1502" t="s">
        <v>57</v>
      </c>
      <c r="V1502" t="s">
        <v>478</v>
      </c>
      <c r="W1502" t="s">
        <v>2187</v>
      </c>
      <c r="X1502" t="s">
        <v>2187</v>
      </c>
      <c r="AC1502" s="13">
        <v>44650</v>
      </c>
      <c r="AD1502" s="13">
        <v>44650</v>
      </c>
      <c r="AF1502" t="s">
        <v>451</v>
      </c>
      <c r="AI1502">
        <v>-362</v>
      </c>
      <c r="AL1502" t="s">
        <v>2910</v>
      </c>
      <c r="AN1502" t="s">
        <v>31</v>
      </c>
      <c r="AO1502">
        <v>0</v>
      </c>
      <c r="AS1502" t="s">
        <v>385</v>
      </c>
      <c r="AX1502" t="s">
        <v>57</v>
      </c>
      <c r="AY1502" t="s">
        <v>386</v>
      </c>
      <c r="AZ1502" t="s">
        <v>2911</v>
      </c>
      <c r="BE1502" t="s">
        <v>2912</v>
      </c>
      <c r="BF1502">
        <v>0</v>
      </c>
      <c r="BK1502" t="s">
        <v>31</v>
      </c>
      <c r="BS1502" t="s">
        <v>419</v>
      </c>
      <c r="BT1502" t="s">
        <v>419</v>
      </c>
      <c r="CI1502" t="s">
        <v>388</v>
      </c>
      <c r="CJ1502" s="14">
        <v>45014</v>
      </c>
      <c r="CK1502">
        <v>1</v>
      </c>
    </row>
    <row r="1503" spans="1:89">
      <c r="A1503" t="s">
        <v>2096</v>
      </c>
      <c r="B1503" t="s">
        <v>374</v>
      </c>
      <c r="C1503" t="s">
        <v>2097</v>
      </c>
      <c r="D1503" t="s">
        <v>2913</v>
      </c>
      <c r="E1503" t="s">
        <v>2914</v>
      </c>
      <c r="F1503" s="13">
        <v>44616.562928240739</v>
      </c>
      <c r="G1503" t="s">
        <v>2100</v>
      </c>
      <c r="H1503" t="s">
        <v>2101</v>
      </c>
      <c r="I1503" s="13">
        <v>45012.043912037036</v>
      </c>
      <c r="K1503" t="s">
        <v>415</v>
      </c>
      <c r="M1503" s="13">
        <v>44681</v>
      </c>
      <c r="R1503">
        <v>0</v>
      </c>
      <c r="S1503" t="s">
        <v>380</v>
      </c>
      <c r="T1503" t="s">
        <v>57</v>
      </c>
      <c r="V1503" t="s">
        <v>478</v>
      </c>
      <c r="W1503" t="s">
        <v>2187</v>
      </c>
      <c r="X1503" t="s">
        <v>2187</v>
      </c>
      <c r="AC1503" s="13">
        <v>44681</v>
      </c>
      <c r="AD1503" s="13">
        <v>44681</v>
      </c>
      <c r="AF1503" t="s">
        <v>451</v>
      </c>
      <c r="AI1503">
        <v>-331</v>
      </c>
      <c r="AL1503" t="s">
        <v>2915</v>
      </c>
      <c r="AN1503" t="s">
        <v>31</v>
      </c>
      <c r="AO1503">
        <v>0</v>
      </c>
      <c r="AS1503" t="s">
        <v>392</v>
      </c>
      <c r="AX1503" t="s">
        <v>57</v>
      </c>
      <c r="AY1503" t="s">
        <v>386</v>
      </c>
      <c r="AZ1503" t="s">
        <v>2916</v>
      </c>
      <c r="BE1503" t="s">
        <v>2917</v>
      </c>
      <c r="BF1503">
        <v>0</v>
      </c>
      <c r="BK1503" t="s">
        <v>31</v>
      </c>
      <c r="BS1503" t="s">
        <v>419</v>
      </c>
      <c r="BT1503" t="s">
        <v>419</v>
      </c>
      <c r="CI1503" t="s">
        <v>388</v>
      </c>
      <c r="CJ1503" s="14">
        <v>45014</v>
      </c>
      <c r="CK1503">
        <v>1</v>
      </c>
    </row>
    <row r="1504" spans="1:89">
      <c r="A1504" t="s">
        <v>2096</v>
      </c>
      <c r="B1504" t="s">
        <v>374</v>
      </c>
      <c r="C1504" t="s">
        <v>2097</v>
      </c>
      <c r="D1504" t="s">
        <v>2918</v>
      </c>
      <c r="E1504" t="s">
        <v>2919</v>
      </c>
      <c r="F1504" s="13">
        <v>44616.48945601852</v>
      </c>
      <c r="G1504" t="s">
        <v>2890</v>
      </c>
      <c r="H1504" t="s">
        <v>2891</v>
      </c>
      <c r="I1504" s="13">
        <v>45012.043912037036</v>
      </c>
      <c r="K1504" t="s">
        <v>415</v>
      </c>
      <c r="M1504" s="13">
        <v>44742</v>
      </c>
      <c r="R1504">
        <v>0</v>
      </c>
      <c r="S1504" t="s">
        <v>380</v>
      </c>
      <c r="T1504" t="s">
        <v>57</v>
      </c>
      <c r="V1504" t="s">
        <v>478</v>
      </c>
      <c r="W1504" t="s">
        <v>2187</v>
      </c>
      <c r="X1504" t="s">
        <v>2187</v>
      </c>
      <c r="AC1504" s="13">
        <v>44742</v>
      </c>
      <c r="AD1504" s="13">
        <v>44742</v>
      </c>
      <c r="AF1504" t="s">
        <v>451</v>
      </c>
      <c r="AI1504">
        <v>-270</v>
      </c>
      <c r="AL1504" t="s">
        <v>2920</v>
      </c>
      <c r="AN1504" t="s">
        <v>31</v>
      </c>
      <c r="AO1504">
        <v>0</v>
      </c>
      <c r="AS1504" t="s">
        <v>385</v>
      </c>
      <c r="AX1504" t="s">
        <v>57</v>
      </c>
      <c r="AY1504" t="s">
        <v>386</v>
      </c>
      <c r="AZ1504" t="s">
        <v>2921</v>
      </c>
      <c r="BE1504">
        <v>51</v>
      </c>
      <c r="BF1504">
        <v>0</v>
      </c>
      <c r="BK1504" t="s">
        <v>31</v>
      </c>
      <c r="BS1504" t="s">
        <v>419</v>
      </c>
      <c r="BT1504" t="s">
        <v>419</v>
      </c>
      <c r="CI1504" t="s">
        <v>388</v>
      </c>
      <c r="CJ1504" s="14">
        <v>45014</v>
      </c>
      <c r="CK1504">
        <v>1</v>
      </c>
    </row>
    <row r="1505" spans="1:89">
      <c r="A1505" t="s">
        <v>1497</v>
      </c>
      <c r="B1505" t="s">
        <v>374</v>
      </c>
      <c r="C1505" t="s">
        <v>1498</v>
      </c>
      <c r="D1505" t="s">
        <v>2922</v>
      </c>
      <c r="E1505" t="s">
        <v>2923</v>
      </c>
      <c r="F1505" s="13">
        <v>44616.414131944446</v>
      </c>
      <c r="G1505" t="s">
        <v>1501</v>
      </c>
      <c r="H1505" t="s">
        <v>1502</v>
      </c>
      <c r="I1505" s="13">
        <v>44616.415370370371</v>
      </c>
      <c r="K1505" t="s">
        <v>412</v>
      </c>
      <c r="R1505">
        <v>0</v>
      </c>
      <c r="S1505" t="s">
        <v>416</v>
      </c>
      <c r="T1505" t="s">
        <v>57</v>
      </c>
      <c r="V1505" t="s">
        <v>381</v>
      </c>
      <c r="W1505" t="s">
        <v>2924</v>
      </c>
      <c r="X1505" t="s">
        <v>2924</v>
      </c>
      <c r="AI1505">
        <v>85</v>
      </c>
      <c r="AL1505" t="s">
        <v>2925</v>
      </c>
      <c r="AN1505" t="s">
        <v>31</v>
      </c>
      <c r="AO1505">
        <v>0</v>
      </c>
      <c r="AS1505" t="s">
        <v>392</v>
      </c>
      <c r="AX1505" t="s">
        <v>57</v>
      </c>
      <c r="AY1505" t="s">
        <v>442</v>
      </c>
      <c r="AZ1505" t="s">
        <v>2926</v>
      </c>
      <c r="BF1505">
        <v>0</v>
      </c>
      <c r="BK1505" t="s">
        <v>31</v>
      </c>
      <c r="BS1505" t="s">
        <v>412</v>
      </c>
      <c r="BT1505" t="s">
        <v>412</v>
      </c>
      <c r="CI1505" t="s">
        <v>388</v>
      </c>
      <c r="CJ1505" s="14">
        <v>45014</v>
      </c>
      <c r="CK1505">
        <v>1</v>
      </c>
    </row>
    <row r="1506" spans="1:89">
      <c r="A1506" t="s">
        <v>2927</v>
      </c>
      <c r="B1506" t="s">
        <v>374</v>
      </c>
      <c r="C1506" t="s">
        <v>2928</v>
      </c>
      <c r="D1506" t="s">
        <v>2929</v>
      </c>
      <c r="E1506" t="s">
        <v>2930</v>
      </c>
      <c r="F1506" s="13">
        <v>44616.411134259259</v>
      </c>
      <c r="G1506" t="s">
        <v>2931</v>
      </c>
      <c r="H1506" t="s">
        <v>2932</v>
      </c>
      <c r="I1506" s="13">
        <v>45012.043900462966</v>
      </c>
      <c r="K1506" t="s">
        <v>415</v>
      </c>
      <c r="M1506" s="13">
        <v>44620</v>
      </c>
      <c r="R1506">
        <v>100</v>
      </c>
      <c r="S1506" t="s">
        <v>380</v>
      </c>
      <c r="T1506" t="s">
        <v>57</v>
      </c>
      <c r="V1506" t="s">
        <v>478</v>
      </c>
      <c r="W1506" t="s">
        <v>2933</v>
      </c>
      <c r="X1506" t="s">
        <v>2933</v>
      </c>
      <c r="AB1506" t="s">
        <v>57</v>
      </c>
      <c r="AF1506" t="s">
        <v>382</v>
      </c>
      <c r="AG1506" t="s">
        <v>2934</v>
      </c>
      <c r="AI1506">
        <v>-392</v>
      </c>
      <c r="AJ1506" s="13">
        <v>44651</v>
      </c>
      <c r="AL1506" t="s">
        <v>2935</v>
      </c>
      <c r="AN1506" t="s">
        <v>31</v>
      </c>
      <c r="AO1506">
        <v>0</v>
      </c>
      <c r="AR1506" t="s">
        <v>2936</v>
      </c>
      <c r="AS1506" t="s">
        <v>385</v>
      </c>
      <c r="AX1506" t="s">
        <v>31</v>
      </c>
      <c r="AY1506" t="s">
        <v>386</v>
      </c>
      <c r="AZ1506" t="s">
        <v>2937</v>
      </c>
      <c r="BC1506" t="s">
        <v>480</v>
      </c>
      <c r="BD1506" t="s">
        <v>2938</v>
      </c>
      <c r="BE1506" t="s">
        <v>2939</v>
      </c>
      <c r="BF1506">
        <v>0</v>
      </c>
      <c r="BK1506" t="s">
        <v>31</v>
      </c>
      <c r="BS1506" t="s">
        <v>2940</v>
      </c>
      <c r="BT1506" t="s">
        <v>2941</v>
      </c>
      <c r="CI1506" t="s">
        <v>388</v>
      </c>
      <c r="CJ1506" s="14">
        <v>45014</v>
      </c>
      <c r="CK1506">
        <v>1</v>
      </c>
    </row>
    <row r="1507" spans="1:89">
      <c r="A1507" t="s">
        <v>2927</v>
      </c>
      <c r="B1507" t="s">
        <v>374</v>
      </c>
      <c r="C1507" t="s">
        <v>2928</v>
      </c>
      <c r="D1507" t="s">
        <v>2942</v>
      </c>
      <c r="E1507" t="s">
        <v>2943</v>
      </c>
      <c r="F1507" s="13">
        <v>44616.397766203707</v>
      </c>
      <c r="G1507" t="s">
        <v>2931</v>
      </c>
      <c r="H1507" t="s">
        <v>2932</v>
      </c>
      <c r="I1507" s="13">
        <v>45012.043900462966</v>
      </c>
      <c r="K1507" t="s">
        <v>415</v>
      </c>
      <c r="M1507" s="13">
        <v>44681</v>
      </c>
      <c r="R1507">
        <v>80</v>
      </c>
      <c r="S1507" t="s">
        <v>416</v>
      </c>
      <c r="T1507" t="s">
        <v>57</v>
      </c>
      <c r="V1507" t="s">
        <v>478</v>
      </c>
      <c r="W1507" t="s">
        <v>2944</v>
      </c>
      <c r="X1507" t="s">
        <v>2944</v>
      </c>
      <c r="AF1507" t="s">
        <v>451</v>
      </c>
      <c r="AG1507" t="s">
        <v>2945</v>
      </c>
      <c r="AI1507">
        <v>-331</v>
      </c>
      <c r="AL1507" t="s">
        <v>2946</v>
      </c>
      <c r="AN1507" t="s">
        <v>31</v>
      </c>
      <c r="AO1507">
        <v>0</v>
      </c>
      <c r="AS1507" t="s">
        <v>385</v>
      </c>
      <c r="AX1507" t="s">
        <v>31</v>
      </c>
      <c r="AY1507" t="s">
        <v>442</v>
      </c>
      <c r="AZ1507" t="s">
        <v>2947</v>
      </c>
      <c r="BF1507">
        <v>0</v>
      </c>
      <c r="BK1507" t="s">
        <v>31</v>
      </c>
      <c r="BS1507" t="s">
        <v>419</v>
      </c>
      <c r="BT1507" t="s">
        <v>419</v>
      </c>
      <c r="CI1507" t="s">
        <v>388</v>
      </c>
      <c r="CJ1507" s="14">
        <v>45014</v>
      </c>
      <c r="CK1507">
        <v>1</v>
      </c>
    </row>
    <row r="1508" spans="1:89">
      <c r="A1508" t="s">
        <v>2444</v>
      </c>
      <c r="B1508" t="s">
        <v>374</v>
      </c>
      <c r="C1508" t="s">
        <v>2445</v>
      </c>
      <c r="D1508" t="s">
        <v>2948</v>
      </c>
      <c r="E1508" t="s">
        <v>2949</v>
      </c>
      <c r="F1508" s="13">
        <v>44616.393055555556</v>
      </c>
      <c r="G1508" t="s">
        <v>1526</v>
      </c>
      <c r="H1508" t="s">
        <v>1527</v>
      </c>
      <c r="I1508" s="13">
        <v>44616.39403935185</v>
      </c>
      <c r="K1508" t="s">
        <v>412</v>
      </c>
      <c r="R1508">
        <v>0</v>
      </c>
      <c r="S1508" t="s">
        <v>380</v>
      </c>
      <c r="T1508" t="s">
        <v>57</v>
      </c>
      <c r="V1508" t="s">
        <v>381</v>
      </c>
      <c r="W1508" t="s">
        <v>2950</v>
      </c>
      <c r="X1508" t="s">
        <v>2950</v>
      </c>
      <c r="AC1508" s="13">
        <v>44666</v>
      </c>
      <c r="AD1508" s="13">
        <v>44666</v>
      </c>
      <c r="AI1508">
        <v>50</v>
      </c>
      <c r="AL1508" t="s">
        <v>2951</v>
      </c>
      <c r="AN1508" t="s">
        <v>31</v>
      </c>
      <c r="AO1508">
        <v>0</v>
      </c>
      <c r="AS1508" t="s">
        <v>648</v>
      </c>
      <c r="AX1508" t="s">
        <v>31</v>
      </c>
      <c r="AY1508" t="s">
        <v>386</v>
      </c>
      <c r="AZ1508" t="s">
        <v>2952</v>
      </c>
      <c r="BF1508">
        <v>0</v>
      </c>
      <c r="BK1508" t="s">
        <v>31</v>
      </c>
      <c r="BS1508" t="s">
        <v>412</v>
      </c>
      <c r="BT1508" t="s">
        <v>412</v>
      </c>
      <c r="CI1508" t="s">
        <v>388</v>
      </c>
      <c r="CJ1508" s="14">
        <v>45014</v>
      </c>
      <c r="CK1508">
        <v>1</v>
      </c>
    </row>
    <row r="1509" spans="1:89">
      <c r="A1509" t="s">
        <v>2096</v>
      </c>
      <c r="B1509" t="s">
        <v>374</v>
      </c>
      <c r="C1509" t="s">
        <v>2097</v>
      </c>
      <c r="D1509" t="s">
        <v>2953</v>
      </c>
      <c r="E1509" t="s">
        <v>2954</v>
      </c>
      <c r="F1509" s="13">
        <v>44616.369745370372</v>
      </c>
      <c r="G1509" t="s">
        <v>2890</v>
      </c>
      <c r="H1509" t="s">
        <v>2891</v>
      </c>
      <c r="I1509" s="13">
        <v>45012.043900462966</v>
      </c>
      <c r="K1509" t="s">
        <v>415</v>
      </c>
      <c r="M1509" s="13">
        <v>44727</v>
      </c>
      <c r="R1509">
        <v>0</v>
      </c>
      <c r="S1509" t="s">
        <v>380</v>
      </c>
      <c r="T1509" t="s">
        <v>57</v>
      </c>
      <c r="V1509" t="s">
        <v>478</v>
      </c>
      <c r="W1509" t="s">
        <v>2955</v>
      </c>
      <c r="X1509" t="s">
        <v>2955</v>
      </c>
      <c r="AC1509" s="13">
        <v>44727</v>
      </c>
      <c r="AD1509" s="13">
        <v>44727</v>
      </c>
      <c r="AF1509" t="s">
        <v>451</v>
      </c>
      <c r="AI1509">
        <v>-285</v>
      </c>
      <c r="AL1509" t="s">
        <v>2956</v>
      </c>
      <c r="AN1509" t="s">
        <v>31</v>
      </c>
      <c r="AO1509">
        <v>0</v>
      </c>
      <c r="AS1509" t="s">
        <v>385</v>
      </c>
      <c r="AX1509" t="s">
        <v>57</v>
      </c>
      <c r="AY1509" t="s">
        <v>386</v>
      </c>
      <c r="AZ1509" t="s">
        <v>2957</v>
      </c>
      <c r="BE1509" t="s">
        <v>2958</v>
      </c>
      <c r="BF1509">
        <v>0</v>
      </c>
      <c r="BK1509" t="s">
        <v>31</v>
      </c>
      <c r="BS1509" t="s">
        <v>419</v>
      </c>
      <c r="BT1509" t="s">
        <v>419</v>
      </c>
      <c r="CI1509" t="s">
        <v>388</v>
      </c>
      <c r="CJ1509" s="14">
        <v>45014</v>
      </c>
      <c r="CK1509">
        <v>1</v>
      </c>
    </row>
    <row r="1510" spans="1:89">
      <c r="A1510" t="s">
        <v>2444</v>
      </c>
      <c r="B1510" t="s">
        <v>374</v>
      </c>
      <c r="C1510" t="s">
        <v>2445</v>
      </c>
      <c r="D1510" t="s">
        <v>2959</v>
      </c>
      <c r="E1510" t="s">
        <v>2960</v>
      </c>
      <c r="F1510" s="13">
        <v>44616.349143518521</v>
      </c>
      <c r="G1510" t="s">
        <v>1526</v>
      </c>
      <c r="H1510" t="s">
        <v>1527</v>
      </c>
      <c r="I1510" s="13">
        <v>44616.349733796298</v>
      </c>
      <c r="K1510" t="s">
        <v>412</v>
      </c>
      <c r="R1510">
        <v>0</v>
      </c>
      <c r="S1510" t="s">
        <v>416</v>
      </c>
      <c r="T1510" t="s">
        <v>57</v>
      </c>
      <c r="V1510" t="s">
        <v>381</v>
      </c>
      <c r="W1510" t="s">
        <v>2961</v>
      </c>
      <c r="X1510" t="s">
        <v>2961</v>
      </c>
      <c r="AI1510">
        <v>19</v>
      </c>
      <c r="AL1510" t="s">
        <v>2962</v>
      </c>
      <c r="AN1510" t="s">
        <v>31</v>
      </c>
      <c r="AO1510">
        <v>0</v>
      </c>
      <c r="AS1510" t="s">
        <v>538</v>
      </c>
      <c r="AX1510" t="s">
        <v>31</v>
      </c>
      <c r="AY1510" t="s">
        <v>442</v>
      </c>
      <c r="AZ1510" t="s">
        <v>2963</v>
      </c>
      <c r="BF1510">
        <v>0</v>
      </c>
      <c r="BK1510" t="s">
        <v>31</v>
      </c>
      <c r="BS1510" t="s">
        <v>412</v>
      </c>
      <c r="BT1510" t="s">
        <v>412</v>
      </c>
      <c r="CI1510" t="s">
        <v>388</v>
      </c>
      <c r="CJ1510" s="14">
        <v>45014</v>
      </c>
      <c r="CK1510">
        <v>1</v>
      </c>
    </row>
    <row r="1511" spans="1:89">
      <c r="A1511" t="s">
        <v>2444</v>
      </c>
      <c r="B1511" t="s">
        <v>374</v>
      </c>
      <c r="C1511" t="s">
        <v>2445</v>
      </c>
      <c r="D1511" t="s">
        <v>2964</v>
      </c>
      <c r="E1511" t="s">
        <v>2965</v>
      </c>
      <c r="F1511" s="13">
        <v>44616.346770833334</v>
      </c>
      <c r="G1511" t="s">
        <v>1526</v>
      </c>
      <c r="H1511" t="s">
        <v>1527</v>
      </c>
      <c r="I1511" s="13">
        <v>44616.34752314815</v>
      </c>
      <c r="K1511" t="s">
        <v>412</v>
      </c>
      <c r="R1511">
        <v>0</v>
      </c>
      <c r="S1511" t="s">
        <v>380</v>
      </c>
      <c r="T1511" t="s">
        <v>57</v>
      </c>
      <c r="V1511" t="s">
        <v>381</v>
      </c>
      <c r="W1511" t="s">
        <v>2961</v>
      </c>
      <c r="X1511" t="s">
        <v>2961</v>
      </c>
      <c r="AI1511">
        <v>110</v>
      </c>
      <c r="AL1511" t="s">
        <v>2962</v>
      </c>
      <c r="AN1511" t="s">
        <v>31</v>
      </c>
      <c r="AO1511">
        <v>0</v>
      </c>
      <c r="AS1511" t="s">
        <v>538</v>
      </c>
      <c r="AX1511" t="s">
        <v>31</v>
      </c>
      <c r="AY1511" t="s">
        <v>442</v>
      </c>
      <c r="AZ1511" t="s">
        <v>2963</v>
      </c>
      <c r="BF1511">
        <v>0</v>
      </c>
      <c r="BK1511" t="s">
        <v>31</v>
      </c>
      <c r="BS1511" t="s">
        <v>412</v>
      </c>
      <c r="BT1511" t="s">
        <v>412</v>
      </c>
      <c r="CI1511" t="s">
        <v>388</v>
      </c>
      <c r="CJ1511" s="14">
        <v>45014</v>
      </c>
      <c r="CK1511">
        <v>1</v>
      </c>
    </row>
    <row r="1512" spans="1:89">
      <c r="A1512" t="s">
        <v>2096</v>
      </c>
      <c r="B1512" t="s">
        <v>374</v>
      </c>
      <c r="C1512" t="s">
        <v>2097</v>
      </c>
      <c r="D1512" t="s">
        <v>2966</v>
      </c>
      <c r="E1512" t="s">
        <v>2967</v>
      </c>
      <c r="F1512" s="13">
        <v>44616.334548611114</v>
      </c>
      <c r="G1512" t="s">
        <v>2890</v>
      </c>
      <c r="H1512" t="s">
        <v>2891</v>
      </c>
      <c r="I1512" s="13">
        <v>44616.341724537036</v>
      </c>
      <c r="K1512" t="s">
        <v>409</v>
      </c>
      <c r="R1512">
        <v>0</v>
      </c>
      <c r="S1512" t="s">
        <v>380</v>
      </c>
      <c r="T1512" t="s">
        <v>57</v>
      </c>
      <c r="V1512" t="s">
        <v>381</v>
      </c>
      <c r="W1512" t="s">
        <v>2955</v>
      </c>
      <c r="X1512" t="s">
        <v>2955</v>
      </c>
      <c r="AC1512" s="13">
        <v>44727</v>
      </c>
      <c r="AD1512" s="13">
        <v>44727</v>
      </c>
      <c r="AI1512">
        <v>111</v>
      </c>
      <c r="AL1512" t="s">
        <v>2968</v>
      </c>
      <c r="AN1512" t="s">
        <v>31</v>
      </c>
      <c r="AO1512">
        <v>0</v>
      </c>
      <c r="AS1512" t="s">
        <v>385</v>
      </c>
      <c r="AX1512" t="s">
        <v>57</v>
      </c>
      <c r="AY1512" t="s">
        <v>386</v>
      </c>
      <c r="AZ1512" t="s">
        <v>2957</v>
      </c>
      <c r="BE1512" t="s">
        <v>2958</v>
      </c>
      <c r="BF1512">
        <v>0</v>
      </c>
      <c r="BK1512" t="s">
        <v>31</v>
      </c>
      <c r="BS1512" t="s">
        <v>409</v>
      </c>
      <c r="BT1512" t="s">
        <v>409</v>
      </c>
      <c r="CI1512" t="s">
        <v>388</v>
      </c>
      <c r="CJ1512" s="14">
        <v>45014</v>
      </c>
      <c r="CK1512">
        <v>1</v>
      </c>
    </row>
    <row r="1513" spans="1:89">
      <c r="A1513" t="s">
        <v>2444</v>
      </c>
      <c r="B1513" t="s">
        <v>374</v>
      </c>
      <c r="C1513" t="s">
        <v>2445</v>
      </c>
      <c r="D1513" t="s">
        <v>2969</v>
      </c>
      <c r="E1513" t="s">
        <v>2970</v>
      </c>
      <c r="F1513" s="13">
        <v>44616.318472222221</v>
      </c>
      <c r="G1513" t="s">
        <v>1526</v>
      </c>
      <c r="H1513" t="s">
        <v>1527</v>
      </c>
      <c r="I1513" s="13">
        <v>44616.320509259262</v>
      </c>
      <c r="K1513" t="s">
        <v>412</v>
      </c>
      <c r="R1513">
        <v>0</v>
      </c>
      <c r="S1513" t="s">
        <v>380</v>
      </c>
      <c r="T1513" t="s">
        <v>57</v>
      </c>
      <c r="V1513" t="s">
        <v>381</v>
      </c>
      <c r="W1513" t="s">
        <v>2971</v>
      </c>
      <c r="X1513" t="s">
        <v>2971</v>
      </c>
      <c r="AC1513" s="13">
        <v>44643</v>
      </c>
      <c r="AD1513" s="13">
        <v>44643</v>
      </c>
      <c r="AI1513">
        <v>27</v>
      </c>
      <c r="AL1513" t="s">
        <v>2972</v>
      </c>
      <c r="AN1513" t="s">
        <v>31</v>
      </c>
      <c r="AO1513">
        <v>0</v>
      </c>
      <c r="AS1513" t="s">
        <v>538</v>
      </c>
      <c r="AX1513" t="s">
        <v>31</v>
      </c>
      <c r="AY1513" t="s">
        <v>442</v>
      </c>
      <c r="AZ1513" t="s">
        <v>2973</v>
      </c>
      <c r="BE1513" t="s">
        <v>2466</v>
      </c>
      <c r="BF1513">
        <v>0</v>
      </c>
      <c r="BK1513" t="s">
        <v>31</v>
      </c>
      <c r="BS1513" t="s">
        <v>412</v>
      </c>
      <c r="BT1513" t="s">
        <v>412</v>
      </c>
      <c r="CI1513" t="s">
        <v>388</v>
      </c>
      <c r="CJ1513" s="14">
        <v>45014</v>
      </c>
      <c r="CK1513">
        <v>1</v>
      </c>
    </row>
    <row r="1514" spans="1:89">
      <c r="A1514" t="s">
        <v>2096</v>
      </c>
      <c r="B1514" t="s">
        <v>374</v>
      </c>
      <c r="C1514" t="s">
        <v>2097</v>
      </c>
      <c r="D1514" t="s">
        <v>2974</v>
      </c>
      <c r="E1514" t="s">
        <v>2975</v>
      </c>
      <c r="F1514" s="13">
        <v>44616.217870370368</v>
      </c>
      <c r="G1514" t="s">
        <v>2100</v>
      </c>
      <c r="H1514" t="s">
        <v>2101</v>
      </c>
      <c r="I1514" s="13">
        <v>45012.043900462966</v>
      </c>
      <c r="K1514" t="s">
        <v>415</v>
      </c>
      <c r="M1514" s="13">
        <v>44681</v>
      </c>
      <c r="R1514">
        <v>0</v>
      </c>
      <c r="S1514" t="s">
        <v>380</v>
      </c>
      <c r="T1514" t="s">
        <v>57</v>
      </c>
      <c r="V1514" t="s">
        <v>478</v>
      </c>
      <c r="W1514" t="s">
        <v>2187</v>
      </c>
      <c r="X1514" t="s">
        <v>2187</v>
      </c>
      <c r="AC1514" s="13">
        <v>44681</v>
      </c>
      <c r="AD1514" s="13">
        <v>44681</v>
      </c>
      <c r="AF1514" t="s">
        <v>451</v>
      </c>
      <c r="AI1514">
        <v>-331</v>
      </c>
      <c r="AL1514" t="s">
        <v>2976</v>
      </c>
      <c r="AN1514" t="s">
        <v>31</v>
      </c>
      <c r="AO1514">
        <v>0</v>
      </c>
      <c r="AS1514" t="s">
        <v>648</v>
      </c>
      <c r="AX1514" t="s">
        <v>57</v>
      </c>
      <c r="AY1514" t="s">
        <v>386</v>
      </c>
      <c r="AZ1514" t="s">
        <v>2977</v>
      </c>
      <c r="BF1514">
        <v>0</v>
      </c>
      <c r="BK1514" t="s">
        <v>31</v>
      </c>
      <c r="BS1514" t="s">
        <v>419</v>
      </c>
      <c r="BT1514" t="s">
        <v>419</v>
      </c>
      <c r="CI1514" t="s">
        <v>388</v>
      </c>
      <c r="CJ1514" s="14">
        <v>45014</v>
      </c>
      <c r="CK1514">
        <v>1</v>
      </c>
    </row>
    <row r="1515" spans="1:89">
      <c r="A1515" t="s">
        <v>1522</v>
      </c>
      <c r="B1515" t="s">
        <v>374</v>
      </c>
      <c r="C1515" t="s">
        <v>1523</v>
      </c>
      <c r="D1515" t="s">
        <v>2978</v>
      </c>
      <c r="E1515" t="s">
        <v>2979</v>
      </c>
      <c r="F1515" s="13">
        <v>44615.913206018522</v>
      </c>
      <c r="G1515" t="s">
        <v>1526</v>
      </c>
      <c r="H1515" t="s">
        <v>1527</v>
      </c>
      <c r="I1515" s="13">
        <v>44615.915023148147</v>
      </c>
      <c r="K1515" t="s">
        <v>412</v>
      </c>
      <c r="R1515">
        <v>0</v>
      </c>
      <c r="S1515" t="s">
        <v>380</v>
      </c>
      <c r="T1515" t="s">
        <v>57</v>
      </c>
      <c r="V1515" t="s">
        <v>381</v>
      </c>
      <c r="W1515" t="s">
        <v>2980</v>
      </c>
      <c r="X1515" t="s">
        <v>2980</v>
      </c>
      <c r="AC1515" s="13">
        <v>44697</v>
      </c>
      <c r="AD1515" s="13">
        <v>44697</v>
      </c>
      <c r="AI1515">
        <v>82</v>
      </c>
      <c r="AL1515" t="s">
        <v>2981</v>
      </c>
      <c r="AN1515" t="s">
        <v>31</v>
      </c>
      <c r="AO1515">
        <v>0</v>
      </c>
      <c r="AS1515" t="s">
        <v>385</v>
      </c>
      <c r="AX1515" t="s">
        <v>31</v>
      </c>
      <c r="AY1515" t="s">
        <v>442</v>
      </c>
      <c r="AZ1515" t="s">
        <v>2982</v>
      </c>
      <c r="BF1515">
        <v>0</v>
      </c>
      <c r="BK1515" t="s">
        <v>31</v>
      </c>
      <c r="BS1515" t="s">
        <v>412</v>
      </c>
      <c r="BT1515" t="s">
        <v>412</v>
      </c>
      <c r="CI1515" t="s">
        <v>388</v>
      </c>
      <c r="CJ1515" s="14">
        <v>45014</v>
      </c>
      <c r="CK1515">
        <v>1</v>
      </c>
    </row>
    <row r="1516" spans="1:89">
      <c r="A1516" t="s">
        <v>2927</v>
      </c>
      <c r="B1516" t="s">
        <v>374</v>
      </c>
      <c r="C1516" t="s">
        <v>2928</v>
      </c>
      <c r="D1516" t="s">
        <v>2983</v>
      </c>
      <c r="E1516" t="s">
        <v>2984</v>
      </c>
      <c r="F1516" s="13">
        <v>44615.626435185186</v>
      </c>
      <c r="G1516" t="s">
        <v>2985</v>
      </c>
      <c r="H1516" t="s">
        <v>2986</v>
      </c>
      <c r="I1516" s="13">
        <v>45012.043888888889</v>
      </c>
      <c r="K1516" t="s">
        <v>415</v>
      </c>
      <c r="M1516" s="13">
        <v>44925</v>
      </c>
      <c r="R1516">
        <v>25</v>
      </c>
      <c r="S1516" t="s">
        <v>380</v>
      </c>
      <c r="T1516" t="s">
        <v>57</v>
      </c>
      <c r="V1516" t="s">
        <v>478</v>
      </c>
      <c r="W1516" t="s">
        <v>2987</v>
      </c>
      <c r="X1516" t="s">
        <v>2987</v>
      </c>
      <c r="AF1516" t="s">
        <v>451</v>
      </c>
      <c r="AG1516" t="s">
        <v>2988</v>
      </c>
      <c r="AI1516">
        <v>-87</v>
      </c>
      <c r="AL1516" t="s">
        <v>2989</v>
      </c>
      <c r="AN1516" t="s">
        <v>31</v>
      </c>
      <c r="AO1516">
        <v>0</v>
      </c>
      <c r="AS1516" t="s">
        <v>461</v>
      </c>
      <c r="AX1516" t="s">
        <v>31</v>
      </c>
      <c r="AY1516" t="s">
        <v>442</v>
      </c>
      <c r="AZ1516" t="s">
        <v>2990</v>
      </c>
      <c r="BF1516">
        <v>0</v>
      </c>
      <c r="BK1516" t="s">
        <v>31</v>
      </c>
      <c r="BS1516" t="s">
        <v>419</v>
      </c>
      <c r="BT1516" t="s">
        <v>419</v>
      </c>
      <c r="CI1516" t="s">
        <v>388</v>
      </c>
      <c r="CJ1516" s="14">
        <v>45014</v>
      </c>
      <c r="CK1516">
        <v>1</v>
      </c>
    </row>
    <row r="1517" spans="1:89">
      <c r="A1517" t="s">
        <v>2927</v>
      </c>
      <c r="B1517" t="s">
        <v>374</v>
      </c>
      <c r="C1517" t="s">
        <v>2928</v>
      </c>
      <c r="D1517" t="s">
        <v>2991</v>
      </c>
      <c r="E1517" t="s">
        <v>2992</v>
      </c>
      <c r="F1517" s="13">
        <v>44615.615520833337</v>
      </c>
      <c r="G1517" t="s">
        <v>2985</v>
      </c>
      <c r="H1517" t="s">
        <v>2986</v>
      </c>
      <c r="I1517" s="13">
        <v>45012.043888888889</v>
      </c>
      <c r="K1517" t="s">
        <v>415</v>
      </c>
      <c r="M1517" s="13">
        <v>44925</v>
      </c>
      <c r="R1517">
        <v>10</v>
      </c>
      <c r="S1517" t="s">
        <v>380</v>
      </c>
      <c r="T1517" t="s">
        <v>57</v>
      </c>
      <c r="V1517" t="s">
        <v>478</v>
      </c>
      <c r="W1517" t="s">
        <v>2993</v>
      </c>
      <c r="X1517" t="s">
        <v>2993</v>
      </c>
      <c r="AF1517" t="s">
        <v>451</v>
      </c>
      <c r="AG1517" t="s">
        <v>2994</v>
      </c>
      <c r="AI1517">
        <v>-87</v>
      </c>
      <c r="AL1517" t="s">
        <v>2995</v>
      </c>
      <c r="AN1517" t="s">
        <v>31</v>
      </c>
      <c r="AO1517">
        <v>0</v>
      </c>
      <c r="AS1517" t="s">
        <v>392</v>
      </c>
      <c r="AX1517" t="s">
        <v>31</v>
      </c>
      <c r="AY1517" t="s">
        <v>442</v>
      </c>
      <c r="AZ1517" t="s">
        <v>2996</v>
      </c>
      <c r="BF1517">
        <v>0</v>
      </c>
      <c r="BK1517" t="s">
        <v>31</v>
      </c>
      <c r="BS1517" t="s">
        <v>419</v>
      </c>
      <c r="BT1517" t="s">
        <v>419</v>
      </c>
      <c r="CI1517" t="s">
        <v>388</v>
      </c>
      <c r="CJ1517" s="14">
        <v>45014</v>
      </c>
      <c r="CK1517">
        <v>1</v>
      </c>
    </row>
    <row r="1518" spans="1:89">
      <c r="A1518" t="s">
        <v>2096</v>
      </c>
      <c r="B1518" t="s">
        <v>374</v>
      </c>
      <c r="C1518" t="s">
        <v>2097</v>
      </c>
      <c r="D1518" t="s">
        <v>2997</v>
      </c>
      <c r="E1518" t="s">
        <v>2998</v>
      </c>
      <c r="F1518" s="13">
        <v>44615.593402777777</v>
      </c>
      <c r="G1518" t="s">
        <v>2890</v>
      </c>
      <c r="H1518" t="s">
        <v>2891</v>
      </c>
      <c r="I1518" s="13">
        <v>45012.043888888889</v>
      </c>
      <c r="K1518" t="s">
        <v>415</v>
      </c>
      <c r="M1518" s="13">
        <v>44681</v>
      </c>
      <c r="R1518">
        <v>0</v>
      </c>
      <c r="S1518" t="s">
        <v>380</v>
      </c>
      <c r="T1518" t="s">
        <v>57</v>
      </c>
      <c r="V1518" t="s">
        <v>478</v>
      </c>
      <c r="W1518" t="s">
        <v>2187</v>
      </c>
      <c r="X1518" t="s">
        <v>2187</v>
      </c>
      <c r="AC1518" s="13">
        <v>44681</v>
      </c>
      <c r="AD1518" s="13">
        <v>44681</v>
      </c>
      <c r="AF1518" t="s">
        <v>451</v>
      </c>
      <c r="AI1518">
        <v>-331</v>
      </c>
      <c r="AL1518" t="s">
        <v>2999</v>
      </c>
      <c r="AN1518" t="s">
        <v>31</v>
      </c>
      <c r="AO1518">
        <v>0</v>
      </c>
      <c r="AS1518" t="s">
        <v>385</v>
      </c>
      <c r="AX1518" t="s">
        <v>57</v>
      </c>
      <c r="AY1518" t="s">
        <v>386</v>
      </c>
      <c r="AZ1518" t="s">
        <v>3000</v>
      </c>
      <c r="BE1518">
        <v>55</v>
      </c>
      <c r="BF1518">
        <v>0</v>
      </c>
      <c r="BK1518" t="s">
        <v>31</v>
      </c>
      <c r="BS1518" t="s">
        <v>419</v>
      </c>
      <c r="BT1518" t="s">
        <v>419</v>
      </c>
      <c r="CI1518" t="s">
        <v>388</v>
      </c>
      <c r="CJ1518" s="14">
        <v>45014</v>
      </c>
      <c r="CK1518">
        <v>1</v>
      </c>
    </row>
    <row r="1519" spans="1:89">
      <c r="A1519" t="s">
        <v>2927</v>
      </c>
      <c r="B1519" t="s">
        <v>374</v>
      </c>
      <c r="C1519" t="s">
        <v>2928</v>
      </c>
      <c r="D1519" t="s">
        <v>3001</v>
      </c>
      <c r="E1519" t="s">
        <v>3002</v>
      </c>
      <c r="F1519" s="13">
        <v>44615.580185185187</v>
      </c>
      <c r="G1519" t="s">
        <v>3003</v>
      </c>
      <c r="H1519" t="s">
        <v>3004</v>
      </c>
      <c r="I1519" s="13">
        <v>44959.443726851852</v>
      </c>
      <c r="K1519" t="s">
        <v>379</v>
      </c>
      <c r="M1519" s="13">
        <v>44895</v>
      </c>
      <c r="R1519">
        <v>100</v>
      </c>
      <c r="S1519" t="s">
        <v>380</v>
      </c>
      <c r="T1519" t="s">
        <v>57</v>
      </c>
      <c r="V1519" t="s">
        <v>478</v>
      </c>
      <c r="W1519" t="s">
        <v>2326</v>
      </c>
      <c r="X1519" t="s">
        <v>2326</v>
      </c>
      <c r="AF1519" t="s">
        <v>382</v>
      </c>
      <c r="AG1519" t="s">
        <v>3005</v>
      </c>
      <c r="AI1519">
        <v>-64</v>
      </c>
      <c r="AJ1519" s="13">
        <v>44959</v>
      </c>
      <c r="AL1519" t="s">
        <v>3006</v>
      </c>
      <c r="AN1519" t="s">
        <v>31</v>
      </c>
      <c r="AO1519">
        <v>0</v>
      </c>
      <c r="AR1519" t="s">
        <v>3007</v>
      </c>
      <c r="AS1519" t="s">
        <v>385</v>
      </c>
      <c r="AX1519" t="s">
        <v>31</v>
      </c>
      <c r="AY1519" t="s">
        <v>442</v>
      </c>
      <c r="AZ1519" t="s">
        <v>3008</v>
      </c>
      <c r="BF1519">
        <v>0</v>
      </c>
      <c r="BK1519" t="s">
        <v>31</v>
      </c>
      <c r="BS1519" t="s">
        <v>379</v>
      </c>
      <c r="BT1519" t="s">
        <v>379</v>
      </c>
      <c r="CI1519" t="s">
        <v>388</v>
      </c>
      <c r="CJ1519" s="14">
        <v>45014</v>
      </c>
      <c r="CK1519">
        <v>1</v>
      </c>
    </row>
    <row r="1520" spans="1:89">
      <c r="A1520" t="s">
        <v>2927</v>
      </c>
      <c r="B1520" t="s">
        <v>374</v>
      </c>
      <c r="C1520" t="s">
        <v>2928</v>
      </c>
      <c r="D1520" t="s">
        <v>3009</v>
      </c>
      <c r="E1520" t="s">
        <v>3010</v>
      </c>
      <c r="F1520" s="13">
        <v>44615.577152777776</v>
      </c>
      <c r="G1520" t="s">
        <v>2985</v>
      </c>
      <c r="H1520" t="s">
        <v>2986</v>
      </c>
      <c r="I1520" s="13">
        <v>45012.043888888889</v>
      </c>
      <c r="K1520" t="s">
        <v>415</v>
      </c>
      <c r="M1520" s="13">
        <v>44712</v>
      </c>
      <c r="R1520">
        <v>95</v>
      </c>
      <c r="S1520" t="s">
        <v>380</v>
      </c>
      <c r="T1520" t="s">
        <v>57</v>
      </c>
      <c r="V1520" t="s">
        <v>478</v>
      </c>
      <c r="W1520" t="s">
        <v>3011</v>
      </c>
      <c r="X1520" t="s">
        <v>3011</v>
      </c>
      <c r="AF1520" t="s">
        <v>451</v>
      </c>
      <c r="AG1520" t="s">
        <v>3012</v>
      </c>
      <c r="AI1520">
        <v>-300</v>
      </c>
      <c r="AL1520" t="s">
        <v>3013</v>
      </c>
      <c r="AN1520" t="s">
        <v>31</v>
      </c>
      <c r="AO1520">
        <v>0</v>
      </c>
      <c r="AS1520" t="s">
        <v>392</v>
      </c>
      <c r="AX1520" t="s">
        <v>31</v>
      </c>
      <c r="AY1520" t="s">
        <v>442</v>
      </c>
      <c r="AZ1520" t="s">
        <v>3014</v>
      </c>
      <c r="BF1520">
        <v>0</v>
      </c>
      <c r="BK1520" t="s">
        <v>31</v>
      </c>
      <c r="BS1520" t="s">
        <v>419</v>
      </c>
      <c r="BT1520" t="s">
        <v>419</v>
      </c>
      <c r="CI1520" t="s">
        <v>388</v>
      </c>
      <c r="CJ1520" s="14">
        <v>45014</v>
      </c>
      <c r="CK1520">
        <v>1</v>
      </c>
    </row>
    <row r="1521" spans="1:89">
      <c r="A1521" t="s">
        <v>2927</v>
      </c>
      <c r="B1521" t="s">
        <v>374</v>
      </c>
      <c r="C1521" t="s">
        <v>2928</v>
      </c>
      <c r="D1521" t="s">
        <v>3015</v>
      </c>
      <c r="E1521" t="s">
        <v>3016</v>
      </c>
      <c r="F1521" s="13">
        <v>44615.568981481483</v>
      </c>
      <c r="G1521" t="s">
        <v>2931</v>
      </c>
      <c r="H1521" t="s">
        <v>2932</v>
      </c>
      <c r="I1521" s="13">
        <v>45012.043877314813</v>
      </c>
      <c r="K1521" t="s">
        <v>415</v>
      </c>
      <c r="M1521" s="13">
        <v>44651</v>
      </c>
      <c r="R1521">
        <v>80</v>
      </c>
      <c r="S1521" t="s">
        <v>380</v>
      </c>
      <c r="T1521" t="s">
        <v>57</v>
      </c>
      <c r="V1521" t="s">
        <v>478</v>
      </c>
      <c r="W1521" t="s">
        <v>3017</v>
      </c>
      <c r="X1521" t="s">
        <v>3017</v>
      </c>
      <c r="AF1521" t="s">
        <v>451</v>
      </c>
      <c r="AG1521" t="s">
        <v>3018</v>
      </c>
      <c r="AI1521">
        <v>-361</v>
      </c>
      <c r="AL1521" t="s">
        <v>3019</v>
      </c>
      <c r="AN1521" t="s">
        <v>31</v>
      </c>
      <c r="AO1521">
        <v>0</v>
      </c>
      <c r="AS1521" t="s">
        <v>385</v>
      </c>
      <c r="AX1521" t="s">
        <v>31</v>
      </c>
      <c r="AY1521" t="s">
        <v>386</v>
      </c>
      <c r="AZ1521" t="s">
        <v>3020</v>
      </c>
      <c r="BF1521">
        <v>0</v>
      </c>
      <c r="BK1521" t="s">
        <v>31</v>
      </c>
      <c r="BS1521" t="s">
        <v>419</v>
      </c>
      <c r="BT1521" t="s">
        <v>419</v>
      </c>
      <c r="CI1521" t="s">
        <v>388</v>
      </c>
      <c r="CJ1521" s="14">
        <v>45014</v>
      </c>
      <c r="CK1521">
        <v>1</v>
      </c>
    </row>
    <row r="1522" spans="1:89">
      <c r="A1522" t="s">
        <v>2927</v>
      </c>
      <c r="B1522" t="s">
        <v>374</v>
      </c>
      <c r="C1522" t="s">
        <v>2928</v>
      </c>
      <c r="D1522" t="s">
        <v>3021</v>
      </c>
      <c r="E1522" t="s">
        <v>3022</v>
      </c>
      <c r="F1522" s="13">
        <v>44615.552349537036</v>
      </c>
      <c r="G1522" t="s">
        <v>3003</v>
      </c>
      <c r="H1522" t="s">
        <v>3004</v>
      </c>
      <c r="I1522" s="13">
        <v>45012.043877314813</v>
      </c>
      <c r="K1522" t="s">
        <v>415</v>
      </c>
      <c r="M1522" s="13">
        <v>44713</v>
      </c>
      <c r="R1522">
        <v>50</v>
      </c>
      <c r="S1522" t="s">
        <v>380</v>
      </c>
      <c r="T1522" t="s">
        <v>57</v>
      </c>
      <c r="V1522" t="s">
        <v>478</v>
      </c>
      <c r="W1522" t="s">
        <v>3023</v>
      </c>
      <c r="X1522" t="s">
        <v>3023</v>
      </c>
      <c r="AF1522" t="s">
        <v>451</v>
      </c>
      <c r="AG1522" t="s">
        <v>3024</v>
      </c>
      <c r="AI1522">
        <v>-299</v>
      </c>
      <c r="AL1522" t="s">
        <v>3025</v>
      </c>
      <c r="AN1522" t="s">
        <v>31</v>
      </c>
      <c r="AO1522">
        <v>0</v>
      </c>
      <c r="AS1522" t="s">
        <v>385</v>
      </c>
      <c r="AX1522" t="s">
        <v>31</v>
      </c>
      <c r="AY1522" t="s">
        <v>386</v>
      </c>
      <c r="AZ1522" t="s">
        <v>3026</v>
      </c>
      <c r="BF1522">
        <v>0</v>
      </c>
      <c r="BK1522" t="s">
        <v>31</v>
      </c>
      <c r="BS1522" t="s">
        <v>419</v>
      </c>
      <c r="BT1522" t="s">
        <v>419</v>
      </c>
      <c r="CI1522" t="s">
        <v>388</v>
      </c>
      <c r="CJ1522" s="14">
        <v>45014</v>
      </c>
      <c r="CK1522">
        <v>1</v>
      </c>
    </row>
    <row r="1523" spans="1:89">
      <c r="A1523" t="s">
        <v>2927</v>
      </c>
      <c r="B1523" t="s">
        <v>374</v>
      </c>
      <c r="C1523" t="s">
        <v>2928</v>
      </c>
      <c r="D1523" t="s">
        <v>3027</v>
      </c>
      <c r="E1523" t="s">
        <v>3028</v>
      </c>
      <c r="F1523" s="13">
        <v>44615.552303240744</v>
      </c>
      <c r="G1523" t="s">
        <v>2931</v>
      </c>
      <c r="H1523" t="s">
        <v>2932</v>
      </c>
      <c r="I1523" s="13">
        <v>45012.043877314813</v>
      </c>
      <c r="K1523" t="s">
        <v>415</v>
      </c>
      <c r="M1523" s="13">
        <v>44651</v>
      </c>
      <c r="R1523">
        <v>80</v>
      </c>
      <c r="S1523" t="s">
        <v>380</v>
      </c>
      <c r="T1523" t="s">
        <v>57</v>
      </c>
      <c r="V1523" t="s">
        <v>478</v>
      </c>
      <c r="W1523" t="s">
        <v>3029</v>
      </c>
      <c r="X1523" t="s">
        <v>3029</v>
      </c>
      <c r="AF1523" t="s">
        <v>451</v>
      </c>
      <c r="AG1523" t="s">
        <v>3030</v>
      </c>
      <c r="AI1523">
        <v>-361</v>
      </c>
      <c r="AL1523" t="s">
        <v>3031</v>
      </c>
      <c r="AN1523" t="s">
        <v>31</v>
      </c>
      <c r="AO1523">
        <v>0</v>
      </c>
      <c r="AS1523" t="s">
        <v>385</v>
      </c>
      <c r="AX1523" t="s">
        <v>31</v>
      </c>
      <c r="AY1523" t="s">
        <v>386</v>
      </c>
      <c r="AZ1523" t="s">
        <v>3032</v>
      </c>
      <c r="BE1523" t="s">
        <v>3033</v>
      </c>
      <c r="BF1523">
        <v>0</v>
      </c>
      <c r="BK1523" t="s">
        <v>31</v>
      </c>
      <c r="BS1523" t="s">
        <v>419</v>
      </c>
      <c r="BT1523" t="s">
        <v>419</v>
      </c>
      <c r="CI1523" t="s">
        <v>388</v>
      </c>
      <c r="CJ1523" s="14">
        <v>45014</v>
      </c>
      <c r="CK1523">
        <v>1</v>
      </c>
    </row>
    <row r="1524" spans="1:89">
      <c r="A1524" t="s">
        <v>1655</v>
      </c>
      <c r="B1524" t="s">
        <v>374</v>
      </c>
      <c r="C1524" t="s">
        <v>1656</v>
      </c>
      <c r="D1524" t="s">
        <v>3034</v>
      </c>
      <c r="E1524" t="s">
        <v>3035</v>
      </c>
      <c r="F1524" s="13">
        <v>44615.488622685189</v>
      </c>
      <c r="G1524" t="s">
        <v>2777</v>
      </c>
      <c r="H1524" t="s">
        <v>2778</v>
      </c>
      <c r="I1524" s="13">
        <v>45012.043865740743</v>
      </c>
      <c r="K1524" t="s">
        <v>415</v>
      </c>
      <c r="M1524" s="13">
        <v>44834</v>
      </c>
      <c r="R1524">
        <v>0</v>
      </c>
      <c r="S1524" t="s">
        <v>380</v>
      </c>
      <c r="T1524" t="s">
        <v>57</v>
      </c>
      <c r="V1524" t="s">
        <v>478</v>
      </c>
      <c r="W1524" t="s">
        <v>2353</v>
      </c>
      <c r="X1524" t="s">
        <v>2353</v>
      </c>
      <c r="AC1524" s="13">
        <v>44925</v>
      </c>
      <c r="AD1524" s="13">
        <v>44895</v>
      </c>
      <c r="AF1524" t="s">
        <v>451</v>
      </c>
      <c r="AI1524">
        <v>-178</v>
      </c>
      <c r="AL1524" t="s">
        <v>2354</v>
      </c>
      <c r="AN1524" t="s">
        <v>31</v>
      </c>
      <c r="AO1524">
        <v>0</v>
      </c>
      <c r="AS1524" t="s">
        <v>392</v>
      </c>
      <c r="AX1524" t="s">
        <v>31</v>
      </c>
      <c r="AY1524" t="s">
        <v>442</v>
      </c>
      <c r="AZ1524" t="s">
        <v>3036</v>
      </c>
      <c r="BE1524" t="s">
        <v>3037</v>
      </c>
      <c r="BF1524">
        <v>0</v>
      </c>
      <c r="BK1524" t="s">
        <v>31</v>
      </c>
      <c r="BS1524" t="s">
        <v>419</v>
      </c>
      <c r="BT1524" t="s">
        <v>419</v>
      </c>
      <c r="CI1524" t="s">
        <v>388</v>
      </c>
      <c r="CJ1524" s="14">
        <v>45014</v>
      </c>
      <c r="CK1524">
        <v>1</v>
      </c>
    </row>
    <row r="1525" spans="1:89">
      <c r="A1525" t="s">
        <v>2927</v>
      </c>
      <c r="B1525" t="s">
        <v>374</v>
      </c>
      <c r="C1525" t="s">
        <v>2928</v>
      </c>
      <c r="D1525" t="s">
        <v>3038</v>
      </c>
      <c r="E1525" t="s">
        <v>3039</v>
      </c>
      <c r="F1525" s="13">
        <v>44615.468900462962</v>
      </c>
      <c r="G1525" t="s">
        <v>2931</v>
      </c>
      <c r="H1525" t="s">
        <v>2932</v>
      </c>
      <c r="I1525" s="13">
        <v>45012.043865740743</v>
      </c>
      <c r="K1525" t="s">
        <v>415</v>
      </c>
      <c r="M1525" s="13">
        <v>44651</v>
      </c>
      <c r="R1525">
        <v>80</v>
      </c>
      <c r="S1525" t="s">
        <v>380</v>
      </c>
      <c r="T1525" t="s">
        <v>57</v>
      </c>
      <c r="V1525" t="s">
        <v>478</v>
      </c>
      <c r="W1525" t="s">
        <v>3029</v>
      </c>
      <c r="X1525" t="s">
        <v>3029</v>
      </c>
      <c r="AF1525" t="s">
        <v>451</v>
      </c>
      <c r="AG1525" t="s">
        <v>3040</v>
      </c>
      <c r="AI1525">
        <v>-361</v>
      </c>
      <c r="AL1525" t="s">
        <v>3041</v>
      </c>
      <c r="AN1525" t="s">
        <v>31</v>
      </c>
      <c r="AO1525">
        <v>0</v>
      </c>
      <c r="AS1525" t="s">
        <v>385</v>
      </c>
      <c r="AX1525" t="s">
        <v>31</v>
      </c>
      <c r="AY1525" t="s">
        <v>386</v>
      </c>
      <c r="AZ1525" t="s">
        <v>3042</v>
      </c>
      <c r="BF1525">
        <v>0</v>
      </c>
      <c r="BK1525" t="s">
        <v>31</v>
      </c>
      <c r="BS1525" t="s">
        <v>419</v>
      </c>
      <c r="BT1525" t="s">
        <v>419</v>
      </c>
      <c r="CI1525" t="s">
        <v>388</v>
      </c>
      <c r="CJ1525" s="14">
        <v>45014</v>
      </c>
      <c r="CK1525">
        <v>1</v>
      </c>
    </row>
    <row r="1526" spans="1:89">
      <c r="A1526" t="s">
        <v>2927</v>
      </c>
      <c r="B1526" t="s">
        <v>374</v>
      </c>
      <c r="C1526" t="s">
        <v>2928</v>
      </c>
      <c r="D1526" t="s">
        <v>3043</v>
      </c>
      <c r="E1526" t="s">
        <v>3044</v>
      </c>
      <c r="F1526" s="13">
        <v>44615.440416666665</v>
      </c>
      <c r="G1526" t="s">
        <v>3003</v>
      </c>
      <c r="H1526" t="s">
        <v>3004</v>
      </c>
      <c r="I1526" s="13">
        <v>45012.043865740743</v>
      </c>
      <c r="K1526" t="s">
        <v>415</v>
      </c>
      <c r="M1526" s="13">
        <v>44651</v>
      </c>
      <c r="R1526">
        <v>90</v>
      </c>
      <c r="S1526" t="s">
        <v>380</v>
      </c>
      <c r="T1526" t="s">
        <v>57</v>
      </c>
      <c r="V1526" t="s">
        <v>478</v>
      </c>
      <c r="W1526" t="s">
        <v>3045</v>
      </c>
      <c r="X1526" t="s">
        <v>3045</v>
      </c>
      <c r="AF1526" t="s">
        <v>451</v>
      </c>
      <c r="AG1526" t="s">
        <v>3046</v>
      </c>
      <c r="AI1526">
        <v>-361</v>
      </c>
      <c r="AL1526" t="s">
        <v>3047</v>
      </c>
      <c r="AN1526" t="s">
        <v>31</v>
      </c>
      <c r="AO1526">
        <v>0</v>
      </c>
      <c r="AS1526" t="s">
        <v>385</v>
      </c>
      <c r="AX1526" t="s">
        <v>31</v>
      </c>
      <c r="AY1526" t="s">
        <v>386</v>
      </c>
      <c r="AZ1526" t="s">
        <v>3048</v>
      </c>
      <c r="BF1526">
        <v>0</v>
      </c>
      <c r="BK1526" t="s">
        <v>31</v>
      </c>
      <c r="BS1526" t="s">
        <v>419</v>
      </c>
      <c r="BT1526" t="s">
        <v>419</v>
      </c>
      <c r="CI1526" t="s">
        <v>388</v>
      </c>
      <c r="CJ1526" s="14">
        <v>45014</v>
      </c>
      <c r="CK1526">
        <v>1</v>
      </c>
    </row>
    <row r="1527" spans="1:89">
      <c r="A1527" t="s">
        <v>1655</v>
      </c>
      <c r="B1527" t="s">
        <v>374</v>
      </c>
      <c r="C1527" t="s">
        <v>1656</v>
      </c>
      <c r="D1527" t="s">
        <v>3049</v>
      </c>
      <c r="E1527" t="s">
        <v>3050</v>
      </c>
      <c r="F1527" s="13">
        <v>44615.407557870371</v>
      </c>
      <c r="G1527" t="s">
        <v>2777</v>
      </c>
      <c r="H1527" t="s">
        <v>2778</v>
      </c>
      <c r="I1527" s="13">
        <v>45012.043865740743</v>
      </c>
      <c r="K1527" t="s">
        <v>415</v>
      </c>
      <c r="M1527" s="13">
        <v>44774</v>
      </c>
      <c r="R1527">
        <v>0</v>
      </c>
      <c r="S1527" t="s">
        <v>380</v>
      </c>
      <c r="T1527" t="s">
        <v>57</v>
      </c>
      <c r="V1527" t="s">
        <v>478</v>
      </c>
      <c r="W1527" t="s">
        <v>2353</v>
      </c>
      <c r="X1527" t="s">
        <v>2353</v>
      </c>
      <c r="AC1527" s="13">
        <v>44742</v>
      </c>
      <c r="AD1527" s="13">
        <v>44071</v>
      </c>
      <c r="AF1527" t="s">
        <v>451</v>
      </c>
      <c r="AI1527">
        <v>-238</v>
      </c>
      <c r="AL1527" t="s">
        <v>2354</v>
      </c>
      <c r="AN1527" t="s">
        <v>31</v>
      </c>
      <c r="AO1527">
        <v>0</v>
      </c>
      <c r="AS1527" t="s">
        <v>392</v>
      </c>
      <c r="AX1527" t="s">
        <v>31</v>
      </c>
      <c r="AY1527" t="s">
        <v>386</v>
      </c>
      <c r="AZ1527" t="s">
        <v>3051</v>
      </c>
      <c r="BE1527" t="s">
        <v>1404</v>
      </c>
      <c r="BF1527">
        <v>0</v>
      </c>
      <c r="BK1527" t="s">
        <v>31</v>
      </c>
      <c r="BS1527" t="s">
        <v>419</v>
      </c>
      <c r="BT1527" t="s">
        <v>419</v>
      </c>
      <c r="CI1527" t="s">
        <v>388</v>
      </c>
      <c r="CJ1527" s="14">
        <v>45014</v>
      </c>
      <c r="CK1527">
        <v>1</v>
      </c>
    </row>
    <row r="1528" spans="1:89">
      <c r="A1528" t="s">
        <v>1655</v>
      </c>
      <c r="B1528" t="s">
        <v>374</v>
      </c>
      <c r="C1528" t="s">
        <v>1656</v>
      </c>
      <c r="D1528" t="s">
        <v>3052</v>
      </c>
      <c r="E1528" t="s">
        <v>3053</v>
      </c>
      <c r="F1528" s="13">
        <v>44615.392743055556</v>
      </c>
      <c r="G1528" t="s">
        <v>2777</v>
      </c>
      <c r="H1528" t="s">
        <v>2778</v>
      </c>
      <c r="I1528" s="13">
        <v>44623.670370370368</v>
      </c>
      <c r="K1528" t="s">
        <v>409</v>
      </c>
      <c r="R1528">
        <v>0</v>
      </c>
      <c r="S1528" t="s">
        <v>380</v>
      </c>
      <c r="V1528" t="s">
        <v>381</v>
      </c>
      <c r="W1528" t="s">
        <v>3054</v>
      </c>
      <c r="X1528" t="s">
        <v>3054</v>
      </c>
      <c r="AI1528">
        <v>36</v>
      </c>
      <c r="AL1528" t="s">
        <v>3055</v>
      </c>
      <c r="AN1528" t="s">
        <v>31</v>
      </c>
      <c r="AO1528">
        <v>0</v>
      </c>
      <c r="AZ1528" t="s">
        <v>3056</v>
      </c>
      <c r="BF1528">
        <v>0</v>
      </c>
      <c r="BK1528" t="s">
        <v>31</v>
      </c>
      <c r="BS1528" t="s">
        <v>409</v>
      </c>
      <c r="BT1528" t="s">
        <v>409</v>
      </c>
      <c r="CI1528" t="s">
        <v>388</v>
      </c>
      <c r="CJ1528" s="14">
        <v>45014</v>
      </c>
      <c r="CK1528">
        <v>1</v>
      </c>
    </row>
    <row r="1529" spans="1:89">
      <c r="A1529" t="s">
        <v>2927</v>
      </c>
      <c r="B1529" t="s">
        <v>374</v>
      </c>
      <c r="C1529" t="s">
        <v>2928</v>
      </c>
      <c r="D1529" t="s">
        <v>3057</v>
      </c>
      <c r="E1529" t="s">
        <v>3058</v>
      </c>
      <c r="F1529" s="13">
        <v>44615.391747685186</v>
      </c>
      <c r="G1529" t="s">
        <v>3003</v>
      </c>
      <c r="H1529" t="s">
        <v>3004</v>
      </c>
      <c r="I1529" s="13">
        <v>45012.043854166666</v>
      </c>
      <c r="K1529" t="s">
        <v>415</v>
      </c>
      <c r="M1529" s="13">
        <v>44621</v>
      </c>
      <c r="R1529">
        <v>80</v>
      </c>
      <c r="S1529" t="s">
        <v>416</v>
      </c>
      <c r="T1529" t="s">
        <v>57</v>
      </c>
      <c r="V1529" t="s">
        <v>478</v>
      </c>
      <c r="W1529" t="s">
        <v>3059</v>
      </c>
      <c r="X1529" t="s">
        <v>3059</v>
      </c>
      <c r="Y1529" t="s">
        <v>480</v>
      </c>
      <c r="AE1529" t="s">
        <v>3060</v>
      </c>
      <c r="AF1529" t="s">
        <v>451</v>
      </c>
      <c r="AG1529" t="s">
        <v>3061</v>
      </c>
      <c r="AI1529">
        <v>-391</v>
      </c>
      <c r="AL1529" t="s">
        <v>3062</v>
      </c>
      <c r="AN1529" t="s">
        <v>31</v>
      </c>
      <c r="AO1529">
        <v>0</v>
      </c>
      <c r="AS1529" t="s">
        <v>385</v>
      </c>
      <c r="AT1529" t="s">
        <v>57</v>
      </c>
      <c r="AV1529" s="13">
        <v>44681</v>
      </c>
      <c r="AX1529" t="s">
        <v>31</v>
      </c>
      <c r="AY1529" t="s">
        <v>442</v>
      </c>
      <c r="AZ1529" t="s">
        <v>3063</v>
      </c>
      <c r="BF1529">
        <v>0</v>
      </c>
      <c r="BK1529" t="s">
        <v>31</v>
      </c>
      <c r="BS1529" t="s">
        <v>484</v>
      </c>
      <c r="BT1529" t="s">
        <v>484</v>
      </c>
      <c r="CI1529" t="s">
        <v>388</v>
      </c>
      <c r="CJ1529" s="14">
        <v>45014</v>
      </c>
      <c r="CK1529">
        <v>1</v>
      </c>
    </row>
    <row r="1530" spans="1:89">
      <c r="A1530" t="s">
        <v>1655</v>
      </c>
      <c r="B1530" t="s">
        <v>374</v>
      </c>
      <c r="C1530" t="s">
        <v>1656</v>
      </c>
      <c r="D1530" t="s">
        <v>3064</v>
      </c>
      <c r="E1530" t="s">
        <v>3065</v>
      </c>
      <c r="F1530" s="13">
        <v>44614.947708333333</v>
      </c>
      <c r="G1530" t="s">
        <v>2777</v>
      </c>
      <c r="H1530" t="s">
        <v>2778</v>
      </c>
      <c r="I1530" s="13">
        <v>44623.670787037037</v>
      </c>
      <c r="K1530" t="s">
        <v>409</v>
      </c>
      <c r="R1530">
        <v>0</v>
      </c>
      <c r="S1530" t="s">
        <v>380</v>
      </c>
      <c r="V1530" t="s">
        <v>381</v>
      </c>
      <c r="W1530" t="s">
        <v>3054</v>
      </c>
      <c r="X1530" t="s">
        <v>3054</v>
      </c>
      <c r="AI1530">
        <v>37</v>
      </c>
      <c r="AL1530" t="s">
        <v>3066</v>
      </c>
      <c r="AN1530" t="s">
        <v>31</v>
      </c>
      <c r="AO1530">
        <v>0</v>
      </c>
      <c r="AZ1530" t="s">
        <v>3067</v>
      </c>
      <c r="BF1530">
        <v>0</v>
      </c>
      <c r="BK1530" t="s">
        <v>31</v>
      </c>
      <c r="BS1530" t="s">
        <v>409</v>
      </c>
      <c r="BT1530" t="s">
        <v>409</v>
      </c>
      <c r="CI1530" t="s">
        <v>388</v>
      </c>
      <c r="CJ1530" s="14">
        <v>45014</v>
      </c>
      <c r="CK1530">
        <v>1</v>
      </c>
    </row>
    <row r="1531" spans="1:89">
      <c r="A1531" t="s">
        <v>1655</v>
      </c>
      <c r="B1531" t="s">
        <v>374</v>
      </c>
      <c r="C1531" t="s">
        <v>1656</v>
      </c>
      <c r="D1531" t="s">
        <v>3068</v>
      </c>
      <c r="E1531" t="s">
        <v>3069</v>
      </c>
      <c r="F1531" s="13">
        <v>44614.695208333331</v>
      </c>
      <c r="G1531" t="s">
        <v>2777</v>
      </c>
      <c r="H1531" t="s">
        <v>2778</v>
      </c>
      <c r="I1531" s="13">
        <v>44622.506724537037</v>
      </c>
      <c r="K1531" t="s">
        <v>379</v>
      </c>
      <c r="M1531" s="13">
        <v>44620</v>
      </c>
      <c r="R1531">
        <v>100</v>
      </c>
      <c r="S1531" t="s">
        <v>380</v>
      </c>
      <c r="T1531" t="s">
        <v>57</v>
      </c>
      <c r="V1531" t="s">
        <v>478</v>
      </c>
      <c r="W1531" t="s">
        <v>2787</v>
      </c>
      <c r="X1531" t="s">
        <v>2787</v>
      </c>
      <c r="AC1531" s="13">
        <v>44680</v>
      </c>
      <c r="AD1531" s="13">
        <v>44651</v>
      </c>
      <c r="AF1531" t="s">
        <v>382</v>
      </c>
      <c r="AG1531" t="s">
        <v>3070</v>
      </c>
      <c r="AI1531">
        <v>-2</v>
      </c>
      <c r="AJ1531" s="13">
        <v>44621</v>
      </c>
      <c r="AL1531" t="s">
        <v>2788</v>
      </c>
      <c r="AN1531" t="s">
        <v>31</v>
      </c>
      <c r="AO1531">
        <v>0</v>
      </c>
      <c r="AR1531" t="s">
        <v>3071</v>
      </c>
      <c r="AS1531" t="s">
        <v>648</v>
      </c>
      <c r="AX1531" t="s">
        <v>31</v>
      </c>
      <c r="AY1531" t="s">
        <v>442</v>
      </c>
      <c r="AZ1531" t="s">
        <v>3072</v>
      </c>
      <c r="BE1531" t="s">
        <v>1404</v>
      </c>
      <c r="BF1531">
        <v>0</v>
      </c>
      <c r="BK1531" t="s">
        <v>31</v>
      </c>
      <c r="BS1531" t="s">
        <v>379</v>
      </c>
      <c r="BT1531" t="s">
        <v>379</v>
      </c>
      <c r="CI1531" t="s">
        <v>388</v>
      </c>
      <c r="CJ1531" s="14">
        <v>45014</v>
      </c>
      <c r="CK1531">
        <v>1</v>
      </c>
    </row>
    <row r="1532" spans="1:89">
      <c r="A1532" t="s">
        <v>2927</v>
      </c>
      <c r="B1532" t="s">
        <v>374</v>
      </c>
      <c r="C1532" t="s">
        <v>2928</v>
      </c>
      <c r="D1532" t="s">
        <v>3073</v>
      </c>
      <c r="E1532" t="s">
        <v>3074</v>
      </c>
      <c r="F1532" s="13">
        <v>44614.525671296295</v>
      </c>
      <c r="G1532" t="s">
        <v>3003</v>
      </c>
      <c r="H1532" t="s">
        <v>3004</v>
      </c>
      <c r="I1532" s="13">
        <v>45012.043854166666</v>
      </c>
      <c r="K1532" t="s">
        <v>415</v>
      </c>
      <c r="M1532" s="13">
        <v>44651</v>
      </c>
      <c r="R1532">
        <v>70</v>
      </c>
      <c r="S1532" t="s">
        <v>380</v>
      </c>
      <c r="T1532" t="s">
        <v>57</v>
      </c>
      <c r="V1532" t="s">
        <v>478</v>
      </c>
      <c r="W1532" t="s">
        <v>3075</v>
      </c>
      <c r="X1532" t="s">
        <v>3075</v>
      </c>
      <c r="Y1532" t="s">
        <v>480</v>
      </c>
      <c r="AE1532" t="s">
        <v>3076</v>
      </c>
      <c r="AF1532" t="s">
        <v>451</v>
      </c>
      <c r="AG1532" t="s">
        <v>3077</v>
      </c>
      <c r="AI1532">
        <v>-361</v>
      </c>
      <c r="AL1532" t="s">
        <v>3078</v>
      </c>
      <c r="AN1532" t="s">
        <v>31</v>
      </c>
      <c r="AO1532">
        <v>0</v>
      </c>
      <c r="AS1532" t="s">
        <v>522</v>
      </c>
      <c r="AT1532" t="s">
        <v>57</v>
      </c>
      <c r="AV1532" s="13">
        <v>44652</v>
      </c>
      <c r="AX1532" t="s">
        <v>31</v>
      </c>
      <c r="AY1532" t="s">
        <v>442</v>
      </c>
      <c r="AZ1532" t="s">
        <v>3079</v>
      </c>
      <c r="BF1532">
        <v>0</v>
      </c>
      <c r="BK1532" t="s">
        <v>31</v>
      </c>
      <c r="BS1532" t="s">
        <v>484</v>
      </c>
      <c r="BT1532" t="s">
        <v>484</v>
      </c>
      <c r="CI1532" t="s">
        <v>388</v>
      </c>
      <c r="CJ1532" s="14">
        <v>45014</v>
      </c>
      <c r="CK1532">
        <v>1</v>
      </c>
    </row>
    <row r="1533" spans="1:89">
      <c r="A1533" t="s">
        <v>3080</v>
      </c>
      <c r="B1533" t="s">
        <v>374</v>
      </c>
      <c r="C1533" t="s">
        <v>3081</v>
      </c>
      <c r="D1533" t="s">
        <v>3082</v>
      </c>
      <c r="E1533" t="s">
        <v>3083</v>
      </c>
      <c r="F1533" s="13">
        <v>44614.508622685185</v>
      </c>
      <c r="G1533" t="s">
        <v>3084</v>
      </c>
      <c r="H1533" t="s">
        <v>3085</v>
      </c>
      <c r="I1533" s="13">
        <v>45012.043854166666</v>
      </c>
      <c r="K1533" t="s">
        <v>415</v>
      </c>
      <c r="M1533" s="13">
        <v>44770</v>
      </c>
      <c r="R1533">
        <v>0</v>
      </c>
      <c r="S1533" t="s">
        <v>380</v>
      </c>
      <c r="T1533" t="s">
        <v>57</v>
      </c>
      <c r="V1533" t="s">
        <v>478</v>
      </c>
      <c r="W1533" t="s">
        <v>3085</v>
      </c>
      <c r="X1533" t="s">
        <v>3085</v>
      </c>
      <c r="AC1533" s="13">
        <v>44834</v>
      </c>
      <c r="AD1533" s="13">
        <v>44593</v>
      </c>
      <c r="AF1533" t="s">
        <v>451</v>
      </c>
      <c r="AI1533">
        <v>-242</v>
      </c>
      <c r="AL1533" t="s">
        <v>3086</v>
      </c>
      <c r="AN1533" t="s">
        <v>31</v>
      </c>
      <c r="AO1533">
        <v>0</v>
      </c>
      <c r="AS1533" t="s">
        <v>385</v>
      </c>
      <c r="AX1533" t="s">
        <v>31</v>
      </c>
      <c r="AY1533" t="s">
        <v>386</v>
      </c>
      <c r="AZ1533" t="s">
        <v>3087</v>
      </c>
      <c r="BF1533">
        <v>0</v>
      </c>
      <c r="BK1533" t="s">
        <v>31</v>
      </c>
      <c r="BS1533" t="s">
        <v>419</v>
      </c>
      <c r="BT1533" t="s">
        <v>419</v>
      </c>
      <c r="CI1533" t="s">
        <v>388</v>
      </c>
      <c r="CJ1533" s="14">
        <v>45014</v>
      </c>
      <c r="CK1533">
        <v>1</v>
      </c>
    </row>
    <row r="1534" spans="1:89">
      <c r="A1534" t="s">
        <v>3088</v>
      </c>
      <c r="B1534" t="s">
        <v>374</v>
      </c>
      <c r="C1534" t="s">
        <v>3089</v>
      </c>
      <c r="D1534" t="s">
        <v>3090</v>
      </c>
      <c r="E1534" t="s">
        <v>3091</v>
      </c>
      <c r="F1534" s="13">
        <v>44613.806342592594</v>
      </c>
      <c r="G1534" t="s">
        <v>3092</v>
      </c>
      <c r="H1534" t="s">
        <v>3093</v>
      </c>
      <c r="I1534" s="13">
        <v>45012.043854166666</v>
      </c>
      <c r="K1534" t="s">
        <v>415</v>
      </c>
      <c r="M1534" s="13">
        <v>44742</v>
      </c>
      <c r="R1534">
        <v>0</v>
      </c>
      <c r="S1534" t="s">
        <v>380</v>
      </c>
      <c r="T1534" t="s">
        <v>57</v>
      </c>
      <c r="V1534" t="s">
        <v>478</v>
      </c>
      <c r="W1534" t="s">
        <v>3094</v>
      </c>
      <c r="X1534" t="s">
        <v>3094</v>
      </c>
      <c r="AC1534" s="13">
        <v>44742</v>
      </c>
      <c r="AD1534" s="13">
        <v>44742</v>
      </c>
      <c r="AF1534" t="s">
        <v>451</v>
      </c>
      <c r="AI1534">
        <v>-270</v>
      </c>
      <c r="AL1534" t="s">
        <v>3095</v>
      </c>
      <c r="AN1534" t="s">
        <v>31</v>
      </c>
      <c r="AO1534">
        <v>0</v>
      </c>
      <c r="AS1534" t="s">
        <v>392</v>
      </c>
      <c r="AX1534" t="s">
        <v>57</v>
      </c>
      <c r="AY1534" t="s">
        <v>442</v>
      </c>
      <c r="AZ1534" t="s">
        <v>3096</v>
      </c>
      <c r="BF1534">
        <v>0</v>
      </c>
      <c r="BK1534" t="s">
        <v>31</v>
      </c>
      <c r="BS1534" t="s">
        <v>419</v>
      </c>
      <c r="BT1534" t="s">
        <v>419</v>
      </c>
      <c r="CI1534" t="s">
        <v>388</v>
      </c>
      <c r="CJ1534" s="14">
        <v>45014</v>
      </c>
      <c r="CK1534">
        <v>1</v>
      </c>
    </row>
    <row r="1535" spans="1:89">
      <c r="A1535" t="s">
        <v>2927</v>
      </c>
      <c r="B1535" t="s">
        <v>374</v>
      </c>
      <c r="C1535" t="s">
        <v>2928</v>
      </c>
      <c r="D1535" t="s">
        <v>3097</v>
      </c>
      <c r="E1535" t="s">
        <v>3098</v>
      </c>
      <c r="F1535" s="13">
        <v>44613.458090277774</v>
      </c>
      <c r="G1535" t="s">
        <v>2985</v>
      </c>
      <c r="H1535" t="s">
        <v>2986</v>
      </c>
      <c r="I1535" s="13">
        <v>45012.043842592589</v>
      </c>
      <c r="K1535" t="s">
        <v>415</v>
      </c>
      <c r="M1535" s="13">
        <v>44651</v>
      </c>
      <c r="R1535">
        <v>99</v>
      </c>
      <c r="S1535" t="s">
        <v>380</v>
      </c>
      <c r="T1535" t="s">
        <v>57</v>
      </c>
      <c r="V1535" t="s">
        <v>478</v>
      </c>
      <c r="W1535" t="s">
        <v>3099</v>
      </c>
      <c r="X1535" t="s">
        <v>3099</v>
      </c>
      <c r="AF1535" t="s">
        <v>451</v>
      </c>
      <c r="AG1535" t="s">
        <v>3100</v>
      </c>
      <c r="AI1535">
        <v>-361</v>
      </c>
      <c r="AL1535" t="s">
        <v>3101</v>
      </c>
      <c r="AN1535" t="s">
        <v>31</v>
      </c>
      <c r="AO1535">
        <v>0</v>
      </c>
      <c r="AS1535" t="s">
        <v>744</v>
      </c>
      <c r="AX1535" t="s">
        <v>31</v>
      </c>
      <c r="AY1535" t="s">
        <v>442</v>
      </c>
      <c r="AZ1535" t="s">
        <v>3102</v>
      </c>
      <c r="BF1535">
        <v>0</v>
      </c>
      <c r="BK1535" t="s">
        <v>31</v>
      </c>
      <c r="BS1535" t="s">
        <v>419</v>
      </c>
      <c r="BT1535" t="s">
        <v>419</v>
      </c>
      <c r="CI1535" t="s">
        <v>388</v>
      </c>
      <c r="CJ1535" s="14">
        <v>45014</v>
      </c>
      <c r="CK1535">
        <v>1</v>
      </c>
    </row>
    <row r="1536" spans="1:89">
      <c r="A1536" t="s">
        <v>3103</v>
      </c>
      <c r="B1536" t="s">
        <v>374</v>
      </c>
      <c r="C1536" t="s">
        <v>3104</v>
      </c>
      <c r="D1536" t="s">
        <v>3105</v>
      </c>
      <c r="E1536" t="s">
        <v>3106</v>
      </c>
      <c r="F1536" s="13">
        <v>44613.408877314818</v>
      </c>
      <c r="G1536" t="s">
        <v>3084</v>
      </c>
      <c r="H1536" t="s">
        <v>3085</v>
      </c>
      <c r="I1536" s="13">
        <v>44613.430902777778</v>
      </c>
      <c r="K1536" t="s">
        <v>409</v>
      </c>
      <c r="R1536">
        <v>0</v>
      </c>
      <c r="S1536" t="s">
        <v>380</v>
      </c>
      <c r="T1536" t="s">
        <v>57</v>
      </c>
      <c r="V1536" t="s">
        <v>381</v>
      </c>
      <c r="W1536" t="s">
        <v>3085</v>
      </c>
      <c r="X1536" t="s">
        <v>3085</v>
      </c>
      <c r="AC1536" s="13">
        <v>44742</v>
      </c>
      <c r="AD1536" s="13">
        <v>44593</v>
      </c>
      <c r="AI1536">
        <v>158</v>
      </c>
      <c r="AL1536" t="s">
        <v>3107</v>
      </c>
      <c r="AN1536" t="s">
        <v>31</v>
      </c>
      <c r="AO1536">
        <v>0</v>
      </c>
      <c r="AS1536" t="s">
        <v>385</v>
      </c>
      <c r="AX1536" t="s">
        <v>57</v>
      </c>
      <c r="AY1536" t="s">
        <v>386</v>
      </c>
      <c r="AZ1536" t="s">
        <v>3108</v>
      </c>
      <c r="BF1536">
        <v>0</v>
      </c>
      <c r="BK1536" t="s">
        <v>31</v>
      </c>
      <c r="BS1536" t="s">
        <v>409</v>
      </c>
      <c r="BT1536" t="s">
        <v>409</v>
      </c>
      <c r="CI1536" t="s">
        <v>388</v>
      </c>
      <c r="CJ1536" s="14">
        <v>45014</v>
      </c>
      <c r="CK1536">
        <v>1</v>
      </c>
    </row>
    <row r="1537" spans="1:89">
      <c r="A1537" t="s">
        <v>2310</v>
      </c>
      <c r="B1537" t="s">
        <v>374</v>
      </c>
      <c r="C1537" t="s">
        <v>607</v>
      </c>
      <c r="D1537" t="s">
        <v>3109</v>
      </c>
      <c r="E1537" t="s">
        <v>3110</v>
      </c>
      <c r="F1537" s="13">
        <v>44610.891273148147</v>
      </c>
      <c r="G1537" t="s">
        <v>2313</v>
      </c>
      <c r="H1537" t="s">
        <v>2314</v>
      </c>
      <c r="I1537" s="13">
        <v>44610.902951388889</v>
      </c>
      <c r="K1537" t="s">
        <v>409</v>
      </c>
      <c r="R1537">
        <v>0</v>
      </c>
      <c r="S1537" t="s">
        <v>380</v>
      </c>
      <c r="T1537" t="s">
        <v>57</v>
      </c>
      <c r="V1537" t="s">
        <v>381</v>
      </c>
      <c r="W1537" t="s">
        <v>3111</v>
      </c>
      <c r="X1537" t="s">
        <v>3111</v>
      </c>
      <c r="AI1537">
        <v>56</v>
      </c>
      <c r="AL1537" t="s">
        <v>2316</v>
      </c>
      <c r="AN1537" t="s">
        <v>31</v>
      </c>
      <c r="AO1537">
        <v>0</v>
      </c>
      <c r="AS1537" t="s">
        <v>744</v>
      </c>
      <c r="AX1537" t="s">
        <v>31</v>
      </c>
      <c r="AY1537" t="s">
        <v>386</v>
      </c>
      <c r="AZ1537" t="s">
        <v>3112</v>
      </c>
      <c r="BF1537">
        <v>0</v>
      </c>
      <c r="BK1537" t="s">
        <v>31</v>
      </c>
      <c r="BS1537" t="s">
        <v>409</v>
      </c>
      <c r="BT1537" t="s">
        <v>409</v>
      </c>
      <c r="CI1537" t="s">
        <v>388</v>
      </c>
      <c r="CJ1537" s="14">
        <v>45014</v>
      </c>
      <c r="CK1537">
        <v>1</v>
      </c>
    </row>
    <row r="1538" spans="1:89">
      <c r="A1538" t="s">
        <v>2565</v>
      </c>
      <c r="B1538" t="s">
        <v>374</v>
      </c>
      <c r="C1538" t="s">
        <v>2566</v>
      </c>
      <c r="D1538" t="s">
        <v>3113</v>
      </c>
      <c r="E1538" t="s">
        <v>3114</v>
      </c>
      <c r="F1538" s="13">
        <v>44610.659467592595</v>
      </c>
      <c r="G1538" t="s">
        <v>2149</v>
      </c>
      <c r="H1538" t="s">
        <v>2150</v>
      </c>
      <c r="I1538" s="13">
        <v>44617.565752314818</v>
      </c>
      <c r="K1538" t="s">
        <v>409</v>
      </c>
      <c r="R1538">
        <v>0</v>
      </c>
      <c r="S1538" t="s">
        <v>380</v>
      </c>
      <c r="T1538" t="s">
        <v>57</v>
      </c>
      <c r="V1538" t="s">
        <v>381</v>
      </c>
      <c r="W1538" t="s">
        <v>2844</v>
      </c>
      <c r="X1538" t="s">
        <v>2844</v>
      </c>
      <c r="AC1538" s="13">
        <v>44197</v>
      </c>
      <c r="AD1538" s="13">
        <v>44197</v>
      </c>
      <c r="AI1538">
        <v>34</v>
      </c>
      <c r="AL1538" t="s">
        <v>2845</v>
      </c>
      <c r="AN1538" t="s">
        <v>31</v>
      </c>
      <c r="AO1538">
        <v>0</v>
      </c>
      <c r="AS1538" t="s">
        <v>385</v>
      </c>
      <c r="AX1538" t="s">
        <v>31</v>
      </c>
      <c r="AY1538" t="s">
        <v>442</v>
      </c>
      <c r="AZ1538" t="s">
        <v>2846</v>
      </c>
      <c r="BE1538" t="s">
        <v>2847</v>
      </c>
      <c r="BF1538">
        <v>0</v>
      </c>
      <c r="BK1538" t="s">
        <v>31</v>
      </c>
      <c r="BS1538" t="s">
        <v>409</v>
      </c>
      <c r="BT1538" t="s">
        <v>409</v>
      </c>
      <c r="CI1538" t="s">
        <v>388</v>
      </c>
      <c r="CJ1538" s="14">
        <v>45014</v>
      </c>
      <c r="CK1538">
        <v>1</v>
      </c>
    </row>
    <row r="1539" spans="1:89">
      <c r="A1539" t="s">
        <v>3115</v>
      </c>
      <c r="B1539" t="s">
        <v>374</v>
      </c>
      <c r="C1539" t="s">
        <v>3116</v>
      </c>
      <c r="D1539" t="s">
        <v>3117</v>
      </c>
      <c r="E1539" t="s">
        <v>3118</v>
      </c>
      <c r="F1539" s="13">
        <v>44609.497789351852</v>
      </c>
      <c r="G1539" t="s">
        <v>2079</v>
      </c>
      <c r="H1539" t="s">
        <v>2080</v>
      </c>
      <c r="I1539" s="13">
        <v>45012.043842592589</v>
      </c>
      <c r="K1539" t="s">
        <v>415</v>
      </c>
      <c r="M1539" s="13">
        <v>44651</v>
      </c>
      <c r="R1539">
        <v>0</v>
      </c>
      <c r="S1539" t="s">
        <v>380</v>
      </c>
      <c r="T1539" t="s">
        <v>57</v>
      </c>
      <c r="V1539" t="s">
        <v>478</v>
      </c>
      <c r="W1539" t="s">
        <v>3119</v>
      </c>
      <c r="X1539" t="s">
        <v>3119</v>
      </c>
      <c r="AC1539" s="13">
        <v>44651</v>
      </c>
      <c r="AD1539" s="13">
        <v>44651</v>
      </c>
      <c r="AF1539" t="s">
        <v>451</v>
      </c>
      <c r="AI1539">
        <v>-361</v>
      </c>
      <c r="AL1539" t="s">
        <v>3120</v>
      </c>
      <c r="AN1539" t="s">
        <v>31</v>
      </c>
      <c r="AO1539">
        <v>0</v>
      </c>
      <c r="AS1539" t="s">
        <v>385</v>
      </c>
      <c r="AX1539" t="s">
        <v>57</v>
      </c>
      <c r="AY1539" t="s">
        <v>442</v>
      </c>
      <c r="AZ1539" t="s">
        <v>3121</v>
      </c>
      <c r="BF1539">
        <v>0</v>
      </c>
      <c r="BK1539" t="s">
        <v>31</v>
      </c>
      <c r="BS1539" t="s">
        <v>419</v>
      </c>
      <c r="BT1539" t="s">
        <v>419</v>
      </c>
      <c r="CI1539" t="s">
        <v>388</v>
      </c>
      <c r="CJ1539" s="14">
        <v>45014</v>
      </c>
      <c r="CK1539">
        <v>1</v>
      </c>
    </row>
    <row r="1540" spans="1:89">
      <c r="A1540" t="s">
        <v>2089</v>
      </c>
      <c r="B1540" t="s">
        <v>374</v>
      </c>
      <c r="C1540" t="s">
        <v>2090</v>
      </c>
      <c r="D1540" t="s">
        <v>3122</v>
      </c>
      <c r="E1540" t="s">
        <v>3123</v>
      </c>
      <c r="F1540" s="13">
        <v>44609.476782407408</v>
      </c>
      <c r="G1540" t="s">
        <v>2079</v>
      </c>
      <c r="H1540" t="s">
        <v>2080</v>
      </c>
      <c r="I1540" s="13">
        <v>44643.403483796297</v>
      </c>
      <c r="K1540" t="s">
        <v>379</v>
      </c>
      <c r="M1540" s="13">
        <v>44651</v>
      </c>
      <c r="R1540">
        <v>100</v>
      </c>
      <c r="S1540" t="s">
        <v>380</v>
      </c>
      <c r="T1540" t="s">
        <v>57</v>
      </c>
      <c r="V1540" t="s">
        <v>381</v>
      </c>
      <c r="W1540" t="s">
        <v>3124</v>
      </c>
      <c r="X1540" t="s">
        <v>3124</v>
      </c>
      <c r="AC1540" s="13">
        <v>44651</v>
      </c>
      <c r="AD1540" s="13">
        <v>44651</v>
      </c>
      <c r="AF1540" t="s">
        <v>382</v>
      </c>
      <c r="AG1540" t="s">
        <v>3125</v>
      </c>
      <c r="AI1540">
        <v>8</v>
      </c>
      <c r="AL1540" t="s">
        <v>3126</v>
      </c>
      <c r="AN1540" t="s">
        <v>31</v>
      </c>
      <c r="AO1540">
        <v>0</v>
      </c>
      <c r="AS1540" t="s">
        <v>385</v>
      </c>
      <c r="AX1540" t="s">
        <v>57</v>
      </c>
      <c r="AY1540" t="s">
        <v>442</v>
      </c>
      <c r="AZ1540" t="s">
        <v>3127</v>
      </c>
      <c r="BE1540" t="s">
        <v>1364</v>
      </c>
      <c r="BF1540">
        <v>0</v>
      </c>
      <c r="BK1540" t="s">
        <v>31</v>
      </c>
      <c r="BS1540" t="s">
        <v>379</v>
      </c>
      <c r="BT1540" t="s">
        <v>379</v>
      </c>
      <c r="CI1540" t="s">
        <v>388</v>
      </c>
      <c r="CJ1540" s="14">
        <v>45014</v>
      </c>
      <c r="CK1540">
        <v>1</v>
      </c>
    </row>
    <row r="1541" spans="1:89">
      <c r="A1541" t="s">
        <v>2146</v>
      </c>
      <c r="B1541" t="s">
        <v>374</v>
      </c>
      <c r="C1541" t="s">
        <v>698</v>
      </c>
      <c r="D1541" t="s">
        <v>3128</v>
      </c>
      <c r="E1541" t="s">
        <v>3129</v>
      </c>
      <c r="F1541" s="13">
        <v>44609.451342592591</v>
      </c>
      <c r="G1541" t="s">
        <v>2149</v>
      </c>
      <c r="H1541" t="s">
        <v>2150</v>
      </c>
      <c r="I1541" s="13">
        <v>45012.043842592589</v>
      </c>
      <c r="K1541" t="s">
        <v>415</v>
      </c>
      <c r="M1541" s="13">
        <v>44749</v>
      </c>
      <c r="R1541">
        <v>0</v>
      </c>
      <c r="S1541" t="s">
        <v>380</v>
      </c>
      <c r="T1541" t="s">
        <v>57</v>
      </c>
      <c r="V1541" t="s">
        <v>478</v>
      </c>
      <c r="W1541" t="s">
        <v>3130</v>
      </c>
      <c r="X1541" t="s">
        <v>3130</v>
      </c>
      <c r="AC1541" s="13">
        <v>44749</v>
      </c>
      <c r="AD1541" s="13">
        <v>44200</v>
      </c>
      <c r="AF1541" t="s">
        <v>451</v>
      </c>
      <c r="AI1541">
        <v>-263</v>
      </c>
      <c r="AL1541" t="s">
        <v>3131</v>
      </c>
      <c r="AN1541" t="s">
        <v>31</v>
      </c>
      <c r="AO1541">
        <v>0</v>
      </c>
      <c r="AS1541" t="s">
        <v>526</v>
      </c>
      <c r="AX1541" t="s">
        <v>31</v>
      </c>
      <c r="AY1541" t="s">
        <v>442</v>
      </c>
      <c r="AZ1541" t="s">
        <v>3132</v>
      </c>
      <c r="BE1541" t="s">
        <v>3133</v>
      </c>
      <c r="BF1541">
        <v>0</v>
      </c>
      <c r="BK1541" t="s">
        <v>31</v>
      </c>
      <c r="BS1541" t="s">
        <v>419</v>
      </c>
      <c r="BT1541" t="s">
        <v>419</v>
      </c>
      <c r="CI1541" t="s">
        <v>388</v>
      </c>
      <c r="CJ1541" s="14">
        <v>45014</v>
      </c>
      <c r="CK1541">
        <v>1</v>
      </c>
    </row>
    <row r="1542" spans="1:89">
      <c r="A1542" t="s">
        <v>2146</v>
      </c>
      <c r="B1542" t="s">
        <v>374</v>
      </c>
      <c r="C1542" t="s">
        <v>698</v>
      </c>
      <c r="D1542" t="s">
        <v>3134</v>
      </c>
      <c r="E1542" t="s">
        <v>3135</v>
      </c>
      <c r="F1542" s="13">
        <v>44609.450162037036</v>
      </c>
      <c r="G1542" t="s">
        <v>2149</v>
      </c>
      <c r="H1542" t="s">
        <v>2150</v>
      </c>
      <c r="I1542" s="13">
        <v>45012.04383101852</v>
      </c>
      <c r="K1542" t="s">
        <v>415</v>
      </c>
      <c r="M1542" s="13">
        <v>44658</v>
      </c>
      <c r="R1542">
        <v>0</v>
      </c>
      <c r="S1542" t="s">
        <v>380</v>
      </c>
      <c r="T1542" t="s">
        <v>57</v>
      </c>
      <c r="V1542" t="s">
        <v>478</v>
      </c>
      <c r="W1542" t="s">
        <v>3130</v>
      </c>
      <c r="X1542" t="s">
        <v>3130</v>
      </c>
      <c r="AF1542" t="s">
        <v>451</v>
      </c>
      <c r="AI1542">
        <v>-354</v>
      </c>
      <c r="AL1542" t="s">
        <v>3131</v>
      </c>
      <c r="AN1542" t="s">
        <v>31</v>
      </c>
      <c r="AO1542">
        <v>0</v>
      </c>
      <c r="AS1542" t="s">
        <v>392</v>
      </c>
      <c r="AX1542" t="s">
        <v>31</v>
      </c>
      <c r="AY1542" t="s">
        <v>442</v>
      </c>
      <c r="AZ1542" t="s">
        <v>3136</v>
      </c>
      <c r="BE1542" t="s">
        <v>3133</v>
      </c>
      <c r="BF1542">
        <v>0</v>
      </c>
      <c r="BK1542" t="s">
        <v>31</v>
      </c>
      <c r="BS1542" t="s">
        <v>419</v>
      </c>
      <c r="BT1542" t="s">
        <v>419</v>
      </c>
      <c r="CI1542" t="s">
        <v>388</v>
      </c>
      <c r="CJ1542" s="14">
        <v>45014</v>
      </c>
      <c r="CK1542">
        <v>1</v>
      </c>
    </row>
    <row r="1543" spans="1:89">
      <c r="A1543" t="s">
        <v>2146</v>
      </c>
      <c r="B1543" t="s">
        <v>374</v>
      </c>
      <c r="C1543" t="s">
        <v>698</v>
      </c>
      <c r="D1543" t="s">
        <v>3137</v>
      </c>
      <c r="E1543" t="s">
        <v>3138</v>
      </c>
      <c r="F1543" s="13">
        <v>44609.446956018517</v>
      </c>
      <c r="G1543" t="s">
        <v>2149</v>
      </c>
      <c r="H1543" t="s">
        <v>2150</v>
      </c>
      <c r="I1543" s="13">
        <v>45012.04383101852</v>
      </c>
      <c r="K1543" t="s">
        <v>415</v>
      </c>
      <c r="M1543" s="13">
        <v>44625</v>
      </c>
      <c r="R1543">
        <v>0</v>
      </c>
      <c r="S1543" t="s">
        <v>380</v>
      </c>
      <c r="T1543" t="s">
        <v>57</v>
      </c>
      <c r="V1543" t="s">
        <v>478</v>
      </c>
      <c r="W1543" t="s">
        <v>3130</v>
      </c>
      <c r="X1543" t="s">
        <v>3130</v>
      </c>
      <c r="AC1543" s="13">
        <v>44749</v>
      </c>
      <c r="AD1543" s="13">
        <v>44200</v>
      </c>
      <c r="AF1543" t="s">
        <v>451</v>
      </c>
      <c r="AI1543">
        <v>-387</v>
      </c>
      <c r="AL1543" t="s">
        <v>3131</v>
      </c>
      <c r="AN1543" t="s">
        <v>31</v>
      </c>
      <c r="AO1543">
        <v>0</v>
      </c>
      <c r="AS1543" t="s">
        <v>522</v>
      </c>
      <c r="AX1543" t="s">
        <v>31</v>
      </c>
      <c r="AY1543" t="s">
        <v>442</v>
      </c>
      <c r="AZ1543" t="s">
        <v>3139</v>
      </c>
      <c r="BE1543" t="s">
        <v>3133</v>
      </c>
      <c r="BF1543">
        <v>0</v>
      </c>
      <c r="BK1543" t="s">
        <v>31</v>
      </c>
      <c r="BS1543" t="s">
        <v>419</v>
      </c>
      <c r="BT1543" t="s">
        <v>419</v>
      </c>
      <c r="CI1543" t="s">
        <v>388</v>
      </c>
      <c r="CJ1543" s="14">
        <v>45014</v>
      </c>
      <c r="CK1543">
        <v>1</v>
      </c>
    </row>
    <row r="1544" spans="1:89">
      <c r="A1544" t="s">
        <v>1579</v>
      </c>
      <c r="B1544" t="s">
        <v>374</v>
      </c>
      <c r="C1544" t="s">
        <v>1580</v>
      </c>
      <c r="D1544" t="s">
        <v>3140</v>
      </c>
      <c r="E1544" t="s">
        <v>3141</v>
      </c>
      <c r="F1544" s="13">
        <v>44609.432349537034</v>
      </c>
      <c r="G1544" t="s">
        <v>1583</v>
      </c>
      <c r="H1544" t="s">
        <v>1584</v>
      </c>
      <c r="I1544" s="13">
        <v>45012.04383101852</v>
      </c>
      <c r="K1544" t="s">
        <v>415</v>
      </c>
      <c r="M1544" s="13">
        <v>44712</v>
      </c>
      <c r="R1544">
        <v>0</v>
      </c>
      <c r="S1544" t="s">
        <v>380</v>
      </c>
      <c r="T1544" t="s">
        <v>57</v>
      </c>
      <c r="V1544" t="s">
        <v>478</v>
      </c>
      <c r="W1544" t="s">
        <v>3142</v>
      </c>
      <c r="X1544" t="s">
        <v>3142</v>
      </c>
      <c r="AF1544" t="s">
        <v>451</v>
      </c>
      <c r="AI1544">
        <v>-300</v>
      </c>
      <c r="AL1544" t="s">
        <v>3143</v>
      </c>
      <c r="AN1544" t="s">
        <v>31</v>
      </c>
      <c r="AO1544">
        <v>0</v>
      </c>
      <c r="AS1544" t="s">
        <v>526</v>
      </c>
      <c r="AX1544" t="s">
        <v>31</v>
      </c>
      <c r="AY1544" t="s">
        <v>442</v>
      </c>
      <c r="AZ1544" t="s">
        <v>3144</v>
      </c>
      <c r="BF1544">
        <v>0</v>
      </c>
      <c r="BK1544" t="s">
        <v>31</v>
      </c>
      <c r="BS1544" t="s">
        <v>419</v>
      </c>
      <c r="BT1544" t="s">
        <v>419</v>
      </c>
      <c r="CI1544" t="s">
        <v>388</v>
      </c>
      <c r="CJ1544" s="14">
        <v>45014</v>
      </c>
      <c r="CK1544">
        <v>1</v>
      </c>
    </row>
    <row r="1545" spans="1:89">
      <c r="A1545" t="s">
        <v>1579</v>
      </c>
      <c r="B1545" t="s">
        <v>374</v>
      </c>
      <c r="C1545" t="s">
        <v>1580</v>
      </c>
      <c r="D1545" t="s">
        <v>3145</v>
      </c>
      <c r="E1545" t="s">
        <v>3146</v>
      </c>
      <c r="F1545" s="13">
        <v>44609.410092592596</v>
      </c>
      <c r="G1545" t="s">
        <v>1583</v>
      </c>
      <c r="H1545" t="s">
        <v>1584</v>
      </c>
      <c r="I1545" s="13">
        <v>45012.04383101852</v>
      </c>
      <c r="K1545" t="s">
        <v>415</v>
      </c>
      <c r="M1545" s="13">
        <v>44712</v>
      </c>
      <c r="R1545">
        <v>0</v>
      </c>
      <c r="S1545" t="s">
        <v>380</v>
      </c>
      <c r="T1545" t="s">
        <v>57</v>
      </c>
      <c r="V1545" t="s">
        <v>478</v>
      </c>
      <c r="W1545" t="s">
        <v>3142</v>
      </c>
      <c r="X1545" t="s">
        <v>3142</v>
      </c>
      <c r="AF1545" t="s">
        <v>451</v>
      </c>
      <c r="AI1545">
        <v>-300</v>
      </c>
      <c r="AL1545" t="s">
        <v>3147</v>
      </c>
      <c r="AN1545" t="s">
        <v>31</v>
      </c>
      <c r="AO1545">
        <v>0</v>
      </c>
      <c r="AS1545" t="s">
        <v>526</v>
      </c>
      <c r="AX1545" t="s">
        <v>31</v>
      </c>
      <c r="AY1545" t="s">
        <v>442</v>
      </c>
      <c r="AZ1545" t="s">
        <v>3148</v>
      </c>
      <c r="BF1545">
        <v>0</v>
      </c>
      <c r="BK1545" t="s">
        <v>31</v>
      </c>
      <c r="BS1545" t="s">
        <v>419</v>
      </c>
      <c r="BT1545" t="s">
        <v>419</v>
      </c>
      <c r="CI1545" t="s">
        <v>388</v>
      </c>
      <c r="CJ1545" s="14">
        <v>45014</v>
      </c>
      <c r="CK1545">
        <v>1</v>
      </c>
    </row>
    <row r="1546" spans="1:89">
      <c r="A1546" t="s">
        <v>1579</v>
      </c>
      <c r="B1546" t="s">
        <v>374</v>
      </c>
      <c r="C1546" t="s">
        <v>1580</v>
      </c>
      <c r="D1546" t="s">
        <v>3149</v>
      </c>
      <c r="E1546" t="s">
        <v>3150</v>
      </c>
      <c r="F1546" s="13">
        <v>44609.380231481482</v>
      </c>
      <c r="G1546" t="s">
        <v>1583</v>
      </c>
      <c r="H1546" t="s">
        <v>1584</v>
      </c>
      <c r="I1546" s="13">
        <v>45012.043819444443</v>
      </c>
      <c r="K1546" t="s">
        <v>415</v>
      </c>
      <c r="M1546" s="13">
        <v>44712</v>
      </c>
      <c r="R1546">
        <v>0</v>
      </c>
      <c r="S1546" t="s">
        <v>380</v>
      </c>
      <c r="T1546" t="s">
        <v>57</v>
      </c>
      <c r="V1546" t="s">
        <v>478</v>
      </c>
      <c r="W1546" t="s">
        <v>3142</v>
      </c>
      <c r="X1546" t="s">
        <v>3142</v>
      </c>
      <c r="AF1546" t="s">
        <v>451</v>
      </c>
      <c r="AI1546">
        <v>-300</v>
      </c>
      <c r="AL1546" t="s">
        <v>3151</v>
      </c>
      <c r="AN1546" t="s">
        <v>31</v>
      </c>
      <c r="AO1546">
        <v>0</v>
      </c>
      <c r="AS1546" t="s">
        <v>526</v>
      </c>
      <c r="AX1546" t="s">
        <v>31</v>
      </c>
      <c r="AY1546" t="s">
        <v>442</v>
      </c>
      <c r="AZ1546" t="s">
        <v>3152</v>
      </c>
      <c r="BF1546">
        <v>0</v>
      </c>
      <c r="BK1546" t="s">
        <v>31</v>
      </c>
      <c r="BS1546" t="s">
        <v>419</v>
      </c>
      <c r="BT1546" t="s">
        <v>419</v>
      </c>
      <c r="CI1546" t="s">
        <v>388</v>
      </c>
      <c r="CJ1546" s="14">
        <v>45014</v>
      </c>
      <c r="CK1546">
        <v>1</v>
      </c>
    </row>
    <row r="1547" spans="1:89">
      <c r="A1547" t="s">
        <v>2368</v>
      </c>
      <c r="B1547" t="s">
        <v>374</v>
      </c>
      <c r="C1547" t="s">
        <v>2369</v>
      </c>
      <c r="D1547" t="s">
        <v>3153</v>
      </c>
      <c r="E1547" t="s">
        <v>3154</v>
      </c>
      <c r="F1547" s="13">
        <v>44607.621689814812</v>
      </c>
      <c r="G1547" t="s">
        <v>3155</v>
      </c>
      <c r="H1547" t="s">
        <v>3156</v>
      </c>
      <c r="I1547" s="13">
        <v>45012.043819444443</v>
      </c>
      <c r="K1547" t="s">
        <v>415</v>
      </c>
      <c r="M1547" s="13">
        <v>44712</v>
      </c>
      <c r="R1547">
        <v>70</v>
      </c>
      <c r="S1547" t="s">
        <v>380</v>
      </c>
      <c r="T1547" t="s">
        <v>57</v>
      </c>
      <c r="V1547" t="s">
        <v>478</v>
      </c>
      <c r="W1547" t="s">
        <v>2374</v>
      </c>
      <c r="X1547" t="s">
        <v>2374</v>
      </c>
      <c r="AF1547" t="s">
        <v>451</v>
      </c>
      <c r="AG1547" t="s">
        <v>3157</v>
      </c>
      <c r="AI1547">
        <v>-300</v>
      </c>
      <c r="AL1547" t="s">
        <v>3158</v>
      </c>
      <c r="AN1547" t="s">
        <v>31</v>
      </c>
      <c r="AO1547">
        <v>0</v>
      </c>
      <c r="AS1547" t="s">
        <v>385</v>
      </c>
      <c r="AX1547" t="s">
        <v>31</v>
      </c>
      <c r="AY1547" t="s">
        <v>442</v>
      </c>
      <c r="AZ1547" t="s">
        <v>3159</v>
      </c>
      <c r="BF1547">
        <v>0</v>
      </c>
      <c r="BK1547" t="s">
        <v>31</v>
      </c>
      <c r="BS1547" t="s">
        <v>419</v>
      </c>
      <c r="BT1547" t="s">
        <v>419</v>
      </c>
      <c r="CI1547" t="s">
        <v>388</v>
      </c>
      <c r="CJ1547" s="14">
        <v>45014</v>
      </c>
      <c r="CK1547">
        <v>1</v>
      </c>
    </row>
    <row r="1548" spans="1:89">
      <c r="A1548" t="s">
        <v>3160</v>
      </c>
      <c r="B1548" t="s">
        <v>374</v>
      </c>
      <c r="C1548" t="s">
        <v>3161</v>
      </c>
      <c r="D1548" t="s">
        <v>3162</v>
      </c>
      <c r="E1548" t="s">
        <v>3163</v>
      </c>
      <c r="F1548" s="13">
        <v>44607.621504629627</v>
      </c>
      <c r="G1548" t="s">
        <v>2985</v>
      </c>
      <c r="H1548" t="s">
        <v>2986</v>
      </c>
      <c r="I1548" s="13">
        <v>45012.043819444443</v>
      </c>
      <c r="K1548" t="s">
        <v>415</v>
      </c>
      <c r="M1548" s="13">
        <v>44659</v>
      </c>
      <c r="R1548">
        <v>100</v>
      </c>
      <c r="S1548" t="s">
        <v>380</v>
      </c>
      <c r="T1548" t="s">
        <v>57</v>
      </c>
      <c r="V1548" t="s">
        <v>478</v>
      </c>
      <c r="W1548" t="s">
        <v>3164</v>
      </c>
      <c r="X1548" t="s">
        <v>3164</v>
      </c>
      <c r="AB1548" t="s">
        <v>31</v>
      </c>
      <c r="AF1548" t="s">
        <v>382</v>
      </c>
      <c r="AG1548" t="s">
        <v>3165</v>
      </c>
      <c r="AI1548">
        <v>-353</v>
      </c>
      <c r="AL1548" t="s">
        <v>3166</v>
      </c>
      <c r="AN1548" t="s">
        <v>57</v>
      </c>
      <c r="AO1548">
        <v>0</v>
      </c>
      <c r="AS1548" t="s">
        <v>702</v>
      </c>
      <c r="AX1548" t="s">
        <v>57</v>
      </c>
      <c r="AY1548" t="s">
        <v>442</v>
      </c>
      <c r="AZ1548" t="s">
        <v>3167</v>
      </c>
      <c r="BC1548" t="s">
        <v>480</v>
      </c>
      <c r="BD1548" t="s">
        <v>3168</v>
      </c>
      <c r="BF1548">
        <v>0</v>
      </c>
      <c r="BK1548" t="s">
        <v>31</v>
      </c>
      <c r="BS1548" t="s">
        <v>2940</v>
      </c>
      <c r="BT1548" t="s">
        <v>2941</v>
      </c>
      <c r="CI1548" t="s">
        <v>388</v>
      </c>
      <c r="CJ1548" s="14">
        <v>45014</v>
      </c>
      <c r="CK1548">
        <v>1</v>
      </c>
    </row>
    <row r="1549" spans="1:89">
      <c r="A1549" t="s">
        <v>3160</v>
      </c>
      <c r="B1549" t="s">
        <v>374</v>
      </c>
      <c r="C1549" t="s">
        <v>3161</v>
      </c>
      <c r="D1549" t="s">
        <v>3169</v>
      </c>
      <c r="E1549" t="s">
        <v>3170</v>
      </c>
      <c r="F1549" s="13">
        <v>44607.620069444441</v>
      </c>
      <c r="G1549" t="s">
        <v>2985</v>
      </c>
      <c r="H1549" t="s">
        <v>2986</v>
      </c>
      <c r="I1549" s="13">
        <v>45012.043807870374</v>
      </c>
      <c r="K1549" t="s">
        <v>415</v>
      </c>
      <c r="M1549" s="13">
        <v>44628</v>
      </c>
      <c r="R1549">
        <v>100</v>
      </c>
      <c r="S1549" t="s">
        <v>380</v>
      </c>
      <c r="T1549" t="s">
        <v>57</v>
      </c>
      <c r="V1549" t="s">
        <v>478</v>
      </c>
      <c r="W1549" t="s">
        <v>2993</v>
      </c>
      <c r="X1549" t="s">
        <v>2993</v>
      </c>
      <c r="AB1549" t="s">
        <v>31</v>
      </c>
      <c r="AF1549" t="s">
        <v>382</v>
      </c>
      <c r="AG1549" t="s">
        <v>3171</v>
      </c>
      <c r="AI1549">
        <v>-384</v>
      </c>
      <c r="AJ1549" s="13">
        <v>44631</v>
      </c>
      <c r="AL1549" t="s">
        <v>3166</v>
      </c>
      <c r="AN1549" t="s">
        <v>57</v>
      </c>
      <c r="AO1549">
        <v>0</v>
      </c>
      <c r="AR1549" t="s">
        <v>3172</v>
      </c>
      <c r="AS1549" t="s">
        <v>702</v>
      </c>
      <c r="AX1549" t="s">
        <v>57</v>
      </c>
      <c r="AY1549" t="s">
        <v>442</v>
      </c>
      <c r="AZ1549" t="s">
        <v>3173</v>
      </c>
      <c r="BC1549" t="s">
        <v>480</v>
      </c>
      <c r="BD1549" t="s">
        <v>3174</v>
      </c>
      <c r="BF1549">
        <v>0</v>
      </c>
      <c r="BK1549" t="s">
        <v>31</v>
      </c>
      <c r="BS1549" t="s">
        <v>2940</v>
      </c>
      <c r="BT1549" t="s">
        <v>2941</v>
      </c>
      <c r="CI1549" t="s">
        <v>388</v>
      </c>
      <c r="CJ1549" s="14">
        <v>45014</v>
      </c>
      <c r="CK1549">
        <v>1</v>
      </c>
    </row>
    <row r="1550" spans="1:89">
      <c r="A1550" t="s">
        <v>3160</v>
      </c>
      <c r="B1550" t="s">
        <v>374</v>
      </c>
      <c r="C1550" t="s">
        <v>3161</v>
      </c>
      <c r="D1550" t="s">
        <v>3175</v>
      </c>
      <c r="E1550" t="s">
        <v>3176</v>
      </c>
      <c r="F1550" s="13">
        <v>44607.618622685186</v>
      </c>
      <c r="G1550" t="s">
        <v>2985</v>
      </c>
      <c r="H1550" t="s">
        <v>2986</v>
      </c>
      <c r="I1550" s="13">
        <v>45012.043807870374</v>
      </c>
      <c r="K1550" t="s">
        <v>415</v>
      </c>
      <c r="M1550" s="13">
        <v>44624</v>
      </c>
      <c r="R1550">
        <v>100</v>
      </c>
      <c r="S1550" t="s">
        <v>380</v>
      </c>
      <c r="T1550" t="s">
        <v>57</v>
      </c>
      <c r="V1550" t="s">
        <v>478</v>
      </c>
      <c r="W1550" t="s">
        <v>3164</v>
      </c>
      <c r="X1550" t="s">
        <v>3164</v>
      </c>
      <c r="AB1550" t="s">
        <v>31</v>
      </c>
      <c r="AF1550" t="s">
        <v>382</v>
      </c>
      <c r="AG1550" t="s">
        <v>3177</v>
      </c>
      <c r="AI1550">
        <v>-388</v>
      </c>
      <c r="AL1550" t="s">
        <v>3166</v>
      </c>
      <c r="AN1550" t="s">
        <v>57</v>
      </c>
      <c r="AO1550">
        <v>0</v>
      </c>
      <c r="AS1550" t="s">
        <v>702</v>
      </c>
      <c r="AX1550" t="s">
        <v>57</v>
      </c>
      <c r="AY1550" t="s">
        <v>442</v>
      </c>
      <c r="AZ1550" t="s">
        <v>438</v>
      </c>
      <c r="BC1550" t="s">
        <v>480</v>
      </c>
      <c r="BD1550" t="s">
        <v>3178</v>
      </c>
      <c r="BF1550">
        <v>0</v>
      </c>
      <c r="BK1550" t="s">
        <v>31</v>
      </c>
      <c r="BS1550" t="s">
        <v>2940</v>
      </c>
      <c r="BT1550" t="s">
        <v>2941</v>
      </c>
      <c r="CI1550" t="s">
        <v>388</v>
      </c>
      <c r="CJ1550" s="14">
        <v>45014</v>
      </c>
      <c r="CK1550">
        <v>1</v>
      </c>
    </row>
    <row r="1551" spans="1:89">
      <c r="A1551" t="s">
        <v>3160</v>
      </c>
      <c r="B1551" t="s">
        <v>374</v>
      </c>
      <c r="C1551" t="s">
        <v>3161</v>
      </c>
      <c r="D1551" t="s">
        <v>3179</v>
      </c>
      <c r="E1551" t="s">
        <v>3180</v>
      </c>
      <c r="F1551" s="13">
        <v>44607.616979166669</v>
      </c>
      <c r="G1551" t="s">
        <v>2985</v>
      </c>
      <c r="H1551" t="s">
        <v>2986</v>
      </c>
      <c r="I1551" s="13">
        <v>45012.043807870374</v>
      </c>
      <c r="K1551" t="s">
        <v>415</v>
      </c>
      <c r="M1551" s="13">
        <v>44607</v>
      </c>
      <c r="R1551">
        <v>100</v>
      </c>
      <c r="S1551" t="s">
        <v>380</v>
      </c>
      <c r="T1551" t="s">
        <v>57</v>
      </c>
      <c r="V1551" t="s">
        <v>478</v>
      </c>
      <c r="W1551" t="s">
        <v>2993</v>
      </c>
      <c r="X1551" t="s">
        <v>2993</v>
      </c>
      <c r="AB1551" t="s">
        <v>31</v>
      </c>
      <c r="AF1551" t="s">
        <v>382</v>
      </c>
      <c r="AG1551" t="s">
        <v>3181</v>
      </c>
      <c r="AI1551">
        <v>-405</v>
      </c>
      <c r="AJ1551" s="13">
        <v>44620</v>
      </c>
      <c r="AL1551" t="s">
        <v>3166</v>
      </c>
      <c r="AN1551" t="s">
        <v>57</v>
      </c>
      <c r="AO1551">
        <v>0</v>
      </c>
      <c r="AR1551" t="s">
        <v>3182</v>
      </c>
      <c r="AS1551" t="s">
        <v>392</v>
      </c>
      <c r="AX1551" t="s">
        <v>57</v>
      </c>
      <c r="AY1551" t="s">
        <v>442</v>
      </c>
      <c r="AZ1551" t="s">
        <v>3183</v>
      </c>
      <c r="BC1551" t="s">
        <v>480</v>
      </c>
      <c r="BD1551" t="s">
        <v>3184</v>
      </c>
      <c r="BF1551">
        <v>0</v>
      </c>
      <c r="BK1551" t="s">
        <v>31</v>
      </c>
      <c r="BS1551" t="s">
        <v>2940</v>
      </c>
      <c r="BT1551" t="s">
        <v>2941</v>
      </c>
      <c r="CI1551" t="s">
        <v>388</v>
      </c>
      <c r="CJ1551" s="14">
        <v>45014</v>
      </c>
      <c r="CK1551">
        <v>1</v>
      </c>
    </row>
    <row r="1552" spans="1:89">
      <c r="A1552" t="s">
        <v>3160</v>
      </c>
      <c r="B1552" t="s">
        <v>374</v>
      </c>
      <c r="C1552" t="s">
        <v>3161</v>
      </c>
      <c r="D1552" t="s">
        <v>3185</v>
      </c>
      <c r="E1552" t="s">
        <v>3186</v>
      </c>
      <c r="F1552" s="13">
        <v>44607.614641203705</v>
      </c>
      <c r="G1552" t="s">
        <v>2985</v>
      </c>
      <c r="H1552" t="s">
        <v>2986</v>
      </c>
      <c r="I1552" s="13">
        <v>45012.043796296297</v>
      </c>
      <c r="K1552" t="s">
        <v>415</v>
      </c>
      <c r="M1552" s="13">
        <v>44607</v>
      </c>
      <c r="R1552">
        <v>100</v>
      </c>
      <c r="S1552" t="s">
        <v>380</v>
      </c>
      <c r="T1552" t="s">
        <v>57</v>
      </c>
      <c r="V1552" t="s">
        <v>478</v>
      </c>
      <c r="W1552" t="s">
        <v>2993</v>
      </c>
      <c r="X1552" t="s">
        <v>2993</v>
      </c>
      <c r="AB1552" t="s">
        <v>31</v>
      </c>
      <c r="AF1552" t="s">
        <v>382</v>
      </c>
      <c r="AG1552" t="s">
        <v>3187</v>
      </c>
      <c r="AI1552">
        <v>-405</v>
      </c>
      <c r="AJ1552" s="13">
        <v>44620</v>
      </c>
      <c r="AL1552" t="s">
        <v>3166</v>
      </c>
      <c r="AN1552" t="s">
        <v>57</v>
      </c>
      <c r="AO1552">
        <v>0</v>
      </c>
      <c r="AR1552" t="s">
        <v>3188</v>
      </c>
      <c r="AS1552" t="s">
        <v>744</v>
      </c>
      <c r="AX1552" t="s">
        <v>57</v>
      </c>
      <c r="AY1552" t="s">
        <v>442</v>
      </c>
      <c r="AZ1552" t="s">
        <v>3189</v>
      </c>
      <c r="BC1552" t="s">
        <v>480</v>
      </c>
      <c r="BD1552" t="s">
        <v>3190</v>
      </c>
      <c r="BF1552">
        <v>0</v>
      </c>
      <c r="BK1552" t="s">
        <v>31</v>
      </c>
      <c r="BS1552" t="s">
        <v>2940</v>
      </c>
      <c r="BT1552" t="s">
        <v>2941</v>
      </c>
      <c r="CI1552" t="s">
        <v>388</v>
      </c>
      <c r="CJ1552" s="14">
        <v>45014</v>
      </c>
      <c r="CK1552">
        <v>1</v>
      </c>
    </row>
    <row r="1553" spans="1:89">
      <c r="A1553" t="s">
        <v>3191</v>
      </c>
      <c r="B1553" t="s">
        <v>374</v>
      </c>
      <c r="C1553" t="s">
        <v>3192</v>
      </c>
      <c r="D1553" t="s">
        <v>3193</v>
      </c>
      <c r="E1553" t="s">
        <v>3194</v>
      </c>
      <c r="F1553" s="13">
        <v>44607.581435185188</v>
      </c>
      <c r="G1553" t="s">
        <v>1472</v>
      </c>
      <c r="H1553" t="s">
        <v>1473</v>
      </c>
      <c r="I1553" s="13">
        <v>45012.043796296297</v>
      </c>
      <c r="K1553" t="s">
        <v>415</v>
      </c>
      <c r="M1553" s="13">
        <v>44755</v>
      </c>
      <c r="R1553">
        <v>0</v>
      </c>
      <c r="S1553" t="s">
        <v>380</v>
      </c>
      <c r="T1553" t="s">
        <v>57</v>
      </c>
      <c r="V1553" t="s">
        <v>478</v>
      </c>
      <c r="W1553" t="s">
        <v>3195</v>
      </c>
      <c r="X1553" t="s">
        <v>3195</v>
      </c>
      <c r="AC1553" s="13">
        <v>44418</v>
      </c>
      <c r="AD1553" s="13">
        <v>44326</v>
      </c>
      <c r="AF1553" t="s">
        <v>451</v>
      </c>
      <c r="AI1553">
        <v>-257</v>
      </c>
      <c r="AL1553" t="s">
        <v>3196</v>
      </c>
      <c r="AN1553" t="s">
        <v>31</v>
      </c>
      <c r="AO1553">
        <v>0</v>
      </c>
      <c r="AS1553" t="s">
        <v>702</v>
      </c>
      <c r="AX1553" t="s">
        <v>31</v>
      </c>
      <c r="AY1553" t="s">
        <v>442</v>
      </c>
      <c r="AZ1553" t="s">
        <v>3197</v>
      </c>
      <c r="BF1553">
        <v>0</v>
      </c>
      <c r="BK1553" t="s">
        <v>31</v>
      </c>
      <c r="BS1553" t="s">
        <v>419</v>
      </c>
      <c r="BT1553" t="s">
        <v>419</v>
      </c>
      <c r="CI1553" t="s">
        <v>388</v>
      </c>
      <c r="CJ1553" s="14">
        <v>45014</v>
      </c>
      <c r="CK1553">
        <v>1</v>
      </c>
    </row>
    <row r="1554" spans="1:89">
      <c r="A1554" t="s">
        <v>3198</v>
      </c>
      <c r="B1554" t="s">
        <v>374</v>
      </c>
      <c r="C1554" t="s">
        <v>3199</v>
      </c>
      <c r="D1554" t="s">
        <v>3200</v>
      </c>
      <c r="E1554" t="s">
        <v>3201</v>
      </c>
      <c r="F1554" s="13">
        <v>44607.517060185186</v>
      </c>
      <c r="G1554" t="s">
        <v>3202</v>
      </c>
      <c r="H1554" t="s">
        <v>3203</v>
      </c>
      <c r="I1554" s="13">
        <v>45012.043796296297</v>
      </c>
      <c r="K1554" t="s">
        <v>415</v>
      </c>
      <c r="M1554" s="13">
        <v>44681</v>
      </c>
      <c r="R1554">
        <v>0</v>
      </c>
      <c r="S1554" t="s">
        <v>416</v>
      </c>
      <c r="T1554" t="s">
        <v>57</v>
      </c>
      <c r="V1554" t="s">
        <v>478</v>
      </c>
      <c r="W1554" t="s">
        <v>3204</v>
      </c>
      <c r="X1554" t="s">
        <v>3204</v>
      </c>
      <c r="AC1554" s="13">
        <v>44681</v>
      </c>
      <c r="AD1554" s="13">
        <v>44681</v>
      </c>
      <c r="AF1554" t="s">
        <v>451</v>
      </c>
      <c r="AI1554">
        <v>-331</v>
      </c>
      <c r="AL1554" t="s">
        <v>3205</v>
      </c>
      <c r="AN1554" t="s">
        <v>31</v>
      </c>
      <c r="AO1554">
        <v>0</v>
      </c>
      <c r="AS1554" t="s">
        <v>526</v>
      </c>
      <c r="AX1554" t="s">
        <v>57</v>
      </c>
      <c r="AY1554" t="s">
        <v>386</v>
      </c>
      <c r="AZ1554" t="s">
        <v>3206</v>
      </c>
      <c r="BF1554">
        <v>0</v>
      </c>
      <c r="BK1554" t="s">
        <v>31</v>
      </c>
      <c r="BS1554" t="s">
        <v>419</v>
      </c>
      <c r="BT1554" t="s">
        <v>419</v>
      </c>
      <c r="CI1554" t="s">
        <v>388</v>
      </c>
      <c r="CJ1554" s="14">
        <v>45014</v>
      </c>
      <c r="CK1554">
        <v>1</v>
      </c>
    </row>
    <row r="1555" spans="1:89">
      <c r="A1555" t="s">
        <v>3198</v>
      </c>
      <c r="B1555" t="s">
        <v>374</v>
      </c>
      <c r="C1555" t="s">
        <v>3199</v>
      </c>
      <c r="D1555" t="s">
        <v>3207</v>
      </c>
      <c r="E1555" t="s">
        <v>3208</v>
      </c>
      <c r="F1555" s="13">
        <v>44606.772013888891</v>
      </c>
      <c r="G1555" t="s">
        <v>3202</v>
      </c>
      <c r="H1555" t="s">
        <v>3203</v>
      </c>
      <c r="I1555" s="13">
        <v>45012.04378472222</v>
      </c>
      <c r="K1555" t="s">
        <v>415</v>
      </c>
      <c r="M1555" s="13">
        <v>44651</v>
      </c>
      <c r="R1555">
        <v>0</v>
      </c>
      <c r="S1555" t="s">
        <v>380</v>
      </c>
      <c r="T1555" t="s">
        <v>57</v>
      </c>
      <c r="V1555" t="s">
        <v>478</v>
      </c>
      <c r="W1555" t="s">
        <v>3209</v>
      </c>
      <c r="X1555" t="s">
        <v>3209</v>
      </c>
      <c r="AC1555" s="13">
        <v>44651</v>
      </c>
      <c r="AD1555" s="13">
        <v>44651</v>
      </c>
      <c r="AF1555" t="s">
        <v>451</v>
      </c>
      <c r="AG1555" t="s">
        <v>3210</v>
      </c>
      <c r="AI1555">
        <v>-361</v>
      </c>
      <c r="AL1555" t="s">
        <v>3211</v>
      </c>
      <c r="AN1555" t="s">
        <v>31</v>
      </c>
      <c r="AO1555">
        <v>0</v>
      </c>
      <c r="AS1555" t="s">
        <v>702</v>
      </c>
      <c r="AX1555" t="s">
        <v>57</v>
      </c>
      <c r="AY1555" t="s">
        <v>386</v>
      </c>
      <c r="AZ1555" t="s">
        <v>3212</v>
      </c>
      <c r="BF1555">
        <v>0</v>
      </c>
      <c r="BK1555" t="s">
        <v>31</v>
      </c>
      <c r="BS1555" t="s">
        <v>419</v>
      </c>
      <c r="BT1555" t="s">
        <v>419</v>
      </c>
      <c r="CI1555" t="s">
        <v>388</v>
      </c>
      <c r="CJ1555" s="14">
        <v>45014</v>
      </c>
      <c r="CK1555">
        <v>1</v>
      </c>
    </row>
    <row r="1556" spans="1:89">
      <c r="A1556" t="s">
        <v>3198</v>
      </c>
      <c r="B1556" t="s">
        <v>374</v>
      </c>
      <c r="C1556" t="s">
        <v>3199</v>
      </c>
      <c r="D1556" t="s">
        <v>3213</v>
      </c>
      <c r="E1556" t="s">
        <v>3214</v>
      </c>
      <c r="F1556" s="13">
        <v>44606.702233796299</v>
      </c>
      <c r="G1556" t="s">
        <v>3202</v>
      </c>
      <c r="H1556" t="s">
        <v>3203</v>
      </c>
      <c r="I1556" s="13">
        <v>45012.04378472222</v>
      </c>
      <c r="K1556" t="s">
        <v>415</v>
      </c>
      <c r="M1556" s="13">
        <v>44651</v>
      </c>
      <c r="R1556">
        <v>0</v>
      </c>
      <c r="S1556" t="s">
        <v>380</v>
      </c>
      <c r="T1556" t="s">
        <v>57</v>
      </c>
      <c r="V1556" t="s">
        <v>478</v>
      </c>
      <c r="W1556" t="s">
        <v>3215</v>
      </c>
      <c r="X1556" t="s">
        <v>3215</v>
      </c>
      <c r="AC1556" s="13">
        <v>44651</v>
      </c>
      <c r="AD1556" s="13">
        <v>44651</v>
      </c>
      <c r="AF1556" t="s">
        <v>451</v>
      </c>
      <c r="AG1556" t="s">
        <v>3216</v>
      </c>
      <c r="AI1556">
        <v>-361</v>
      </c>
      <c r="AL1556" t="s">
        <v>3217</v>
      </c>
      <c r="AN1556" t="s">
        <v>31</v>
      </c>
      <c r="AO1556">
        <v>0</v>
      </c>
      <c r="AS1556" t="s">
        <v>538</v>
      </c>
      <c r="AX1556" t="s">
        <v>57</v>
      </c>
      <c r="AY1556" t="s">
        <v>386</v>
      </c>
      <c r="AZ1556" t="s">
        <v>3218</v>
      </c>
      <c r="BF1556">
        <v>0</v>
      </c>
      <c r="BK1556" t="s">
        <v>31</v>
      </c>
      <c r="BS1556" t="s">
        <v>419</v>
      </c>
      <c r="BT1556" t="s">
        <v>419</v>
      </c>
      <c r="CI1556" t="s">
        <v>388</v>
      </c>
      <c r="CJ1556" s="14">
        <v>45014</v>
      </c>
      <c r="CK1556">
        <v>1</v>
      </c>
    </row>
    <row r="1557" spans="1:89">
      <c r="A1557" t="s">
        <v>1579</v>
      </c>
      <c r="B1557" t="s">
        <v>374</v>
      </c>
      <c r="C1557" t="s">
        <v>1580</v>
      </c>
      <c r="D1557" t="s">
        <v>3219</v>
      </c>
      <c r="E1557" t="s">
        <v>3220</v>
      </c>
      <c r="F1557" s="13">
        <v>44606.692835648151</v>
      </c>
      <c r="G1557" t="s">
        <v>1583</v>
      </c>
      <c r="H1557" t="s">
        <v>1584</v>
      </c>
      <c r="I1557" s="13">
        <v>45012.04378472222</v>
      </c>
      <c r="K1557" t="s">
        <v>415</v>
      </c>
      <c r="M1557" s="13">
        <v>44712</v>
      </c>
      <c r="R1557">
        <v>0</v>
      </c>
      <c r="S1557" t="s">
        <v>380</v>
      </c>
      <c r="T1557" t="s">
        <v>57</v>
      </c>
      <c r="V1557" t="s">
        <v>478</v>
      </c>
      <c r="W1557" t="s">
        <v>3142</v>
      </c>
      <c r="X1557" t="s">
        <v>3142</v>
      </c>
      <c r="AF1557" t="s">
        <v>451</v>
      </c>
      <c r="AI1557">
        <v>-300</v>
      </c>
      <c r="AL1557" t="s">
        <v>3221</v>
      </c>
      <c r="AN1557" t="s">
        <v>31</v>
      </c>
      <c r="AO1557">
        <v>0</v>
      </c>
      <c r="AS1557" t="s">
        <v>526</v>
      </c>
      <c r="AX1557" t="s">
        <v>31</v>
      </c>
      <c r="AY1557" t="s">
        <v>442</v>
      </c>
      <c r="AZ1557" t="s">
        <v>3222</v>
      </c>
      <c r="BF1557">
        <v>0</v>
      </c>
      <c r="BK1557" t="s">
        <v>31</v>
      </c>
      <c r="BS1557" t="s">
        <v>419</v>
      </c>
      <c r="BT1557" t="s">
        <v>419</v>
      </c>
      <c r="CI1557" t="s">
        <v>388</v>
      </c>
      <c r="CJ1557" s="14">
        <v>45014</v>
      </c>
      <c r="CK1557">
        <v>1</v>
      </c>
    </row>
    <row r="1558" spans="1:89">
      <c r="A1558" t="s">
        <v>3198</v>
      </c>
      <c r="B1558" t="s">
        <v>374</v>
      </c>
      <c r="C1558" t="s">
        <v>3199</v>
      </c>
      <c r="D1558" t="s">
        <v>3223</v>
      </c>
      <c r="E1558" t="s">
        <v>3224</v>
      </c>
      <c r="F1558" s="13">
        <v>44606.676724537036</v>
      </c>
      <c r="G1558" t="s">
        <v>3202</v>
      </c>
      <c r="H1558" t="s">
        <v>3203</v>
      </c>
      <c r="I1558" s="13">
        <v>45012.04378472222</v>
      </c>
      <c r="K1558" t="s">
        <v>415</v>
      </c>
      <c r="M1558" s="13">
        <v>44651</v>
      </c>
      <c r="R1558">
        <v>50</v>
      </c>
      <c r="S1558" t="s">
        <v>380</v>
      </c>
      <c r="T1558" t="s">
        <v>57</v>
      </c>
      <c r="V1558" t="s">
        <v>478</v>
      </c>
      <c r="W1558" t="s">
        <v>3209</v>
      </c>
      <c r="X1558" t="s">
        <v>3209</v>
      </c>
      <c r="AC1558" s="13">
        <v>44651</v>
      </c>
      <c r="AD1558" s="13">
        <v>44651</v>
      </c>
      <c r="AF1558" t="s">
        <v>451</v>
      </c>
      <c r="AG1558" t="s">
        <v>3225</v>
      </c>
      <c r="AI1558">
        <v>-361</v>
      </c>
      <c r="AL1558" t="s">
        <v>3226</v>
      </c>
      <c r="AN1558" t="s">
        <v>57</v>
      </c>
      <c r="AO1558">
        <v>0</v>
      </c>
      <c r="AS1558" t="s">
        <v>461</v>
      </c>
      <c r="AX1558" t="s">
        <v>57</v>
      </c>
      <c r="AY1558" t="s">
        <v>386</v>
      </c>
      <c r="AZ1558" t="s">
        <v>3227</v>
      </c>
      <c r="BF1558">
        <v>0</v>
      </c>
      <c r="BK1558" t="s">
        <v>31</v>
      </c>
      <c r="BS1558" t="s">
        <v>419</v>
      </c>
      <c r="BT1558" t="s">
        <v>419</v>
      </c>
      <c r="CI1558" t="s">
        <v>388</v>
      </c>
      <c r="CJ1558" s="14">
        <v>45014</v>
      </c>
      <c r="CK1558">
        <v>1</v>
      </c>
    </row>
    <row r="1559" spans="1:89">
      <c r="A1559" t="s">
        <v>2368</v>
      </c>
      <c r="B1559" t="s">
        <v>374</v>
      </c>
      <c r="C1559" t="s">
        <v>2369</v>
      </c>
      <c r="D1559" t="s">
        <v>3228</v>
      </c>
      <c r="E1559" t="s">
        <v>3229</v>
      </c>
      <c r="F1559" s="13">
        <v>44606.51221064815</v>
      </c>
      <c r="G1559" t="s">
        <v>3155</v>
      </c>
      <c r="H1559" t="s">
        <v>3156</v>
      </c>
      <c r="I1559" s="13">
        <v>45012.043773148151</v>
      </c>
      <c r="K1559" t="s">
        <v>415</v>
      </c>
      <c r="M1559" s="13">
        <v>44651</v>
      </c>
      <c r="R1559">
        <v>40</v>
      </c>
      <c r="S1559" t="s">
        <v>380</v>
      </c>
      <c r="T1559" t="s">
        <v>57</v>
      </c>
      <c r="V1559" t="s">
        <v>478</v>
      </c>
      <c r="W1559" t="s">
        <v>2374</v>
      </c>
      <c r="X1559" t="s">
        <v>2374</v>
      </c>
      <c r="AF1559" t="s">
        <v>451</v>
      </c>
      <c r="AG1559" t="s">
        <v>3230</v>
      </c>
      <c r="AH1559" t="s">
        <v>57</v>
      </c>
      <c r="AI1559">
        <v>-271</v>
      </c>
      <c r="AL1559" t="s">
        <v>3231</v>
      </c>
      <c r="AN1559" t="s">
        <v>31</v>
      </c>
      <c r="AO1559">
        <v>1</v>
      </c>
      <c r="AS1559" t="s">
        <v>730</v>
      </c>
      <c r="AX1559" t="s">
        <v>31</v>
      </c>
      <c r="AY1559" t="s">
        <v>442</v>
      </c>
      <c r="AZ1559" t="s">
        <v>3232</v>
      </c>
      <c r="BF1559">
        <v>0</v>
      </c>
      <c r="BK1559" t="s">
        <v>31</v>
      </c>
      <c r="BS1559" t="s">
        <v>419</v>
      </c>
      <c r="BT1559" t="s">
        <v>3233</v>
      </c>
      <c r="CI1559" t="s">
        <v>388</v>
      </c>
      <c r="CJ1559" s="14">
        <v>45014</v>
      </c>
      <c r="CK1559">
        <v>1</v>
      </c>
    </row>
    <row r="1560" spans="1:89">
      <c r="A1560" t="s">
        <v>3198</v>
      </c>
      <c r="B1560" t="s">
        <v>374</v>
      </c>
      <c r="C1560" t="s">
        <v>3199</v>
      </c>
      <c r="D1560" t="s">
        <v>3234</v>
      </c>
      <c r="E1560" t="s">
        <v>3235</v>
      </c>
      <c r="F1560" s="13">
        <v>44606.471655092595</v>
      </c>
      <c r="G1560" t="s">
        <v>3202</v>
      </c>
      <c r="H1560" t="s">
        <v>3203</v>
      </c>
      <c r="I1560" s="13">
        <v>45012.043773148151</v>
      </c>
      <c r="K1560" t="s">
        <v>415</v>
      </c>
      <c r="M1560" s="13">
        <v>44651</v>
      </c>
      <c r="R1560">
        <v>50</v>
      </c>
      <c r="S1560" t="s">
        <v>380</v>
      </c>
      <c r="T1560" t="s">
        <v>57</v>
      </c>
      <c r="V1560" t="s">
        <v>478</v>
      </c>
      <c r="W1560" t="s">
        <v>3209</v>
      </c>
      <c r="X1560" t="s">
        <v>3209</v>
      </c>
      <c r="AC1560" s="13">
        <v>44651</v>
      </c>
      <c r="AD1560" s="13">
        <v>44651</v>
      </c>
      <c r="AF1560" t="s">
        <v>451</v>
      </c>
      <c r="AG1560" t="s">
        <v>3225</v>
      </c>
      <c r="AI1560">
        <v>-361</v>
      </c>
      <c r="AL1560" t="s">
        <v>3236</v>
      </c>
      <c r="AN1560" t="s">
        <v>57</v>
      </c>
      <c r="AO1560">
        <v>0</v>
      </c>
      <c r="AS1560" t="s">
        <v>461</v>
      </c>
      <c r="AX1560" t="s">
        <v>57</v>
      </c>
      <c r="AY1560" t="s">
        <v>386</v>
      </c>
      <c r="AZ1560" t="s">
        <v>3237</v>
      </c>
      <c r="BF1560">
        <v>0</v>
      </c>
      <c r="BK1560" t="s">
        <v>31</v>
      </c>
      <c r="BS1560" t="s">
        <v>419</v>
      </c>
      <c r="BT1560" t="s">
        <v>419</v>
      </c>
      <c r="CI1560" t="s">
        <v>388</v>
      </c>
      <c r="CJ1560" s="14">
        <v>45014</v>
      </c>
      <c r="CK1560">
        <v>1</v>
      </c>
    </row>
    <row r="1561" spans="1:89">
      <c r="A1561" t="s">
        <v>3198</v>
      </c>
      <c r="B1561" t="s">
        <v>374</v>
      </c>
      <c r="C1561" t="s">
        <v>3199</v>
      </c>
      <c r="D1561" t="s">
        <v>3238</v>
      </c>
      <c r="E1561" t="s">
        <v>3239</v>
      </c>
      <c r="F1561" s="13">
        <v>44606.396562499998</v>
      </c>
      <c r="G1561" t="s">
        <v>3202</v>
      </c>
      <c r="H1561" t="s">
        <v>3203</v>
      </c>
      <c r="I1561" s="13">
        <v>45012.043773148151</v>
      </c>
      <c r="K1561" t="s">
        <v>415</v>
      </c>
      <c r="M1561" s="13">
        <v>44651</v>
      </c>
      <c r="R1561">
        <v>0</v>
      </c>
      <c r="S1561" t="s">
        <v>380</v>
      </c>
      <c r="T1561" t="s">
        <v>57</v>
      </c>
      <c r="V1561" t="s">
        <v>478</v>
      </c>
      <c r="W1561" t="s">
        <v>3209</v>
      </c>
      <c r="X1561" t="s">
        <v>3209</v>
      </c>
      <c r="AC1561" s="13">
        <v>44651</v>
      </c>
      <c r="AD1561" s="13">
        <v>44651</v>
      </c>
      <c r="AF1561" t="s">
        <v>451</v>
      </c>
      <c r="AG1561" t="s">
        <v>3210</v>
      </c>
      <c r="AI1561">
        <v>-361</v>
      </c>
      <c r="AL1561" t="s">
        <v>3240</v>
      </c>
      <c r="AN1561" t="s">
        <v>57</v>
      </c>
      <c r="AO1561">
        <v>0</v>
      </c>
      <c r="AS1561" t="s">
        <v>392</v>
      </c>
      <c r="AX1561" t="s">
        <v>57</v>
      </c>
      <c r="AY1561" t="s">
        <v>386</v>
      </c>
      <c r="AZ1561" t="s">
        <v>3241</v>
      </c>
      <c r="BF1561">
        <v>0</v>
      </c>
      <c r="BK1561" t="s">
        <v>31</v>
      </c>
      <c r="BS1561" t="s">
        <v>419</v>
      </c>
      <c r="BT1561" t="s">
        <v>419</v>
      </c>
      <c r="CI1561" t="s">
        <v>388</v>
      </c>
      <c r="CJ1561" s="14">
        <v>45014</v>
      </c>
      <c r="CK1561">
        <v>1</v>
      </c>
    </row>
    <row r="1562" spans="1:89">
      <c r="A1562" t="s">
        <v>3088</v>
      </c>
      <c r="B1562" t="s">
        <v>374</v>
      </c>
      <c r="C1562" t="s">
        <v>3089</v>
      </c>
      <c r="D1562" t="s">
        <v>3242</v>
      </c>
      <c r="E1562" t="s">
        <v>3243</v>
      </c>
      <c r="F1562" s="13">
        <v>44604.950104166666</v>
      </c>
      <c r="G1562" t="s">
        <v>3092</v>
      </c>
      <c r="H1562" t="s">
        <v>3093</v>
      </c>
      <c r="I1562" s="13">
        <v>44620.642569444448</v>
      </c>
      <c r="K1562" t="s">
        <v>409</v>
      </c>
      <c r="R1562">
        <v>0</v>
      </c>
      <c r="S1562" t="s">
        <v>416</v>
      </c>
      <c r="T1562" t="s">
        <v>57</v>
      </c>
      <c r="V1562" t="s">
        <v>381</v>
      </c>
      <c r="W1562" t="s">
        <v>3244</v>
      </c>
      <c r="X1562" t="s">
        <v>3244</v>
      </c>
      <c r="AC1562" s="13">
        <v>44834</v>
      </c>
      <c r="AD1562" s="13">
        <v>44742</v>
      </c>
      <c r="AI1562">
        <v>503</v>
      </c>
      <c r="AL1562" t="s">
        <v>3245</v>
      </c>
      <c r="AN1562" t="s">
        <v>31</v>
      </c>
      <c r="AO1562">
        <v>0</v>
      </c>
      <c r="AS1562" t="s">
        <v>392</v>
      </c>
      <c r="AX1562" t="s">
        <v>31</v>
      </c>
      <c r="AY1562" t="s">
        <v>442</v>
      </c>
      <c r="AZ1562" t="s">
        <v>3246</v>
      </c>
      <c r="BF1562">
        <v>0</v>
      </c>
      <c r="BK1562" t="s">
        <v>31</v>
      </c>
      <c r="BS1562" t="s">
        <v>409</v>
      </c>
      <c r="BT1562" t="s">
        <v>409</v>
      </c>
      <c r="CI1562" t="s">
        <v>388</v>
      </c>
      <c r="CJ1562" s="14">
        <v>45014</v>
      </c>
      <c r="CK1562">
        <v>1</v>
      </c>
    </row>
    <row r="1563" spans="1:89">
      <c r="A1563" t="s">
        <v>3088</v>
      </c>
      <c r="B1563" t="s">
        <v>374</v>
      </c>
      <c r="C1563" t="s">
        <v>3089</v>
      </c>
      <c r="D1563" t="s">
        <v>3247</v>
      </c>
      <c r="E1563" t="s">
        <v>3248</v>
      </c>
      <c r="F1563" s="13">
        <v>44604.892106481479</v>
      </c>
      <c r="G1563" t="s">
        <v>3092</v>
      </c>
      <c r="H1563" t="s">
        <v>3093</v>
      </c>
      <c r="I1563" s="13">
        <v>45012.043773148151</v>
      </c>
      <c r="K1563" t="s">
        <v>415</v>
      </c>
      <c r="M1563" s="13">
        <v>44651</v>
      </c>
      <c r="R1563">
        <v>30</v>
      </c>
      <c r="S1563" t="s">
        <v>380</v>
      </c>
      <c r="T1563" t="s">
        <v>57</v>
      </c>
      <c r="V1563" t="s">
        <v>478</v>
      </c>
      <c r="W1563" t="s">
        <v>3249</v>
      </c>
      <c r="X1563" t="s">
        <v>3249</v>
      </c>
      <c r="AC1563" s="13">
        <v>44651</v>
      </c>
      <c r="AD1563" s="13">
        <v>44651</v>
      </c>
      <c r="AF1563" t="s">
        <v>451</v>
      </c>
      <c r="AG1563" t="s">
        <v>3250</v>
      </c>
      <c r="AI1563">
        <v>-361</v>
      </c>
      <c r="AL1563" t="s">
        <v>3251</v>
      </c>
      <c r="AN1563" t="s">
        <v>31</v>
      </c>
      <c r="AO1563">
        <v>0</v>
      </c>
      <c r="AS1563" t="s">
        <v>392</v>
      </c>
      <c r="AX1563" t="s">
        <v>31</v>
      </c>
      <c r="AY1563" t="s">
        <v>386</v>
      </c>
      <c r="AZ1563" t="s">
        <v>3252</v>
      </c>
      <c r="BF1563">
        <v>0</v>
      </c>
      <c r="BK1563" t="s">
        <v>31</v>
      </c>
      <c r="BS1563" t="s">
        <v>419</v>
      </c>
      <c r="BT1563" t="s">
        <v>419</v>
      </c>
      <c r="CI1563" t="s">
        <v>388</v>
      </c>
      <c r="CJ1563" s="14">
        <v>45014</v>
      </c>
      <c r="CK1563">
        <v>1</v>
      </c>
    </row>
    <row r="1564" spans="1:89">
      <c r="A1564" t="s">
        <v>3088</v>
      </c>
      <c r="B1564" t="s">
        <v>374</v>
      </c>
      <c r="C1564" t="s">
        <v>3089</v>
      </c>
      <c r="D1564" t="s">
        <v>3253</v>
      </c>
      <c r="E1564" t="s">
        <v>3254</v>
      </c>
      <c r="F1564" s="13">
        <v>44603.497627314813</v>
      </c>
      <c r="G1564" t="s">
        <v>3092</v>
      </c>
      <c r="H1564" t="s">
        <v>3093</v>
      </c>
      <c r="I1564" s="13">
        <v>45012.043761574074</v>
      </c>
      <c r="K1564" t="s">
        <v>415</v>
      </c>
      <c r="M1564" s="13">
        <v>44651</v>
      </c>
      <c r="R1564">
        <v>0</v>
      </c>
      <c r="S1564" t="s">
        <v>380</v>
      </c>
      <c r="T1564" t="s">
        <v>57</v>
      </c>
      <c r="V1564" t="s">
        <v>478</v>
      </c>
      <c r="W1564" t="s">
        <v>3255</v>
      </c>
      <c r="X1564" t="s">
        <v>3255</v>
      </c>
      <c r="AF1564" t="s">
        <v>451</v>
      </c>
      <c r="AG1564" t="s">
        <v>451</v>
      </c>
      <c r="AI1564">
        <v>-361</v>
      </c>
      <c r="AL1564" t="s">
        <v>3256</v>
      </c>
      <c r="AN1564" t="s">
        <v>31</v>
      </c>
      <c r="AO1564">
        <v>0</v>
      </c>
      <c r="AS1564" t="s">
        <v>392</v>
      </c>
      <c r="AX1564" t="s">
        <v>31</v>
      </c>
      <c r="AY1564" t="s">
        <v>442</v>
      </c>
      <c r="AZ1564" t="s">
        <v>3257</v>
      </c>
      <c r="BF1564">
        <v>0</v>
      </c>
      <c r="BK1564" t="s">
        <v>31</v>
      </c>
      <c r="BS1564" t="s">
        <v>419</v>
      </c>
      <c r="BT1564" t="s">
        <v>419</v>
      </c>
      <c r="CI1564" t="s">
        <v>388</v>
      </c>
      <c r="CJ1564" s="14">
        <v>45014</v>
      </c>
      <c r="CK1564">
        <v>1</v>
      </c>
    </row>
    <row r="1565" spans="1:89">
      <c r="A1565" t="s">
        <v>3258</v>
      </c>
      <c r="B1565" t="s">
        <v>374</v>
      </c>
      <c r="C1565" t="s">
        <v>3259</v>
      </c>
      <c r="D1565" t="s">
        <v>3260</v>
      </c>
      <c r="E1565" t="s">
        <v>3261</v>
      </c>
      <c r="F1565" s="13">
        <v>44603.412349537037</v>
      </c>
      <c r="G1565" t="s">
        <v>3262</v>
      </c>
      <c r="H1565" t="s">
        <v>3263</v>
      </c>
      <c r="I1565" s="13">
        <v>44603.412986111114</v>
      </c>
      <c r="K1565" t="s">
        <v>412</v>
      </c>
      <c r="R1565">
        <v>0</v>
      </c>
      <c r="S1565" t="s">
        <v>380</v>
      </c>
      <c r="T1565" t="s">
        <v>57</v>
      </c>
      <c r="V1565" t="s">
        <v>381</v>
      </c>
      <c r="W1565" t="s">
        <v>3264</v>
      </c>
      <c r="X1565" t="s">
        <v>3264</v>
      </c>
      <c r="AI1565">
        <v>17</v>
      </c>
      <c r="AL1565" t="s">
        <v>3265</v>
      </c>
      <c r="AN1565" t="s">
        <v>31</v>
      </c>
      <c r="AO1565">
        <v>0</v>
      </c>
      <c r="AS1565" t="s">
        <v>538</v>
      </c>
      <c r="AU1565" t="s">
        <v>57</v>
      </c>
      <c r="AX1565" t="s">
        <v>31</v>
      </c>
      <c r="AY1565" t="s">
        <v>442</v>
      </c>
      <c r="AZ1565" t="s">
        <v>3266</v>
      </c>
      <c r="BF1565">
        <v>0</v>
      </c>
      <c r="BK1565" t="s">
        <v>31</v>
      </c>
      <c r="BS1565" t="s">
        <v>412</v>
      </c>
      <c r="BT1565" t="s">
        <v>412</v>
      </c>
      <c r="CI1565" t="s">
        <v>388</v>
      </c>
      <c r="CJ1565" s="14">
        <v>45014</v>
      </c>
      <c r="CK1565">
        <v>1</v>
      </c>
    </row>
    <row r="1566" spans="1:89">
      <c r="A1566" t="s">
        <v>2797</v>
      </c>
      <c r="B1566" t="s">
        <v>374</v>
      </c>
      <c r="C1566" t="s">
        <v>2798</v>
      </c>
      <c r="D1566" t="s">
        <v>3267</v>
      </c>
      <c r="E1566" t="s">
        <v>3268</v>
      </c>
      <c r="F1566" s="13">
        <v>44602.737974537034</v>
      </c>
      <c r="G1566" t="s">
        <v>3269</v>
      </c>
      <c r="H1566" t="s">
        <v>3270</v>
      </c>
      <c r="I1566" s="13">
        <v>45012.043761574074</v>
      </c>
      <c r="K1566" t="s">
        <v>415</v>
      </c>
      <c r="M1566" s="13">
        <v>44651</v>
      </c>
      <c r="R1566">
        <v>0</v>
      </c>
      <c r="S1566" t="s">
        <v>416</v>
      </c>
      <c r="T1566" t="s">
        <v>57</v>
      </c>
      <c r="V1566" t="s">
        <v>478</v>
      </c>
      <c r="W1566" t="s">
        <v>3271</v>
      </c>
      <c r="X1566" t="s">
        <v>3271</v>
      </c>
      <c r="Y1566" t="s">
        <v>480</v>
      </c>
      <c r="AC1566" s="13">
        <v>44561</v>
      </c>
      <c r="AD1566" s="13">
        <v>44561</v>
      </c>
      <c r="AF1566" t="s">
        <v>451</v>
      </c>
      <c r="AG1566" t="s">
        <v>3272</v>
      </c>
      <c r="AI1566">
        <v>-361</v>
      </c>
      <c r="AL1566" t="s">
        <v>3273</v>
      </c>
      <c r="AN1566" t="s">
        <v>31</v>
      </c>
      <c r="AO1566">
        <v>0</v>
      </c>
      <c r="AS1566" t="s">
        <v>385</v>
      </c>
      <c r="AT1566" t="s">
        <v>31</v>
      </c>
      <c r="AX1566" t="s">
        <v>31</v>
      </c>
      <c r="AY1566" t="s">
        <v>386</v>
      </c>
      <c r="AZ1566" t="s">
        <v>3274</v>
      </c>
      <c r="BF1566">
        <v>0</v>
      </c>
      <c r="BK1566" t="s">
        <v>31</v>
      </c>
      <c r="BS1566" t="s">
        <v>484</v>
      </c>
      <c r="BT1566" t="s">
        <v>484</v>
      </c>
      <c r="CI1566" t="s">
        <v>388</v>
      </c>
      <c r="CJ1566" s="14">
        <v>45014</v>
      </c>
      <c r="CK1566">
        <v>1</v>
      </c>
    </row>
    <row r="1567" spans="1:89">
      <c r="A1567" t="s">
        <v>2797</v>
      </c>
      <c r="B1567" t="s">
        <v>374</v>
      </c>
      <c r="C1567" t="s">
        <v>2798</v>
      </c>
      <c r="D1567" t="s">
        <v>3275</v>
      </c>
      <c r="E1567" t="s">
        <v>3276</v>
      </c>
      <c r="F1567" s="13">
        <v>44602.663553240738</v>
      </c>
      <c r="G1567" t="s">
        <v>3269</v>
      </c>
      <c r="H1567" t="s">
        <v>3270</v>
      </c>
      <c r="I1567" s="13">
        <v>45012.043761574074</v>
      </c>
      <c r="K1567" t="s">
        <v>415</v>
      </c>
      <c r="M1567" s="13">
        <v>44651</v>
      </c>
      <c r="R1567">
        <v>0</v>
      </c>
      <c r="S1567" t="s">
        <v>380</v>
      </c>
      <c r="T1567" t="s">
        <v>57</v>
      </c>
      <c r="V1567" t="s">
        <v>478</v>
      </c>
      <c r="W1567" t="s">
        <v>3271</v>
      </c>
      <c r="X1567" t="s">
        <v>3271</v>
      </c>
      <c r="AC1567" s="13">
        <v>44561</v>
      </c>
      <c r="AD1567" s="13">
        <v>44561</v>
      </c>
      <c r="AF1567" t="s">
        <v>451</v>
      </c>
      <c r="AI1567">
        <v>-361</v>
      </c>
      <c r="AL1567" t="s">
        <v>3277</v>
      </c>
      <c r="AN1567" t="s">
        <v>31</v>
      </c>
      <c r="AO1567">
        <v>0</v>
      </c>
      <c r="AS1567" t="s">
        <v>730</v>
      </c>
      <c r="AX1567" t="s">
        <v>31</v>
      </c>
      <c r="AY1567" t="s">
        <v>386</v>
      </c>
      <c r="AZ1567" t="s">
        <v>3278</v>
      </c>
      <c r="BF1567">
        <v>0</v>
      </c>
      <c r="BK1567" t="s">
        <v>31</v>
      </c>
      <c r="BS1567" t="s">
        <v>419</v>
      </c>
      <c r="BT1567" t="s">
        <v>419</v>
      </c>
      <c r="CI1567" t="s">
        <v>388</v>
      </c>
      <c r="CJ1567" s="14">
        <v>45014</v>
      </c>
      <c r="CK1567">
        <v>1</v>
      </c>
    </row>
    <row r="1568" spans="1:89">
      <c r="A1568" t="s">
        <v>2797</v>
      </c>
      <c r="B1568" t="s">
        <v>374</v>
      </c>
      <c r="C1568" t="s">
        <v>2798</v>
      </c>
      <c r="D1568" t="s">
        <v>3279</v>
      </c>
      <c r="E1568" t="s">
        <v>3280</v>
      </c>
      <c r="F1568" s="13">
        <v>44602.649826388886</v>
      </c>
      <c r="G1568" t="s">
        <v>3269</v>
      </c>
      <c r="H1568" t="s">
        <v>3270</v>
      </c>
      <c r="I1568" s="13">
        <v>45012.043749999997</v>
      </c>
      <c r="K1568" t="s">
        <v>415</v>
      </c>
      <c r="M1568" s="13">
        <v>44651</v>
      </c>
      <c r="R1568">
        <v>0</v>
      </c>
      <c r="S1568" t="s">
        <v>380</v>
      </c>
      <c r="T1568" t="s">
        <v>57</v>
      </c>
      <c r="V1568" t="s">
        <v>478</v>
      </c>
      <c r="W1568" t="s">
        <v>2828</v>
      </c>
      <c r="X1568" t="s">
        <v>2828</v>
      </c>
      <c r="AC1568" s="13">
        <v>44561</v>
      </c>
      <c r="AD1568" s="13">
        <v>44561</v>
      </c>
      <c r="AF1568" t="s">
        <v>451</v>
      </c>
      <c r="AI1568">
        <v>-361</v>
      </c>
      <c r="AL1568" t="s">
        <v>3281</v>
      </c>
      <c r="AN1568" t="s">
        <v>31</v>
      </c>
      <c r="AO1568">
        <v>0</v>
      </c>
      <c r="AS1568" t="s">
        <v>385</v>
      </c>
      <c r="AX1568" t="s">
        <v>31</v>
      </c>
      <c r="AY1568" t="s">
        <v>442</v>
      </c>
      <c r="AZ1568" t="s">
        <v>3282</v>
      </c>
      <c r="BF1568">
        <v>0</v>
      </c>
      <c r="BK1568" t="s">
        <v>31</v>
      </c>
      <c r="BS1568" t="s">
        <v>419</v>
      </c>
      <c r="BT1568" t="s">
        <v>419</v>
      </c>
      <c r="CI1568" t="s">
        <v>388</v>
      </c>
      <c r="CJ1568" s="14">
        <v>45014</v>
      </c>
      <c r="CK1568">
        <v>1</v>
      </c>
    </row>
    <row r="1569" spans="1:89">
      <c r="A1569" t="s">
        <v>2797</v>
      </c>
      <c r="B1569" t="s">
        <v>374</v>
      </c>
      <c r="C1569" t="s">
        <v>2798</v>
      </c>
      <c r="D1569" t="s">
        <v>3283</v>
      </c>
      <c r="E1569" t="s">
        <v>3284</v>
      </c>
      <c r="F1569" s="13">
        <v>44602.637650462966</v>
      </c>
      <c r="G1569" t="s">
        <v>3269</v>
      </c>
      <c r="H1569" t="s">
        <v>3270</v>
      </c>
      <c r="I1569" s="13">
        <v>45012.043749999997</v>
      </c>
      <c r="K1569" t="s">
        <v>415</v>
      </c>
      <c r="M1569" s="13">
        <v>44651</v>
      </c>
      <c r="R1569">
        <v>0</v>
      </c>
      <c r="S1569" t="s">
        <v>380</v>
      </c>
      <c r="T1569" t="s">
        <v>57</v>
      </c>
      <c r="V1569" t="s">
        <v>478</v>
      </c>
      <c r="W1569" t="s">
        <v>2828</v>
      </c>
      <c r="X1569" t="s">
        <v>2828</v>
      </c>
      <c r="AC1569" s="13">
        <v>44561</v>
      </c>
      <c r="AD1569" s="13">
        <v>44561</v>
      </c>
      <c r="AF1569" t="s">
        <v>451</v>
      </c>
      <c r="AI1569">
        <v>-361</v>
      </c>
      <c r="AL1569" t="s">
        <v>3285</v>
      </c>
      <c r="AN1569" t="s">
        <v>31</v>
      </c>
      <c r="AO1569">
        <v>0</v>
      </c>
      <c r="AS1569" t="s">
        <v>730</v>
      </c>
      <c r="AX1569" t="s">
        <v>31</v>
      </c>
      <c r="AY1569" t="s">
        <v>386</v>
      </c>
      <c r="AZ1569" t="s">
        <v>3286</v>
      </c>
      <c r="BF1569">
        <v>0</v>
      </c>
      <c r="BK1569" t="s">
        <v>31</v>
      </c>
      <c r="BS1569" t="s">
        <v>419</v>
      </c>
      <c r="BT1569" t="s">
        <v>419</v>
      </c>
      <c r="CI1569" t="s">
        <v>388</v>
      </c>
      <c r="CJ1569" s="14">
        <v>45014</v>
      </c>
      <c r="CK1569">
        <v>1</v>
      </c>
    </row>
    <row r="1570" spans="1:89">
      <c r="A1570" t="s">
        <v>2797</v>
      </c>
      <c r="B1570" t="s">
        <v>374</v>
      </c>
      <c r="C1570" t="s">
        <v>2798</v>
      </c>
      <c r="D1570" t="s">
        <v>3287</v>
      </c>
      <c r="E1570" t="s">
        <v>3288</v>
      </c>
      <c r="F1570" s="13">
        <v>44602.590196759258</v>
      </c>
      <c r="G1570" t="s">
        <v>3289</v>
      </c>
      <c r="H1570" t="s">
        <v>3290</v>
      </c>
      <c r="I1570" s="13">
        <v>45012.043749999997</v>
      </c>
      <c r="K1570" t="s">
        <v>415</v>
      </c>
      <c r="M1570" s="13">
        <v>44651</v>
      </c>
      <c r="R1570">
        <v>0</v>
      </c>
      <c r="S1570" t="s">
        <v>380</v>
      </c>
      <c r="T1570" t="s">
        <v>57</v>
      </c>
      <c r="V1570" t="s">
        <v>478</v>
      </c>
      <c r="W1570" t="s">
        <v>3271</v>
      </c>
      <c r="X1570" t="s">
        <v>3271</v>
      </c>
      <c r="AC1570" s="13">
        <v>44561</v>
      </c>
      <c r="AD1570" s="13">
        <v>44561</v>
      </c>
      <c r="AF1570" t="s">
        <v>451</v>
      </c>
      <c r="AI1570">
        <v>-361</v>
      </c>
      <c r="AL1570" t="s">
        <v>3291</v>
      </c>
      <c r="AN1570" t="s">
        <v>31</v>
      </c>
      <c r="AO1570">
        <v>0</v>
      </c>
      <c r="AS1570" t="s">
        <v>730</v>
      </c>
      <c r="AX1570" t="s">
        <v>31</v>
      </c>
      <c r="AY1570" t="s">
        <v>386</v>
      </c>
      <c r="AZ1570" t="s">
        <v>3292</v>
      </c>
      <c r="BF1570">
        <v>0</v>
      </c>
      <c r="BK1570" t="s">
        <v>31</v>
      </c>
      <c r="BS1570" t="s">
        <v>419</v>
      </c>
      <c r="BT1570" t="s">
        <v>419</v>
      </c>
      <c r="CI1570" t="s">
        <v>388</v>
      </c>
      <c r="CJ1570" s="14">
        <v>45014</v>
      </c>
      <c r="CK1570">
        <v>1</v>
      </c>
    </row>
    <row r="1571" spans="1:89">
      <c r="A1571" t="s">
        <v>2797</v>
      </c>
      <c r="B1571" t="s">
        <v>374</v>
      </c>
      <c r="C1571" t="s">
        <v>2798</v>
      </c>
      <c r="D1571" t="s">
        <v>3293</v>
      </c>
      <c r="E1571" t="s">
        <v>3294</v>
      </c>
      <c r="F1571" s="13">
        <v>44602.577986111108</v>
      </c>
      <c r="G1571" t="s">
        <v>3289</v>
      </c>
      <c r="H1571" t="s">
        <v>3290</v>
      </c>
      <c r="I1571" s="13">
        <v>45012.043749999997</v>
      </c>
      <c r="K1571" t="s">
        <v>415</v>
      </c>
      <c r="M1571" s="13">
        <v>44651</v>
      </c>
      <c r="R1571">
        <v>0</v>
      </c>
      <c r="S1571" t="s">
        <v>380</v>
      </c>
      <c r="T1571" t="s">
        <v>57</v>
      </c>
      <c r="V1571" t="s">
        <v>478</v>
      </c>
      <c r="W1571" t="s">
        <v>3271</v>
      </c>
      <c r="X1571" t="s">
        <v>3271</v>
      </c>
      <c r="AC1571" s="13">
        <v>44561</v>
      </c>
      <c r="AD1571" s="13">
        <v>44561</v>
      </c>
      <c r="AF1571" t="s">
        <v>451</v>
      </c>
      <c r="AI1571">
        <v>-361</v>
      </c>
      <c r="AL1571" t="s">
        <v>3295</v>
      </c>
      <c r="AN1571" t="s">
        <v>31</v>
      </c>
      <c r="AO1571">
        <v>0</v>
      </c>
      <c r="AS1571" t="s">
        <v>702</v>
      </c>
      <c r="AX1571" t="s">
        <v>31</v>
      </c>
      <c r="AY1571" t="s">
        <v>386</v>
      </c>
      <c r="AZ1571" t="s">
        <v>3296</v>
      </c>
      <c r="BF1571">
        <v>0</v>
      </c>
      <c r="BK1571" t="s">
        <v>31</v>
      </c>
      <c r="BS1571" t="s">
        <v>419</v>
      </c>
      <c r="BT1571" t="s">
        <v>419</v>
      </c>
      <c r="CI1571" t="s">
        <v>388</v>
      </c>
      <c r="CJ1571" s="14">
        <v>45014</v>
      </c>
      <c r="CK1571">
        <v>1</v>
      </c>
    </row>
    <row r="1572" spans="1:89">
      <c r="A1572" t="s">
        <v>2797</v>
      </c>
      <c r="B1572" t="s">
        <v>374</v>
      </c>
      <c r="C1572" t="s">
        <v>2798</v>
      </c>
      <c r="D1572" t="s">
        <v>3297</v>
      </c>
      <c r="E1572" t="s">
        <v>3298</v>
      </c>
      <c r="F1572" s="13">
        <v>44602.567696759259</v>
      </c>
      <c r="G1572" t="s">
        <v>3269</v>
      </c>
      <c r="H1572" t="s">
        <v>3270</v>
      </c>
      <c r="I1572" s="13">
        <v>44602.740231481483</v>
      </c>
      <c r="K1572" t="s">
        <v>409</v>
      </c>
      <c r="R1572">
        <v>0</v>
      </c>
      <c r="S1572" t="s">
        <v>416</v>
      </c>
      <c r="T1572" t="s">
        <v>57</v>
      </c>
      <c r="V1572" t="s">
        <v>381</v>
      </c>
      <c r="W1572" t="s">
        <v>3271</v>
      </c>
      <c r="X1572" t="s">
        <v>3271</v>
      </c>
      <c r="AC1572" s="13">
        <v>44561</v>
      </c>
      <c r="AD1572" s="13">
        <v>44561</v>
      </c>
      <c r="AI1572">
        <v>49</v>
      </c>
      <c r="AL1572" t="s">
        <v>3299</v>
      </c>
      <c r="AN1572" t="s">
        <v>31</v>
      </c>
      <c r="AO1572">
        <v>0</v>
      </c>
      <c r="AS1572" t="s">
        <v>730</v>
      </c>
      <c r="AX1572" t="s">
        <v>31</v>
      </c>
      <c r="AY1572" t="s">
        <v>386</v>
      </c>
      <c r="AZ1572" t="s">
        <v>3274</v>
      </c>
      <c r="BF1572">
        <v>0</v>
      </c>
      <c r="BK1572" t="s">
        <v>31</v>
      </c>
      <c r="BS1572" t="s">
        <v>409</v>
      </c>
      <c r="BT1572" t="s">
        <v>409</v>
      </c>
      <c r="CI1572" t="s">
        <v>388</v>
      </c>
      <c r="CJ1572" s="14">
        <v>45014</v>
      </c>
      <c r="CK1572">
        <v>1</v>
      </c>
    </row>
    <row r="1573" spans="1:89">
      <c r="A1573" t="s">
        <v>2797</v>
      </c>
      <c r="B1573" t="s">
        <v>374</v>
      </c>
      <c r="C1573" t="s">
        <v>2798</v>
      </c>
      <c r="D1573" t="s">
        <v>3300</v>
      </c>
      <c r="E1573" t="s">
        <v>3301</v>
      </c>
      <c r="F1573" s="13">
        <v>44602.562256944446</v>
      </c>
      <c r="G1573" t="s">
        <v>3289</v>
      </c>
      <c r="H1573" t="s">
        <v>3290</v>
      </c>
      <c r="I1573" s="13">
        <v>45012.043738425928</v>
      </c>
      <c r="K1573" t="s">
        <v>415</v>
      </c>
      <c r="M1573" s="13">
        <v>44651</v>
      </c>
      <c r="R1573">
        <v>0</v>
      </c>
      <c r="S1573" t="s">
        <v>380</v>
      </c>
      <c r="T1573" t="s">
        <v>57</v>
      </c>
      <c r="V1573" t="s">
        <v>478</v>
      </c>
      <c r="W1573" t="s">
        <v>3271</v>
      </c>
      <c r="X1573" t="s">
        <v>3271</v>
      </c>
      <c r="AC1573" s="13">
        <v>44561</v>
      </c>
      <c r="AD1573" s="13">
        <v>44561</v>
      </c>
      <c r="AF1573" t="s">
        <v>451</v>
      </c>
      <c r="AI1573">
        <v>-361</v>
      </c>
      <c r="AL1573" t="s">
        <v>3302</v>
      </c>
      <c r="AN1573" t="s">
        <v>31</v>
      </c>
      <c r="AO1573">
        <v>0</v>
      </c>
      <c r="AS1573" t="s">
        <v>730</v>
      </c>
      <c r="AX1573" t="s">
        <v>31</v>
      </c>
      <c r="AY1573" t="s">
        <v>386</v>
      </c>
      <c r="AZ1573" t="s">
        <v>3303</v>
      </c>
      <c r="BF1573">
        <v>0</v>
      </c>
      <c r="BK1573" t="s">
        <v>31</v>
      </c>
      <c r="BS1573" t="s">
        <v>419</v>
      </c>
      <c r="BT1573" t="s">
        <v>419</v>
      </c>
      <c r="CI1573" t="s">
        <v>388</v>
      </c>
      <c r="CJ1573" s="14">
        <v>45014</v>
      </c>
      <c r="CK1573">
        <v>1</v>
      </c>
    </row>
    <row r="1574" spans="1:89">
      <c r="A1574" t="s">
        <v>2797</v>
      </c>
      <c r="B1574" t="s">
        <v>374</v>
      </c>
      <c r="C1574" t="s">
        <v>2798</v>
      </c>
      <c r="D1574" t="s">
        <v>3304</v>
      </c>
      <c r="E1574" t="s">
        <v>3305</v>
      </c>
      <c r="F1574" s="13">
        <v>44602.553194444445</v>
      </c>
      <c r="G1574" t="s">
        <v>3269</v>
      </c>
      <c r="H1574" t="s">
        <v>3270</v>
      </c>
      <c r="I1574" s="13">
        <v>45012.043738425928</v>
      </c>
      <c r="K1574" t="s">
        <v>415</v>
      </c>
      <c r="M1574" s="13">
        <v>44651</v>
      </c>
      <c r="R1574">
        <v>0</v>
      </c>
      <c r="S1574" t="s">
        <v>380</v>
      </c>
      <c r="T1574" t="s">
        <v>57</v>
      </c>
      <c r="V1574" t="s">
        <v>478</v>
      </c>
      <c r="W1574" t="s">
        <v>3306</v>
      </c>
      <c r="X1574" t="s">
        <v>3306</v>
      </c>
      <c r="AC1574" s="13">
        <v>44561</v>
      </c>
      <c r="AD1574" s="13">
        <v>44561</v>
      </c>
      <c r="AF1574" t="s">
        <v>451</v>
      </c>
      <c r="AI1574">
        <v>-361</v>
      </c>
      <c r="AL1574" t="s">
        <v>3307</v>
      </c>
      <c r="AN1574" t="s">
        <v>31</v>
      </c>
      <c r="AO1574">
        <v>0</v>
      </c>
      <c r="AS1574" t="s">
        <v>730</v>
      </c>
      <c r="AX1574" t="s">
        <v>31</v>
      </c>
      <c r="AY1574" t="s">
        <v>386</v>
      </c>
      <c r="AZ1574" t="s">
        <v>3308</v>
      </c>
      <c r="BF1574">
        <v>0</v>
      </c>
      <c r="BK1574" t="s">
        <v>31</v>
      </c>
      <c r="BS1574" t="s">
        <v>419</v>
      </c>
      <c r="BT1574" t="s">
        <v>419</v>
      </c>
      <c r="CI1574" t="s">
        <v>388</v>
      </c>
      <c r="CJ1574" s="14">
        <v>45014</v>
      </c>
      <c r="CK1574">
        <v>1</v>
      </c>
    </row>
    <row r="1575" spans="1:89">
      <c r="A1575" t="s">
        <v>2797</v>
      </c>
      <c r="B1575" t="s">
        <v>374</v>
      </c>
      <c r="C1575" t="s">
        <v>2798</v>
      </c>
      <c r="D1575" t="s">
        <v>3309</v>
      </c>
      <c r="E1575" t="s">
        <v>3310</v>
      </c>
      <c r="F1575" s="13">
        <v>44602.55060185185</v>
      </c>
      <c r="G1575" t="s">
        <v>3289</v>
      </c>
      <c r="H1575" t="s">
        <v>3290</v>
      </c>
      <c r="I1575" s="13">
        <v>45012.043738425928</v>
      </c>
      <c r="K1575" t="s">
        <v>415</v>
      </c>
      <c r="M1575" s="13">
        <v>44651</v>
      </c>
      <c r="R1575">
        <v>0</v>
      </c>
      <c r="S1575" t="s">
        <v>380</v>
      </c>
      <c r="T1575" t="s">
        <v>57</v>
      </c>
      <c r="V1575" t="s">
        <v>478</v>
      </c>
      <c r="W1575" t="s">
        <v>3271</v>
      </c>
      <c r="X1575" t="s">
        <v>3271</v>
      </c>
      <c r="AC1575" s="13">
        <v>44561</v>
      </c>
      <c r="AD1575" s="13">
        <v>44561</v>
      </c>
      <c r="AF1575" t="s">
        <v>451</v>
      </c>
      <c r="AI1575">
        <v>-361</v>
      </c>
      <c r="AL1575" t="s">
        <v>3311</v>
      </c>
      <c r="AN1575" t="s">
        <v>31</v>
      </c>
      <c r="AO1575">
        <v>0</v>
      </c>
      <c r="AS1575" t="s">
        <v>702</v>
      </c>
      <c r="AX1575" t="s">
        <v>57</v>
      </c>
      <c r="AY1575" t="s">
        <v>386</v>
      </c>
      <c r="AZ1575" t="s">
        <v>3278</v>
      </c>
      <c r="BF1575">
        <v>0</v>
      </c>
      <c r="BK1575" t="s">
        <v>31</v>
      </c>
      <c r="BS1575" t="s">
        <v>419</v>
      </c>
      <c r="BT1575" t="s">
        <v>419</v>
      </c>
      <c r="CI1575" t="s">
        <v>388</v>
      </c>
      <c r="CJ1575" s="14">
        <v>45014</v>
      </c>
      <c r="CK1575">
        <v>1</v>
      </c>
    </row>
    <row r="1576" spans="1:89">
      <c r="A1576" t="s">
        <v>2797</v>
      </c>
      <c r="B1576" t="s">
        <v>374</v>
      </c>
      <c r="C1576" t="s">
        <v>2798</v>
      </c>
      <c r="D1576" t="s">
        <v>3312</v>
      </c>
      <c r="E1576" t="s">
        <v>3313</v>
      </c>
      <c r="F1576" s="13">
        <v>44602.534166666665</v>
      </c>
      <c r="G1576" t="s">
        <v>3289</v>
      </c>
      <c r="H1576" t="s">
        <v>3290</v>
      </c>
      <c r="I1576" s="13">
        <v>45012.043738425928</v>
      </c>
      <c r="K1576" t="s">
        <v>415</v>
      </c>
      <c r="M1576" s="13">
        <v>44651</v>
      </c>
      <c r="R1576">
        <v>0</v>
      </c>
      <c r="S1576" t="s">
        <v>380</v>
      </c>
      <c r="T1576" t="s">
        <v>57</v>
      </c>
      <c r="V1576" t="s">
        <v>478</v>
      </c>
      <c r="W1576" t="s">
        <v>3271</v>
      </c>
      <c r="X1576" t="s">
        <v>3271</v>
      </c>
      <c r="AC1576" s="13">
        <v>44561</v>
      </c>
      <c r="AD1576" s="13">
        <v>44561</v>
      </c>
      <c r="AF1576" t="s">
        <v>451</v>
      </c>
      <c r="AI1576">
        <v>-361</v>
      </c>
      <c r="AL1576" t="s">
        <v>3314</v>
      </c>
      <c r="AN1576" t="s">
        <v>31</v>
      </c>
      <c r="AO1576">
        <v>0</v>
      </c>
      <c r="AS1576" t="s">
        <v>730</v>
      </c>
      <c r="AX1576" t="s">
        <v>31</v>
      </c>
      <c r="AY1576" t="s">
        <v>386</v>
      </c>
      <c r="AZ1576" t="s">
        <v>3315</v>
      </c>
      <c r="BF1576">
        <v>0</v>
      </c>
      <c r="BK1576" t="s">
        <v>31</v>
      </c>
      <c r="BS1576" t="s">
        <v>419</v>
      </c>
      <c r="BT1576" t="s">
        <v>419</v>
      </c>
      <c r="CI1576" t="s">
        <v>388</v>
      </c>
      <c r="CJ1576" s="14">
        <v>45014</v>
      </c>
      <c r="CK1576">
        <v>1</v>
      </c>
    </row>
    <row r="1577" spans="1:89">
      <c r="A1577" t="s">
        <v>2797</v>
      </c>
      <c r="B1577" t="s">
        <v>374</v>
      </c>
      <c r="C1577" t="s">
        <v>2798</v>
      </c>
      <c r="D1577" t="s">
        <v>3316</v>
      </c>
      <c r="E1577" t="s">
        <v>3313</v>
      </c>
      <c r="F1577" s="13">
        <v>44602.499560185184</v>
      </c>
      <c r="G1577" t="s">
        <v>3289</v>
      </c>
      <c r="H1577" t="s">
        <v>3290</v>
      </c>
      <c r="I1577" s="13">
        <v>45012.043726851851</v>
      </c>
      <c r="K1577" t="s">
        <v>415</v>
      </c>
      <c r="M1577" s="13">
        <v>44651</v>
      </c>
      <c r="R1577">
        <v>0</v>
      </c>
      <c r="S1577" t="s">
        <v>380</v>
      </c>
      <c r="T1577" t="s">
        <v>57</v>
      </c>
      <c r="V1577" t="s">
        <v>478</v>
      </c>
      <c r="W1577" t="s">
        <v>3271</v>
      </c>
      <c r="X1577" t="s">
        <v>3271</v>
      </c>
      <c r="AC1577" s="13">
        <v>44561</v>
      </c>
      <c r="AD1577" s="13">
        <v>44561</v>
      </c>
      <c r="AF1577" t="s">
        <v>451</v>
      </c>
      <c r="AI1577">
        <v>-361</v>
      </c>
      <c r="AL1577" t="s">
        <v>3317</v>
      </c>
      <c r="AN1577" t="s">
        <v>31</v>
      </c>
      <c r="AO1577">
        <v>0</v>
      </c>
      <c r="AS1577" t="s">
        <v>730</v>
      </c>
      <c r="AX1577" t="s">
        <v>31</v>
      </c>
      <c r="AY1577" t="s">
        <v>386</v>
      </c>
      <c r="AZ1577" t="s">
        <v>3318</v>
      </c>
      <c r="BF1577">
        <v>0</v>
      </c>
      <c r="BK1577" t="s">
        <v>31</v>
      </c>
      <c r="BS1577" t="s">
        <v>419</v>
      </c>
      <c r="BT1577" t="s">
        <v>419</v>
      </c>
      <c r="CI1577" t="s">
        <v>388</v>
      </c>
      <c r="CJ1577" s="14">
        <v>45014</v>
      </c>
      <c r="CK1577">
        <v>1</v>
      </c>
    </row>
    <row r="1578" spans="1:89">
      <c r="A1578" t="s">
        <v>2797</v>
      </c>
      <c r="B1578" t="s">
        <v>374</v>
      </c>
      <c r="C1578" t="s">
        <v>2798</v>
      </c>
      <c r="D1578" t="s">
        <v>3319</v>
      </c>
      <c r="E1578" t="s">
        <v>3320</v>
      </c>
      <c r="F1578" s="13">
        <v>44602.482789351852</v>
      </c>
      <c r="G1578" t="s">
        <v>3269</v>
      </c>
      <c r="H1578" t="s">
        <v>3270</v>
      </c>
      <c r="I1578" s="13">
        <v>45012.043726851851</v>
      </c>
      <c r="K1578" t="s">
        <v>415</v>
      </c>
      <c r="M1578" s="13">
        <v>44651</v>
      </c>
      <c r="R1578">
        <v>0</v>
      </c>
      <c r="S1578" t="s">
        <v>380</v>
      </c>
      <c r="T1578" t="s">
        <v>57</v>
      </c>
      <c r="V1578" t="s">
        <v>478</v>
      </c>
      <c r="W1578" t="s">
        <v>3306</v>
      </c>
      <c r="X1578" t="s">
        <v>3306</v>
      </c>
      <c r="AC1578" s="13">
        <v>44561</v>
      </c>
      <c r="AD1578" s="13">
        <v>44561</v>
      </c>
      <c r="AF1578" t="s">
        <v>451</v>
      </c>
      <c r="AI1578">
        <v>-361</v>
      </c>
      <c r="AL1578" t="s">
        <v>3321</v>
      </c>
      <c r="AN1578" t="s">
        <v>31</v>
      </c>
      <c r="AO1578">
        <v>0</v>
      </c>
      <c r="AS1578" t="s">
        <v>730</v>
      </c>
      <c r="AX1578" t="s">
        <v>31</v>
      </c>
      <c r="AY1578" t="s">
        <v>386</v>
      </c>
      <c r="AZ1578" t="s">
        <v>2819</v>
      </c>
      <c r="BF1578">
        <v>0</v>
      </c>
      <c r="BK1578" t="s">
        <v>31</v>
      </c>
      <c r="BS1578" t="s">
        <v>419</v>
      </c>
      <c r="BT1578" t="s">
        <v>419</v>
      </c>
      <c r="CI1578" t="s">
        <v>388</v>
      </c>
      <c r="CJ1578" s="14">
        <v>45014</v>
      </c>
      <c r="CK1578">
        <v>1</v>
      </c>
    </row>
    <row r="1579" spans="1:89">
      <c r="A1579" t="s">
        <v>2797</v>
      </c>
      <c r="B1579" t="s">
        <v>374</v>
      </c>
      <c r="C1579" t="s">
        <v>2798</v>
      </c>
      <c r="D1579" t="s">
        <v>3322</v>
      </c>
      <c r="E1579" t="s">
        <v>2812</v>
      </c>
      <c r="F1579" s="13">
        <v>44602.404409722221</v>
      </c>
      <c r="G1579" t="s">
        <v>2801</v>
      </c>
      <c r="H1579" t="s">
        <v>2802</v>
      </c>
      <c r="I1579" s="13">
        <v>44617.662986111114</v>
      </c>
      <c r="K1579" t="s">
        <v>409</v>
      </c>
      <c r="R1579">
        <v>0</v>
      </c>
      <c r="S1579" t="s">
        <v>416</v>
      </c>
      <c r="T1579" t="s">
        <v>57</v>
      </c>
      <c r="V1579" t="s">
        <v>381</v>
      </c>
      <c r="W1579" t="s">
        <v>2828</v>
      </c>
      <c r="X1579" t="s">
        <v>2828</v>
      </c>
      <c r="AC1579" s="13">
        <v>44561</v>
      </c>
      <c r="AD1579" s="13">
        <v>44561</v>
      </c>
      <c r="AI1579">
        <v>49</v>
      </c>
      <c r="AL1579" t="s">
        <v>3323</v>
      </c>
      <c r="AN1579" t="s">
        <v>31</v>
      </c>
      <c r="AO1579">
        <v>0</v>
      </c>
      <c r="AS1579" t="s">
        <v>385</v>
      </c>
      <c r="AX1579" t="s">
        <v>31</v>
      </c>
      <c r="AY1579" t="s">
        <v>442</v>
      </c>
      <c r="AZ1579" t="s">
        <v>2814</v>
      </c>
      <c r="BF1579">
        <v>0</v>
      </c>
      <c r="BK1579" t="s">
        <v>31</v>
      </c>
      <c r="BS1579" t="s">
        <v>409</v>
      </c>
      <c r="BT1579" t="s">
        <v>409</v>
      </c>
      <c r="CI1579" t="s">
        <v>388</v>
      </c>
      <c r="CJ1579" s="14">
        <v>45014</v>
      </c>
      <c r="CK1579">
        <v>1</v>
      </c>
    </row>
    <row r="1580" spans="1:89">
      <c r="A1580" t="s">
        <v>3191</v>
      </c>
      <c r="B1580" t="s">
        <v>374</v>
      </c>
      <c r="C1580" t="s">
        <v>3192</v>
      </c>
      <c r="D1580" t="s">
        <v>3324</v>
      </c>
      <c r="E1580" t="s">
        <v>3325</v>
      </c>
      <c r="F1580" s="13">
        <v>44602.388935185183</v>
      </c>
      <c r="G1580" t="s">
        <v>1472</v>
      </c>
      <c r="H1580" t="s">
        <v>1473</v>
      </c>
      <c r="I1580" s="13">
        <v>44608.540983796294</v>
      </c>
      <c r="K1580" t="s">
        <v>379</v>
      </c>
      <c r="M1580" s="13">
        <v>44628</v>
      </c>
      <c r="R1580">
        <v>100</v>
      </c>
      <c r="S1580" t="s">
        <v>416</v>
      </c>
      <c r="T1580" t="s">
        <v>57</v>
      </c>
      <c r="V1580" t="s">
        <v>381</v>
      </c>
      <c r="W1580" t="s">
        <v>3195</v>
      </c>
      <c r="X1580" t="s">
        <v>3195</v>
      </c>
      <c r="AC1580" s="13">
        <v>44418</v>
      </c>
      <c r="AD1580" s="13">
        <v>44326</v>
      </c>
      <c r="AF1580" t="s">
        <v>382</v>
      </c>
      <c r="AG1580" t="s">
        <v>3326</v>
      </c>
      <c r="AI1580">
        <v>20</v>
      </c>
      <c r="AL1580" t="s">
        <v>3196</v>
      </c>
      <c r="AM1580">
        <v>1</v>
      </c>
      <c r="AN1580" t="s">
        <v>31</v>
      </c>
      <c r="AO1580">
        <v>0</v>
      </c>
      <c r="AS1580" t="s">
        <v>702</v>
      </c>
      <c r="AX1580" t="s">
        <v>31</v>
      </c>
      <c r="AY1580" t="s">
        <v>442</v>
      </c>
      <c r="AZ1580" t="s">
        <v>3327</v>
      </c>
      <c r="BE1580" t="s">
        <v>3328</v>
      </c>
      <c r="BF1580">
        <v>0</v>
      </c>
      <c r="BK1580" t="s">
        <v>31</v>
      </c>
      <c r="BS1580" t="s">
        <v>379</v>
      </c>
      <c r="BT1580" t="s">
        <v>379</v>
      </c>
      <c r="CI1580" t="s">
        <v>388</v>
      </c>
      <c r="CJ1580" s="14">
        <v>45014</v>
      </c>
      <c r="CK1580">
        <v>1</v>
      </c>
    </row>
    <row r="1581" spans="1:89">
      <c r="A1581" t="s">
        <v>2797</v>
      </c>
      <c r="B1581" t="s">
        <v>374</v>
      </c>
      <c r="C1581" t="s">
        <v>2798</v>
      </c>
      <c r="D1581" t="s">
        <v>3329</v>
      </c>
      <c r="E1581" t="s">
        <v>2816</v>
      </c>
      <c r="F1581" s="13">
        <v>44601.818622685183</v>
      </c>
      <c r="G1581" t="s">
        <v>2801</v>
      </c>
      <c r="H1581" t="s">
        <v>2802</v>
      </c>
      <c r="I1581" s="13">
        <v>44617.662800925929</v>
      </c>
      <c r="K1581" t="s">
        <v>409</v>
      </c>
      <c r="R1581">
        <v>0</v>
      </c>
      <c r="S1581" t="s">
        <v>416</v>
      </c>
      <c r="T1581" t="s">
        <v>57</v>
      </c>
      <c r="V1581" t="s">
        <v>381</v>
      </c>
      <c r="W1581" t="s">
        <v>3271</v>
      </c>
      <c r="X1581" t="s">
        <v>3271</v>
      </c>
      <c r="AC1581" s="13">
        <v>44561</v>
      </c>
      <c r="AD1581" s="13">
        <v>44561</v>
      </c>
      <c r="AI1581">
        <v>50</v>
      </c>
      <c r="AL1581" t="s">
        <v>3330</v>
      </c>
      <c r="AN1581" t="s">
        <v>31</v>
      </c>
      <c r="AO1581">
        <v>0</v>
      </c>
      <c r="AS1581" t="s">
        <v>385</v>
      </c>
      <c r="AX1581" t="s">
        <v>31</v>
      </c>
      <c r="AY1581" t="s">
        <v>442</v>
      </c>
      <c r="AZ1581" t="s">
        <v>2819</v>
      </c>
      <c r="BF1581">
        <v>0</v>
      </c>
      <c r="BK1581" t="s">
        <v>31</v>
      </c>
      <c r="BS1581" t="s">
        <v>409</v>
      </c>
      <c r="BT1581" t="s">
        <v>409</v>
      </c>
      <c r="CI1581" t="s">
        <v>388</v>
      </c>
      <c r="CJ1581" s="14">
        <v>45014</v>
      </c>
      <c r="CK1581">
        <v>1</v>
      </c>
    </row>
    <row r="1582" spans="1:89">
      <c r="A1582" t="s">
        <v>2797</v>
      </c>
      <c r="B1582" t="s">
        <v>374</v>
      </c>
      <c r="C1582" t="s">
        <v>2798</v>
      </c>
      <c r="D1582" t="s">
        <v>3331</v>
      </c>
      <c r="E1582" t="s">
        <v>2827</v>
      </c>
      <c r="F1582" s="13">
        <v>44601.802094907405</v>
      </c>
      <c r="G1582" t="s">
        <v>2801</v>
      </c>
      <c r="H1582" t="s">
        <v>2802</v>
      </c>
      <c r="I1582" s="13">
        <v>44617.662557870368</v>
      </c>
      <c r="K1582" t="s">
        <v>409</v>
      </c>
      <c r="R1582">
        <v>0</v>
      </c>
      <c r="S1582" t="s">
        <v>416</v>
      </c>
      <c r="T1582" t="s">
        <v>57</v>
      </c>
      <c r="V1582" t="s">
        <v>381</v>
      </c>
      <c r="W1582" t="s">
        <v>2828</v>
      </c>
      <c r="X1582" t="s">
        <v>2828</v>
      </c>
      <c r="AC1582" s="13">
        <v>44561</v>
      </c>
      <c r="AD1582" s="13">
        <v>44561</v>
      </c>
      <c r="AI1582">
        <v>50</v>
      </c>
      <c r="AL1582" t="s">
        <v>3332</v>
      </c>
      <c r="AN1582" t="s">
        <v>31</v>
      </c>
      <c r="AO1582">
        <v>0</v>
      </c>
      <c r="AS1582" t="s">
        <v>526</v>
      </c>
      <c r="AX1582" t="s">
        <v>31</v>
      </c>
      <c r="AY1582" t="s">
        <v>442</v>
      </c>
      <c r="AZ1582" t="s">
        <v>2830</v>
      </c>
      <c r="BF1582">
        <v>0</v>
      </c>
      <c r="BK1582" t="s">
        <v>31</v>
      </c>
      <c r="BS1582" t="s">
        <v>409</v>
      </c>
      <c r="BT1582" t="s">
        <v>409</v>
      </c>
      <c r="CI1582" t="s">
        <v>388</v>
      </c>
      <c r="CJ1582" s="14">
        <v>45014</v>
      </c>
      <c r="CK1582">
        <v>1</v>
      </c>
    </row>
    <row r="1583" spans="1:89">
      <c r="A1583" t="s">
        <v>3258</v>
      </c>
      <c r="B1583" t="s">
        <v>374</v>
      </c>
      <c r="C1583" t="s">
        <v>3259</v>
      </c>
      <c r="D1583" t="s">
        <v>3333</v>
      </c>
      <c r="E1583" t="s">
        <v>3334</v>
      </c>
      <c r="F1583" s="13">
        <v>44601.778796296298</v>
      </c>
      <c r="G1583" t="s">
        <v>3262</v>
      </c>
      <c r="H1583" t="s">
        <v>3263</v>
      </c>
      <c r="I1583" s="13">
        <v>45012.043726851851</v>
      </c>
      <c r="K1583" t="s">
        <v>415</v>
      </c>
      <c r="M1583" s="13">
        <v>45138</v>
      </c>
      <c r="R1583">
        <v>0</v>
      </c>
      <c r="S1583" t="s">
        <v>380</v>
      </c>
      <c r="T1583" t="s">
        <v>57</v>
      </c>
      <c r="V1583" t="s">
        <v>381</v>
      </c>
      <c r="W1583" t="s">
        <v>3335</v>
      </c>
      <c r="X1583" t="s">
        <v>3335</v>
      </c>
      <c r="AF1583" t="s">
        <v>451</v>
      </c>
      <c r="AI1583">
        <v>126</v>
      </c>
      <c r="AL1583" t="s">
        <v>3336</v>
      </c>
      <c r="AN1583" t="s">
        <v>31</v>
      </c>
      <c r="AO1583">
        <v>0</v>
      </c>
      <c r="AS1583" t="s">
        <v>538</v>
      </c>
      <c r="AX1583" t="s">
        <v>31</v>
      </c>
      <c r="AY1583" t="s">
        <v>442</v>
      </c>
      <c r="AZ1583" t="s">
        <v>3337</v>
      </c>
      <c r="BF1583">
        <v>0</v>
      </c>
      <c r="BK1583" t="s">
        <v>31</v>
      </c>
      <c r="BS1583" t="s">
        <v>419</v>
      </c>
      <c r="BT1583" t="s">
        <v>419</v>
      </c>
      <c r="CI1583" t="s">
        <v>388</v>
      </c>
      <c r="CJ1583" s="14">
        <v>45014</v>
      </c>
      <c r="CK1583">
        <v>1</v>
      </c>
    </row>
    <row r="1584" spans="1:89">
      <c r="A1584" t="s">
        <v>2797</v>
      </c>
      <c r="B1584" t="s">
        <v>374</v>
      </c>
      <c r="C1584" t="s">
        <v>2798</v>
      </c>
      <c r="D1584" t="s">
        <v>3338</v>
      </c>
      <c r="E1584" t="s">
        <v>2807</v>
      </c>
      <c r="F1584" s="13">
        <v>44601.725578703707</v>
      </c>
      <c r="G1584" t="s">
        <v>2801</v>
      </c>
      <c r="H1584" t="s">
        <v>2802</v>
      </c>
      <c r="I1584" s="13">
        <v>44617.662372685183</v>
      </c>
      <c r="K1584" t="s">
        <v>409</v>
      </c>
      <c r="R1584">
        <v>0</v>
      </c>
      <c r="S1584" t="s">
        <v>416</v>
      </c>
      <c r="T1584" t="s">
        <v>57</v>
      </c>
      <c r="V1584" t="s">
        <v>381</v>
      </c>
      <c r="W1584" t="s">
        <v>2828</v>
      </c>
      <c r="X1584" t="s">
        <v>2828</v>
      </c>
      <c r="AC1584" s="13">
        <v>44561</v>
      </c>
      <c r="AD1584" s="13">
        <v>44561</v>
      </c>
      <c r="AI1584">
        <v>50</v>
      </c>
      <c r="AL1584" t="s">
        <v>3339</v>
      </c>
      <c r="AN1584" t="s">
        <v>31</v>
      </c>
      <c r="AO1584">
        <v>0</v>
      </c>
      <c r="AS1584" t="s">
        <v>385</v>
      </c>
      <c r="AX1584" t="s">
        <v>31</v>
      </c>
      <c r="AY1584" t="s">
        <v>442</v>
      </c>
      <c r="AZ1584" t="s">
        <v>2810</v>
      </c>
      <c r="BF1584">
        <v>0</v>
      </c>
      <c r="BK1584" t="s">
        <v>31</v>
      </c>
      <c r="BS1584" t="s">
        <v>409</v>
      </c>
      <c r="BT1584" t="s">
        <v>409</v>
      </c>
      <c r="CI1584" t="s">
        <v>388</v>
      </c>
      <c r="CJ1584" s="14">
        <v>45014</v>
      </c>
      <c r="CK1584">
        <v>1</v>
      </c>
    </row>
    <row r="1585" spans="1:89">
      <c r="A1585" t="s">
        <v>2797</v>
      </c>
      <c r="B1585" t="s">
        <v>374</v>
      </c>
      <c r="C1585" t="s">
        <v>2798</v>
      </c>
      <c r="D1585" t="s">
        <v>3340</v>
      </c>
      <c r="E1585" t="s">
        <v>2800</v>
      </c>
      <c r="F1585" s="13">
        <v>44601.692164351851</v>
      </c>
      <c r="G1585" t="s">
        <v>2801</v>
      </c>
      <c r="H1585" t="s">
        <v>2802</v>
      </c>
      <c r="I1585" s="13">
        <v>44617.662141203706</v>
      </c>
      <c r="K1585" t="s">
        <v>409</v>
      </c>
      <c r="R1585">
        <v>0</v>
      </c>
      <c r="S1585" t="s">
        <v>416</v>
      </c>
      <c r="V1585" t="s">
        <v>381</v>
      </c>
      <c r="W1585" t="s">
        <v>2828</v>
      </c>
      <c r="X1585" t="s">
        <v>2828</v>
      </c>
      <c r="AI1585">
        <v>50</v>
      </c>
      <c r="AL1585" t="s">
        <v>3341</v>
      </c>
      <c r="AN1585" t="s">
        <v>31</v>
      </c>
      <c r="AO1585">
        <v>0</v>
      </c>
      <c r="AZ1585" t="s">
        <v>2805</v>
      </c>
      <c r="BF1585">
        <v>0</v>
      </c>
      <c r="BK1585" t="s">
        <v>31</v>
      </c>
      <c r="BS1585" t="s">
        <v>409</v>
      </c>
      <c r="BT1585" t="s">
        <v>409</v>
      </c>
      <c r="CI1585" t="s">
        <v>388</v>
      </c>
      <c r="CJ1585" s="14">
        <v>45014</v>
      </c>
      <c r="CK1585">
        <v>1</v>
      </c>
    </row>
    <row r="1586" spans="1:89">
      <c r="A1586" t="s">
        <v>2797</v>
      </c>
      <c r="B1586" t="s">
        <v>374</v>
      </c>
      <c r="C1586" t="s">
        <v>2798</v>
      </c>
      <c r="D1586" t="s">
        <v>3342</v>
      </c>
      <c r="E1586" t="s">
        <v>2832</v>
      </c>
      <c r="F1586" s="13">
        <v>44601.633240740739</v>
      </c>
      <c r="G1586" t="s">
        <v>2801</v>
      </c>
      <c r="H1586" t="s">
        <v>2802</v>
      </c>
      <c r="I1586" s="13">
        <v>44617.661782407406</v>
      </c>
      <c r="K1586" t="s">
        <v>409</v>
      </c>
      <c r="R1586">
        <v>0</v>
      </c>
      <c r="S1586" t="s">
        <v>380</v>
      </c>
      <c r="V1586" t="s">
        <v>381</v>
      </c>
      <c r="W1586" t="s">
        <v>2828</v>
      </c>
      <c r="X1586" t="s">
        <v>2828</v>
      </c>
      <c r="AI1586">
        <v>50</v>
      </c>
      <c r="AL1586" t="s">
        <v>3343</v>
      </c>
      <c r="AN1586" t="s">
        <v>31</v>
      </c>
      <c r="AO1586">
        <v>0</v>
      </c>
      <c r="AZ1586" t="s">
        <v>2834</v>
      </c>
      <c r="BF1586">
        <v>0</v>
      </c>
      <c r="BK1586" t="s">
        <v>31</v>
      </c>
      <c r="BS1586" t="s">
        <v>409</v>
      </c>
      <c r="BT1586" t="s">
        <v>409</v>
      </c>
      <c r="CI1586" t="s">
        <v>388</v>
      </c>
      <c r="CJ1586" s="14">
        <v>45014</v>
      </c>
      <c r="CK1586">
        <v>1</v>
      </c>
    </row>
    <row r="1587" spans="1:89">
      <c r="A1587" t="s">
        <v>2797</v>
      </c>
      <c r="B1587" t="s">
        <v>374</v>
      </c>
      <c r="C1587" t="s">
        <v>2798</v>
      </c>
      <c r="D1587" t="s">
        <v>3344</v>
      </c>
      <c r="E1587" t="s">
        <v>3345</v>
      </c>
      <c r="F1587" s="13">
        <v>44601.477152777778</v>
      </c>
      <c r="G1587" t="s">
        <v>3346</v>
      </c>
      <c r="H1587" t="s">
        <v>3347</v>
      </c>
      <c r="I1587" s="13">
        <v>45012.043715277781</v>
      </c>
      <c r="K1587" t="s">
        <v>415</v>
      </c>
      <c r="M1587" s="13">
        <v>44651</v>
      </c>
      <c r="R1587">
        <v>0</v>
      </c>
      <c r="S1587" t="s">
        <v>380</v>
      </c>
      <c r="T1587" t="s">
        <v>57</v>
      </c>
      <c r="V1587" t="s">
        <v>478</v>
      </c>
      <c r="W1587" t="s">
        <v>2808</v>
      </c>
      <c r="X1587" t="s">
        <v>2808</v>
      </c>
      <c r="AC1587" s="13">
        <v>44651</v>
      </c>
      <c r="AD1587" s="13">
        <v>44592</v>
      </c>
      <c r="AF1587" t="s">
        <v>451</v>
      </c>
      <c r="AI1587">
        <v>-361</v>
      </c>
      <c r="AL1587" t="s">
        <v>3348</v>
      </c>
      <c r="AN1587" t="s">
        <v>31</v>
      </c>
      <c r="AO1587">
        <v>0</v>
      </c>
      <c r="AS1587" t="s">
        <v>538</v>
      </c>
      <c r="AX1587" t="s">
        <v>57</v>
      </c>
      <c r="AY1587" t="s">
        <v>386</v>
      </c>
      <c r="AZ1587" t="s">
        <v>3349</v>
      </c>
      <c r="BF1587">
        <v>0</v>
      </c>
      <c r="BK1587" t="s">
        <v>31</v>
      </c>
      <c r="BS1587" t="s">
        <v>419</v>
      </c>
      <c r="BT1587" t="s">
        <v>419</v>
      </c>
      <c r="CI1587" t="s">
        <v>388</v>
      </c>
      <c r="CJ1587" s="14">
        <v>45014</v>
      </c>
      <c r="CK1587">
        <v>1</v>
      </c>
    </row>
    <row r="1588" spans="1:89">
      <c r="A1588" t="s">
        <v>2797</v>
      </c>
      <c r="B1588" t="s">
        <v>374</v>
      </c>
      <c r="C1588" t="s">
        <v>2798</v>
      </c>
      <c r="D1588" t="s">
        <v>3350</v>
      </c>
      <c r="E1588" t="s">
        <v>3351</v>
      </c>
      <c r="F1588" s="13">
        <v>44601.463576388887</v>
      </c>
      <c r="G1588" t="s">
        <v>3346</v>
      </c>
      <c r="H1588" t="s">
        <v>3347</v>
      </c>
      <c r="I1588" s="13">
        <v>45012.043715277781</v>
      </c>
      <c r="K1588" t="s">
        <v>415</v>
      </c>
      <c r="M1588" s="13">
        <v>44651</v>
      </c>
      <c r="R1588">
        <v>0</v>
      </c>
      <c r="S1588" t="s">
        <v>380</v>
      </c>
      <c r="T1588" t="s">
        <v>57</v>
      </c>
      <c r="V1588" t="s">
        <v>478</v>
      </c>
      <c r="W1588" t="s">
        <v>2817</v>
      </c>
      <c r="X1588" t="s">
        <v>2817</v>
      </c>
      <c r="AC1588" s="13">
        <v>44651</v>
      </c>
      <c r="AD1588" s="13">
        <v>44592</v>
      </c>
      <c r="AF1588" t="s">
        <v>451</v>
      </c>
      <c r="AI1588">
        <v>-361</v>
      </c>
      <c r="AL1588" t="s">
        <v>3352</v>
      </c>
      <c r="AN1588" t="s">
        <v>31</v>
      </c>
      <c r="AO1588">
        <v>0</v>
      </c>
      <c r="AS1588" t="s">
        <v>385</v>
      </c>
      <c r="AX1588" t="s">
        <v>57</v>
      </c>
      <c r="AY1588" t="s">
        <v>386</v>
      </c>
      <c r="AZ1588" t="s">
        <v>3353</v>
      </c>
      <c r="BF1588">
        <v>0</v>
      </c>
      <c r="BK1588" t="s">
        <v>31</v>
      </c>
      <c r="BS1588" t="s">
        <v>419</v>
      </c>
      <c r="BT1588" t="s">
        <v>419</v>
      </c>
      <c r="CI1588" t="s">
        <v>388</v>
      </c>
      <c r="CJ1588" s="14">
        <v>45014</v>
      </c>
      <c r="CK1588">
        <v>1</v>
      </c>
    </row>
    <row r="1589" spans="1:89">
      <c r="A1589" t="s">
        <v>2797</v>
      </c>
      <c r="B1589" t="s">
        <v>374</v>
      </c>
      <c r="C1589" t="s">
        <v>2798</v>
      </c>
      <c r="D1589" t="s">
        <v>3354</v>
      </c>
      <c r="E1589" t="s">
        <v>3355</v>
      </c>
      <c r="F1589" s="13">
        <v>44601.438483796293</v>
      </c>
      <c r="G1589" t="s">
        <v>3346</v>
      </c>
      <c r="H1589" t="s">
        <v>3347</v>
      </c>
      <c r="I1589" s="13">
        <v>45012.043715277781</v>
      </c>
      <c r="K1589" t="s">
        <v>415</v>
      </c>
      <c r="M1589" s="13">
        <v>44651</v>
      </c>
      <c r="R1589">
        <v>0</v>
      </c>
      <c r="S1589" t="s">
        <v>380</v>
      </c>
      <c r="T1589" t="s">
        <v>57</v>
      </c>
      <c r="V1589" t="s">
        <v>478</v>
      </c>
      <c r="W1589" t="s">
        <v>3356</v>
      </c>
      <c r="X1589" t="s">
        <v>3356</v>
      </c>
      <c r="AC1589" s="13">
        <v>44651</v>
      </c>
      <c r="AD1589" s="13">
        <v>44592</v>
      </c>
      <c r="AF1589" t="s">
        <v>451</v>
      </c>
      <c r="AI1589">
        <v>-361</v>
      </c>
      <c r="AL1589" t="s">
        <v>3357</v>
      </c>
      <c r="AN1589" t="s">
        <v>31</v>
      </c>
      <c r="AO1589">
        <v>0</v>
      </c>
      <c r="AS1589" t="s">
        <v>385</v>
      </c>
      <c r="AX1589" t="s">
        <v>57</v>
      </c>
      <c r="AY1589" t="s">
        <v>386</v>
      </c>
      <c r="AZ1589" t="s">
        <v>3358</v>
      </c>
      <c r="BF1589">
        <v>0</v>
      </c>
      <c r="BK1589" t="s">
        <v>31</v>
      </c>
      <c r="BS1589" t="s">
        <v>419</v>
      </c>
      <c r="BT1589" t="s">
        <v>419</v>
      </c>
      <c r="CI1589" t="s">
        <v>388</v>
      </c>
      <c r="CJ1589" s="14">
        <v>45014</v>
      </c>
      <c r="CK1589">
        <v>1</v>
      </c>
    </row>
    <row r="1590" spans="1:89">
      <c r="A1590" t="s">
        <v>1559</v>
      </c>
      <c r="B1590" t="s">
        <v>374</v>
      </c>
      <c r="C1590" t="s">
        <v>1560</v>
      </c>
      <c r="D1590" t="s">
        <v>3359</v>
      </c>
      <c r="E1590" t="s">
        <v>3360</v>
      </c>
      <c r="F1590" s="13">
        <v>44600.690810185188</v>
      </c>
      <c r="G1590" t="s">
        <v>1563</v>
      </c>
      <c r="H1590" t="s">
        <v>1564</v>
      </c>
      <c r="I1590" s="13">
        <v>45012.043715277781</v>
      </c>
      <c r="K1590" t="s">
        <v>415</v>
      </c>
      <c r="M1590" s="13">
        <v>44651</v>
      </c>
      <c r="R1590">
        <v>90</v>
      </c>
      <c r="S1590" t="s">
        <v>416</v>
      </c>
      <c r="T1590" t="s">
        <v>57</v>
      </c>
      <c r="V1590" t="s">
        <v>478</v>
      </c>
      <c r="W1590" t="s">
        <v>1573</v>
      </c>
      <c r="X1590" t="s">
        <v>1573</v>
      </c>
      <c r="AF1590" t="s">
        <v>451</v>
      </c>
      <c r="AG1590" t="s">
        <v>3361</v>
      </c>
      <c r="AI1590">
        <v>-361</v>
      </c>
      <c r="AL1590" t="s">
        <v>1566</v>
      </c>
      <c r="AN1590" t="s">
        <v>31</v>
      </c>
      <c r="AO1590">
        <v>0</v>
      </c>
      <c r="AS1590" t="s">
        <v>526</v>
      </c>
      <c r="AX1590" t="s">
        <v>31</v>
      </c>
      <c r="AY1590" t="s">
        <v>442</v>
      </c>
      <c r="AZ1590" t="s">
        <v>1570</v>
      </c>
      <c r="BF1590">
        <v>0</v>
      </c>
      <c r="BK1590" t="s">
        <v>31</v>
      </c>
      <c r="BS1590" t="s">
        <v>419</v>
      </c>
      <c r="BT1590" t="s">
        <v>419</v>
      </c>
      <c r="CI1590" t="s">
        <v>388</v>
      </c>
      <c r="CJ1590" s="14">
        <v>45014</v>
      </c>
      <c r="CK1590">
        <v>1</v>
      </c>
    </row>
    <row r="1591" spans="1:89">
      <c r="A1591" t="s">
        <v>1559</v>
      </c>
      <c r="B1591" t="s">
        <v>374</v>
      </c>
      <c r="C1591" t="s">
        <v>1560</v>
      </c>
      <c r="D1591" t="s">
        <v>3362</v>
      </c>
      <c r="E1591" t="s">
        <v>3363</v>
      </c>
      <c r="F1591" s="13">
        <v>44600.681909722225</v>
      </c>
      <c r="G1591" t="s">
        <v>1563</v>
      </c>
      <c r="H1591" t="s">
        <v>1564</v>
      </c>
      <c r="I1591" s="13">
        <v>45012.043703703705</v>
      </c>
      <c r="K1591" t="s">
        <v>415</v>
      </c>
      <c r="M1591" s="13">
        <v>44651</v>
      </c>
      <c r="R1591">
        <v>80</v>
      </c>
      <c r="S1591" t="s">
        <v>416</v>
      </c>
      <c r="T1591" t="s">
        <v>57</v>
      </c>
      <c r="V1591" t="s">
        <v>478</v>
      </c>
      <c r="W1591" t="s">
        <v>1573</v>
      </c>
      <c r="X1591" t="s">
        <v>1573</v>
      </c>
      <c r="AF1591" t="s">
        <v>451</v>
      </c>
      <c r="AG1591" t="s">
        <v>3364</v>
      </c>
      <c r="AI1591">
        <v>-361</v>
      </c>
      <c r="AL1591" t="s">
        <v>3365</v>
      </c>
      <c r="AN1591" t="s">
        <v>31</v>
      </c>
      <c r="AO1591">
        <v>0</v>
      </c>
      <c r="AS1591" t="s">
        <v>385</v>
      </c>
      <c r="AX1591" t="s">
        <v>31</v>
      </c>
      <c r="AY1591" t="s">
        <v>386</v>
      </c>
      <c r="AZ1591" t="s">
        <v>3366</v>
      </c>
      <c r="BF1591">
        <v>0</v>
      </c>
      <c r="BK1591" t="s">
        <v>31</v>
      </c>
      <c r="BS1591" t="s">
        <v>419</v>
      </c>
      <c r="BT1591" t="s">
        <v>419</v>
      </c>
      <c r="CI1591" t="s">
        <v>388</v>
      </c>
      <c r="CJ1591" s="14">
        <v>45014</v>
      </c>
      <c r="CK1591">
        <v>1</v>
      </c>
    </row>
    <row r="1592" spans="1:89">
      <c r="A1592" t="s">
        <v>1559</v>
      </c>
      <c r="B1592" t="s">
        <v>374</v>
      </c>
      <c r="C1592" t="s">
        <v>1560</v>
      </c>
      <c r="D1592" t="s">
        <v>3367</v>
      </c>
      <c r="E1592" t="s">
        <v>3368</v>
      </c>
      <c r="F1592" s="13">
        <v>44600.676886574074</v>
      </c>
      <c r="G1592" t="s">
        <v>1563</v>
      </c>
      <c r="H1592" t="s">
        <v>1564</v>
      </c>
      <c r="I1592" s="13">
        <v>44833.685474537036</v>
      </c>
      <c r="K1592" t="s">
        <v>409</v>
      </c>
      <c r="R1592">
        <v>0</v>
      </c>
      <c r="S1592" t="s">
        <v>380</v>
      </c>
      <c r="T1592" t="s">
        <v>57</v>
      </c>
      <c r="V1592" t="s">
        <v>381</v>
      </c>
      <c r="W1592" t="s">
        <v>1573</v>
      </c>
      <c r="X1592" t="s">
        <v>1573</v>
      </c>
      <c r="AI1592">
        <v>51</v>
      </c>
      <c r="AL1592" t="s">
        <v>3365</v>
      </c>
      <c r="AN1592" t="s">
        <v>31</v>
      </c>
      <c r="AO1592">
        <v>0</v>
      </c>
      <c r="AS1592" t="s">
        <v>385</v>
      </c>
      <c r="AX1592" t="s">
        <v>31</v>
      </c>
      <c r="AY1592" t="s">
        <v>386</v>
      </c>
      <c r="AZ1592" t="s">
        <v>3366</v>
      </c>
      <c r="BF1592">
        <v>0</v>
      </c>
      <c r="BK1592" t="s">
        <v>31</v>
      </c>
      <c r="BS1592" t="s">
        <v>409</v>
      </c>
      <c r="BT1592" t="s">
        <v>409</v>
      </c>
      <c r="CI1592" t="s">
        <v>388</v>
      </c>
      <c r="CJ1592" s="14">
        <v>45014</v>
      </c>
      <c r="CK1592">
        <v>1</v>
      </c>
    </row>
    <row r="1593" spans="1:89">
      <c r="A1593" t="s">
        <v>3191</v>
      </c>
      <c r="B1593" t="s">
        <v>374</v>
      </c>
      <c r="C1593" t="s">
        <v>3192</v>
      </c>
      <c r="D1593" t="s">
        <v>3369</v>
      </c>
      <c r="E1593" t="s">
        <v>3194</v>
      </c>
      <c r="F1593" s="13">
        <v>44600.554120370369</v>
      </c>
      <c r="G1593" t="s">
        <v>1472</v>
      </c>
      <c r="H1593" t="s">
        <v>1473</v>
      </c>
      <c r="I1593" s="13">
        <v>44607.615613425929</v>
      </c>
      <c r="K1593" t="s">
        <v>379</v>
      </c>
      <c r="M1593" s="13">
        <v>44755</v>
      </c>
      <c r="R1593">
        <v>100</v>
      </c>
      <c r="S1593" t="s">
        <v>380</v>
      </c>
      <c r="T1593" t="s">
        <v>57</v>
      </c>
      <c r="V1593" t="s">
        <v>381</v>
      </c>
      <c r="W1593" t="s">
        <v>3195</v>
      </c>
      <c r="X1593" t="s">
        <v>3195</v>
      </c>
      <c r="AC1593" s="13">
        <v>44792</v>
      </c>
      <c r="AD1593" s="13">
        <v>44657</v>
      </c>
      <c r="AF1593" t="s">
        <v>382</v>
      </c>
      <c r="AG1593" t="s">
        <v>3370</v>
      </c>
      <c r="AI1593">
        <v>148</v>
      </c>
      <c r="AL1593" t="s">
        <v>3196</v>
      </c>
      <c r="AN1593" t="s">
        <v>31</v>
      </c>
      <c r="AO1593">
        <v>0</v>
      </c>
      <c r="AS1593" t="s">
        <v>385</v>
      </c>
      <c r="AX1593" t="s">
        <v>57</v>
      </c>
      <c r="AY1593" t="s">
        <v>386</v>
      </c>
      <c r="AZ1593" t="s">
        <v>3197</v>
      </c>
      <c r="BF1593">
        <v>0</v>
      </c>
      <c r="BK1593" t="s">
        <v>31</v>
      </c>
      <c r="BS1593" t="s">
        <v>379</v>
      </c>
      <c r="BT1593" t="s">
        <v>379</v>
      </c>
      <c r="CI1593" t="s">
        <v>388</v>
      </c>
      <c r="CJ1593" s="14">
        <v>45014</v>
      </c>
      <c r="CK1593">
        <v>1</v>
      </c>
    </row>
    <row r="1594" spans="1:89">
      <c r="A1594" t="s">
        <v>1415</v>
      </c>
      <c r="B1594" t="s">
        <v>374</v>
      </c>
      <c r="C1594" t="s">
        <v>1416</v>
      </c>
      <c r="D1594" t="s">
        <v>3371</v>
      </c>
      <c r="E1594" t="s">
        <v>3372</v>
      </c>
      <c r="F1594" s="13">
        <v>44600.48033564815</v>
      </c>
      <c r="G1594" t="s">
        <v>1418</v>
      </c>
      <c r="H1594" t="s">
        <v>1419</v>
      </c>
      <c r="I1594" s="13">
        <v>45012.043703703705</v>
      </c>
      <c r="K1594" t="s">
        <v>415</v>
      </c>
      <c r="M1594" s="13">
        <v>44926</v>
      </c>
      <c r="R1594">
        <v>0</v>
      </c>
      <c r="S1594" t="s">
        <v>380</v>
      </c>
      <c r="T1594" t="s">
        <v>57</v>
      </c>
      <c r="V1594" t="s">
        <v>478</v>
      </c>
      <c r="W1594" t="s">
        <v>3373</v>
      </c>
      <c r="X1594" t="s">
        <v>3373</v>
      </c>
      <c r="AF1594" t="s">
        <v>451</v>
      </c>
      <c r="AI1594">
        <v>-86</v>
      </c>
      <c r="AL1594" t="s">
        <v>3374</v>
      </c>
      <c r="AN1594" t="s">
        <v>31</v>
      </c>
      <c r="AO1594">
        <v>0</v>
      </c>
      <c r="AS1594" t="s">
        <v>526</v>
      </c>
      <c r="AX1594" t="s">
        <v>31</v>
      </c>
      <c r="AY1594" t="s">
        <v>442</v>
      </c>
      <c r="AZ1594" t="s">
        <v>3375</v>
      </c>
      <c r="BF1594">
        <v>0</v>
      </c>
      <c r="BK1594" t="s">
        <v>31</v>
      </c>
      <c r="BS1594" t="s">
        <v>419</v>
      </c>
      <c r="BT1594" t="s">
        <v>419</v>
      </c>
      <c r="CI1594" t="s">
        <v>388</v>
      </c>
      <c r="CJ1594" s="14">
        <v>45014</v>
      </c>
      <c r="CK1594">
        <v>1</v>
      </c>
    </row>
    <row r="1595" spans="1:89">
      <c r="A1595" t="s">
        <v>3376</v>
      </c>
      <c r="B1595" t="s">
        <v>374</v>
      </c>
      <c r="C1595" t="s">
        <v>3377</v>
      </c>
      <c r="D1595" t="s">
        <v>3378</v>
      </c>
      <c r="E1595" t="s">
        <v>3379</v>
      </c>
      <c r="F1595" s="13">
        <v>44600.476365740738</v>
      </c>
      <c r="G1595" t="s">
        <v>3380</v>
      </c>
      <c r="H1595" t="s">
        <v>3381</v>
      </c>
      <c r="I1595" s="13">
        <v>44972.532002314816</v>
      </c>
      <c r="K1595" t="s">
        <v>379</v>
      </c>
      <c r="M1595" s="13">
        <v>44600</v>
      </c>
      <c r="R1595">
        <v>100</v>
      </c>
      <c r="S1595" t="s">
        <v>380</v>
      </c>
      <c r="T1595" t="s">
        <v>57</v>
      </c>
      <c r="V1595" t="s">
        <v>381</v>
      </c>
      <c r="W1595" t="s">
        <v>3381</v>
      </c>
      <c r="X1595" t="s">
        <v>3381</v>
      </c>
      <c r="AF1595" t="s">
        <v>382</v>
      </c>
      <c r="AG1595" t="s">
        <v>3382</v>
      </c>
      <c r="AI1595">
        <v>0</v>
      </c>
      <c r="AL1595" t="s">
        <v>3383</v>
      </c>
      <c r="AN1595" t="s">
        <v>31</v>
      </c>
      <c r="AO1595">
        <v>0</v>
      </c>
      <c r="AS1595" t="s">
        <v>538</v>
      </c>
      <c r="AX1595" t="s">
        <v>31</v>
      </c>
      <c r="AY1595" t="s">
        <v>386</v>
      </c>
      <c r="AZ1595" t="s">
        <v>3384</v>
      </c>
      <c r="BF1595">
        <v>0</v>
      </c>
      <c r="BK1595" t="s">
        <v>31</v>
      </c>
      <c r="BS1595" t="s">
        <v>379</v>
      </c>
      <c r="BT1595" t="s">
        <v>379</v>
      </c>
      <c r="CI1595" t="s">
        <v>388</v>
      </c>
      <c r="CJ1595" s="14">
        <v>45014</v>
      </c>
      <c r="CK1595">
        <v>1</v>
      </c>
    </row>
    <row r="1596" spans="1:89">
      <c r="A1596" t="s">
        <v>1415</v>
      </c>
      <c r="B1596" t="s">
        <v>374</v>
      </c>
      <c r="C1596" t="s">
        <v>1416</v>
      </c>
      <c r="D1596" t="s">
        <v>3385</v>
      </c>
      <c r="E1596" t="s">
        <v>3386</v>
      </c>
      <c r="F1596" s="13">
        <v>44600.443043981482</v>
      </c>
      <c r="G1596" t="s">
        <v>1418</v>
      </c>
      <c r="H1596" t="s">
        <v>1419</v>
      </c>
      <c r="I1596" s="13">
        <v>44620.686620370368</v>
      </c>
      <c r="K1596" t="s">
        <v>379</v>
      </c>
      <c r="M1596" s="13">
        <v>44651</v>
      </c>
      <c r="R1596">
        <v>100</v>
      </c>
      <c r="S1596" t="s">
        <v>380</v>
      </c>
      <c r="T1596" t="s">
        <v>57</v>
      </c>
      <c r="V1596" t="s">
        <v>381</v>
      </c>
      <c r="W1596" t="s">
        <v>3387</v>
      </c>
      <c r="X1596" t="s">
        <v>3387</v>
      </c>
      <c r="AF1596" t="s">
        <v>382</v>
      </c>
      <c r="AG1596" t="s">
        <v>3388</v>
      </c>
      <c r="AI1596">
        <v>31</v>
      </c>
      <c r="AL1596" t="s">
        <v>3389</v>
      </c>
      <c r="AN1596" t="s">
        <v>31</v>
      </c>
      <c r="AO1596">
        <v>0</v>
      </c>
      <c r="AS1596" t="s">
        <v>385</v>
      </c>
      <c r="AX1596" t="s">
        <v>31</v>
      </c>
      <c r="AY1596" t="s">
        <v>386</v>
      </c>
      <c r="AZ1596" t="s">
        <v>3390</v>
      </c>
      <c r="BF1596">
        <v>0</v>
      </c>
      <c r="BK1596" t="s">
        <v>31</v>
      </c>
      <c r="BS1596" t="s">
        <v>379</v>
      </c>
      <c r="BT1596" t="s">
        <v>379</v>
      </c>
      <c r="CI1596" t="s">
        <v>388</v>
      </c>
      <c r="CJ1596" s="14">
        <v>45014</v>
      </c>
      <c r="CK1596">
        <v>1</v>
      </c>
    </row>
    <row r="1597" spans="1:89">
      <c r="A1597" t="s">
        <v>1415</v>
      </c>
      <c r="B1597" t="s">
        <v>374</v>
      </c>
      <c r="C1597" t="s">
        <v>1416</v>
      </c>
      <c r="D1597" t="s">
        <v>3391</v>
      </c>
      <c r="E1597" t="s">
        <v>1628</v>
      </c>
      <c r="F1597" s="13">
        <v>44600.429201388892</v>
      </c>
      <c r="G1597" t="s">
        <v>1418</v>
      </c>
      <c r="H1597" t="s">
        <v>1419</v>
      </c>
      <c r="I1597" s="13">
        <v>44600.433298611111</v>
      </c>
      <c r="K1597" t="s">
        <v>379</v>
      </c>
      <c r="M1597" s="13">
        <v>44620</v>
      </c>
      <c r="R1597">
        <v>100</v>
      </c>
      <c r="S1597" t="s">
        <v>380</v>
      </c>
      <c r="T1597" t="s">
        <v>57</v>
      </c>
      <c r="V1597" t="s">
        <v>381</v>
      </c>
      <c r="W1597" t="s">
        <v>3392</v>
      </c>
      <c r="X1597" t="s">
        <v>3392</v>
      </c>
      <c r="AF1597" t="s">
        <v>382</v>
      </c>
      <c r="AG1597" t="s">
        <v>3382</v>
      </c>
      <c r="AI1597">
        <v>20</v>
      </c>
      <c r="AL1597" t="s">
        <v>3393</v>
      </c>
      <c r="AN1597" t="s">
        <v>31</v>
      </c>
      <c r="AO1597">
        <v>0</v>
      </c>
      <c r="AS1597" t="s">
        <v>392</v>
      </c>
      <c r="AX1597" t="s">
        <v>31</v>
      </c>
      <c r="AY1597" t="s">
        <v>386</v>
      </c>
      <c r="AZ1597" t="s">
        <v>1632</v>
      </c>
      <c r="BF1597">
        <v>0</v>
      </c>
      <c r="BK1597" t="s">
        <v>31</v>
      </c>
      <c r="BS1597" t="s">
        <v>379</v>
      </c>
      <c r="BT1597" t="s">
        <v>379</v>
      </c>
      <c r="CI1597" t="s">
        <v>388</v>
      </c>
      <c r="CJ1597" s="14">
        <v>45014</v>
      </c>
      <c r="CK1597">
        <v>1</v>
      </c>
    </row>
    <row r="1598" spans="1:89">
      <c r="A1598" t="s">
        <v>2797</v>
      </c>
      <c r="B1598" t="s">
        <v>374</v>
      </c>
      <c r="C1598" t="s">
        <v>2798</v>
      </c>
      <c r="D1598" t="s">
        <v>3394</v>
      </c>
      <c r="E1598" t="s">
        <v>3395</v>
      </c>
      <c r="F1598" s="13">
        <v>44600.399872685186</v>
      </c>
      <c r="G1598" t="s">
        <v>3396</v>
      </c>
      <c r="H1598" t="s">
        <v>3397</v>
      </c>
      <c r="I1598" s="13">
        <v>45012.043703703705</v>
      </c>
      <c r="K1598" t="s">
        <v>415</v>
      </c>
      <c r="M1598" s="13">
        <v>44651</v>
      </c>
      <c r="R1598">
        <v>0</v>
      </c>
      <c r="S1598" t="s">
        <v>380</v>
      </c>
      <c r="T1598" t="s">
        <v>57</v>
      </c>
      <c r="V1598" t="s">
        <v>478</v>
      </c>
      <c r="W1598" t="s">
        <v>2828</v>
      </c>
      <c r="X1598" t="s">
        <v>2828</v>
      </c>
      <c r="AC1598" s="13">
        <v>44561</v>
      </c>
      <c r="AD1598" s="13">
        <v>44561</v>
      </c>
      <c r="AF1598" t="s">
        <v>451</v>
      </c>
      <c r="AG1598" t="s">
        <v>3250</v>
      </c>
      <c r="AI1598">
        <v>-361</v>
      </c>
      <c r="AL1598" t="s">
        <v>3398</v>
      </c>
      <c r="AN1598" t="s">
        <v>31</v>
      </c>
      <c r="AO1598">
        <v>0</v>
      </c>
      <c r="AS1598" t="s">
        <v>538</v>
      </c>
      <c r="AX1598" t="s">
        <v>31</v>
      </c>
      <c r="AY1598" t="s">
        <v>386</v>
      </c>
      <c r="AZ1598" t="s">
        <v>3399</v>
      </c>
      <c r="BF1598">
        <v>0</v>
      </c>
      <c r="BK1598" t="s">
        <v>31</v>
      </c>
      <c r="BS1598" t="s">
        <v>419</v>
      </c>
      <c r="BT1598" t="s">
        <v>419</v>
      </c>
      <c r="CI1598" t="s">
        <v>388</v>
      </c>
      <c r="CJ1598" s="14">
        <v>45014</v>
      </c>
      <c r="CK1598">
        <v>1</v>
      </c>
    </row>
    <row r="1599" spans="1:89">
      <c r="A1599" t="s">
        <v>2797</v>
      </c>
      <c r="B1599" t="s">
        <v>374</v>
      </c>
      <c r="C1599" t="s">
        <v>2798</v>
      </c>
      <c r="D1599" t="s">
        <v>3400</v>
      </c>
      <c r="E1599" t="s">
        <v>3401</v>
      </c>
      <c r="F1599" s="13">
        <v>44600.387615740743</v>
      </c>
      <c r="G1599" t="s">
        <v>3396</v>
      </c>
      <c r="H1599" t="s">
        <v>3397</v>
      </c>
      <c r="I1599" s="13">
        <v>45012.043703703705</v>
      </c>
      <c r="K1599" t="s">
        <v>415</v>
      </c>
      <c r="M1599" s="13">
        <v>44651</v>
      </c>
      <c r="R1599">
        <v>0</v>
      </c>
      <c r="S1599" t="s">
        <v>380</v>
      </c>
      <c r="T1599" t="s">
        <v>57</v>
      </c>
      <c r="V1599" t="s">
        <v>478</v>
      </c>
      <c r="W1599" t="s">
        <v>2828</v>
      </c>
      <c r="X1599" t="s">
        <v>2828</v>
      </c>
      <c r="AC1599" s="13">
        <v>44561</v>
      </c>
      <c r="AD1599" s="13">
        <v>44561</v>
      </c>
      <c r="AF1599" t="s">
        <v>451</v>
      </c>
      <c r="AI1599">
        <v>-361</v>
      </c>
      <c r="AL1599" t="s">
        <v>3402</v>
      </c>
      <c r="AN1599" t="s">
        <v>31</v>
      </c>
      <c r="AO1599">
        <v>0</v>
      </c>
      <c r="AS1599" t="s">
        <v>538</v>
      </c>
      <c r="AX1599" t="s">
        <v>31</v>
      </c>
      <c r="AY1599" t="s">
        <v>386</v>
      </c>
      <c r="AZ1599" t="s">
        <v>3403</v>
      </c>
      <c r="BF1599">
        <v>0</v>
      </c>
      <c r="BK1599" t="s">
        <v>31</v>
      </c>
      <c r="BS1599" t="s">
        <v>419</v>
      </c>
      <c r="BT1599" t="s">
        <v>419</v>
      </c>
      <c r="CI1599" t="s">
        <v>388</v>
      </c>
      <c r="CJ1599" s="14">
        <v>45014</v>
      </c>
      <c r="CK1599">
        <v>1</v>
      </c>
    </row>
    <row r="1600" spans="1:89">
      <c r="A1600" t="s">
        <v>2797</v>
      </c>
      <c r="B1600" t="s">
        <v>374</v>
      </c>
      <c r="C1600" t="s">
        <v>2798</v>
      </c>
      <c r="D1600" t="s">
        <v>3404</v>
      </c>
      <c r="E1600" t="s">
        <v>3405</v>
      </c>
      <c r="F1600" s="13">
        <v>44599.851678240739</v>
      </c>
      <c r="G1600" t="s">
        <v>3396</v>
      </c>
      <c r="H1600" t="s">
        <v>3397</v>
      </c>
      <c r="I1600" s="13">
        <v>44637.833645833336</v>
      </c>
      <c r="K1600" t="s">
        <v>379</v>
      </c>
      <c r="M1600" s="13">
        <v>44651</v>
      </c>
      <c r="R1600">
        <v>100</v>
      </c>
      <c r="S1600" t="s">
        <v>380</v>
      </c>
      <c r="T1600" t="s">
        <v>57</v>
      </c>
      <c r="V1600" t="s">
        <v>381</v>
      </c>
      <c r="W1600" t="s">
        <v>3406</v>
      </c>
      <c r="X1600" t="s">
        <v>3406</v>
      </c>
      <c r="AC1600" s="13">
        <v>44561</v>
      </c>
      <c r="AD1600" s="13">
        <v>44561</v>
      </c>
      <c r="AF1600" t="s">
        <v>382</v>
      </c>
      <c r="AG1600" t="s">
        <v>1387</v>
      </c>
      <c r="AI1600">
        <v>14</v>
      </c>
      <c r="AL1600" t="s">
        <v>3407</v>
      </c>
      <c r="AN1600" t="s">
        <v>31</v>
      </c>
      <c r="AO1600">
        <v>0</v>
      </c>
      <c r="AS1600" t="s">
        <v>538</v>
      </c>
      <c r="AX1600" t="s">
        <v>31</v>
      </c>
      <c r="AY1600" t="s">
        <v>386</v>
      </c>
      <c r="AZ1600" t="s">
        <v>3408</v>
      </c>
      <c r="BF1600">
        <v>0</v>
      </c>
      <c r="BK1600" t="s">
        <v>31</v>
      </c>
      <c r="BS1600" t="s">
        <v>379</v>
      </c>
      <c r="BT1600" t="s">
        <v>379</v>
      </c>
      <c r="CI1600" t="s">
        <v>388</v>
      </c>
      <c r="CJ1600" s="14">
        <v>45014</v>
      </c>
      <c r="CK1600">
        <v>1</v>
      </c>
    </row>
    <row r="1601" spans="1:89">
      <c r="A1601" t="s">
        <v>2797</v>
      </c>
      <c r="B1601" t="s">
        <v>374</v>
      </c>
      <c r="C1601" t="s">
        <v>2798</v>
      </c>
      <c r="D1601" t="s">
        <v>3409</v>
      </c>
      <c r="E1601" t="s">
        <v>3410</v>
      </c>
      <c r="F1601" s="13">
        <v>44599.717141203706</v>
      </c>
      <c r="G1601" t="s">
        <v>3396</v>
      </c>
      <c r="H1601" t="s">
        <v>3397</v>
      </c>
      <c r="I1601" s="13">
        <v>45012.043692129628</v>
      </c>
      <c r="K1601" t="s">
        <v>415</v>
      </c>
      <c r="M1601" s="13">
        <v>44651</v>
      </c>
      <c r="R1601">
        <v>0</v>
      </c>
      <c r="S1601" t="s">
        <v>380</v>
      </c>
      <c r="T1601" t="s">
        <v>57</v>
      </c>
      <c r="V1601" t="s">
        <v>478</v>
      </c>
      <c r="W1601" t="s">
        <v>2828</v>
      </c>
      <c r="X1601" t="s">
        <v>2828</v>
      </c>
      <c r="AC1601" s="13">
        <v>44561</v>
      </c>
      <c r="AD1601" s="13">
        <v>44561</v>
      </c>
      <c r="AF1601" t="s">
        <v>451</v>
      </c>
      <c r="AI1601">
        <v>-361</v>
      </c>
      <c r="AL1601" t="s">
        <v>3411</v>
      </c>
      <c r="AN1601" t="s">
        <v>31</v>
      </c>
      <c r="AO1601">
        <v>0</v>
      </c>
      <c r="AS1601" t="s">
        <v>730</v>
      </c>
      <c r="AX1601" t="s">
        <v>31</v>
      </c>
      <c r="AY1601" t="s">
        <v>386</v>
      </c>
      <c r="AZ1601" t="s">
        <v>3412</v>
      </c>
      <c r="BF1601">
        <v>0</v>
      </c>
      <c r="BK1601" t="s">
        <v>31</v>
      </c>
      <c r="BS1601" t="s">
        <v>419</v>
      </c>
      <c r="BT1601" t="s">
        <v>419</v>
      </c>
      <c r="CI1601" t="s">
        <v>388</v>
      </c>
      <c r="CJ1601" s="14">
        <v>45014</v>
      </c>
      <c r="CK1601">
        <v>1</v>
      </c>
    </row>
    <row r="1602" spans="1:89">
      <c r="A1602" t="s">
        <v>2797</v>
      </c>
      <c r="B1602" t="s">
        <v>374</v>
      </c>
      <c r="C1602" t="s">
        <v>2798</v>
      </c>
      <c r="D1602" t="s">
        <v>3413</v>
      </c>
      <c r="E1602" t="s">
        <v>3414</v>
      </c>
      <c r="F1602" s="13">
        <v>44599.528090277781</v>
      </c>
      <c r="G1602" t="s">
        <v>3396</v>
      </c>
      <c r="H1602" t="s">
        <v>3397</v>
      </c>
      <c r="I1602" s="13">
        <v>45012.043692129628</v>
      </c>
      <c r="K1602" t="s">
        <v>415</v>
      </c>
      <c r="M1602" s="13">
        <v>44651</v>
      </c>
      <c r="R1602">
        <v>0</v>
      </c>
      <c r="S1602" t="s">
        <v>380</v>
      </c>
      <c r="T1602" t="s">
        <v>57</v>
      </c>
      <c r="V1602" t="s">
        <v>478</v>
      </c>
      <c r="W1602" t="s">
        <v>2828</v>
      </c>
      <c r="X1602" t="s">
        <v>2828</v>
      </c>
      <c r="AC1602" s="13">
        <v>44651</v>
      </c>
      <c r="AD1602" s="13">
        <v>44651</v>
      </c>
      <c r="AF1602" t="s">
        <v>451</v>
      </c>
      <c r="AG1602" t="s">
        <v>3415</v>
      </c>
      <c r="AI1602">
        <v>-361</v>
      </c>
      <c r="AL1602" t="s">
        <v>3416</v>
      </c>
      <c r="AN1602" t="s">
        <v>31</v>
      </c>
      <c r="AO1602">
        <v>0</v>
      </c>
      <c r="AS1602" t="s">
        <v>385</v>
      </c>
      <c r="AX1602" t="s">
        <v>31</v>
      </c>
      <c r="AY1602" t="s">
        <v>386</v>
      </c>
      <c r="AZ1602" t="s">
        <v>3417</v>
      </c>
      <c r="BF1602">
        <v>0</v>
      </c>
      <c r="BK1602" t="s">
        <v>31</v>
      </c>
      <c r="BS1602" t="s">
        <v>419</v>
      </c>
      <c r="BT1602" t="s">
        <v>419</v>
      </c>
      <c r="CI1602" t="s">
        <v>388</v>
      </c>
      <c r="CJ1602" s="14">
        <v>45014</v>
      </c>
      <c r="CK1602">
        <v>1</v>
      </c>
    </row>
    <row r="1603" spans="1:89">
      <c r="A1603" t="s">
        <v>454</v>
      </c>
      <c r="B1603" t="s">
        <v>374</v>
      </c>
      <c r="C1603" t="s">
        <v>455</v>
      </c>
      <c r="D1603" t="s">
        <v>3418</v>
      </c>
      <c r="E1603" t="s">
        <v>3419</v>
      </c>
      <c r="F1603" s="13">
        <v>44596.673472222225</v>
      </c>
      <c r="G1603" t="s">
        <v>2399</v>
      </c>
      <c r="H1603" t="s">
        <v>2400</v>
      </c>
      <c r="I1603" s="13">
        <v>44635.499062499999</v>
      </c>
      <c r="K1603" t="s">
        <v>379</v>
      </c>
      <c r="M1603" s="13">
        <v>44620</v>
      </c>
      <c r="R1603">
        <v>100</v>
      </c>
      <c r="S1603" t="s">
        <v>416</v>
      </c>
      <c r="T1603" t="s">
        <v>57</v>
      </c>
      <c r="V1603" t="s">
        <v>478</v>
      </c>
      <c r="W1603" t="s">
        <v>2401</v>
      </c>
      <c r="X1603" t="s">
        <v>2401</v>
      </c>
      <c r="AF1603" t="s">
        <v>382</v>
      </c>
      <c r="AG1603" t="s">
        <v>3420</v>
      </c>
      <c r="AI1603">
        <v>-15</v>
      </c>
      <c r="AL1603" t="s">
        <v>2402</v>
      </c>
      <c r="AM1603">
        <v>1</v>
      </c>
      <c r="AN1603" t="s">
        <v>31</v>
      </c>
      <c r="AO1603">
        <v>0</v>
      </c>
      <c r="AS1603" t="s">
        <v>385</v>
      </c>
      <c r="AX1603" t="s">
        <v>57</v>
      </c>
      <c r="AY1603" t="s">
        <v>386</v>
      </c>
      <c r="AZ1603" t="s">
        <v>3421</v>
      </c>
      <c r="BE1603" t="s">
        <v>3422</v>
      </c>
      <c r="BF1603">
        <v>0</v>
      </c>
      <c r="BK1603" t="s">
        <v>31</v>
      </c>
      <c r="BS1603" t="s">
        <v>379</v>
      </c>
      <c r="BT1603" t="s">
        <v>379</v>
      </c>
      <c r="CI1603" t="s">
        <v>388</v>
      </c>
      <c r="CJ1603" s="14">
        <v>45014</v>
      </c>
      <c r="CK1603">
        <v>1</v>
      </c>
    </row>
    <row r="1604" spans="1:89">
      <c r="A1604" t="s">
        <v>454</v>
      </c>
      <c r="B1604" t="s">
        <v>374</v>
      </c>
      <c r="C1604" t="s">
        <v>455</v>
      </c>
      <c r="D1604" t="s">
        <v>3423</v>
      </c>
      <c r="E1604" t="s">
        <v>3424</v>
      </c>
      <c r="F1604" s="13">
        <v>44596.660891203705</v>
      </c>
      <c r="G1604" t="s">
        <v>2399</v>
      </c>
      <c r="H1604" t="s">
        <v>2400</v>
      </c>
      <c r="I1604" s="13">
        <v>44635.498391203706</v>
      </c>
      <c r="K1604" t="s">
        <v>379</v>
      </c>
      <c r="M1604" s="13">
        <v>44620</v>
      </c>
      <c r="R1604">
        <v>100</v>
      </c>
      <c r="S1604" t="s">
        <v>416</v>
      </c>
      <c r="T1604" t="s">
        <v>57</v>
      </c>
      <c r="V1604" t="s">
        <v>478</v>
      </c>
      <c r="W1604" t="s">
        <v>2401</v>
      </c>
      <c r="X1604" t="s">
        <v>2401</v>
      </c>
      <c r="AF1604" t="s">
        <v>382</v>
      </c>
      <c r="AG1604" t="s">
        <v>3425</v>
      </c>
      <c r="AI1604">
        <v>-15</v>
      </c>
      <c r="AL1604" t="s">
        <v>2407</v>
      </c>
      <c r="AM1604">
        <v>1</v>
      </c>
      <c r="AN1604" t="s">
        <v>31</v>
      </c>
      <c r="AO1604">
        <v>0</v>
      </c>
      <c r="AS1604" t="s">
        <v>385</v>
      </c>
      <c r="AX1604" t="s">
        <v>57</v>
      </c>
      <c r="AY1604" t="s">
        <v>442</v>
      </c>
      <c r="AZ1604" t="s">
        <v>3426</v>
      </c>
      <c r="BF1604">
        <v>0</v>
      </c>
      <c r="BK1604" t="s">
        <v>31</v>
      </c>
      <c r="BS1604" t="s">
        <v>379</v>
      </c>
      <c r="BT1604" t="s">
        <v>379</v>
      </c>
      <c r="CI1604" t="s">
        <v>388</v>
      </c>
      <c r="CJ1604" s="14">
        <v>45014</v>
      </c>
      <c r="CK1604">
        <v>1</v>
      </c>
    </row>
    <row r="1605" spans="1:89">
      <c r="A1605" t="s">
        <v>454</v>
      </c>
      <c r="B1605" t="s">
        <v>374</v>
      </c>
      <c r="C1605" t="s">
        <v>455</v>
      </c>
      <c r="D1605" t="s">
        <v>3427</v>
      </c>
      <c r="E1605" t="s">
        <v>3428</v>
      </c>
      <c r="F1605" s="13">
        <v>44596.634814814817</v>
      </c>
      <c r="G1605" t="s">
        <v>2399</v>
      </c>
      <c r="H1605" t="s">
        <v>2400</v>
      </c>
      <c r="I1605" s="13">
        <v>44635.497800925928</v>
      </c>
      <c r="K1605" t="s">
        <v>379</v>
      </c>
      <c r="M1605" s="13">
        <v>44620</v>
      </c>
      <c r="R1605">
        <v>100</v>
      </c>
      <c r="S1605" t="s">
        <v>416</v>
      </c>
      <c r="T1605" t="s">
        <v>57</v>
      </c>
      <c r="V1605" t="s">
        <v>478</v>
      </c>
      <c r="W1605" t="s">
        <v>2401</v>
      </c>
      <c r="X1605" t="s">
        <v>2401</v>
      </c>
      <c r="AF1605" t="s">
        <v>382</v>
      </c>
      <c r="AG1605" t="s">
        <v>3429</v>
      </c>
      <c r="AI1605">
        <v>-15</v>
      </c>
      <c r="AL1605" t="s">
        <v>2412</v>
      </c>
      <c r="AM1605">
        <v>1</v>
      </c>
      <c r="AN1605" t="s">
        <v>31</v>
      </c>
      <c r="AO1605">
        <v>0</v>
      </c>
      <c r="AS1605" t="s">
        <v>385</v>
      </c>
      <c r="AX1605" t="s">
        <v>57</v>
      </c>
      <c r="AY1605" t="s">
        <v>442</v>
      </c>
      <c r="AZ1605" t="s">
        <v>3430</v>
      </c>
      <c r="BE1605" t="s">
        <v>2414</v>
      </c>
      <c r="BF1605">
        <v>0</v>
      </c>
      <c r="BK1605" t="s">
        <v>31</v>
      </c>
      <c r="BS1605" t="s">
        <v>379</v>
      </c>
      <c r="BT1605" t="s">
        <v>379</v>
      </c>
      <c r="CI1605" t="s">
        <v>388</v>
      </c>
      <c r="CJ1605" s="14">
        <v>45014</v>
      </c>
      <c r="CK1605">
        <v>1</v>
      </c>
    </row>
    <row r="1606" spans="1:89">
      <c r="A1606" t="s">
        <v>454</v>
      </c>
      <c r="B1606" t="s">
        <v>374</v>
      </c>
      <c r="C1606" t="s">
        <v>455</v>
      </c>
      <c r="D1606" t="s">
        <v>3431</v>
      </c>
      <c r="E1606" t="s">
        <v>3432</v>
      </c>
      <c r="F1606" s="13">
        <v>44596.491365740738</v>
      </c>
      <c r="G1606" t="s">
        <v>2399</v>
      </c>
      <c r="H1606" t="s">
        <v>2400</v>
      </c>
      <c r="I1606" s="13">
        <v>44635.496354166666</v>
      </c>
      <c r="K1606" t="s">
        <v>379</v>
      </c>
      <c r="M1606" s="13">
        <v>44620</v>
      </c>
      <c r="R1606">
        <v>100</v>
      </c>
      <c r="S1606" t="s">
        <v>416</v>
      </c>
      <c r="T1606" t="s">
        <v>57</v>
      </c>
      <c r="V1606" t="s">
        <v>478</v>
      </c>
      <c r="W1606" t="s">
        <v>2417</v>
      </c>
      <c r="X1606" t="s">
        <v>2417</v>
      </c>
      <c r="AF1606" t="s">
        <v>382</v>
      </c>
      <c r="AG1606" t="s">
        <v>3433</v>
      </c>
      <c r="AI1606">
        <v>-15</v>
      </c>
      <c r="AL1606" t="s">
        <v>2418</v>
      </c>
      <c r="AM1606">
        <v>1</v>
      </c>
      <c r="AN1606" t="s">
        <v>31</v>
      </c>
      <c r="AO1606">
        <v>0</v>
      </c>
      <c r="AS1606" t="s">
        <v>385</v>
      </c>
      <c r="AX1606" t="s">
        <v>57</v>
      </c>
      <c r="AY1606" t="s">
        <v>442</v>
      </c>
      <c r="AZ1606" t="s">
        <v>3434</v>
      </c>
      <c r="BE1606" t="s">
        <v>2420</v>
      </c>
      <c r="BF1606">
        <v>0</v>
      </c>
      <c r="BK1606" t="s">
        <v>31</v>
      </c>
      <c r="BS1606" t="s">
        <v>379</v>
      </c>
      <c r="BT1606" t="s">
        <v>379</v>
      </c>
      <c r="CI1606" t="s">
        <v>388</v>
      </c>
      <c r="CJ1606" s="14">
        <v>45014</v>
      </c>
      <c r="CK1606">
        <v>1</v>
      </c>
    </row>
    <row r="1607" spans="1:89">
      <c r="A1607" t="s">
        <v>454</v>
      </c>
      <c r="B1607" t="s">
        <v>374</v>
      </c>
      <c r="C1607" t="s">
        <v>455</v>
      </c>
      <c r="D1607" t="s">
        <v>3435</v>
      </c>
      <c r="E1607" t="s">
        <v>3436</v>
      </c>
      <c r="F1607" s="13">
        <v>44596.472245370373</v>
      </c>
      <c r="G1607" t="s">
        <v>2399</v>
      </c>
      <c r="H1607" t="s">
        <v>2400</v>
      </c>
      <c r="I1607" s="13">
        <v>44635.495439814818</v>
      </c>
      <c r="K1607" t="s">
        <v>379</v>
      </c>
      <c r="M1607" s="13">
        <v>44620</v>
      </c>
      <c r="R1607">
        <v>100</v>
      </c>
      <c r="S1607" t="s">
        <v>416</v>
      </c>
      <c r="T1607" t="s">
        <v>57</v>
      </c>
      <c r="V1607" t="s">
        <v>478</v>
      </c>
      <c r="W1607" t="s">
        <v>2417</v>
      </c>
      <c r="X1607" t="s">
        <v>2417</v>
      </c>
      <c r="AF1607" t="s">
        <v>382</v>
      </c>
      <c r="AG1607" t="s">
        <v>3437</v>
      </c>
      <c r="AI1607">
        <v>-15</v>
      </c>
      <c r="AL1607" t="s">
        <v>2434</v>
      </c>
      <c r="AM1607">
        <v>1</v>
      </c>
      <c r="AN1607" t="s">
        <v>31</v>
      </c>
      <c r="AO1607">
        <v>0</v>
      </c>
      <c r="AS1607" t="s">
        <v>385</v>
      </c>
      <c r="AX1607" t="s">
        <v>57</v>
      </c>
      <c r="AY1607" t="s">
        <v>442</v>
      </c>
      <c r="AZ1607" t="s">
        <v>3438</v>
      </c>
      <c r="BF1607">
        <v>0</v>
      </c>
      <c r="BK1607" t="s">
        <v>31</v>
      </c>
      <c r="BS1607" t="s">
        <v>379</v>
      </c>
      <c r="BT1607" t="s">
        <v>379</v>
      </c>
      <c r="CI1607" t="s">
        <v>388</v>
      </c>
      <c r="CJ1607" s="14">
        <v>45014</v>
      </c>
      <c r="CK1607">
        <v>1</v>
      </c>
    </row>
    <row r="1608" spans="1:89">
      <c r="A1608" t="s">
        <v>454</v>
      </c>
      <c r="B1608" t="s">
        <v>374</v>
      </c>
      <c r="C1608" t="s">
        <v>455</v>
      </c>
      <c r="D1608" t="s">
        <v>3439</v>
      </c>
      <c r="E1608" t="s">
        <v>3440</v>
      </c>
      <c r="F1608" s="13">
        <v>44596.432037037041</v>
      </c>
      <c r="G1608" t="s">
        <v>2399</v>
      </c>
      <c r="H1608" t="s">
        <v>2400</v>
      </c>
      <c r="I1608" s="13">
        <v>44635.867037037038</v>
      </c>
      <c r="K1608" t="s">
        <v>379</v>
      </c>
      <c r="M1608" s="13">
        <v>44620</v>
      </c>
      <c r="R1608">
        <v>100</v>
      </c>
      <c r="S1608" t="s">
        <v>416</v>
      </c>
      <c r="T1608" t="s">
        <v>57</v>
      </c>
      <c r="V1608" t="s">
        <v>478</v>
      </c>
      <c r="W1608" t="s">
        <v>2417</v>
      </c>
      <c r="X1608" t="s">
        <v>2417</v>
      </c>
      <c r="AF1608" t="s">
        <v>382</v>
      </c>
      <c r="AG1608" t="s">
        <v>3441</v>
      </c>
      <c r="AI1608">
        <v>-15</v>
      </c>
      <c r="AL1608" t="s">
        <v>2476</v>
      </c>
      <c r="AM1608">
        <v>1</v>
      </c>
      <c r="AN1608" t="s">
        <v>31</v>
      </c>
      <c r="AO1608">
        <v>0</v>
      </c>
      <c r="AS1608" t="s">
        <v>385</v>
      </c>
      <c r="AX1608" t="s">
        <v>57</v>
      </c>
      <c r="AY1608" t="s">
        <v>442</v>
      </c>
      <c r="AZ1608" t="s">
        <v>3442</v>
      </c>
      <c r="BF1608">
        <v>0</v>
      </c>
      <c r="BK1608" t="s">
        <v>31</v>
      </c>
      <c r="BS1608" t="s">
        <v>379</v>
      </c>
      <c r="BT1608" t="s">
        <v>379</v>
      </c>
      <c r="CI1608" t="s">
        <v>388</v>
      </c>
      <c r="CJ1608" s="14">
        <v>45014</v>
      </c>
      <c r="CK1608">
        <v>1</v>
      </c>
    </row>
    <row r="1609" spans="1:89">
      <c r="A1609" t="s">
        <v>454</v>
      </c>
      <c r="B1609" t="s">
        <v>374</v>
      </c>
      <c r="C1609" t="s">
        <v>455</v>
      </c>
      <c r="D1609" t="s">
        <v>3443</v>
      </c>
      <c r="E1609" t="s">
        <v>3444</v>
      </c>
      <c r="F1609" s="13">
        <v>44596.399224537039</v>
      </c>
      <c r="G1609" t="s">
        <v>2399</v>
      </c>
      <c r="H1609" t="s">
        <v>2400</v>
      </c>
      <c r="I1609" s="13">
        <v>44635.490023148152</v>
      </c>
      <c r="K1609" t="s">
        <v>379</v>
      </c>
      <c r="M1609" s="13">
        <v>44620</v>
      </c>
      <c r="R1609">
        <v>100</v>
      </c>
      <c r="S1609" t="s">
        <v>416</v>
      </c>
      <c r="T1609" t="s">
        <v>57</v>
      </c>
      <c r="V1609" t="s">
        <v>478</v>
      </c>
      <c r="W1609" t="s">
        <v>2417</v>
      </c>
      <c r="X1609" t="s">
        <v>2417</v>
      </c>
      <c r="AF1609" t="s">
        <v>382</v>
      </c>
      <c r="AG1609" t="s">
        <v>3445</v>
      </c>
      <c r="AI1609">
        <v>-15</v>
      </c>
      <c r="AL1609" t="s">
        <v>2532</v>
      </c>
      <c r="AM1609">
        <v>1</v>
      </c>
      <c r="AN1609" t="s">
        <v>31</v>
      </c>
      <c r="AO1609">
        <v>0</v>
      </c>
      <c r="AS1609" t="s">
        <v>385</v>
      </c>
      <c r="AX1609" t="s">
        <v>57</v>
      </c>
      <c r="AY1609" t="s">
        <v>442</v>
      </c>
      <c r="AZ1609" t="s">
        <v>3438</v>
      </c>
      <c r="BF1609">
        <v>0</v>
      </c>
      <c r="BK1609" t="s">
        <v>31</v>
      </c>
      <c r="BS1609" t="s">
        <v>379</v>
      </c>
      <c r="BT1609" t="s">
        <v>379</v>
      </c>
      <c r="CI1609" t="s">
        <v>388</v>
      </c>
      <c r="CJ1609" s="14">
        <v>45014</v>
      </c>
      <c r="CK1609">
        <v>1</v>
      </c>
    </row>
    <row r="1610" spans="1:89">
      <c r="A1610" t="s">
        <v>454</v>
      </c>
      <c r="B1610" t="s">
        <v>374</v>
      </c>
      <c r="C1610" t="s">
        <v>455</v>
      </c>
      <c r="D1610" t="s">
        <v>3446</v>
      </c>
      <c r="E1610" t="s">
        <v>3447</v>
      </c>
      <c r="F1610" s="13">
        <v>44595.73369212963</v>
      </c>
      <c r="G1610" t="s">
        <v>2399</v>
      </c>
      <c r="H1610" t="s">
        <v>2400</v>
      </c>
      <c r="I1610" s="13">
        <v>44635.48883101852</v>
      </c>
      <c r="K1610" t="s">
        <v>379</v>
      </c>
      <c r="M1610" s="13">
        <v>44620</v>
      </c>
      <c r="R1610">
        <v>100</v>
      </c>
      <c r="S1610" t="s">
        <v>416</v>
      </c>
      <c r="T1610" t="s">
        <v>57</v>
      </c>
      <c r="V1610" t="s">
        <v>478</v>
      </c>
      <c r="W1610" t="s">
        <v>2417</v>
      </c>
      <c r="X1610" t="s">
        <v>2417</v>
      </c>
      <c r="AF1610" t="s">
        <v>382</v>
      </c>
      <c r="AG1610" t="s">
        <v>3448</v>
      </c>
      <c r="AI1610">
        <v>-15</v>
      </c>
      <c r="AL1610" t="s">
        <v>2595</v>
      </c>
      <c r="AM1610">
        <v>1</v>
      </c>
      <c r="AN1610" t="s">
        <v>31</v>
      </c>
      <c r="AO1610">
        <v>0</v>
      </c>
      <c r="AS1610" t="s">
        <v>392</v>
      </c>
      <c r="AX1610" t="s">
        <v>57</v>
      </c>
      <c r="AY1610" t="s">
        <v>442</v>
      </c>
      <c r="AZ1610" t="s">
        <v>3449</v>
      </c>
      <c r="BF1610">
        <v>0</v>
      </c>
      <c r="BK1610" t="s">
        <v>31</v>
      </c>
      <c r="BS1610" t="s">
        <v>379</v>
      </c>
      <c r="BT1610" t="s">
        <v>379</v>
      </c>
      <c r="CI1610" t="s">
        <v>388</v>
      </c>
      <c r="CJ1610" s="14">
        <v>45014</v>
      </c>
      <c r="CK1610">
        <v>1</v>
      </c>
    </row>
    <row r="1611" spans="1:89">
      <c r="A1611" t="s">
        <v>454</v>
      </c>
      <c r="B1611" t="s">
        <v>374</v>
      </c>
      <c r="C1611" t="s">
        <v>455</v>
      </c>
      <c r="D1611" t="s">
        <v>3450</v>
      </c>
      <c r="E1611" t="s">
        <v>3451</v>
      </c>
      <c r="F1611" s="13">
        <v>44595.729166666664</v>
      </c>
      <c r="G1611" t="s">
        <v>2399</v>
      </c>
      <c r="H1611" t="s">
        <v>2400</v>
      </c>
      <c r="I1611" s="13">
        <v>44624.468576388892</v>
      </c>
      <c r="K1611" t="s">
        <v>379</v>
      </c>
      <c r="M1611" s="13">
        <v>44620</v>
      </c>
      <c r="R1611">
        <v>100</v>
      </c>
      <c r="S1611" t="s">
        <v>416</v>
      </c>
      <c r="T1611" t="s">
        <v>57</v>
      </c>
      <c r="V1611" t="s">
        <v>478</v>
      </c>
      <c r="W1611" t="s">
        <v>2417</v>
      </c>
      <c r="X1611" t="s">
        <v>2417</v>
      </c>
      <c r="AF1611" t="s">
        <v>382</v>
      </c>
      <c r="AG1611" t="s">
        <v>3452</v>
      </c>
      <c r="AI1611">
        <v>-4</v>
      </c>
      <c r="AL1611" t="s">
        <v>2558</v>
      </c>
      <c r="AM1611">
        <v>1</v>
      </c>
      <c r="AN1611" t="s">
        <v>31</v>
      </c>
      <c r="AO1611">
        <v>0</v>
      </c>
      <c r="AS1611" t="s">
        <v>385</v>
      </c>
      <c r="AX1611" t="s">
        <v>57</v>
      </c>
      <c r="AY1611" t="s">
        <v>442</v>
      </c>
      <c r="AZ1611" t="s">
        <v>3453</v>
      </c>
      <c r="BF1611">
        <v>0</v>
      </c>
      <c r="BK1611" t="s">
        <v>31</v>
      </c>
      <c r="BS1611" t="s">
        <v>379</v>
      </c>
      <c r="BT1611" t="s">
        <v>379</v>
      </c>
      <c r="CI1611" t="s">
        <v>388</v>
      </c>
      <c r="CJ1611" s="14">
        <v>45014</v>
      </c>
      <c r="CK1611">
        <v>1</v>
      </c>
    </row>
    <row r="1612" spans="1:89">
      <c r="A1612" t="s">
        <v>454</v>
      </c>
      <c r="B1612" t="s">
        <v>374</v>
      </c>
      <c r="C1612" t="s">
        <v>455</v>
      </c>
      <c r="D1612" t="s">
        <v>3454</v>
      </c>
      <c r="E1612" t="s">
        <v>3455</v>
      </c>
      <c r="F1612" s="13">
        <v>44595.601770833331</v>
      </c>
      <c r="G1612" t="s">
        <v>1264</v>
      </c>
      <c r="H1612" t="s">
        <v>1265</v>
      </c>
      <c r="I1612" s="13">
        <v>44620.69295138889</v>
      </c>
      <c r="K1612" t="s">
        <v>409</v>
      </c>
      <c r="R1612">
        <v>0</v>
      </c>
      <c r="S1612" t="s">
        <v>380</v>
      </c>
      <c r="T1612" t="s">
        <v>57</v>
      </c>
      <c r="V1612" t="s">
        <v>381</v>
      </c>
      <c r="W1612" t="s">
        <v>3456</v>
      </c>
      <c r="X1612" t="s">
        <v>3456</v>
      </c>
      <c r="AC1612" s="13">
        <v>44620</v>
      </c>
      <c r="AD1612" s="13">
        <v>44620</v>
      </c>
      <c r="AI1612">
        <v>25</v>
      </c>
      <c r="AL1612" t="s">
        <v>2463</v>
      </c>
      <c r="AN1612" t="s">
        <v>31</v>
      </c>
      <c r="AO1612">
        <v>0</v>
      </c>
      <c r="AS1612" t="s">
        <v>385</v>
      </c>
      <c r="AX1612" t="s">
        <v>57</v>
      </c>
      <c r="AY1612" t="s">
        <v>386</v>
      </c>
      <c r="AZ1612" t="s">
        <v>3457</v>
      </c>
      <c r="BE1612" t="s">
        <v>3458</v>
      </c>
      <c r="BF1612">
        <v>0</v>
      </c>
      <c r="BK1612" t="s">
        <v>31</v>
      </c>
      <c r="BS1612" t="s">
        <v>409</v>
      </c>
      <c r="BT1612" t="s">
        <v>409</v>
      </c>
      <c r="CI1612" t="s">
        <v>388</v>
      </c>
      <c r="CJ1612" s="14">
        <v>45014</v>
      </c>
      <c r="CK1612">
        <v>1</v>
      </c>
    </row>
    <row r="1613" spans="1:89">
      <c r="A1613" t="s">
        <v>454</v>
      </c>
      <c r="B1613" t="s">
        <v>374</v>
      </c>
      <c r="C1613" t="s">
        <v>455</v>
      </c>
      <c r="D1613" t="s">
        <v>3459</v>
      </c>
      <c r="E1613" t="s">
        <v>3460</v>
      </c>
      <c r="F1613" s="13">
        <v>44595.594456018516</v>
      </c>
      <c r="G1613" t="s">
        <v>1264</v>
      </c>
      <c r="H1613" t="s">
        <v>1265</v>
      </c>
      <c r="I1613" s="13">
        <v>45012.043692129628</v>
      </c>
      <c r="K1613" t="s">
        <v>415</v>
      </c>
      <c r="M1613" s="13">
        <v>44727</v>
      </c>
      <c r="R1613">
        <v>0</v>
      </c>
      <c r="S1613" t="s">
        <v>380</v>
      </c>
      <c r="T1613" t="s">
        <v>57</v>
      </c>
      <c r="V1613" t="s">
        <v>478</v>
      </c>
      <c r="W1613" t="s">
        <v>2306</v>
      </c>
      <c r="X1613" t="s">
        <v>2306</v>
      </c>
      <c r="AF1613" t="s">
        <v>451</v>
      </c>
      <c r="AI1613">
        <v>-285</v>
      </c>
      <c r="AL1613" t="s">
        <v>3461</v>
      </c>
      <c r="AN1613" t="s">
        <v>31</v>
      </c>
      <c r="AO1613">
        <v>0</v>
      </c>
      <c r="AS1613" t="s">
        <v>392</v>
      </c>
      <c r="AX1613" t="s">
        <v>57</v>
      </c>
      <c r="AY1613" t="s">
        <v>442</v>
      </c>
      <c r="AZ1613" t="s">
        <v>3462</v>
      </c>
      <c r="BE1613" t="s">
        <v>3463</v>
      </c>
      <c r="BF1613">
        <v>0</v>
      </c>
      <c r="BK1613" t="s">
        <v>31</v>
      </c>
      <c r="BS1613" t="s">
        <v>419</v>
      </c>
      <c r="BT1613" t="s">
        <v>419</v>
      </c>
      <c r="CI1613" t="s">
        <v>388</v>
      </c>
      <c r="CJ1613" s="14">
        <v>45014</v>
      </c>
      <c r="CK1613">
        <v>1</v>
      </c>
    </row>
    <row r="1614" spans="1:89">
      <c r="A1614" t="s">
        <v>454</v>
      </c>
      <c r="B1614" t="s">
        <v>374</v>
      </c>
      <c r="C1614" t="s">
        <v>455</v>
      </c>
      <c r="D1614" t="s">
        <v>3464</v>
      </c>
      <c r="E1614" t="s">
        <v>3465</v>
      </c>
      <c r="F1614" s="13">
        <v>44595.564745370371</v>
      </c>
      <c r="G1614" t="s">
        <v>1264</v>
      </c>
      <c r="H1614" t="s">
        <v>1265</v>
      </c>
      <c r="I1614" s="13">
        <v>45012.043680555558</v>
      </c>
      <c r="K1614" t="s">
        <v>415</v>
      </c>
      <c r="M1614" s="13">
        <v>44666</v>
      </c>
      <c r="R1614">
        <v>0</v>
      </c>
      <c r="S1614" t="s">
        <v>380</v>
      </c>
      <c r="T1614" t="s">
        <v>57</v>
      </c>
      <c r="V1614" t="s">
        <v>478</v>
      </c>
      <c r="W1614" t="s">
        <v>2306</v>
      </c>
      <c r="X1614" t="s">
        <v>2306</v>
      </c>
      <c r="AC1614" s="13">
        <v>44666</v>
      </c>
      <c r="AD1614" s="13">
        <v>44666</v>
      </c>
      <c r="AF1614" t="s">
        <v>451</v>
      </c>
      <c r="AI1614">
        <v>-346</v>
      </c>
      <c r="AL1614" t="s">
        <v>3466</v>
      </c>
      <c r="AN1614" t="s">
        <v>57</v>
      </c>
      <c r="AO1614">
        <v>0</v>
      </c>
      <c r="AS1614" t="s">
        <v>526</v>
      </c>
      <c r="AX1614" t="s">
        <v>57</v>
      </c>
      <c r="AY1614" t="s">
        <v>442</v>
      </c>
      <c r="AZ1614" t="s">
        <v>3467</v>
      </c>
      <c r="BE1614" t="s">
        <v>3468</v>
      </c>
      <c r="BF1614">
        <v>0</v>
      </c>
      <c r="BK1614" t="s">
        <v>31</v>
      </c>
      <c r="BS1614" t="s">
        <v>419</v>
      </c>
      <c r="BT1614" t="s">
        <v>419</v>
      </c>
      <c r="CI1614" t="s">
        <v>388</v>
      </c>
      <c r="CJ1614" s="14">
        <v>45014</v>
      </c>
      <c r="CK1614">
        <v>1</v>
      </c>
    </row>
    <row r="1615" spans="1:89">
      <c r="A1615" t="s">
        <v>454</v>
      </c>
      <c r="B1615" t="s">
        <v>374</v>
      </c>
      <c r="C1615" t="s">
        <v>455</v>
      </c>
      <c r="D1615" t="s">
        <v>3469</v>
      </c>
      <c r="E1615" t="s">
        <v>3470</v>
      </c>
      <c r="F1615" s="13">
        <v>44595.532986111109</v>
      </c>
      <c r="G1615" t="s">
        <v>1264</v>
      </c>
      <c r="H1615" t="s">
        <v>1265</v>
      </c>
      <c r="I1615" s="13">
        <v>44624.473298611112</v>
      </c>
      <c r="K1615" t="s">
        <v>379</v>
      </c>
      <c r="M1615" s="13">
        <v>44621</v>
      </c>
      <c r="R1615">
        <v>100</v>
      </c>
      <c r="S1615" t="s">
        <v>416</v>
      </c>
      <c r="T1615" t="s">
        <v>57</v>
      </c>
      <c r="V1615" t="s">
        <v>478</v>
      </c>
      <c r="W1615" t="s">
        <v>2306</v>
      </c>
      <c r="X1615" t="s">
        <v>2306</v>
      </c>
      <c r="AF1615" t="s">
        <v>382</v>
      </c>
      <c r="AG1615" t="s">
        <v>3471</v>
      </c>
      <c r="AI1615">
        <v>-3</v>
      </c>
      <c r="AL1615" t="s">
        <v>2307</v>
      </c>
      <c r="AM1615">
        <v>1</v>
      </c>
      <c r="AN1615" t="s">
        <v>31</v>
      </c>
      <c r="AO1615">
        <v>0</v>
      </c>
      <c r="AS1615" t="s">
        <v>392</v>
      </c>
      <c r="AX1615" t="s">
        <v>57</v>
      </c>
      <c r="AY1615" t="s">
        <v>386</v>
      </c>
      <c r="AZ1615" t="s">
        <v>3472</v>
      </c>
      <c r="BE1615" t="s">
        <v>3473</v>
      </c>
      <c r="BF1615">
        <v>0</v>
      </c>
      <c r="BK1615" t="s">
        <v>31</v>
      </c>
      <c r="BS1615" t="s">
        <v>379</v>
      </c>
      <c r="BT1615" t="s">
        <v>379</v>
      </c>
      <c r="CI1615" t="s">
        <v>388</v>
      </c>
      <c r="CJ1615" s="14">
        <v>45014</v>
      </c>
      <c r="CK1615">
        <v>1</v>
      </c>
    </row>
    <row r="1616" spans="1:89">
      <c r="A1616" t="s">
        <v>3474</v>
      </c>
      <c r="B1616" t="s">
        <v>374</v>
      </c>
      <c r="C1616" t="s">
        <v>3475</v>
      </c>
      <c r="D1616" t="s">
        <v>3476</v>
      </c>
      <c r="E1616" t="s">
        <v>3477</v>
      </c>
      <c r="F1616" s="13">
        <v>44594.652569444443</v>
      </c>
      <c r="G1616" t="s">
        <v>2506</v>
      </c>
      <c r="H1616" t="s">
        <v>2507</v>
      </c>
      <c r="I1616" s="13">
        <v>44624.521481481483</v>
      </c>
      <c r="K1616" t="s">
        <v>379</v>
      </c>
      <c r="M1616" s="13">
        <v>44651</v>
      </c>
      <c r="R1616">
        <v>100</v>
      </c>
      <c r="S1616" t="s">
        <v>380</v>
      </c>
      <c r="T1616" t="s">
        <v>57</v>
      </c>
      <c r="V1616" t="s">
        <v>381</v>
      </c>
      <c r="W1616" t="s">
        <v>3478</v>
      </c>
      <c r="X1616" t="s">
        <v>3478</v>
      </c>
      <c r="AF1616" t="s">
        <v>382</v>
      </c>
      <c r="AG1616" t="s">
        <v>3479</v>
      </c>
      <c r="AI1616">
        <v>27</v>
      </c>
      <c r="AL1616" t="s">
        <v>3480</v>
      </c>
      <c r="AN1616" t="s">
        <v>31</v>
      </c>
      <c r="AO1616">
        <v>0</v>
      </c>
      <c r="AS1616" t="s">
        <v>648</v>
      </c>
      <c r="AX1616" t="s">
        <v>57</v>
      </c>
      <c r="AY1616" t="s">
        <v>386</v>
      </c>
      <c r="AZ1616" t="s">
        <v>3481</v>
      </c>
      <c r="BF1616">
        <v>0</v>
      </c>
      <c r="BK1616" t="s">
        <v>31</v>
      </c>
      <c r="BS1616" t="s">
        <v>379</v>
      </c>
      <c r="BT1616" t="s">
        <v>379</v>
      </c>
      <c r="CI1616" t="s">
        <v>388</v>
      </c>
      <c r="CJ1616" s="14">
        <v>45014</v>
      </c>
      <c r="CK1616">
        <v>1</v>
      </c>
    </row>
    <row r="1617" spans="1:89">
      <c r="A1617" t="s">
        <v>3482</v>
      </c>
      <c r="B1617" t="s">
        <v>374</v>
      </c>
      <c r="C1617" t="s">
        <v>3483</v>
      </c>
      <c r="D1617" t="s">
        <v>3484</v>
      </c>
      <c r="E1617" t="s">
        <v>3485</v>
      </c>
      <c r="F1617" s="13">
        <v>44593.627511574072</v>
      </c>
      <c r="G1617" t="s">
        <v>3486</v>
      </c>
      <c r="H1617" t="s">
        <v>3487</v>
      </c>
      <c r="I1617" s="13">
        <v>45012.043680555558</v>
      </c>
      <c r="K1617" t="s">
        <v>415</v>
      </c>
      <c r="M1617" s="13">
        <v>44658</v>
      </c>
      <c r="R1617">
        <v>0</v>
      </c>
      <c r="S1617" t="s">
        <v>380</v>
      </c>
      <c r="T1617" t="s">
        <v>57</v>
      </c>
      <c r="V1617" t="s">
        <v>478</v>
      </c>
      <c r="W1617" t="s">
        <v>3488</v>
      </c>
      <c r="X1617" t="s">
        <v>3488</v>
      </c>
      <c r="AF1617" t="s">
        <v>451</v>
      </c>
      <c r="AG1617" t="s">
        <v>3489</v>
      </c>
      <c r="AI1617">
        <v>-354</v>
      </c>
      <c r="AL1617" t="s">
        <v>3490</v>
      </c>
      <c r="AN1617" t="s">
        <v>31</v>
      </c>
      <c r="AO1617">
        <v>0</v>
      </c>
      <c r="AS1617" t="s">
        <v>385</v>
      </c>
      <c r="AX1617" t="s">
        <v>31</v>
      </c>
      <c r="AY1617" t="s">
        <v>442</v>
      </c>
      <c r="AZ1617" t="s">
        <v>3491</v>
      </c>
      <c r="BE1617" t="s">
        <v>3492</v>
      </c>
      <c r="BF1617">
        <v>0</v>
      </c>
      <c r="BK1617" t="s">
        <v>31</v>
      </c>
      <c r="BS1617" t="s">
        <v>419</v>
      </c>
      <c r="BT1617" t="s">
        <v>419</v>
      </c>
      <c r="CI1617" t="s">
        <v>388</v>
      </c>
      <c r="CJ1617" s="14">
        <v>45014</v>
      </c>
      <c r="CK1617">
        <v>1</v>
      </c>
    </row>
    <row r="1618" spans="1:89">
      <c r="A1618" t="s">
        <v>2075</v>
      </c>
      <c r="B1618" t="s">
        <v>374</v>
      </c>
      <c r="C1618" t="s">
        <v>2076</v>
      </c>
      <c r="D1618" t="s">
        <v>3493</v>
      </c>
      <c r="E1618" t="s">
        <v>3494</v>
      </c>
      <c r="F1618" s="13">
        <v>44593.508912037039</v>
      </c>
      <c r="G1618" t="s">
        <v>2079</v>
      </c>
      <c r="H1618" t="s">
        <v>2080</v>
      </c>
      <c r="I1618" s="13">
        <v>44645.339571759258</v>
      </c>
      <c r="K1618" t="s">
        <v>379</v>
      </c>
      <c r="M1618" s="13">
        <v>44620</v>
      </c>
      <c r="R1618">
        <v>100</v>
      </c>
      <c r="S1618" t="s">
        <v>416</v>
      </c>
      <c r="T1618" t="s">
        <v>57</v>
      </c>
      <c r="V1618" t="s">
        <v>478</v>
      </c>
      <c r="W1618" t="s">
        <v>3495</v>
      </c>
      <c r="X1618" t="s">
        <v>3495</v>
      </c>
      <c r="AF1618" t="s">
        <v>382</v>
      </c>
      <c r="AG1618" t="s">
        <v>3496</v>
      </c>
      <c r="AI1618">
        <v>-25</v>
      </c>
      <c r="AJ1618" s="13">
        <v>44673</v>
      </c>
      <c r="AL1618" t="s">
        <v>2082</v>
      </c>
      <c r="AM1618">
        <v>1</v>
      </c>
      <c r="AN1618" t="s">
        <v>31</v>
      </c>
      <c r="AO1618">
        <v>0</v>
      </c>
      <c r="AR1618" t="s">
        <v>3497</v>
      </c>
      <c r="AS1618" t="s">
        <v>385</v>
      </c>
      <c r="AX1618" t="s">
        <v>57</v>
      </c>
      <c r="AY1618" t="s">
        <v>386</v>
      </c>
      <c r="AZ1618" t="s">
        <v>3498</v>
      </c>
      <c r="BF1618">
        <v>0</v>
      </c>
      <c r="BK1618" t="s">
        <v>31</v>
      </c>
      <c r="BS1618" t="s">
        <v>379</v>
      </c>
      <c r="BT1618" t="s">
        <v>379</v>
      </c>
      <c r="CI1618" t="s">
        <v>388</v>
      </c>
      <c r="CJ1618" s="14">
        <v>45014</v>
      </c>
      <c r="CK1618">
        <v>1</v>
      </c>
    </row>
    <row r="1619" spans="1:89">
      <c r="A1619" t="s">
        <v>2089</v>
      </c>
      <c r="B1619" t="s">
        <v>374</v>
      </c>
      <c r="C1619" t="s">
        <v>2090</v>
      </c>
      <c r="D1619" t="s">
        <v>3499</v>
      </c>
      <c r="E1619" t="s">
        <v>3500</v>
      </c>
      <c r="F1619" s="13">
        <v>44593.432650462964</v>
      </c>
      <c r="G1619" t="s">
        <v>2079</v>
      </c>
      <c r="H1619" t="s">
        <v>2080</v>
      </c>
      <c r="I1619" s="13">
        <v>44645.338842592595</v>
      </c>
      <c r="K1619" t="s">
        <v>379</v>
      </c>
      <c r="M1619" s="13">
        <v>44620</v>
      </c>
      <c r="R1619">
        <v>100</v>
      </c>
      <c r="S1619" t="s">
        <v>416</v>
      </c>
      <c r="T1619" t="s">
        <v>57</v>
      </c>
      <c r="V1619" t="s">
        <v>478</v>
      </c>
      <c r="W1619" t="s">
        <v>3501</v>
      </c>
      <c r="X1619" t="s">
        <v>3501</v>
      </c>
      <c r="AF1619" t="s">
        <v>382</v>
      </c>
      <c r="AG1619" t="s">
        <v>3502</v>
      </c>
      <c r="AI1619">
        <v>-25</v>
      </c>
      <c r="AL1619" t="s">
        <v>2094</v>
      </c>
      <c r="AM1619">
        <v>1</v>
      </c>
      <c r="AN1619" t="s">
        <v>31</v>
      </c>
      <c r="AO1619">
        <v>0</v>
      </c>
      <c r="AS1619" t="s">
        <v>522</v>
      </c>
      <c r="AX1619" t="s">
        <v>57</v>
      </c>
      <c r="AY1619" t="s">
        <v>386</v>
      </c>
      <c r="AZ1619" t="s">
        <v>3503</v>
      </c>
      <c r="BF1619">
        <v>0</v>
      </c>
      <c r="BK1619" t="s">
        <v>31</v>
      </c>
      <c r="BS1619" t="s">
        <v>379</v>
      </c>
      <c r="BT1619" t="s">
        <v>379</v>
      </c>
      <c r="CI1619" t="s">
        <v>388</v>
      </c>
      <c r="CJ1619" s="14">
        <v>45014</v>
      </c>
      <c r="CK1619">
        <v>1</v>
      </c>
    </row>
    <row r="1620" spans="1:89">
      <c r="A1620" t="s">
        <v>3504</v>
      </c>
      <c r="B1620" t="s">
        <v>374</v>
      </c>
      <c r="C1620" t="s">
        <v>3505</v>
      </c>
      <c r="D1620" t="s">
        <v>3506</v>
      </c>
      <c r="E1620" t="s">
        <v>3507</v>
      </c>
      <c r="F1620" s="13">
        <v>44592.727453703701</v>
      </c>
      <c r="G1620" t="s">
        <v>2271</v>
      </c>
      <c r="H1620" t="s">
        <v>2272</v>
      </c>
      <c r="I1620" s="13">
        <v>45012.043680555558</v>
      </c>
      <c r="K1620" t="s">
        <v>415</v>
      </c>
      <c r="M1620" s="13">
        <v>44680</v>
      </c>
      <c r="R1620">
        <v>0</v>
      </c>
      <c r="S1620" t="s">
        <v>380</v>
      </c>
      <c r="T1620" t="s">
        <v>57</v>
      </c>
      <c r="V1620" t="s">
        <v>478</v>
      </c>
      <c r="W1620" t="s">
        <v>3508</v>
      </c>
      <c r="X1620" t="s">
        <v>3508</v>
      </c>
      <c r="AF1620" t="s">
        <v>451</v>
      </c>
      <c r="AI1620">
        <v>-332</v>
      </c>
      <c r="AL1620" t="s">
        <v>3509</v>
      </c>
      <c r="AN1620" t="s">
        <v>31</v>
      </c>
      <c r="AO1620">
        <v>0</v>
      </c>
      <c r="AS1620" t="s">
        <v>702</v>
      </c>
      <c r="AX1620" t="s">
        <v>31</v>
      </c>
      <c r="AY1620" t="s">
        <v>386</v>
      </c>
      <c r="AZ1620" t="s">
        <v>3510</v>
      </c>
      <c r="BF1620">
        <v>0</v>
      </c>
      <c r="BK1620" t="s">
        <v>31</v>
      </c>
      <c r="BS1620" t="s">
        <v>419</v>
      </c>
      <c r="BT1620" t="s">
        <v>419</v>
      </c>
      <c r="CI1620" t="s">
        <v>388</v>
      </c>
      <c r="CJ1620" s="14">
        <v>45014</v>
      </c>
      <c r="CK1620">
        <v>1</v>
      </c>
    </row>
    <row r="1621" spans="1:89">
      <c r="A1621" t="s">
        <v>2368</v>
      </c>
      <c r="B1621" t="s">
        <v>374</v>
      </c>
      <c r="C1621" t="s">
        <v>2369</v>
      </c>
      <c r="D1621" t="s">
        <v>3511</v>
      </c>
      <c r="E1621" t="s">
        <v>3512</v>
      </c>
      <c r="F1621" s="13">
        <v>44592.681157407409</v>
      </c>
      <c r="G1621" t="s">
        <v>3155</v>
      </c>
      <c r="H1621" t="s">
        <v>3156</v>
      </c>
      <c r="I1621" s="13">
        <v>45012.043680555558</v>
      </c>
      <c r="K1621" t="s">
        <v>415</v>
      </c>
      <c r="M1621" s="13">
        <v>44680</v>
      </c>
      <c r="R1621">
        <v>70</v>
      </c>
      <c r="S1621" t="s">
        <v>380</v>
      </c>
      <c r="T1621" t="s">
        <v>57</v>
      </c>
      <c r="V1621" t="s">
        <v>478</v>
      </c>
      <c r="W1621" t="s">
        <v>3513</v>
      </c>
      <c r="X1621" t="s">
        <v>3513</v>
      </c>
      <c r="AE1621" t="s">
        <v>3514</v>
      </c>
      <c r="AF1621" t="s">
        <v>451</v>
      </c>
      <c r="AG1621" t="s">
        <v>3515</v>
      </c>
      <c r="AI1621">
        <v>-332</v>
      </c>
      <c r="AL1621" t="s">
        <v>3516</v>
      </c>
      <c r="AN1621" t="s">
        <v>31</v>
      </c>
      <c r="AO1621">
        <v>0</v>
      </c>
      <c r="AS1621" t="s">
        <v>538</v>
      </c>
      <c r="AX1621" t="s">
        <v>31</v>
      </c>
      <c r="AY1621" t="s">
        <v>442</v>
      </c>
      <c r="AZ1621" t="s">
        <v>3517</v>
      </c>
      <c r="BF1621">
        <v>0</v>
      </c>
      <c r="BK1621" t="s">
        <v>31</v>
      </c>
      <c r="BS1621" t="s">
        <v>419</v>
      </c>
      <c r="BT1621" t="s">
        <v>419</v>
      </c>
      <c r="CI1621" t="s">
        <v>388</v>
      </c>
      <c r="CJ1621" s="14">
        <v>45014</v>
      </c>
      <c r="CK1621">
        <v>1</v>
      </c>
    </row>
    <row r="1622" spans="1:89">
      <c r="A1622" t="s">
        <v>2227</v>
      </c>
      <c r="B1622" t="s">
        <v>374</v>
      </c>
      <c r="C1622" t="s">
        <v>2228</v>
      </c>
      <c r="D1622" t="s">
        <v>3518</v>
      </c>
      <c r="E1622" t="s">
        <v>3519</v>
      </c>
      <c r="F1622" s="13">
        <v>44589.319340277776</v>
      </c>
      <c r="G1622" t="s">
        <v>2231</v>
      </c>
      <c r="H1622" t="s">
        <v>2232</v>
      </c>
      <c r="I1622" s="13">
        <v>44972.596226851849</v>
      </c>
      <c r="K1622" t="s">
        <v>379</v>
      </c>
      <c r="M1622" s="13">
        <v>44620</v>
      </c>
      <c r="R1622">
        <v>100</v>
      </c>
      <c r="S1622" t="s">
        <v>380</v>
      </c>
      <c r="T1622" t="s">
        <v>57</v>
      </c>
      <c r="V1622" t="s">
        <v>381</v>
      </c>
      <c r="W1622" t="s">
        <v>3520</v>
      </c>
      <c r="X1622" t="s">
        <v>3520</v>
      </c>
      <c r="AF1622" t="s">
        <v>382</v>
      </c>
      <c r="AG1622" t="s">
        <v>3519</v>
      </c>
      <c r="AI1622">
        <v>28</v>
      </c>
      <c r="AL1622" t="s">
        <v>3521</v>
      </c>
      <c r="AN1622" t="s">
        <v>31</v>
      </c>
      <c r="AO1622">
        <v>0</v>
      </c>
      <c r="AS1622" t="s">
        <v>385</v>
      </c>
      <c r="AX1622" t="s">
        <v>31</v>
      </c>
      <c r="AY1622" t="s">
        <v>442</v>
      </c>
      <c r="AZ1622" t="s">
        <v>3522</v>
      </c>
      <c r="BF1622">
        <v>0</v>
      </c>
      <c r="BK1622" t="s">
        <v>31</v>
      </c>
      <c r="BS1622" t="s">
        <v>379</v>
      </c>
      <c r="BT1622" t="s">
        <v>379</v>
      </c>
      <c r="CI1622" t="s">
        <v>388</v>
      </c>
      <c r="CJ1622" s="14">
        <v>45014</v>
      </c>
      <c r="CK1622">
        <v>1</v>
      </c>
    </row>
    <row r="1623" spans="1:89">
      <c r="A1623" t="s">
        <v>2227</v>
      </c>
      <c r="B1623" t="s">
        <v>374</v>
      </c>
      <c r="C1623" t="s">
        <v>2228</v>
      </c>
      <c r="D1623" t="s">
        <v>3523</v>
      </c>
      <c r="E1623" t="s">
        <v>3524</v>
      </c>
      <c r="F1623" s="13">
        <v>44589.313692129632</v>
      </c>
      <c r="G1623" t="s">
        <v>2231</v>
      </c>
      <c r="H1623" t="s">
        <v>2232</v>
      </c>
      <c r="I1623" s="13">
        <v>44972.596226851849</v>
      </c>
      <c r="K1623" t="s">
        <v>409</v>
      </c>
      <c r="R1623">
        <v>0</v>
      </c>
      <c r="S1623" t="s">
        <v>380</v>
      </c>
      <c r="T1623" t="s">
        <v>57</v>
      </c>
      <c r="V1623" t="s">
        <v>381</v>
      </c>
      <c r="W1623" t="s">
        <v>2233</v>
      </c>
      <c r="X1623" t="s">
        <v>2233</v>
      </c>
      <c r="AI1623">
        <v>31</v>
      </c>
      <c r="AL1623" t="s">
        <v>3521</v>
      </c>
      <c r="AN1623" t="s">
        <v>31</v>
      </c>
      <c r="AO1623">
        <v>0</v>
      </c>
      <c r="AS1623" t="s">
        <v>385</v>
      </c>
      <c r="AX1623" t="s">
        <v>31</v>
      </c>
      <c r="AY1623" t="s">
        <v>442</v>
      </c>
      <c r="AZ1623" t="s">
        <v>3525</v>
      </c>
      <c r="BF1623">
        <v>0</v>
      </c>
      <c r="BK1623" t="s">
        <v>31</v>
      </c>
      <c r="BS1623" t="s">
        <v>409</v>
      </c>
      <c r="BT1623" t="s">
        <v>409</v>
      </c>
      <c r="CI1623" t="s">
        <v>388</v>
      </c>
      <c r="CJ1623" s="14">
        <v>45014</v>
      </c>
      <c r="CK1623">
        <v>1</v>
      </c>
    </row>
    <row r="1624" spans="1:89">
      <c r="A1624" t="s">
        <v>2227</v>
      </c>
      <c r="B1624" t="s">
        <v>374</v>
      </c>
      <c r="C1624" t="s">
        <v>2228</v>
      </c>
      <c r="D1624" t="s">
        <v>3526</v>
      </c>
      <c r="E1624" t="s">
        <v>3527</v>
      </c>
      <c r="F1624" s="13">
        <v>44588.675081018519</v>
      </c>
      <c r="G1624" t="s">
        <v>2231</v>
      </c>
      <c r="H1624" t="s">
        <v>2232</v>
      </c>
      <c r="I1624" s="13">
        <v>44972.596226851849</v>
      </c>
      <c r="K1624" t="s">
        <v>379</v>
      </c>
      <c r="M1624" s="13">
        <v>44589</v>
      </c>
      <c r="R1624">
        <v>100</v>
      </c>
      <c r="S1624" t="s">
        <v>380</v>
      </c>
      <c r="T1624" t="s">
        <v>57</v>
      </c>
      <c r="V1624" t="s">
        <v>478</v>
      </c>
      <c r="W1624" t="s">
        <v>3528</v>
      </c>
      <c r="X1624" t="s">
        <v>3528</v>
      </c>
      <c r="AF1624" t="s">
        <v>382</v>
      </c>
      <c r="AG1624" t="s">
        <v>3529</v>
      </c>
      <c r="AI1624">
        <v>-13</v>
      </c>
      <c r="AJ1624" s="13">
        <v>44602</v>
      </c>
      <c r="AL1624" t="s">
        <v>3530</v>
      </c>
      <c r="AN1624" t="s">
        <v>31</v>
      </c>
      <c r="AO1624">
        <v>0</v>
      </c>
      <c r="AR1624" t="s">
        <v>3531</v>
      </c>
      <c r="AS1624" t="s">
        <v>392</v>
      </c>
      <c r="AX1624" t="s">
        <v>31</v>
      </c>
      <c r="AY1624" t="s">
        <v>442</v>
      </c>
      <c r="AZ1624" t="s">
        <v>3532</v>
      </c>
      <c r="BF1624">
        <v>0</v>
      </c>
      <c r="BK1624" t="s">
        <v>31</v>
      </c>
      <c r="BS1624" t="s">
        <v>379</v>
      </c>
      <c r="BT1624" t="s">
        <v>379</v>
      </c>
      <c r="CI1624" t="s">
        <v>388</v>
      </c>
      <c r="CJ1624" s="14">
        <v>45014</v>
      </c>
      <c r="CK1624">
        <v>1</v>
      </c>
    </row>
    <row r="1625" spans="1:89">
      <c r="A1625" t="s">
        <v>673</v>
      </c>
      <c r="B1625" t="s">
        <v>374</v>
      </c>
      <c r="C1625" t="s">
        <v>674</v>
      </c>
      <c r="D1625" t="s">
        <v>3533</v>
      </c>
      <c r="E1625" t="s">
        <v>3534</v>
      </c>
      <c r="F1625" s="13">
        <v>44588.51185185185</v>
      </c>
      <c r="G1625" t="s">
        <v>3535</v>
      </c>
      <c r="H1625" t="s">
        <v>3536</v>
      </c>
      <c r="I1625" s="13">
        <v>44588.563263888886</v>
      </c>
      <c r="K1625" t="s">
        <v>379</v>
      </c>
      <c r="M1625" s="13">
        <v>44593</v>
      </c>
      <c r="R1625">
        <v>100</v>
      </c>
      <c r="S1625" t="s">
        <v>380</v>
      </c>
      <c r="T1625" t="s">
        <v>57</v>
      </c>
      <c r="V1625" t="s">
        <v>381</v>
      </c>
      <c r="W1625" t="s">
        <v>3537</v>
      </c>
      <c r="X1625" t="s">
        <v>3537</v>
      </c>
      <c r="AC1625" s="13">
        <v>44593</v>
      </c>
      <c r="AD1625" s="13">
        <v>44593</v>
      </c>
      <c r="AF1625" t="s">
        <v>382</v>
      </c>
      <c r="AG1625" t="s">
        <v>3538</v>
      </c>
      <c r="AI1625">
        <v>5</v>
      </c>
      <c r="AL1625" t="s">
        <v>3539</v>
      </c>
      <c r="AN1625" t="s">
        <v>31</v>
      </c>
      <c r="AO1625">
        <v>0</v>
      </c>
      <c r="AS1625" t="s">
        <v>385</v>
      </c>
      <c r="AX1625" t="s">
        <v>31</v>
      </c>
      <c r="AY1625" t="s">
        <v>442</v>
      </c>
      <c r="AZ1625" t="s">
        <v>3540</v>
      </c>
      <c r="BF1625">
        <v>0</v>
      </c>
      <c r="BK1625" t="s">
        <v>31</v>
      </c>
      <c r="BS1625" t="s">
        <v>379</v>
      </c>
      <c r="BT1625" t="s">
        <v>379</v>
      </c>
      <c r="CI1625" t="s">
        <v>388</v>
      </c>
      <c r="CJ1625" s="14">
        <v>45014</v>
      </c>
      <c r="CK1625">
        <v>1</v>
      </c>
    </row>
    <row r="1626" spans="1:89">
      <c r="A1626" t="s">
        <v>3541</v>
      </c>
      <c r="B1626" t="s">
        <v>374</v>
      </c>
      <c r="C1626" t="s">
        <v>3542</v>
      </c>
      <c r="D1626" t="s">
        <v>3543</v>
      </c>
      <c r="E1626" t="s">
        <v>3544</v>
      </c>
      <c r="F1626" s="13">
        <v>44587.414942129632</v>
      </c>
      <c r="G1626" t="s">
        <v>3346</v>
      </c>
      <c r="H1626" t="s">
        <v>3347</v>
      </c>
      <c r="I1626" s="13">
        <v>44610.689918981479</v>
      </c>
      <c r="K1626" t="s">
        <v>379</v>
      </c>
      <c r="M1626" s="13">
        <v>44592</v>
      </c>
      <c r="R1626">
        <v>100</v>
      </c>
      <c r="S1626" t="s">
        <v>380</v>
      </c>
      <c r="T1626" t="s">
        <v>57</v>
      </c>
      <c r="V1626" t="s">
        <v>381</v>
      </c>
      <c r="W1626" t="s">
        <v>2817</v>
      </c>
      <c r="X1626" t="s">
        <v>2817</v>
      </c>
      <c r="AF1626" t="s">
        <v>382</v>
      </c>
      <c r="AG1626" t="s">
        <v>1387</v>
      </c>
      <c r="AI1626">
        <v>0</v>
      </c>
      <c r="AK1626" t="s">
        <v>480</v>
      </c>
      <c r="AL1626" t="s">
        <v>3545</v>
      </c>
      <c r="AN1626" t="s">
        <v>31</v>
      </c>
      <c r="AO1626">
        <v>0</v>
      </c>
      <c r="AS1626" t="s">
        <v>730</v>
      </c>
      <c r="AX1626" t="s">
        <v>57</v>
      </c>
      <c r="AY1626" t="s">
        <v>386</v>
      </c>
      <c r="AZ1626" t="s">
        <v>3546</v>
      </c>
      <c r="BF1626">
        <v>0</v>
      </c>
      <c r="BK1626" t="s">
        <v>31</v>
      </c>
      <c r="BS1626" t="s">
        <v>379</v>
      </c>
      <c r="BT1626" t="s">
        <v>379</v>
      </c>
      <c r="CI1626" t="s">
        <v>388</v>
      </c>
      <c r="CJ1626" s="14">
        <v>45014</v>
      </c>
      <c r="CK1626">
        <v>1</v>
      </c>
    </row>
    <row r="1627" spans="1:89">
      <c r="A1627" t="s">
        <v>1415</v>
      </c>
      <c r="B1627" t="s">
        <v>374</v>
      </c>
      <c r="C1627" t="s">
        <v>1416</v>
      </c>
      <c r="D1627" t="s">
        <v>3547</v>
      </c>
      <c r="E1627" t="s">
        <v>3548</v>
      </c>
      <c r="F1627" s="13">
        <v>44585.422210648147</v>
      </c>
      <c r="G1627" t="s">
        <v>1418</v>
      </c>
      <c r="H1627" t="s">
        <v>1419</v>
      </c>
      <c r="I1627" s="13">
        <v>45012.043668981481</v>
      </c>
      <c r="K1627" t="s">
        <v>415</v>
      </c>
      <c r="M1627" s="13">
        <v>44742</v>
      </c>
      <c r="R1627">
        <v>0</v>
      </c>
      <c r="S1627" t="s">
        <v>380</v>
      </c>
      <c r="T1627" t="s">
        <v>57</v>
      </c>
      <c r="V1627" t="s">
        <v>478</v>
      </c>
      <c r="W1627" t="s">
        <v>3549</v>
      </c>
      <c r="X1627" t="s">
        <v>3549</v>
      </c>
      <c r="AF1627" t="s">
        <v>451</v>
      </c>
      <c r="AI1627">
        <v>-270</v>
      </c>
      <c r="AL1627" t="s">
        <v>3550</v>
      </c>
      <c r="AN1627" t="s">
        <v>31</v>
      </c>
      <c r="AO1627">
        <v>0</v>
      </c>
      <c r="AS1627" t="s">
        <v>385</v>
      </c>
      <c r="AX1627" t="s">
        <v>31</v>
      </c>
      <c r="AY1627" t="s">
        <v>442</v>
      </c>
      <c r="AZ1627" t="s">
        <v>3551</v>
      </c>
      <c r="BF1627">
        <v>0</v>
      </c>
      <c r="BK1627" t="s">
        <v>31</v>
      </c>
      <c r="BS1627" t="s">
        <v>419</v>
      </c>
      <c r="BT1627" t="s">
        <v>419</v>
      </c>
      <c r="CI1627" t="s">
        <v>388</v>
      </c>
      <c r="CJ1627" s="14">
        <v>45014</v>
      </c>
      <c r="CK1627">
        <v>1</v>
      </c>
    </row>
    <row r="1628" spans="1:89">
      <c r="A1628" t="s">
        <v>3552</v>
      </c>
      <c r="B1628" t="s">
        <v>374</v>
      </c>
      <c r="C1628" t="s">
        <v>3553</v>
      </c>
      <c r="D1628" t="s">
        <v>3554</v>
      </c>
      <c r="E1628" t="s">
        <v>3555</v>
      </c>
      <c r="F1628" s="13">
        <v>44585.318055555559</v>
      </c>
      <c r="G1628" t="s">
        <v>377</v>
      </c>
      <c r="H1628" t="s">
        <v>378</v>
      </c>
      <c r="I1628" s="13">
        <v>44585.325486111113</v>
      </c>
      <c r="K1628" t="s">
        <v>409</v>
      </c>
      <c r="R1628">
        <v>0</v>
      </c>
      <c r="S1628" t="s">
        <v>380</v>
      </c>
      <c r="T1628" t="s">
        <v>57</v>
      </c>
      <c r="V1628" t="s">
        <v>381</v>
      </c>
      <c r="W1628" t="s">
        <v>3556</v>
      </c>
      <c r="X1628" t="s">
        <v>3556</v>
      </c>
      <c r="AI1628">
        <v>7</v>
      </c>
      <c r="AL1628" t="s">
        <v>3557</v>
      </c>
      <c r="AN1628" t="s">
        <v>31</v>
      </c>
      <c r="AO1628">
        <v>0</v>
      </c>
      <c r="AS1628" t="s">
        <v>730</v>
      </c>
      <c r="AX1628" t="s">
        <v>57</v>
      </c>
      <c r="AY1628" t="s">
        <v>386</v>
      </c>
      <c r="AZ1628" t="s">
        <v>3558</v>
      </c>
      <c r="BF1628">
        <v>0</v>
      </c>
      <c r="BK1628" t="s">
        <v>31</v>
      </c>
      <c r="BS1628" t="s">
        <v>409</v>
      </c>
      <c r="BT1628" t="s">
        <v>409</v>
      </c>
      <c r="CI1628" t="s">
        <v>388</v>
      </c>
      <c r="CJ1628" s="14">
        <v>45014</v>
      </c>
      <c r="CK1628">
        <v>1</v>
      </c>
    </row>
    <row r="1629" spans="1:89">
      <c r="A1629" t="s">
        <v>2267</v>
      </c>
      <c r="B1629" t="s">
        <v>374</v>
      </c>
      <c r="C1629" t="s">
        <v>2268</v>
      </c>
      <c r="D1629" t="s">
        <v>3559</v>
      </c>
      <c r="E1629" t="s">
        <v>3560</v>
      </c>
      <c r="F1629" s="13">
        <v>44571.72</v>
      </c>
      <c r="G1629" t="s">
        <v>2271</v>
      </c>
      <c r="H1629" t="s">
        <v>2272</v>
      </c>
      <c r="I1629" s="13">
        <v>45012.043668981481</v>
      </c>
      <c r="K1629" t="s">
        <v>415</v>
      </c>
      <c r="M1629" s="13">
        <v>44631</v>
      </c>
      <c r="R1629">
        <v>0</v>
      </c>
      <c r="S1629" t="s">
        <v>416</v>
      </c>
      <c r="T1629" t="s">
        <v>57</v>
      </c>
      <c r="V1629" t="s">
        <v>478</v>
      </c>
      <c r="W1629" t="s">
        <v>3561</v>
      </c>
      <c r="X1629" t="s">
        <v>3561</v>
      </c>
      <c r="AF1629" t="s">
        <v>451</v>
      </c>
      <c r="AI1629">
        <v>-381</v>
      </c>
      <c r="AL1629" t="s">
        <v>3562</v>
      </c>
      <c r="AN1629" t="s">
        <v>31</v>
      </c>
      <c r="AO1629">
        <v>0</v>
      </c>
      <c r="AS1629" t="s">
        <v>385</v>
      </c>
      <c r="AX1629" t="s">
        <v>31</v>
      </c>
      <c r="AY1629" t="s">
        <v>386</v>
      </c>
      <c r="AZ1629" t="s">
        <v>3563</v>
      </c>
      <c r="BF1629">
        <v>0</v>
      </c>
      <c r="BK1629" t="s">
        <v>31</v>
      </c>
      <c r="BS1629" t="s">
        <v>419</v>
      </c>
      <c r="BT1629" t="s">
        <v>419</v>
      </c>
      <c r="CI1629" t="s">
        <v>388</v>
      </c>
      <c r="CJ1629" s="14">
        <v>45014</v>
      </c>
      <c r="CK1629">
        <v>1</v>
      </c>
    </row>
    <row r="1630" spans="1:89">
      <c r="A1630" t="s">
        <v>454</v>
      </c>
      <c r="B1630" t="s">
        <v>374</v>
      </c>
      <c r="C1630" t="s">
        <v>455</v>
      </c>
      <c r="D1630" t="s">
        <v>3564</v>
      </c>
      <c r="E1630" t="s">
        <v>3565</v>
      </c>
      <c r="F1630" s="13">
        <v>44559.565185185187</v>
      </c>
      <c r="G1630" t="s">
        <v>1264</v>
      </c>
      <c r="H1630" t="s">
        <v>1265</v>
      </c>
      <c r="I1630" s="13">
        <v>44624.44866898148</v>
      </c>
      <c r="K1630" t="s">
        <v>379</v>
      </c>
      <c r="M1630" s="13">
        <v>44620</v>
      </c>
      <c r="R1630">
        <v>100</v>
      </c>
      <c r="S1630" t="s">
        <v>416</v>
      </c>
      <c r="T1630" t="s">
        <v>57</v>
      </c>
      <c r="V1630" t="s">
        <v>478</v>
      </c>
      <c r="W1630" t="s">
        <v>2306</v>
      </c>
      <c r="X1630" t="s">
        <v>2306</v>
      </c>
      <c r="AF1630" t="s">
        <v>382</v>
      </c>
      <c r="AG1630" t="s">
        <v>3566</v>
      </c>
      <c r="AI1630">
        <v>-4</v>
      </c>
      <c r="AL1630" t="s">
        <v>2389</v>
      </c>
      <c r="AM1630">
        <v>1</v>
      </c>
      <c r="AN1630" t="s">
        <v>31</v>
      </c>
      <c r="AO1630">
        <v>0</v>
      </c>
      <c r="AS1630" t="s">
        <v>385</v>
      </c>
      <c r="AX1630" t="s">
        <v>57</v>
      </c>
      <c r="AY1630" t="s">
        <v>442</v>
      </c>
      <c r="AZ1630" t="s">
        <v>3567</v>
      </c>
      <c r="BE1630" t="s">
        <v>2391</v>
      </c>
      <c r="BF1630">
        <v>0</v>
      </c>
      <c r="BK1630" t="s">
        <v>31</v>
      </c>
      <c r="BS1630" t="s">
        <v>379</v>
      </c>
      <c r="BT1630" t="s">
        <v>379</v>
      </c>
      <c r="CI1630" t="s">
        <v>388</v>
      </c>
      <c r="CJ1630" s="14">
        <v>45014</v>
      </c>
      <c r="CK1630">
        <v>1</v>
      </c>
    </row>
    <row r="1631" spans="1:89">
      <c r="A1631" t="s">
        <v>454</v>
      </c>
      <c r="B1631" t="s">
        <v>374</v>
      </c>
      <c r="C1631" t="s">
        <v>455</v>
      </c>
      <c r="D1631" t="s">
        <v>3568</v>
      </c>
      <c r="E1631" t="s">
        <v>3569</v>
      </c>
      <c r="F1631" s="13">
        <v>44559.564780092594</v>
      </c>
      <c r="G1631" t="s">
        <v>3570</v>
      </c>
      <c r="H1631" t="s">
        <v>3571</v>
      </c>
      <c r="I1631" s="13">
        <v>44624.454050925924</v>
      </c>
      <c r="K1631" t="s">
        <v>379</v>
      </c>
      <c r="M1631" s="13">
        <v>44620</v>
      </c>
      <c r="R1631">
        <v>100</v>
      </c>
      <c r="S1631" t="s">
        <v>416</v>
      </c>
      <c r="T1631" t="s">
        <v>57</v>
      </c>
      <c r="V1631" t="s">
        <v>478</v>
      </c>
      <c r="W1631" t="s">
        <v>2306</v>
      </c>
      <c r="X1631" t="s">
        <v>2306</v>
      </c>
      <c r="AF1631" t="s">
        <v>382</v>
      </c>
      <c r="AG1631" t="s">
        <v>3572</v>
      </c>
      <c r="AI1631">
        <v>-4</v>
      </c>
      <c r="AL1631" t="s">
        <v>2394</v>
      </c>
      <c r="AM1631">
        <v>1</v>
      </c>
      <c r="AN1631" t="s">
        <v>31</v>
      </c>
      <c r="AO1631">
        <v>0</v>
      </c>
      <c r="AS1631" t="s">
        <v>385</v>
      </c>
      <c r="AX1631" t="s">
        <v>57</v>
      </c>
      <c r="AY1631" t="s">
        <v>386</v>
      </c>
      <c r="AZ1631" t="s">
        <v>3573</v>
      </c>
      <c r="BE1631" t="s">
        <v>2396</v>
      </c>
      <c r="BF1631">
        <v>0</v>
      </c>
      <c r="BK1631" t="s">
        <v>31</v>
      </c>
      <c r="BS1631" t="s">
        <v>379</v>
      </c>
      <c r="BT1631" t="s">
        <v>379</v>
      </c>
      <c r="CI1631" t="s">
        <v>388</v>
      </c>
      <c r="CJ1631" s="14">
        <v>45014</v>
      </c>
      <c r="CK1631">
        <v>1</v>
      </c>
    </row>
    <row r="1632" spans="1:89">
      <c r="A1632" t="s">
        <v>3574</v>
      </c>
      <c r="B1632" t="s">
        <v>374</v>
      </c>
      <c r="C1632" t="s">
        <v>3575</v>
      </c>
      <c r="D1632" t="s">
        <v>3576</v>
      </c>
      <c r="E1632" t="s">
        <v>3577</v>
      </c>
      <c r="F1632" s="13">
        <v>44559.560624999998</v>
      </c>
      <c r="G1632" t="s">
        <v>1264</v>
      </c>
      <c r="H1632" t="s">
        <v>1265</v>
      </c>
      <c r="I1632" s="13">
        <v>45012.043668981481</v>
      </c>
      <c r="K1632" t="s">
        <v>415</v>
      </c>
      <c r="M1632" s="13">
        <v>44742</v>
      </c>
      <c r="R1632">
        <v>0</v>
      </c>
      <c r="S1632" t="s">
        <v>380</v>
      </c>
      <c r="T1632" t="s">
        <v>57</v>
      </c>
      <c r="V1632" t="s">
        <v>478</v>
      </c>
      <c r="W1632" t="s">
        <v>3578</v>
      </c>
      <c r="X1632" t="s">
        <v>3578</v>
      </c>
      <c r="AF1632" t="s">
        <v>451</v>
      </c>
      <c r="AI1632">
        <v>-270</v>
      </c>
      <c r="AL1632" t="s">
        <v>3579</v>
      </c>
      <c r="AN1632" t="s">
        <v>31</v>
      </c>
      <c r="AO1632">
        <v>0</v>
      </c>
      <c r="AS1632" t="s">
        <v>385</v>
      </c>
      <c r="AX1632" t="s">
        <v>57</v>
      </c>
      <c r="AY1632" t="s">
        <v>442</v>
      </c>
      <c r="AZ1632" t="s">
        <v>1460</v>
      </c>
      <c r="BE1632" t="s">
        <v>3580</v>
      </c>
      <c r="BF1632">
        <v>0</v>
      </c>
      <c r="BK1632" t="s">
        <v>31</v>
      </c>
      <c r="BS1632" t="s">
        <v>419</v>
      </c>
      <c r="BT1632" t="s">
        <v>419</v>
      </c>
      <c r="CI1632" t="s">
        <v>388</v>
      </c>
      <c r="CJ1632" s="14">
        <v>45014</v>
      </c>
      <c r="CK1632">
        <v>1</v>
      </c>
    </row>
    <row r="1633" spans="1:89">
      <c r="A1633" t="s">
        <v>454</v>
      </c>
      <c r="B1633" t="s">
        <v>374</v>
      </c>
      <c r="C1633" t="s">
        <v>455</v>
      </c>
      <c r="D1633" t="s">
        <v>3581</v>
      </c>
      <c r="E1633" t="s">
        <v>3582</v>
      </c>
      <c r="F1633" s="13">
        <v>44559.55505787037</v>
      </c>
      <c r="G1633" t="s">
        <v>1264</v>
      </c>
      <c r="H1633" t="s">
        <v>1265</v>
      </c>
      <c r="I1633" s="13">
        <v>45012.043668981481</v>
      </c>
      <c r="K1633" t="s">
        <v>415</v>
      </c>
      <c r="M1633" s="13">
        <v>44910</v>
      </c>
      <c r="R1633">
        <v>0</v>
      </c>
      <c r="S1633" t="s">
        <v>380</v>
      </c>
      <c r="T1633" t="s">
        <v>57</v>
      </c>
      <c r="V1633" t="s">
        <v>478</v>
      </c>
      <c r="W1633" t="s">
        <v>2306</v>
      </c>
      <c r="X1633" t="s">
        <v>2306</v>
      </c>
      <c r="AF1633" t="s">
        <v>451</v>
      </c>
      <c r="AI1633">
        <v>-102</v>
      </c>
      <c r="AL1633" t="s">
        <v>3583</v>
      </c>
      <c r="AN1633" t="s">
        <v>31</v>
      </c>
      <c r="AO1633">
        <v>0</v>
      </c>
      <c r="AS1633" t="s">
        <v>385</v>
      </c>
      <c r="AX1633" t="s">
        <v>57</v>
      </c>
      <c r="AY1633" t="s">
        <v>442</v>
      </c>
      <c r="AZ1633" t="s">
        <v>3584</v>
      </c>
      <c r="BE1633" t="s">
        <v>3585</v>
      </c>
      <c r="BF1633">
        <v>0</v>
      </c>
      <c r="BK1633" t="s">
        <v>31</v>
      </c>
      <c r="BS1633" t="s">
        <v>419</v>
      </c>
      <c r="BT1633" t="s">
        <v>419</v>
      </c>
      <c r="CI1633" t="s">
        <v>388</v>
      </c>
      <c r="CJ1633" s="14">
        <v>45014</v>
      </c>
      <c r="CK1633">
        <v>1</v>
      </c>
    </row>
    <row r="1634" spans="1:89">
      <c r="A1634" t="s">
        <v>3574</v>
      </c>
      <c r="B1634" t="s">
        <v>374</v>
      </c>
      <c r="C1634" t="s">
        <v>3575</v>
      </c>
      <c r="D1634" t="s">
        <v>3586</v>
      </c>
      <c r="E1634" t="s">
        <v>3587</v>
      </c>
      <c r="F1634" s="13">
        <v>44559.549722222226</v>
      </c>
      <c r="G1634" t="s">
        <v>1264</v>
      </c>
      <c r="H1634" t="s">
        <v>1265</v>
      </c>
      <c r="I1634" s="13">
        <v>45012.043657407405</v>
      </c>
      <c r="K1634" t="s">
        <v>415</v>
      </c>
      <c r="M1634" s="13">
        <v>44804</v>
      </c>
      <c r="R1634">
        <v>0</v>
      </c>
      <c r="S1634" t="s">
        <v>380</v>
      </c>
      <c r="T1634" t="s">
        <v>57</v>
      </c>
      <c r="V1634" t="s">
        <v>478</v>
      </c>
      <c r="W1634" t="s">
        <v>3578</v>
      </c>
      <c r="X1634" t="s">
        <v>3578</v>
      </c>
      <c r="AF1634" t="s">
        <v>451</v>
      </c>
      <c r="AI1634">
        <v>-208</v>
      </c>
      <c r="AL1634" t="s">
        <v>3588</v>
      </c>
      <c r="AN1634" t="s">
        <v>31</v>
      </c>
      <c r="AO1634">
        <v>0</v>
      </c>
      <c r="AS1634" t="s">
        <v>385</v>
      </c>
      <c r="AX1634" t="s">
        <v>57</v>
      </c>
      <c r="AY1634" t="s">
        <v>386</v>
      </c>
      <c r="AZ1634" t="s">
        <v>3589</v>
      </c>
      <c r="BE1634" t="s">
        <v>3590</v>
      </c>
      <c r="BF1634">
        <v>0</v>
      </c>
      <c r="BK1634" t="s">
        <v>31</v>
      </c>
      <c r="BS1634" t="s">
        <v>419</v>
      </c>
      <c r="BT1634" t="s">
        <v>419</v>
      </c>
      <c r="CI1634" t="s">
        <v>388</v>
      </c>
      <c r="CJ1634" s="14">
        <v>45014</v>
      </c>
      <c r="CK1634">
        <v>1</v>
      </c>
    </row>
    <row r="1635" spans="1:89">
      <c r="A1635" t="s">
        <v>3591</v>
      </c>
      <c r="B1635" t="s">
        <v>374</v>
      </c>
      <c r="C1635" t="s">
        <v>3592</v>
      </c>
      <c r="D1635" t="s">
        <v>3593</v>
      </c>
      <c r="E1635" t="s">
        <v>3594</v>
      </c>
      <c r="F1635" s="13">
        <v>44559.504583333335</v>
      </c>
      <c r="G1635" t="s">
        <v>3570</v>
      </c>
      <c r="H1635" t="s">
        <v>3571</v>
      </c>
      <c r="I1635" s="13">
        <v>45012.043657407405</v>
      </c>
      <c r="K1635" t="s">
        <v>415</v>
      </c>
      <c r="M1635" s="13">
        <v>44680</v>
      </c>
      <c r="R1635">
        <v>0</v>
      </c>
      <c r="S1635" t="s">
        <v>380</v>
      </c>
      <c r="T1635" t="s">
        <v>57</v>
      </c>
      <c r="V1635" t="s">
        <v>478</v>
      </c>
      <c r="W1635" t="s">
        <v>3595</v>
      </c>
      <c r="X1635" t="s">
        <v>3595</v>
      </c>
      <c r="AF1635" t="s">
        <v>451</v>
      </c>
      <c r="AI1635">
        <v>-332</v>
      </c>
      <c r="AL1635" t="s">
        <v>3596</v>
      </c>
      <c r="AN1635" t="s">
        <v>31</v>
      </c>
      <c r="AO1635">
        <v>0</v>
      </c>
      <c r="AS1635" t="s">
        <v>385</v>
      </c>
      <c r="AX1635" t="s">
        <v>57</v>
      </c>
      <c r="AY1635" t="s">
        <v>442</v>
      </c>
      <c r="AZ1635" t="s">
        <v>3597</v>
      </c>
      <c r="BE1635" t="s">
        <v>3598</v>
      </c>
      <c r="BF1635">
        <v>0</v>
      </c>
      <c r="BK1635" t="s">
        <v>31</v>
      </c>
      <c r="BS1635" t="s">
        <v>419</v>
      </c>
      <c r="BT1635" t="s">
        <v>419</v>
      </c>
      <c r="CI1635" t="s">
        <v>388</v>
      </c>
      <c r="CJ1635" s="14">
        <v>45014</v>
      </c>
      <c r="CK1635">
        <v>1</v>
      </c>
    </row>
    <row r="1636" spans="1:89">
      <c r="A1636" t="s">
        <v>454</v>
      </c>
      <c r="B1636" t="s">
        <v>374</v>
      </c>
      <c r="C1636" t="s">
        <v>455</v>
      </c>
      <c r="D1636" t="s">
        <v>3599</v>
      </c>
      <c r="E1636" t="s">
        <v>3600</v>
      </c>
      <c r="F1636" s="13">
        <v>44559.495370370372</v>
      </c>
      <c r="G1636" t="s">
        <v>3570</v>
      </c>
      <c r="H1636" t="s">
        <v>3571</v>
      </c>
      <c r="I1636" s="13">
        <v>45012.043657407405</v>
      </c>
      <c r="K1636" t="s">
        <v>415</v>
      </c>
      <c r="M1636" s="13">
        <v>44651</v>
      </c>
      <c r="R1636">
        <v>0</v>
      </c>
      <c r="S1636" t="s">
        <v>380</v>
      </c>
      <c r="T1636" t="s">
        <v>57</v>
      </c>
      <c r="V1636" t="s">
        <v>478</v>
      </c>
      <c r="W1636" t="s">
        <v>2306</v>
      </c>
      <c r="X1636" t="s">
        <v>2306</v>
      </c>
      <c r="AF1636" t="s">
        <v>451</v>
      </c>
      <c r="AI1636">
        <v>-361</v>
      </c>
      <c r="AL1636" t="s">
        <v>3601</v>
      </c>
      <c r="AN1636" t="s">
        <v>31</v>
      </c>
      <c r="AO1636">
        <v>0</v>
      </c>
      <c r="AS1636" t="s">
        <v>385</v>
      </c>
      <c r="AX1636" t="s">
        <v>57</v>
      </c>
      <c r="AY1636" t="s">
        <v>442</v>
      </c>
      <c r="AZ1636" t="s">
        <v>3602</v>
      </c>
      <c r="BE1636" t="s">
        <v>3603</v>
      </c>
      <c r="BF1636">
        <v>0</v>
      </c>
      <c r="BK1636" t="s">
        <v>31</v>
      </c>
      <c r="BS1636" t="s">
        <v>419</v>
      </c>
      <c r="BT1636" t="s">
        <v>419</v>
      </c>
      <c r="CI1636" t="s">
        <v>388</v>
      </c>
      <c r="CJ1636" s="14">
        <v>45014</v>
      </c>
      <c r="CK1636">
        <v>1</v>
      </c>
    </row>
    <row r="1637" spans="1:89">
      <c r="A1637" t="s">
        <v>454</v>
      </c>
      <c r="B1637" t="s">
        <v>374</v>
      </c>
      <c r="C1637" t="s">
        <v>455</v>
      </c>
      <c r="D1637" t="s">
        <v>3604</v>
      </c>
      <c r="E1637" t="s">
        <v>3605</v>
      </c>
      <c r="F1637" s="13">
        <v>44558.728958333333</v>
      </c>
      <c r="G1637" t="s">
        <v>3570</v>
      </c>
      <c r="H1637" t="s">
        <v>3571</v>
      </c>
      <c r="I1637" s="13">
        <v>45012.043657407405</v>
      </c>
      <c r="K1637" t="s">
        <v>415</v>
      </c>
      <c r="M1637" s="13">
        <v>44651</v>
      </c>
      <c r="R1637">
        <v>0</v>
      </c>
      <c r="S1637" t="s">
        <v>416</v>
      </c>
      <c r="T1637" t="s">
        <v>57</v>
      </c>
      <c r="V1637" t="s">
        <v>478</v>
      </c>
      <c r="W1637" t="s">
        <v>3606</v>
      </c>
      <c r="X1637" t="s">
        <v>3606</v>
      </c>
      <c r="AF1637" t="s">
        <v>451</v>
      </c>
      <c r="AI1637">
        <v>-361</v>
      </c>
      <c r="AL1637" t="s">
        <v>3607</v>
      </c>
      <c r="AN1637" t="s">
        <v>31</v>
      </c>
      <c r="AO1637">
        <v>0</v>
      </c>
      <c r="AS1637" t="s">
        <v>385</v>
      </c>
      <c r="AX1637" t="s">
        <v>57</v>
      </c>
      <c r="AY1637" t="s">
        <v>386</v>
      </c>
      <c r="AZ1637" t="s">
        <v>3608</v>
      </c>
      <c r="BE1637" t="s">
        <v>3609</v>
      </c>
      <c r="BF1637">
        <v>0</v>
      </c>
      <c r="BK1637" t="s">
        <v>31</v>
      </c>
      <c r="BS1637" t="s">
        <v>419</v>
      </c>
      <c r="BT1637" t="s">
        <v>419</v>
      </c>
      <c r="CI1637" t="s">
        <v>388</v>
      </c>
      <c r="CJ1637" s="14">
        <v>45014</v>
      </c>
      <c r="CK1637">
        <v>1</v>
      </c>
    </row>
    <row r="1638" spans="1:89">
      <c r="A1638" t="s">
        <v>454</v>
      </c>
      <c r="B1638" t="s">
        <v>374</v>
      </c>
      <c r="C1638" t="s">
        <v>455</v>
      </c>
      <c r="D1638" t="s">
        <v>3610</v>
      </c>
      <c r="E1638" t="s">
        <v>3611</v>
      </c>
      <c r="F1638" s="13">
        <v>44558.691643518519</v>
      </c>
      <c r="G1638" t="s">
        <v>3570</v>
      </c>
      <c r="H1638" t="s">
        <v>3571</v>
      </c>
      <c r="I1638" s="13">
        <v>45012.043645833335</v>
      </c>
      <c r="K1638" t="s">
        <v>415</v>
      </c>
      <c r="M1638" s="13">
        <v>44645</v>
      </c>
      <c r="R1638">
        <v>100</v>
      </c>
      <c r="S1638" t="s">
        <v>380</v>
      </c>
      <c r="T1638" t="s">
        <v>57</v>
      </c>
      <c r="V1638" t="s">
        <v>478</v>
      </c>
      <c r="W1638" t="s">
        <v>2306</v>
      </c>
      <c r="X1638" t="s">
        <v>2306</v>
      </c>
      <c r="AB1638" t="s">
        <v>57</v>
      </c>
      <c r="AF1638" t="s">
        <v>382</v>
      </c>
      <c r="AG1638" t="s">
        <v>3612</v>
      </c>
      <c r="AI1638">
        <v>-367</v>
      </c>
      <c r="AL1638" t="s">
        <v>3613</v>
      </c>
      <c r="AN1638" t="s">
        <v>57</v>
      </c>
      <c r="AO1638">
        <v>0</v>
      </c>
      <c r="AS1638" t="s">
        <v>385</v>
      </c>
      <c r="AX1638" t="s">
        <v>57</v>
      </c>
      <c r="AY1638" t="s">
        <v>386</v>
      </c>
      <c r="AZ1638" t="s">
        <v>3614</v>
      </c>
      <c r="BE1638" t="s">
        <v>3615</v>
      </c>
      <c r="BF1638">
        <v>0</v>
      </c>
      <c r="BK1638" t="s">
        <v>31</v>
      </c>
      <c r="BS1638" t="s">
        <v>1201</v>
      </c>
      <c r="BT1638" t="s">
        <v>1202</v>
      </c>
      <c r="CI1638" t="s">
        <v>388</v>
      </c>
      <c r="CJ1638" s="14">
        <v>45014</v>
      </c>
      <c r="CK1638">
        <v>1</v>
      </c>
    </row>
    <row r="1639" spans="1:89">
      <c r="A1639" t="s">
        <v>454</v>
      </c>
      <c r="B1639" t="s">
        <v>374</v>
      </c>
      <c r="C1639" t="s">
        <v>455</v>
      </c>
      <c r="D1639" t="s">
        <v>3616</v>
      </c>
      <c r="E1639" t="s">
        <v>3617</v>
      </c>
      <c r="F1639" s="13">
        <v>44558.680104166669</v>
      </c>
      <c r="G1639" t="s">
        <v>1264</v>
      </c>
      <c r="H1639" t="s">
        <v>1265</v>
      </c>
      <c r="I1639" s="13">
        <v>45012.043645833335</v>
      </c>
      <c r="K1639" t="s">
        <v>415</v>
      </c>
      <c r="M1639" s="13">
        <v>45107</v>
      </c>
      <c r="R1639">
        <v>0</v>
      </c>
      <c r="S1639" t="s">
        <v>380</v>
      </c>
      <c r="T1639" t="s">
        <v>57</v>
      </c>
      <c r="V1639" t="s">
        <v>381</v>
      </c>
      <c r="W1639" t="s">
        <v>3255</v>
      </c>
      <c r="X1639" t="s">
        <v>3255</v>
      </c>
      <c r="AF1639" t="s">
        <v>451</v>
      </c>
      <c r="AI1639">
        <v>95</v>
      </c>
      <c r="AL1639" t="s">
        <v>3618</v>
      </c>
      <c r="AN1639" t="s">
        <v>31</v>
      </c>
      <c r="AO1639">
        <v>0</v>
      </c>
      <c r="AS1639" t="s">
        <v>522</v>
      </c>
      <c r="AX1639" t="s">
        <v>57</v>
      </c>
      <c r="AY1639" t="s">
        <v>386</v>
      </c>
      <c r="AZ1639" t="s">
        <v>3619</v>
      </c>
      <c r="BE1639" t="s">
        <v>3620</v>
      </c>
      <c r="BF1639">
        <v>0</v>
      </c>
      <c r="BK1639" t="s">
        <v>31</v>
      </c>
      <c r="BS1639" t="s">
        <v>419</v>
      </c>
      <c r="BT1639" t="s">
        <v>419</v>
      </c>
      <c r="CI1639" t="s">
        <v>388</v>
      </c>
      <c r="CJ1639" s="14">
        <v>45014</v>
      </c>
      <c r="CK1639">
        <v>1</v>
      </c>
    </row>
    <row r="1640" spans="1:89">
      <c r="A1640" t="s">
        <v>454</v>
      </c>
      <c r="B1640" t="s">
        <v>374</v>
      </c>
      <c r="C1640" t="s">
        <v>455</v>
      </c>
      <c r="D1640" t="s">
        <v>3621</v>
      </c>
      <c r="E1640" t="s">
        <v>3622</v>
      </c>
      <c r="F1640" s="13">
        <v>44558.639861111114</v>
      </c>
      <c r="G1640" t="s">
        <v>1264</v>
      </c>
      <c r="H1640" t="s">
        <v>1265</v>
      </c>
      <c r="I1640" s="13">
        <v>45012.043645833335</v>
      </c>
      <c r="K1640" t="s">
        <v>415</v>
      </c>
      <c r="M1640" s="13">
        <v>44757</v>
      </c>
      <c r="R1640">
        <v>0</v>
      </c>
      <c r="S1640" t="s">
        <v>380</v>
      </c>
      <c r="T1640" t="s">
        <v>57</v>
      </c>
      <c r="V1640" t="s">
        <v>478</v>
      </c>
      <c r="W1640" t="s">
        <v>2306</v>
      </c>
      <c r="X1640" t="s">
        <v>2306</v>
      </c>
      <c r="AF1640" t="s">
        <v>451</v>
      </c>
      <c r="AI1640">
        <v>-255</v>
      </c>
      <c r="AL1640" t="s">
        <v>3623</v>
      </c>
      <c r="AN1640" t="s">
        <v>31</v>
      </c>
      <c r="AO1640">
        <v>0</v>
      </c>
      <c r="AS1640" t="s">
        <v>385</v>
      </c>
      <c r="AX1640" t="s">
        <v>57</v>
      </c>
      <c r="AY1640" t="s">
        <v>386</v>
      </c>
      <c r="AZ1640" t="s">
        <v>3624</v>
      </c>
      <c r="BF1640">
        <v>0</v>
      </c>
      <c r="BK1640" t="s">
        <v>31</v>
      </c>
      <c r="BS1640" t="s">
        <v>419</v>
      </c>
      <c r="BT1640" t="s">
        <v>419</v>
      </c>
      <c r="CI1640" t="s">
        <v>388</v>
      </c>
      <c r="CJ1640" s="14">
        <v>45014</v>
      </c>
      <c r="CK1640">
        <v>1</v>
      </c>
    </row>
    <row r="1641" spans="1:89">
      <c r="A1641" t="s">
        <v>454</v>
      </c>
      <c r="B1641" t="s">
        <v>374</v>
      </c>
      <c r="C1641" t="s">
        <v>455</v>
      </c>
      <c r="D1641" t="s">
        <v>3625</v>
      </c>
      <c r="E1641" t="s">
        <v>3626</v>
      </c>
      <c r="F1641" s="13">
        <v>44558.563657407409</v>
      </c>
      <c r="G1641" t="s">
        <v>1264</v>
      </c>
      <c r="H1641" t="s">
        <v>1265</v>
      </c>
      <c r="I1641" s="13">
        <v>44616.442569444444</v>
      </c>
      <c r="K1641" t="s">
        <v>379</v>
      </c>
      <c r="M1641" s="13">
        <v>44615</v>
      </c>
      <c r="R1641">
        <v>100</v>
      </c>
      <c r="S1641" t="s">
        <v>380</v>
      </c>
      <c r="T1641" t="s">
        <v>57</v>
      </c>
      <c r="V1641" t="s">
        <v>478</v>
      </c>
      <c r="W1641" t="s">
        <v>3627</v>
      </c>
      <c r="X1641" t="s">
        <v>3627</v>
      </c>
      <c r="AF1641" t="s">
        <v>382</v>
      </c>
      <c r="AG1641" t="s">
        <v>3628</v>
      </c>
      <c r="AI1641">
        <v>-1</v>
      </c>
      <c r="AJ1641" s="13">
        <v>44616</v>
      </c>
      <c r="AL1641" t="s">
        <v>3629</v>
      </c>
      <c r="AN1641" t="s">
        <v>31</v>
      </c>
      <c r="AO1641">
        <v>0</v>
      </c>
      <c r="AR1641" t="s">
        <v>3630</v>
      </c>
      <c r="AS1641" t="s">
        <v>385</v>
      </c>
      <c r="AX1641" t="s">
        <v>57</v>
      </c>
      <c r="AY1641" t="s">
        <v>386</v>
      </c>
      <c r="AZ1641" t="s">
        <v>3631</v>
      </c>
      <c r="BE1641" t="s">
        <v>3632</v>
      </c>
      <c r="BF1641">
        <v>0</v>
      </c>
      <c r="BK1641" t="s">
        <v>31</v>
      </c>
      <c r="BS1641" t="s">
        <v>379</v>
      </c>
      <c r="BT1641" t="s">
        <v>379</v>
      </c>
      <c r="CI1641" t="s">
        <v>388</v>
      </c>
      <c r="CJ1641" s="14">
        <v>45014</v>
      </c>
      <c r="CK1641">
        <v>1</v>
      </c>
    </row>
    <row r="1642" spans="1:89">
      <c r="A1642" t="s">
        <v>454</v>
      </c>
      <c r="B1642" t="s">
        <v>374</v>
      </c>
      <c r="C1642" t="s">
        <v>455</v>
      </c>
      <c r="D1642" t="s">
        <v>3633</v>
      </c>
      <c r="E1642" t="s">
        <v>3634</v>
      </c>
      <c r="F1642" s="13">
        <v>44558.563611111109</v>
      </c>
      <c r="G1642" t="s">
        <v>3570</v>
      </c>
      <c r="H1642" t="s">
        <v>3571</v>
      </c>
      <c r="I1642" s="13">
        <v>45012.043634259258</v>
      </c>
      <c r="K1642" t="s">
        <v>415</v>
      </c>
      <c r="M1642" s="13">
        <v>44615</v>
      </c>
      <c r="R1642">
        <v>100</v>
      </c>
      <c r="S1642" t="s">
        <v>380</v>
      </c>
      <c r="T1642" t="s">
        <v>57</v>
      </c>
      <c r="V1642" t="s">
        <v>478</v>
      </c>
      <c r="W1642" t="s">
        <v>3627</v>
      </c>
      <c r="X1642" t="s">
        <v>3627</v>
      </c>
      <c r="AF1642" t="s">
        <v>382</v>
      </c>
      <c r="AG1642" t="s">
        <v>3635</v>
      </c>
      <c r="AI1642">
        <v>-397</v>
      </c>
      <c r="AL1642" t="s">
        <v>3636</v>
      </c>
      <c r="AN1642" t="s">
        <v>31</v>
      </c>
      <c r="AO1642">
        <v>0</v>
      </c>
      <c r="AS1642" t="s">
        <v>385</v>
      </c>
      <c r="AX1642" t="s">
        <v>57</v>
      </c>
      <c r="AY1642" t="s">
        <v>386</v>
      </c>
      <c r="AZ1642" t="s">
        <v>3637</v>
      </c>
      <c r="BE1642" t="s">
        <v>3638</v>
      </c>
      <c r="BF1642">
        <v>0</v>
      </c>
      <c r="BK1642" t="s">
        <v>31</v>
      </c>
      <c r="BS1642" t="s">
        <v>622</v>
      </c>
      <c r="BT1642" t="s">
        <v>419</v>
      </c>
      <c r="CI1642" t="s">
        <v>388</v>
      </c>
      <c r="CJ1642" s="14">
        <v>45014</v>
      </c>
      <c r="CK1642">
        <v>1</v>
      </c>
    </row>
    <row r="1643" spans="1:89">
      <c r="A1643" t="s">
        <v>454</v>
      </c>
      <c r="B1643" t="s">
        <v>374</v>
      </c>
      <c r="C1643" t="s">
        <v>455</v>
      </c>
      <c r="D1643" t="s">
        <v>3639</v>
      </c>
      <c r="E1643" t="s">
        <v>3640</v>
      </c>
      <c r="F1643" s="13">
        <v>44558.466145833336</v>
      </c>
      <c r="G1643" t="s">
        <v>3570</v>
      </c>
      <c r="H1643" t="s">
        <v>3571</v>
      </c>
      <c r="I1643" s="13">
        <v>45012.043634259258</v>
      </c>
      <c r="K1643" t="s">
        <v>415</v>
      </c>
      <c r="M1643" s="13">
        <v>44792</v>
      </c>
      <c r="R1643">
        <v>0</v>
      </c>
      <c r="S1643" t="s">
        <v>380</v>
      </c>
      <c r="T1643" t="s">
        <v>57</v>
      </c>
      <c r="V1643" t="s">
        <v>478</v>
      </c>
      <c r="W1643" t="s">
        <v>2306</v>
      </c>
      <c r="X1643" t="s">
        <v>2306</v>
      </c>
      <c r="AF1643" t="s">
        <v>451</v>
      </c>
      <c r="AI1643">
        <v>-220</v>
      </c>
      <c r="AL1643" t="s">
        <v>3641</v>
      </c>
      <c r="AN1643" t="s">
        <v>31</v>
      </c>
      <c r="AO1643">
        <v>0</v>
      </c>
      <c r="AS1643" t="s">
        <v>385</v>
      </c>
      <c r="AX1643" t="s">
        <v>57</v>
      </c>
      <c r="AY1643" t="s">
        <v>386</v>
      </c>
      <c r="AZ1643" t="s">
        <v>3642</v>
      </c>
      <c r="BE1643" t="s">
        <v>3643</v>
      </c>
      <c r="BF1643">
        <v>0</v>
      </c>
      <c r="BK1643" t="s">
        <v>31</v>
      </c>
      <c r="BS1643" t="s">
        <v>419</v>
      </c>
      <c r="BT1643" t="s">
        <v>419</v>
      </c>
      <c r="CI1643" t="s">
        <v>388</v>
      </c>
      <c r="CJ1643" s="14">
        <v>45014</v>
      </c>
      <c r="CK1643">
        <v>1</v>
      </c>
    </row>
    <row r="1644" spans="1:89">
      <c r="A1644" t="s">
        <v>454</v>
      </c>
      <c r="B1644" t="s">
        <v>374</v>
      </c>
      <c r="C1644" t="s">
        <v>455</v>
      </c>
      <c r="D1644" t="s">
        <v>3644</v>
      </c>
      <c r="E1644" t="s">
        <v>3645</v>
      </c>
      <c r="F1644" s="13">
        <v>44558.397546296299</v>
      </c>
      <c r="G1644" t="s">
        <v>3570</v>
      </c>
      <c r="H1644" t="s">
        <v>3571</v>
      </c>
      <c r="I1644" s="13">
        <v>45012.043634259258</v>
      </c>
      <c r="K1644" t="s">
        <v>415</v>
      </c>
      <c r="M1644" s="13">
        <v>44558</v>
      </c>
      <c r="R1644">
        <v>0</v>
      </c>
      <c r="S1644" t="s">
        <v>416</v>
      </c>
      <c r="T1644" t="s">
        <v>57</v>
      </c>
      <c r="V1644" t="s">
        <v>478</v>
      </c>
      <c r="W1644" t="s">
        <v>2306</v>
      </c>
      <c r="X1644" t="s">
        <v>2306</v>
      </c>
      <c r="AF1644" t="s">
        <v>451</v>
      </c>
      <c r="AI1644">
        <v>-454</v>
      </c>
      <c r="AL1644" t="s">
        <v>3646</v>
      </c>
      <c r="AN1644" t="s">
        <v>31</v>
      </c>
      <c r="AO1644">
        <v>0</v>
      </c>
      <c r="AS1644" t="s">
        <v>385</v>
      </c>
      <c r="AX1644" t="s">
        <v>57</v>
      </c>
      <c r="AY1644" t="s">
        <v>442</v>
      </c>
      <c r="AZ1644" t="s">
        <v>3647</v>
      </c>
      <c r="BE1644" t="s">
        <v>3648</v>
      </c>
      <c r="BF1644">
        <v>0</v>
      </c>
      <c r="BK1644" t="s">
        <v>31</v>
      </c>
      <c r="BS1644" t="s">
        <v>419</v>
      </c>
      <c r="BT1644" t="s">
        <v>419</v>
      </c>
      <c r="CI1644" t="s">
        <v>388</v>
      </c>
      <c r="CJ1644" s="14">
        <v>45014</v>
      </c>
      <c r="CK1644">
        <v>1</v>
      </c>
    </row>
    <row r="1645" spans="1:89">
      <c r="A1645" t="s">
        <v>454</v>
      </c>
      <c r="B1645" t="s">
        <v>374</v>
      </c>
      <c r="C1645" t="s">
        <v>455</v>
      </c>
      <c r="D1645" t="s">
        <v>3649</v>
      </c>
      <c r="E1645" t="s">
        <v>3650</v>
      </c>
      <c r="F1645" s="13">
        <v>44553.51085648148</v>
      </c>
      <c r="G1645" t="s">
        <v>3570</v>
      </c>
      <c r="H1645" t="s">
        <v>3571</v>
      </c>
      <c r="I1645" s="13">
        <v>45012.043622685182</v>
      </c>
      <c r="K1645" t="s">
        <v>415</v>
      </c>
      <c r="M1645" s="13">
        <v>44651</v>
      </c>
      <c r="R1645">
        <v>0</v>
      </c>
      <c r="S1645" t="s">
        <v>380</v>
      </c>
      <c r="T1645" t="s">
        <v>57</v>
      </c>
      <c r="V1645" t="s">
        <v>478</v>
      </c>
      <c r="W1645" t="s">
        <v>3651</v>
      </c>
      <c r="X1645" t="s">
        <v>3651</v>
      </c>
      <c r="AF1645" t="s">
        <v>451</v>
      </c>
      <c r="AI1645">
        <v>-361</v>
      </c>
      <c r="AL1645" t="s">
        <v>3652</v>
      </c>
      <c r="AN1645" t="s">
        <v>31</v>
      </c>
      <c r="AO1645">
        <v>0</v>
      </c>
      <c r="AS1645" t="s">
        <v>538</v>
      </c>
      <c r="AX1645" t="s">
        <v>31</v>
      </c>
      <c r="AY1645" t="s">
        <v>386</v>
      </c>
      <c r="AZ1645" t="s">
        <v>3653</v>
      </c>
      <c r="BE1645" t="s">
        <v>3654</v>
      </c>
      <c r="BF1645">
        <v>0</v>
      </c>
      <c r="BK1645" t="s">
        <v>31</v>
      </c>
      <c r="BS1645" t="s">
        <v>419</v>
      </c>
      <c r="BT1645" t="s">
        <v>419</v>
      </c>
      <c r="CI1645" t="s">
        <v>388</v>
      </c>
      <c r="CJ1645" s="14">
        <v>45014</v>
      </c>
      <c r="CK1645">
        <v>1</v>
      </c>
    </row>
    <row r="1646" spans="1:89">
      <c r="A1646" t="s">
        <v>3258</v>
      </c>
      <c r="B1646" t="s">
        <v>374</v>
      </c>
      <c r="C1646" t="s">
        <v>3259</v>
      </c>
      <c r="D1646" t="s">
        <v>3655</v>
      </c>
      <c r="E1646" t="s">
        <v>3334</v>
      </c>
      <c r="F1646" s="13">
        <v>44552.562476851854</v>
      </c>
      <c r="G1646" t="s">
        <v>3262</v>
      </c>
      <c r="H1646" t="s">
        <v>3263</v>
      </c>
      <c r="I1646" s="13">
        <v>45012.043622685182</v>
      </c>
      <c r="K1646" t="s">
        <v>415</v>
      </c>
      <c r="M1646" s="13">
        <v>44608</v>
      </c>
      <c r="R1646">
        <v>100</v>
      </c>
      <c r="S1646" t="s">
        <v>416</v>
      </c>
      <c r="T1646" t="s">
        <v>57</v>
      </c>
      <c r="V1646" t="s">
        <v>478</v>
      </c>
      <c r="W1646" t="s">
        <v>3264</v>
      </c>
      <c r="X1646" t="s">
        <v>3264</v>
      </c>
      <c r="AF1646" t="s">
        <v>382</v>
      </c>
      <c r="AG1646" t="s">
        <v>3656</v>
      </c>
      <c r="AI1646">
        <v>-404</v>
      </c>
      <c r="AL1646" t="s">
        <v>3265</v>
      </c>
      <c r="AM1646">
        <v>1</v>
      </c>
      <c r="AN1646" t="s">
        <v>31</v>
      </c>
      <c r="AO1646">
        <v>0</v>
      </c>
      <c r="AS1646" t="s">
        <v>538</v>
      </c>
      <c r="AU1646" t="s">
        <v>57</v>
      </c>
      <c r="AX1646" t="s">
        <v>31</v>
      </c>
      <c r="AY1646" t="s">
        <v>442</v>
      </c>
      <c r="AZ1646" t="s">
        <v>3657</v>
      </c>
      <c r="BF1646">
        <v>0</v>
      </c>
      <c r="BK1646" t="s">
        <v>31</v>
      </c>
      <c r="BS1646" t="s">
        <v>418</v>
      </c>
      <c r="BT1646" t="s">
        <v>419</v>
      </c>
      <c r="CI1646" t="s">
        <v>388</v>
      </c>
      <c r="CJ1646" s="14">
        <v>45014</v>
      </c>
      <c r="CK1646">
        <v>1</v>
      </c>
    </row>
    <row r="1647" spans="1:89">
      <c r="A1647" t="s">
        <v>3658</v>
      </c>
      <c r="B1647" t="s">
        <v>374</v>
      </c>
      <c r="C1647" t="s">
        <v>3659</v>
      </c>
      <c r="D1647" t="s">
        <v>3660</v>
      </c>
      <c r="E1647" t="s">
        <v>3534</v>
      </c>
      <c r="F1647" s="13">
        <v>44550.647627314815</v>
      </c>
      <c r="G1647" t="s">
        <v>3535</v>
      </c>
      <c r="H1647" t="s">
        <v>3536</v>
      </c>
      <c r="I1647" s="13">
        <v>44550.655023148145</v>
      </c>
      <c r="K1647" t="s">
        <v>409</v>
      </c>
      <c r="R1647">
        <v>0</v>
      </c>
      <c r="S1647" t="s">
        <v>380</v>
      </c>
      <c r="V1647" t="s">
        <v>381</v>
      </c>
      <c r="W1647" t="s">
        <v>3661</v>
      </c>
      <c r="X1647" t="s">
        <v>3661</v>
      </c>
      <c r="AI1647">
        <v>1</v>
      </c>
      <c r="AL1647" t="s">
        <v>3662</v>
      </c>
      <c r="AN1647" t="s">
        <v>31</v>
      </c>
      <c r="AO1647">
        <v>0</v>
      </c>
      <c r="AZ1647" t="s">
        <v>3663</v>
      </c>
      <c r="BF1647">
        <v>0</v>
      </c>
      <c r="BK1647" t="s">
        <v>31</v>
      </c>
      <c r="BS1647" t="s">
        <v>409</v>
      </c>
      <c r="BT1647" t="s">
        <v>409</v>
      </c>
      <c r="CI1647" t="s">
        <v>388</v>
      </c>
      <c r="CJ1647" s="14">
        <v>45014</v>
      </c>
      <c r="CK1647">
        <v>1</v>
      </c>
    </row>
    <row r="1648" spans="1:89">
      <c r="A1648" t="s">
        <v>435</v>
      </c>
      <c r="B1648" t="s">
        <v>374</v>
      </c>
      <c r="C1648" t="s">
        <v>436</v>
      </c>
      <c r="D1648" t="s">
        <v>3664</v>
      </c>
      <c r="E1648" t="s">
        <v>3665</v>
      </c>
      <c r="F1648" s="13">
        <v>44547.485127314816</v>
      </c>
      <c r="G1648" t="s">
        <v>3666</v>
      </c>
      <c r="H1648" t="s">
        <v>3667</v>
      </c>
      <c r="I1648" s="13">
        <v>44547.485659722224</v>
      </c>
      <c r="K1648" t="s">
        <v>412</v>
      </c>
      <c r="R1648">
        <v>0</v>
      </c>
      <c r="S1648" t="s">
        <v>416</v>
      </c>
      <c r="T1648" t="s">
        <v>57</v>
      </c>
      <c r="V1648" t="s">
        <v>381</v>
      </c>
      <c r="W1648" t="s">
        <v>3668</v>
      </c>
      <c r="X1648" t="s">
        <v>3668</v>
      </c>
      <c r="AI1648">
        <v>0</v>
      </c>
      <c r="AL1648" t="s">
        <v>3669</v>
      </c>
      <c r="AN1648" t="s">
        <v>31</v>
      </c>
      <c r="AO1648">
        <v>0</v>
      </c>
      <c r="AS1648" t="s">
        <v>526</v>
      </c>
      <c r="AX1648" t="s">
        <v>57</v>
      </c>
      <c r="AY1648" t="s">
        <v>442</v>
      </c>
      <c r="AZ1648" t="s">
        <v>3670</v>
      </c>
      <c r="BF1648">
        <v>0</v>
      </c>
      <c r="BK1648" t="s">
        <v>31</v>
      </c>
      <c r="BS1648" t="s">
        <v>412</v>
      </c>
      <c r="BT1648" t="s">
        <v>412</v>
      </c>
      <c r="CI1648" t="s">
        <v>388</v>
      </c>
      <c r="CJ1648" s="14">
        <v>45014</v>
      </c>
      <c r="CK1648">
        <v>1</v>
      </c>
    </row>
    <row r="1649" spans="1:89">
      <c r="A1649" t="s">
        <v>2927</v>
      </c>
      <c r="B1649" t="s">
        <v>374</v>
      </c>
      <c r="C1649" t="s">
        <v>2928</v>
      </c>
      <c r="D1649" t="s">
        <v>3671</v>
      </c>
      <c r="E1649" t="s">
        <v>3672</v>
      </c>
      <c r="F1649" s="13">
        <v>44545.600243055553</v>
      </c>
      <c r="G1649" t="s">
        <v>3535</v>
      </c>
      <c r="H1649" t="s">
        <v>3536</v>
      </c>
      <c r="I1649" s="13">
        <v>44581.439618055556</v>
      </c>
      <c r="K1649" t="s">
        <v>379</v>
      </c>
      <c r="M1649" s="13">
        <v>44546</v>
      </c>
      <c r="R1649">
        <v>100</v>
      </c>
      <c r="S1649" t="s">
        <v>380</v>
      </c>
      <c r="T1649" t="s">
        <v>57</v>
      </c>
      <c r="V1649" t="s">
        <v>478</v>
      </c>
      <c r="W1649" t="s">
        <v>3673</v>
      </c>
      <c r="X1649" t="s">
        <v>3673</v>
      </c>
      <c r="AF1649" t="s">
        <v>382</v>
      </c>
      <c r="AG1649" t="s">
        <v>3674</v>
      </c>
      <c r="AI1649">
        <v>-35</v>
      </c>
      <c r="AJ1649" s="13">
        <v>44599</v>
      </c>
      <c r="AL1649" t="s">
        <v>3675</v>
      </c>
      <c r="AN1649" t="s">
        <v>31</v>
      </c>
      <c r="AO1649">
        <v>0</v>
      </c>
      <c r="AR1649" t="s">
        <v>3676</v>
      </c>
      <c r="AS1649" t="s">
        <v>385</v>
      </c>
      <c r="AX1649" t="s">
        <v>31</v>
      </c>
      <c r="AY1649" t="s">
        <v>386</v>
      </c>
      <c r="AZ1649" t="s">
        <v>3677</v>
      </c>
      <c r="BF1649">
        <v>0</v>
      </c>
      <c r="BK1649" t="s">
        <v>31</v>
      </c>
      <c r="BS1649" t="s">
        <v>379</v>
      </c>
      <c r="BT1649" t="s">
        <v>379</v>
      </c>
      <c r="CI1649" t="s">
        <v>388</v>
      </c>
      <c r="CJ1649" s="14">
        <v>45014</v>
      </c>
      <c r="CK1649">
        <v>1</v>
      </c>
    </row>
    <row r="1650" spans="1:89">
      <c r="A1650" t="s">
        <v>1675</v>
      </c>
      <c r="B1650" t="s">
        <v>374</v>
      </c>
      <c r="C1650" t="s">
        <v>1676</v>
      </c>
      <c r="D1650" t="s">
        <v>3678</v>
      </c>
      <c r="E1650" t="s">
        <v>3665</v>
      </c>
      <c r="F1650" s="13">
        <v>44545.435243055559</v>
      </c>
      <c r="G1650" t="s">
        <v>3666</v>
      </c>
      <c r="H1650" t="s">
        <v>3667</v>
      </c>
      <c r="I1650" s="13">
        <v>44545.436145833337</v>
      </c>
      <c r="K1650" t="s">
        <v>409</v>
      </c>
      <c r="R1650">
        <v>0</v>
      </c>
      <c r="S1650" t="s">
        <v>380</v>
      </c>
      <c r="T1650" t="s">
        <v>57</v>
      </c>
      <c r="V1650" t="s">
        <v>381</v>
      </c>
      <c r="W1650" t="s">
        <v>3679</v>
      </c>
      <c r="X1650" t="s">
        <v>3679</v>
      </c>
      <c r="AI1650">
        <v>2</v>
      </c>
      <c r="AL1650" t="s">
        <v>3680</v>
      </c>
      <c r="AN1650" t="s">
        <v>31</v>
      </c>
      <c r="AO1650">
        <v>0</v>
      </c>
      <c r="AS1650" t="s">
        <v>392</v>
      </c>
      <c r="AX1650" t="s">
        <v>31</v>
      </c>
      <c r="AY1650" t="s">
        <v>442</v>
      </c>
      <c r="AZ1650" t="s">
        <v>3681</v>
      </c>
      <c r="BF1650">
        <v>0</v>
      </c>
      <c r="BK1650" t="s">
        <v>31</v>
      </c>
      <c r="BS1650" t="s">
        <v>409</v>
      </c>
      <c r="BT1650" t="s">
        <v>409</v>
      </c>
      <c r="CI1650" t="s">
        <v>388</v>
      </c>
      <c r="CJ1650" s="14">
        <v>45014</v>
      </c>
      <c r="CK1650">
        <v>1</v>
      </c>
    </row>
    <row r="1651" spans="1:89">
      <c r="A1651" t="s">
        <v>1579</v>
      </c>
      <c r="B1651" t="s">
        <v>374</v>
      </c>
      <c r="C1651" t="s">
        <v>1580</v>
      </c>
      <c r="D1651" t="s">
        <v>3682</v>
      </c>
      <c r="E1651" t="s">
        <v>3683</v>
      </c>
      <c r="F1651" s="13">
        <v>44544.647905092592</v>
      </c>
      <c r="G1651" t="s">
        <v>2271</v>
      </c>
      <c r="H1651" t="s">
        <v>2272</v>
      </c>
      <c r="I1651" s="13">
        <v>44586.725057870368</v>
      </c>
      <c r="K1651" t="s">
        <v>379</v>
      </c>
      <c r="M1651" s="13">
        <v>44560</v>
      </c>
      <c r="R1651">
        <v>100</v>
      </c>
      <c r="S1651" t="s">
        <v>380</v>
      </c>
      <c r="T1651" t="s">
        <v>57</v>
      </c>
      <c r="V1651" t="s">
        <v>478</v>
      </c>
      <c r="W1651" t="s">
        <v>3684</v>
      </c>
      <c r="X1651" t="s">
        <v>3684</v>
      </c>
      <c r="AC1651" s="13">
        <v>44561</v>
      </c>
      <c r="AD1651" s="13">
        <v>44561</v>
      </c>
      <c r="AF1651" t="s">
        <v>382</v>
      </c>
      <c r="AG1651" t="s">
        <v>3685</v>
      </c>
      <c r="AI1651">
        <v>-26</v>
      </c>
      <c r="AJ1651" s="13">
        <v>44586</v>
      </c>
      <c r="AL1651" t="s">
        <v>3686</v>
      </c>
      <c r="AN1651" t="s">
        <v>31</v>
      </c>
      <c r="AO1651">
        <v>0</v>
      </c>
      <c r="AR1651" t="s">
        <v>3687</v>
      </c>
      <c r="AS1651" t="s">
        <v>526</v>
      </c>
      <c r="AX1651" t="s">
        <v>31</v>
      </c>
      <c r="AY1651" t="s">
        <v>386</v>
      </c>
      <c r="AZ1651" t="s">
        <v>3688</v>
      </c>
      <c r="BF1651">
        <v>0</v>
      </c>
      <c r="BK1651" t="s">
        <v>31</v>
      </c>
      <c r="BS1651" t="s">
        <v>379</v>
      </c>
      <c r="BT1651" t="s">
        <v>379</v>
      </c>
      <c r="CI1651" t="s">
        <v>388</v>
      </c>
      <c r="CJ1651" s="14">
        <v>45014</v>
      </c>
      <c r="CK1651">
        <v>1</v>
      </c>
    </row>
    <row r="1652" spans="1:89">
      <c r="A1652" t="s">
        <v>3504</v>
      </c>
      <c r="B1652" t="s">
        <v>374</v>
      </c>
      <c r="C1652" t="s">
        <v>3505</v>
      </c>
      <c r="D1652" t="s">
        <v>3689</v>
      </c>
      <c r="E1652" t="s">
        <v>3690</v>
      </c>
      <c r="F1652" s="13">
        <v>44530.854363425926</v>
      </c>
      <c r="G1652" t="s">
        <v>2271</v>
      </c>
      <c r="H1652" t="s">
        <v>2272</v>
      </c>
      <c r="I1652" s="13">
        <v>44715.502106481479</v>
      </c>
      <c r="K1652" t="s">
        <v>379</v>
      </c>
      <c r="M1652" s="13">
        <v>44592</v>
      </c>
      <c r="R1652">
        <v>100</v>
      </c>
      <c r="S1652" t="s">
        <v>416</v>
      </c>
      <c r="T1652" t="s">
        <v>57</v>
      </c>
      <c r="V1652" t="s">
        <v>478</v>
      </c>
      <c r="W1652" t="s">
        <v>3691</v>
      </c>
      <c r="X1652" t="s">
        <v>3691</v>
      </c>
      <c r="AF1652" t="s">
        <v>382</v>
      </c>
      <c r="AG1652" t="s">
        <v>3692</v>
      </c>
      <c r="AI1652">
        <v>-1</v>
      </c>
      <c r="AL1652" t="s">
        <v>3509</v>
      </c>
      <c r="AM1652">
        <v>1</v>
      </c>
      <c r="AN1652" t="s">
        <v>31</v>
      </c>
      <c r="AO1652">
        <v>0</v>
      </c>
      <c r="AS1652" t="s">
        <v>526</v>
      </c>
      <c r="AX1652" t="s">
        <v>31</v>
      </c>
      <c r="AY1652" t="s">
        <v>386</v>
      </c>
      <c r="AZ1652" t="s">
        <v>3693</v>
      </c>
      <c r="BF1652">
        <v>0</v>
      </c>
      <c r="BK1652" t="s">
        <v>31</v>
      </c>
      <c r="BS1652" t="s">
        <v>379</v>
      </c>
      <c r="BT1652" t="s">
        <v>379</v>
      </c>
      <c r="CI1652" t="s">
        <v>388</v>
      </c>
      <c r="CJ1652" s="14">
        <v>45014</v>
      </c>
      <c r="CK1652">
        <v>1</v>
      </c>
    </row>
    <row r="1653" spans="1:89">
      <c r="A1653" t="s">
        <v>3504</v>
      </c>
      <c r="B1653" t="s">
        <v>374</v>
      </c>
      <c r="C1653" t="s">
        <v>3505</v>
      </c>
      <c r="D1653" t="s">
        <v>3694</v>
      </c>
      <c r="E1653" t="s">
        <v>3695</v>
      </c>
      <c r="F1653" s="13">
        <v>44530.571886574071</v>
      </c>
      <c r="G1653" t="s">
        <v>2271</v>
      </c>
      <c r="H1653" t="s">
        <v>2272</v>
      </c>
      <c r="I1653" s="13">
        <v>45012.043622685182</v>
      </c>
      <c r="K1653" t="s">
        <v>415</v>
      </c>
      <c r="M1653" s="13">
        <v>44645</v>
      </c>
      <c r="R1653">
        <v>0</v>
      </c>
      <c r="S1653" t="s">
        <v>416</v>
      </c>
      <c r="T1653" t="s">
        <v>57</v>
      </c>
      <c r="V1653" t="s">
        <v>478</v>
      </c>
      <c r="W1653" t="s">
        <v>3696</v>
      </c>
      <c r="X1653" t="s">
        <v>3696</v>
      </c>
      <c r="AF1653" t="s">
        <v>451</v>
      </c>
      <c r="AI1653">
        <v>-367</v>
      </c>
      <c r="AL1653" t="s">
        <v>3697</v>
      </c>
      <c r="AN1653" t="s">
        <v>31</v>
      </c>
      <c r="AO1653">
        <v>0</v>
      </c>
      <c r="AS1653" t="s">
        <v>526</v>
      </c>
      <c r="AX1653" t="s">
        <v>31</v>
      </c>
      <c r="AY1653" t="s">
        <v>386</v>
      </c>
      <c r="AZ1653" t="s">
        <v>3698</v>
      </c>
      <c r="BF1653">
        <v>0</v>
      </c>
      <c r="BK1653" t="s">
        <v>31</v>
      </c>
      <c r="BS1653" t="s">
        <v>419</v>
      </c>
      <c r="BT1653" t="s">
        <v>419</v>
      </c>
      <c r="CI1653" t="s">
        <v>388</v>
      </c>
      <c r="CJ1653" s="14">
        <v>45014</v>
      </c>
      <c r="CK1653">
        <v>1</v>
      </c>
    </row>
    <row r="1654" spans="1:89">
      <c r="A1654" t="s">
        <v>3504</v>
      </c>
      <c r="B1654" t="s">
        <v>374</v>
      </c>
      <c r="C1654" t="s">
        <v>3505</v>
      </c>
      <c r="D1654" t="s">
        <v>3699</v>
      </c>
      <c r="E1654" t="s">
        <v>3700</v>
      </c>
      <c r="F1654" s="13">
        <v>44530.560115740744</v>
      </c>
      <c r="G1654" t="s">
        <v>2271</v>
      </c>
      <c r="H1654" t="s">
        <v>2272</v>
      </c>
      <c r="I1654" s="13">
        <v>44715.502106481479</v>
      </c>
      <c r="K1654" t="s">
        <v>379</v>
      </c>
      <c r="M1654" s="13">
        <v>44592</v>
      </c>
      <c r="R1654">
        <v>100</v>
      </c>
      <c r="S1654" t="s">
        <v>380</v>
      </c>
      <c r="T1654" t="s">
        <v>57</v>
      </c>
      <c r="V1654" t="s">
        <v>381</v>
      </c>
      <c r="W1654" t="s">
        <v>3701</v>
      </c>
      <c r="X1654" t="s">
        <v>3701</v>
      </c>
      <c r="AF1654" t="s">
        <v>382</v>
      </c>
      <c r="AG1654" t="s">
        <v>3702</v>
      </c>
      <c r="AI1654">
        <v>6</v>
      </c>
      <c r="AK1654" t="s">
        <v>480</v>
      </c>
      <c r="AL1654" t="s">
        <v>3703</v>
      </c>
      <c r="AN1654" t="s">
        <v>31</v>
      </c>
      <c r="AO1654">
        <v>0</v>
      </c>
      <c r="AS1654" t="s">
        <v>392</v>
      </c>
      <c r="AX1654" t="s">
        <v>31</v>
      </c>
      <c r="AY1654" t="s">
        <v>442</v>
      </c>
      <c r="AZ1654" t="s">
        <v>3704</v>
      </c>
      <c r="BF1654">
        <v>0</v>
      </c>
      <c r="BK1654" t="s">
        <v>31</v>
      </c>
      <c r="BS1654" t="s">
        <v>379</v>
      </c>
      <c r="BT1654" t="s">
        <v>379</v>
      </c>
      <c r="CI1654" t="s">
        <v>388</v>
      </c>
      <c r="CJ1654" s="14">
        <v>45014</v>
      </c>
      <c r="CK1654">
        <v>1</v>
      </c>
    </row>
    <row r="1655" spans="1:89">
      <c r="A1655" t="s">
        <v>2164</v>
      </c>
      <c r="B1655" t="s">
        <v>374</v>
      </c>
      <c r="C1655" t="s">
        <v>2165</v>
      </c>
      <c r="D1655" t="s">
        <v>3705</v>
      </c>
      <c r="E1655" t="s">
        <v>3706</v>
      </c>
      <c r="F1655" s="13">
        <v>44530.541377314818</v>
      </c>
      <c r="G1655" t="s">
        <v>2271</v>
      </c>
      <c r="H1655" t="s">
        <v>2272</v>
      </c>
      <c r="I1655" s="13">
        <v>45012.043622685182</v>
      </c>
      <c r="K1655" t="s">
        <v>415</v>
      </c>
      <c r="M1655" s="13">
        <v>44533</v>
      </c>
      <c r="R1655">
        <v>100</v>
      </c>
      <c r="S1655" t="s">
        <v>416</v>
      </c>
      <c r="T1655" t="s">
        <v>57</v>
      </c>
      <c r="V1655" t="s">
        <v>478</v>
      </c>
      <c r="W1655" t="s">
        <v>3707</v>
      </c>
      <c r="X1655" t="s">
        <v>3707</v>
      </c>
      <c r="AF1655" t="s">
        <v>382</v>
      </c>
      <c r="AG1655" t="s">
        <v>3708</v>
      </c>
      <c r="AI1655">
        <v>-479</v>
      </c>
      <c r="AJ1655" s="13">
        <v>44587</v>
      </c>
      <c r="AL1655" t="s">
        <v>3709</v>
      </c>
      <c r="AN1655" t="s">
        <v>31</v>
      </c>
      <c r="AO1655">
        <v>0</v>
      </c>
      <c r="AR1655" t="s">
        <v>3710</v>
      </c>
      <c r="AS1655" t="s">
        <v>392</v>
      </c>
      <c r="AX1655" t="s">
        <v>31</v>
      </c>
      <c r="AY1655" t="s">
        <v>386</v>
      </c>
      <c r="AZ1655" t="s">
        <v>3711</v>
      </c>
      <c r="BF1655">
        <v>0</v>
      </c>
      <c r="BK1655" t="s">
        <v>31</v>
      </c>
      <c r="BS1655" t="s">
        <v>419</v>
      </c>
      <c r="BT1655" t="s">
        <v>419</v>
      </c>
      <c r="CI1655" t="s">
        <v>388</v>
      </c>
      <c r="CJ1655" s="14">
        <v>45014</v>
      </c>
      <c r="CK1655">
        <v>1</v>
      </c>
    </row>
    <row r="1656" spans="1:89">
      <c r="A1656" t="s">
        <v>1415</v>
      </c>
      <c r="B1656" t="s">
        <v>374</v>
      </c>
      <c r="C1656" t="s">
        <v>1416</v>
      </c>
      <c r="D1656" t="s">
        <v>3712</v>
      </c>
      <c r="E1656" t="s">
        <v>3713</v>
      </c>
      <c r="F1656" s="13">
        <v>44529.648229166669</v>
      </c>
      <c r="G1656" t="s">
        <v>1418</v>
      </c>
      <c r="H1656" t="s">
        <v>1419</v>
      </c>
      <c r="I1656" s="13">
        <v>45012.043611111112</v>
      </c>
      <c r="K1656" t="s">
        <v>415</v>
      </c>
      <c r="M1656" s="13">
        <v>44681</v>
      </c>
      <c r="R1656">
        <v>0</v>
      </c>
      <c r="S1656" t="s">
        <v>380</v>
      </c>
      <c r="T1656" t="s">
        <v>57</v>
      </c>
      <c r="V1656" t="s">
        <v>478</v>
      </c>
      <c r="W1656" t="s">
        <v>3714</v>
      </c>
      <c r="X1656" t="s">
        <v>3714</v>
      </c>
      <c r="AF1656" t="s">
        <v>451</v>
      </c>
      <c r="AI1656">
        <v>-331</v>
      </c>
      <c r="AL1656" t="s">
        <v>3715</v>
      </c>
      <c r="AN1656" t="s">
        <v>31</v>
      </c>
      <c r="AO1656">
        <v>0</v>
      </c>
      <c r="AS1656" t="s">
        <v>385</v>
      </c>
      <c r="AX1656" t="s">
        <v>31</v>
      </c>
      <c r="AY1656" t="s">
        <v>442</v>
      </c>
      <c r="AZ1656" t="s">
        <v>3716</v>
      </c>
      <c r="BF1656">
        <v>0</v>
      </c>
      <c r="BK1656" t="s">
        <v>31</v>
      </c>
      <c r="BS1656" t="s">
        <v>419</v>
      </c>
      <c r="BT1656" t="s">
        <v>419</v>
      </c>
      <c r="CI1656" t="s">
        <v>388</v>
      </c>
      <c r="CJ1656" s="14">
        <v>45014</v>
      </c>
      <c r="CK1656">
        <v>1</v>
      </c>
    </row>
    <row r="1657" spans="1:89">
      <c r="A1657" t="s">
        <v>1415</v>
      </c>
      <c r="B1657" t="s">
        <v>374</v>
      </c>
      <c r="C1657" t="s">
        <v>1416</v>
      </c>
      <c r="D1657" t="s">
        <v>3717</v>
      </c>
      <c r="E1657" t="s">
        <v>3718</v>
      </c>
      <c r="F1657" s="13">
        <v>44529.623252314814</v>
      </c>
      <c r="G1657" t="s">
        <v>1418</v>
      </c>
      <c r="H1657" t="s">
        <v>1419</v>
      </c>
      <c r="I1657" s="13">
        <v>45012.043611111112</v>
      </c>
      <c r="K1657" t="s">
        <v>415</v>
      </c>
      <c r="M1657" s="13">
        <v>44742</v>
      </c>
      <c r="R1657">
        <v>100</v>
      </c>
      <c r="S1657" t="s">
        <v>380</v>
      </c>
      <c r="T1657" t="s">
        <v>57</v>
      </c>
      <c r="V1657" t="s">
        <v>478</v>
      </c>
      <c r="W1657" t="s">
        <v>3719</v>
      </c>
      <c r="X1657" t="s">
        <v>3719</v>
      </c>
      <c r="AF1657" t="s">
        <v>382</v>
      </c>
      <c r="AG1657" t="s">
        <v>3720</v>
      </c>
      <c r="AI1657">
        <v>-270</v>
      </c>
      <c r="AL1657" t="s">
        <v>3721</v>
      </c>
      <c r="AN1657" t="s">
        <v>31</v>
      </c>
      <c r="AO1657">
        <v>0</v>
      </c>
      <c r="AS1657" t="s">
        <v>385</v>
      </c>
      <c r="AX1657" t="s">
        <v>31</v>
      </c>
      <c r="AY1657" t="s">
        <v>442</v>
      </c>
      <c r="AZ1657" t="s">
        <v>3722</v>
      </c>
      <c r="BF1657">
        <v>0</v>
      </c>
      <c r="BK1657" t="s">
        <v>31</v>
      </c>
      <c r="BS1657" t="s">
        <v>622</v>
      </c>
      <c r="BT1657" t="s">
        <v>419</v>
      </c>
      <c r="CI1657" t="s">
        <v>388</v>
      </c>
      <c r="CJ1657" s="14">
        <v>45014</v>
      </c>
      <c r="CK1657">
        <v>1</v>
      </c>
    </row>
    <row r="1658" spans="1:89">
      <c r="A1658" t="s">
        <v>1415</v>
      </c>
      <c r="B1658" t="s">
        <v>374</v>
      </c>
      <c r="C1658" t="s">
        <v>1416</v>
      </c>
      <c r="D1658" t="s">
        <v>3723</v>
      </c>
      <c r="E1658" t="s">
        <v>3724</v>
      </c>
      <c r="F1658" s="13">
        <v>44529.615752314814</v>
      </c>
      <c r="G1658" t="s">
        <v>1418</v>
      </c>
      <c r="H1658" t="s">
        <v>1419</v>
      </c>
      <c r="I1658" s="13">
        <v>44580.338912037034</v>
      </c>
      <c r="K1658" t="s">
        <v>379</v>
      </c>
      <c r="M1658" s="13">
        <v>44592</v>
      </c>
      <c r="R1658">
        <v>100</v>
      </c>
      <c r="S1658" t="s">
        <v>380</v>
      </c>
      <c r="T1658" t="s">
        <v>57</v>
      </c>
      <c r="V1658" t="s">
        <v>381</v>
      </c>
      <c r="W1658" t="s">
        <v>3725</v>
      </c>
      <c r="X1658" t="s">
        <v>3725</v>
      </c>
      <c r="AF1658" t="s">
        <v>382</v>
      </c>
      <c r="AG1658" t="s">
        <v>3726</v>
      </c>
      <c r="AI1658">
        <v>12</v>
      </c>
      <c r="AL1658" t="s">
        <v>3727</v>
      </c>
      <c r="AN1658" t="s">
        <v>31</v>
      </c>
      <c r="AO1658">
        <v>0</v>
      </c>
      <c r="AS1658" t="s">
        <v>385</v>
      </c>
      <c r="AX1658" t="s">
        <v>31</v>
      </c>
      <c r="AY1658" t="s">
        <v>442</v>
      </c>
      <c r="AZ1658" t="s">
        <v>3728</v>
      </c>
      <c r="BF1658">
        <v>0</v>
      </c>
      <c r="BK1658" t="s">
        <v>31</v>
      </c>
      <c r="BS1658" t="s">
        <v>379</v>
      </c>
      <c r="BT1658" t="s">
        <v>379</v>
      </c>
      <c r="CI1658" t="s">
        <v>388</v>
      </c>
      <c r="CJ1658" s="14">
        <v>45014</v>
      </c>
      <c r="CK1658">
        <v>1</v>
      </c>
    </row>
    <row r="1659" spans="1:89">
      <c r="A1659" t="s">
        <v>1415</v>
      </c>
      <c r="B1659" t="s">
        <v>374</v>
      </c>
      <c r="C1659" t="s">
        <v>1416</v>
      </c>
      <c r="D1659" t="s">
        <v>3729</v>
      </c>
      <c r="E1659" t="s">
        <v>3730</v>
      </c>
      <c r="F1659" s="13">
        <v>44529.572013888886</v>
      </c>
      <c r="G1659" t="s">
        <v>1418</v>
      </c>
      <c r="H1659" t="s">
        <v>1419</v>
      </c>
      <c r="I1659" s="13">
        <v>45012.043611111112</v>
      </c>
      <c r="K1659" t="s">
        <v>415</v>
      </c>
      <c r="M1659" s="13">
        <v>44926</v>
      </c>
      <c r="R1659">
        <v>100</v>
      </c>
      <c r="S1659" t="s">
        <v>380</v>
      </c>
      <c r="T1659" t="s">
        <v>57</v>
      </c>
      <c r="V1659" t="s">
        <v>478</v>
      </c>
      <c r="W1659" t="s">
        <v>3714</v>
      </c>
      <c r="X1659" t="s">
        <v>3714</v>
      </c>
      <c r="AF1659" t="s">
        <v>382</v>
      </c>
      <c r="AG1659" t="s">
        <v>3731</v>
      </c>
      <c r="AI1659">
        <v>-86</v>
      </c>
      <c r="AL1659" t="s">
        <v>3732</v>
      </c>
      <c r="AN1659" t="s">
        <v>31</v>
      </c>
      <c r="AO1659">
        <v>0</v>
      </c>
      <c r="AS1659" t="s">
        <v>385</v>
      </c>
      <c r="AX1659" t="s">
        <v>31</v>
      </c>
      <c r="AY1659" t="s">
        <v>442</v>
      </c>
      <c r="AZ1659" t="s">
        <v>3733</v>
      </c>
      <c r="BF1659">
        <v>0</v>
      </c>
      <c r="BK1659" t="s">
        <v>31</v>
      </c>
      <c r="BS1659" t="s">
        <v>622</v>
      </c>
      <c r="BT1659" t="s">
        <v>419</v>
      </c>
      <c r="CI1659" t="s">
        <v>388</v>
      </c>
      <c r="CJ1659" s="14">
        <v>45014</v>
      </c>
      <c r="CK1659">
        <v>1</v>
      </c>
    </row>
    <row r="1660" spans="1:89">
      <c r="A1660" t="s">
        <v>1415</v>
      </c>
      <c r="B1660" t="s">
        <v>374</v>
      </c>
      <c r="C1660" t="s">
        <v>1416</v>
      </c>
      <c r="D1660" t="s">
        <v>3734</v>
      </c>
      <c r="E1660" t="s">
        <v>3735</v>
      </c>
      <c r="F1660" s="13">
        <v>44529.546620370369</v>
      </c>
      <c r="G1660" t="s">
        <v>1418</v>
      </c>
      <c r="H1660" t="s">
        <v>1419</v>
      </c>
      <c r="I1660" s="13">
        <v>44587.742175925923</v>
      </c>
      <c r="K1660" t="s">
        <v>379</v>
      </c>
      <c r="M1660" s="13">
        <v>44712</v>
      </c>
      <c r="R1660">
        <v>100</v>
      </c>
      <c r="S1660" t="s">
        <v>380</v>
      </c>
      <c r="T1660" t="s">
        <v>57</v>
      </c>
      <c r="V1660" t="s">
        <v>381</v>
      </c>
      <c r="W1660" t="s">
        <v>3736</v>
      </c>
      <c r="X1660" t="s">
        <v>3736</v>
      </c>
      <c r="AF1660" t="s">
        <v>382</v>
      </c>
      <c r="AG1660" t="s">
        <v>3737</v>
      </c>
      <c r="AI1660">
        <v>125</v>
      </c>
      <c r="AL1660" t="s">
        <v>3738</v>
      </c>
      <c r="AN1660" t="s">
        <v>31</v>
      </c>
      <c r="AO1660">
        <v>0</v>
      </c>
      <c r="AS1660" t="s">
        <v>392</v>
      </c>
      <c r="AX1660" t="s">
        <v>31</v>
      </c>
      <c r="AY1660" t="s">
        <v>386</v>
      </c>
      <c r="AZ1660" t="s">
        <v>3739</v>
      </c>
      <c r="BF1660">
        <v>0</v>
      </c>
      <c r="BK1660" t="s">
        <v>31</v>
      </c>
      <c r="BS1660" t="s">
        <v>379</v>
      </c>
      <c r="BT1660" t="s">
        <v>379</v>
      </c>
      <c r="CI1660" t="s">
        <v>388</v>
      </c>
      <c r="CJ1660" s="14">
        <v>45014</v>
      </c>
      <c r="CK1660">
        <v>1</v>
      </c>
    </row>
    <row r="1661" spans="1:89">
      <c r="A1661" t="s">
        <v>1415</v>
      </c>
      <c r="B1661" t="s">
        <v>374</v>
      </c>
      <c r="C1661" t="s">
        <v>1416</v>
      </c>
      <c r="D1661" t="s">
        <v>3740</v>
      </c>
      <c r="E1661" t="s">
        <v>3741</v>
      </c>
      <c r="F1661" s="13">
        <v>44529.445648148147</v>
      </c>
      <c r="G1661" t="s">
        <v>1418</v>
      </c>
      <c r="H1661" t="s">
        <v>1419</v>
      </c>
      <c r="I1661" s="13">
        <v>44544.575613425928</v>
      </c>
      <c r="K1661" t="s">
        <v>379</v>
      </c>
      <c r="M1661" s="13">
        <v>44561</v>
      </c>
      <c r="R1661">
        <v>100</v>
      </c>
      <c r="S1661" t="s">
        <v>380</v>
      </c>
      <c r="T1661" t="s">
        <v>57</v>
      </c>
      <c r="V1661" t="s">
        <v>381</v>
      </c>
      <c r="W1661" t="s">
        <v>3387</v>
      </c>
      <c r="X1661" t="s">
        <v>3387</v>
      </c>
      <c r="AF1661" t="s">
        <v>382</v>
      </c>
      <c r="AG1661" t="s">
        <v>3742</v>
      </c>
      <c r="AI1661">
        <v>17</v>
      </c>
      <c r="AL1661" t="s">
        <v>3743</v>
      </c>
      <c r="AN1661" t="s">
        <v>31</v>
      </c>
      <c r="AO1661">
        <v>0</v>
      </c>
      <c r="AS1661" t="s">
        <v>461</v>
      </c>
      <c r="AX1661" t="s">
        <v>31</v>
      </c>
      <c r="AY1661" t="s">
        <v>386</v>
      </c>
      <c r="AZ1661" t="s">
        <v>3744</v>
      </c>
      <c r="BF1661">
        <v>0</v>
      </c>
      <c r="BK1661" t="s">
        <v>31</v>
      </c>
      <c r="BS1661" t="s">
        <v>379</v>
      </c>
      <c r="BT1661" t="s">
        <v>379</v>
      </c>
      <c r="CI1661" t="s">
        <v>388</v>
      </c>
      <c r="CJ1661" s="14">
        <v>45014</v>
      </c>
      <c r="CK1661">
        <v>1</v>
      </c>
    </row>
    <row r="1662" spans="1:89">
      <c r="A1662" t="s">
        <v>1415</v>
      </c>
      <c r="B1662" t="s">
        <v>374</v>
      </c>
      <c r="C1662" t="s">
        <v>1416</v>
      </c>
      <c r="D1662" t="s">
        <v>3745</v>
      </c>
      <c r="E1662" t="s">
        <v>3746</v>
      </c>
      <c r="F1662" s="13">
        <v>44529.430960648147</v>
      </c>
      <c r="G1662" t="s">
        <v>1418</v>
      </c>
      <c r="H1662" t="s">
        <v>1419</v>
      </c>
      <c r="I1662" s="13">
        <v>44529.433958333335</v>
      </c>
      <c r="K1662" t="s">
        <v>409</v>
      </c>
      <c r="R1662">
        <v>0</v>
      </c>
      <c r="S1662" t="s">
        <v>380</v>
      </c>
      <c r="T1662" t="s">
        <v>57</v>
      </c>
      <c r="V1662" t="s">
        <v>381</v>
      </c>
      <c r="W1662" t="s">
        <v>3747</v>
      </c>
      <c r="X1662" t="s">
        <v>3747</v>
      </c>
      <c r="AI1662">
        <v>63</v>
      </c>
      <c r="AL1662" t="s">
        <v>3748</v>
      </c>
      <c r="AN1662" t="s">
        <v>31</v>
      </c>
      <c r="AO1662">
        <v>0</v>
      </c>
      <c r="AS1662" t="s">
        <v>385</v>
      </c>
      <c r="AX1662" t="s">
        <v>31</v>
      </c>
      <c r="AY1662" t="s">
        <v>386</v>
      </c>
      <c r="AZ1662" t="s">
        <v>3749</v>
      </c>
      <c r="BF1662">
        <v>0</v>
      </c>
      <c r="BK1662" t="s">
        <v>31</v>
      </c>
      <c r="BS1662" t="s">
        <v>409</v>
      </c>
      <c r="BT1662" t="s">
        <v>409</v>
      </c>
      <c r="CI1662" t="s">
        <v>388</v>
      </c>
      <c r="CJ1662" s="14">
        <v>45014</v>
      </c>
      <c r="CK1662">
        <v>1</v>
      </c>
    </row>
    <row r="1663" spans="1:89">
      <c r="A1663" t="s">
        <v>2267</v>
      </c>
      <c r="B1663" t="s">
        <v>374</v>
      </c>
      <c r="C1663" t="s">
        <v>2268</v>
      </c>
      <c r="D1663" t="s">
        <v>3750</v>
      </c>
      <c r="E1663" t="s">
        <v>3751</v>
      </c>
      <c r="F1663" s="13">
        <v>44529.413923611108</v>
      </c>
      <c r="G1663" t="s">
        <v>2271</v>
      </c>
      <c r="H1663" t="s">
        <v>2272</v>
      </c>
      <c r="I1663" s="13">
        <v>45012.043599537035</v>
      </c>
      <c r="K1663" t="s">
        <v>415</v>
      </c>
      <c r="M1663" s="13">
        <v>44645</v>
      </c>
      <c r="R1663">
        <v>95</v>
      </c>
      <c r="S1663" t="s">
        <v>380</v>
      </c>
      <c r="T1663" t="s">
        <v>57</v>
      </c>
      <c r="V1663" t="s">
        <v>478</v>
      </c>
      <c r="W1663" t="s">
        <v>3752</v>
      </c>
      <c r="X1663" t="s">
        <v>3752</v>
      </c>
      <c r="AF1663" t="s">
        <v>1301</v>
      </c>
      <c r="AG1663" t="s">
        <v>3753</v>
      </c>
      <c r="AI1663">
        <v>-367</v>
      </c>
      <c r="AL1663" t="s">
        <v>3754</v>
      </c>
      <c r="AN1663" t="s">
        <v>31</v>
      </c>
      <c r="AO1663">
        <v>0</v>
      </c>
      <c r="AS1663" t="s">
        <v>392</v>
      </c>
      <c r="AT1663" t="s">
        <v>31</v>
      </c>
      <c r="AX1663" t="s">
        <v>31</v>
      </c>
      <c r="AY1663" t="s">
        <v>442</v>
      </c>
      <c r="AZ1663" t="s">
        <v>3755</v>
      </c>
      <c r="BF1663">
        <v>0</v>
      </c>
      <c r="BK1663" t="s">
        <v>31</v>
      </c>
      <c r="BS1663" t="s">
        <v>484</v>
      </c>
      <c r="BT1663" t="s">
        <v>484</v>
      </c>
      <c r="CI1663" t="s">
        <v>388</v>
      </c>
      <c r="CJ1663" s="14">
        <v>45014</v>
      </c>
      <c r="CK1663">
        <v>1</v>
      </c>
    </row>
    <row r="1664" spans="1:89">
      <c r="A1664" t="s">
        <v>2267</v>
      </c>
      <c r="B1664" t="s">
        <v>374</v>
      </c>
      <c r="C1664" t="s">
        <v>2268</v>
      </c>
      <c r="D1664" t="s">
        <v>3756</v>
      </c>
      <c r="E1664" t="s">
        <v>3757</v>
      </c>
      <c r="F1664" s="13">
        <v>44529.400810185187</v>
      </c>
      <c r="G1664" t="s">
        <v>2271</v>
      </c>
      <c r="H1664" t="s">
        <v>2272</v>
      </c>
      <c r="I1664" s="13">
        <v>44715.499756944446</v>
      </c>
      <c r="K1664" t="s">
        <v>379</v>
      </c>
      <c r="M1664" s="13">
        <v>44530</v>
      </c>
      <c r="R1664">
        <v>100</v>
      </c>
      <c r="S1664" t="s">
        <v>380</v>
      </c>
      <c r="T1664" t="s">
        <v>57</v>
      </c>
      <c r="V1664" t="s">
        <v>478</v>
      </c>
      <c r="W1664" t="s">
        <v>3758</v>
      </c>
      <c r="X1664" t="s">
        <v>3758</v>
      </c>
      <c r="AF1664" t="s">
        <v>382</v>
      </c>
      <c r="AG1664" t="s">
        <v>3759</v>
      </c>
      <c r="AI1664">
        <v>-41</v>
      </c>
      <c r="AJ1664" s="13">
        <v>44571</v>
      </c>
      <c r="AL1664" t="s">
        <v>3760</v>
      </c>
      <c r="AN1664" t="s">
        <v>31</v>
      </c>
      <c r="AO1664">
        <v>0</v>
      </c>
      <c r="AR1664" t="s">
        <v>3761</v>
      </c>
      <c r="AS1664" t="s">
        <v>702</v>
      </c>
      <c r="AX1664" t="s">
        <v>31</v>
      </c>
      <c r="AY1664" t="s">
        <v>386</v>
      </c>
      <c r="AZ1664" t="s">
        <v>3762</v>
      </c>
      <c r="BF1664">
        <v>0</v>
      </c>
      <c r="BK1664" t="s">
        <v>31</v>
      </c>
      <c r="BS1664" t="s">
        <v>379</v>
      </c>
      <c r="BT1664" t="s">
        <v>379</v>
      </c>
      <c r="CI1664" t="s">
        <v>388</v>
      </c>
      <c r="CJ1664" s="14">
        <v>45014</v>
      </c>
      <c r="CK1664">
        <v>1</v>
      </c>
    </row>
    <row r="1665" spans="1:89">
      <c r="A1665" t="s">
        <v>1415</v>
      </c>
      <c r="B1665" t="s">
        <v>374</v>
      </c>
      <c r="C1665" t="s">
        <v>1416</v>
      </c>
      <c r="D1665" t="s">
        <v>3763</v>
      </c>
      <c r="E1665" t="s">
        <v>3764</v>
      </c>
      <c r="F1665" s="13">
        <v>44526.669270833336</v>
      </c>
      <c r="G1665" t="s">
        <v>1418</v>
      </c>
      <c r="H1665" t="s">
        <v>1419</v>
      </c>
      <c r="I1665" s="13">
        <v>45012.043599537035</v>
      </c>
      <c r="K1665" t="s">
        <v>415</v>
      </c>
      <c r="M1665" s="13">
        <v>44742</v>
      </c>
      <c r="R1665">
        <v>0</v>
      </c>
      <c r="S1665" t="s">
        <v>380</v>
      </c>
      <c r="T1665" t="s">
        <v>57</v>
      </c>
      <c r="V1665" t="s">
        <v>478</v>
      </c>
      <c r="W1665" t="s">
        <v>3701</v>
      </c>
      <c r="X1665" t="s">
        <v>3701</v>
      </c>
      <c r="AF1665" t="s">
        <v>451</v>
      </c>
      <c r="AI1665">
        <v>-270</v>
      </c>
      <c r="AL1665" t="s">
        <v>3765</v>
      </c>
      <c r="AN1665" t="s">
        <v>31</v>
      </c>
      <c r="AO1665">
        <v>0</v>
      </c>
      <c r="AS1665" t="s">
        <v>392</v>
      </c>
      <c r="AX1665" t="s">
        <v>31</v>
      </c>
      <c r="AY1665" t="s">
        <v>442</v>
      </c>
      <c r="AZ1665" t="s">
        <v>3766</v>
      </c>
      <c r="BF1665">
        <v>0</v>
      </c>
      <c r="BK1665" t="s">
        <v>31</v>
      </c>
      <c r="BS1665" t="s">
        <v>419</v>
      </c>
      <c r="BT1665" t="s">
        <v>419</v>
      </c>
      <c r="CI1665" t="s">
        <v>388</v>
      </c>
      <c r="CJ1665" s="14">
        <v>45014</v>
      </c>
      <c r="CK1665">
        <v>1</v>
      </c>
    </row>
    <row r="1666" spans="1:89">
      <c r="A1666" t="s">
        <v>1415</v>
      </c>
      <c r="B1666" t="s">
        <v>374</v>
      </c>
      <c r="C1666" t="s">
        <v>1416</v>
      </c>
      <c r="D1666" t="s">
        <v>3767</v>
      </c>
      <c r="E1666" t="s">
        <v>3768</v>
      </c>
      <c r="F1666" s="13">
        <v>44526.54210648148</v>
      </c>
      <c r="G1666" t="s">
        <v>1418</v>
      </c>
      <c r="H1666" t="s">
        <v>1419</v>
      </c>
      <c r="I1666" s="13">
        <v>44544.572581018518</v>
      </c>
      <c r="K1666" t="s">
        <v>379</v>
      </c>
      <c r="M1666" s="13">
        <v>44561</v>
      </c>
      <c r="R1666">
        <v>100</v>
      </c>
      <c r="S1666" t="s">
        <v>380</v>
      </c>
      <c r="T1666" t="s">
        <v>57</v>
      </c>
      <c r="V1666" t="s">
        <v>381</v>
      </c>
      <c r="W1666" t="s">
        <v>3769</v>
      </c>
      <c r="X1666" t="s">
        <v>3769</v>
      </c>
      <c r="AF1666" t="s">
        <v>382</v>
      </c>
      <c r="AG1666" t="s">
        <v>3770</v>
      </c>
      <c r="AI1666">
        <v>17</v>
      </c>
      <c r="AL1666" t="s">
        <v>3771</v>
      </c>
      <c r="AN1666" t="s">
        <v>31</v>
      </c>
      <c r="AO1666">
        <v>0</v>
      </c>
      <c r="AS1666" t="s">
        <v>461</v>
      </c>
      <c r="AX1666" t="s">
        <v>31</v>
      </c>
      <c r="AY1666" t="s">
        <v>386</v>
      </c>
      <c r="AZ1666" t="s">
        <v>3772</v>
      </c>
      <c r="BF1666">
        <v>0</v>
      </c>
      <c r="BK1666" t="s">
        <v>31</v>
      </c>
      <c r="BS1666" t="s">
        <v>379</v>
      </c>
      <c r="BT1666" t="s">
        <v>379</v>
      </c>
      <c r="CI1666" t="s">
        <v>388</v>
      </c>
      <c r="CJ1666" s="14">
        <v>45014</v>
      </c>
      <c r="CK1666">
        <v>1</v>
      </c>
    </row>
    <row r="1667" spans="1:89">
      <c r="A1667" t="s">
        <v>1415</v>
      </c>
      <c r="B1667" t="s">
        <v>374</v>
      </c>
      <c r="C1667" t="s">
        <v>1416</v>
      </c>
      <c r="D1667" t="s">
        <v>3773</v>
      </c>
      <c r="E1667" t="s">
        <v>3774</v>
      </c>
      <c r="F1667" s="13">
        <v>44526.491319444445</v>
      </c>
      <c r="G1667" t="s">
        <v>1418</v>
      </c>
      <c r="H1667" t="s">
        <v>1419</v>
      </c>
      <c r="I1667" s="13">
        <v>44544.560127314813</v>
      </c>
      <c r="K1667" t="s">
        <v>379</v>
      </c>
      <c r="M1667" s="13">
        <v>44561</v>
      </c>
      <c r="R1667">
        <v>100</v>
      </c>
      <c r="S1667" t="s">
        <v>380</v>
      </c>
      <c r="T1667" t="s">
        <v>57</v>
      </c>
      <c r="V1667" t="s">
        <v>381</v>
      </c>
      <c r="W1667" t="s">
        <v>3769</v>
      </c>
      <c r="X1667" t="s">
        <v>3769</v>
      </c>
      <c r="AF1667" t="s">
        <v>382</v>
      </c>
      <c r="AG1667" t="s">
        <v>3775</v>
      </c>
      <c r="AI1667">
        <v>17</v>
      </c>
      <c r="AL1667" t="s">
        <v>3776</v>
      </c>
      <c r="AN1667" t="s">
        <v>31</v>
      </c>
      <c r="AO1667">
        <v>0</v>
      </c>
      <c r="AS1667" t="s">
        <v>702</v>
      </c>
      <c r="AX1667" t="s">
        <v>31</v>
      </c>
      <c r="AY1667" t="s">
        <v>386</v>
      </c>
      <c r="AZ1667" t="s">
        <v>3777</v>
      </c>
      <c r="BF1667">
        <v>0</v>
      </c>
      <c r="BK1667" t="s">
        <v>31</v>
      </c>
      <c r="BS1667" t="s">
        <v>379</v>
      </c>
      <c r="BT1667" t="s">
        <v>379</v>
      </c>
      <c r="CI1667" t="s">
        <v>388</v>
      </c>
      <c r="CJ1667" s="14">
        <v>45014</v>
      </c>
      <c r="CK1667">
        <v>1</v>
      </c>
    </row>
    <row r="1668" spans="1:89">
      <c r="A1668" t="s">
        <v>1415</v>
      </c>
      <c r="B1668" t="s">
        <v>374</v>
      </c>
      <c r="C1668" t="s">
        <v>1416</v>
      </c>
      <c r="D1668" t="s">
        <v>3778</v>
      </c>
      <c r="E1668" t="s">
        <v>3779</v>
      </c>
      <c r="F1668" s="13">
        <v>44524.658634259256</v>
      </c>
      <c r="G1668" t="s">
        <v>1418</v>
      </c>
      <c r="H1668" t="s">
        <v>1419</v>
      </c>
      <c r="I1668" s="13">
        <v>44529.661574074074</v>
      </c>
      <c r="K1668" t="s">
        <v>379</v>
      </c>
      <c r="M1668" s="13">
        <v>44530</v>
      </c>
      <c r="R1668">
        <v>100</v>
      </c>
      <c r="S1668" t="s">
        <v>416</v>
      </c>
      <c r="T1668" t="s">
        <v>57</v>
      </c>
      <c r="V1668" t="s">
        <v>381</v>
      </c>
      <c r="W1668" t="s">
        <v>3736</v>
      </c>
      <c r="X1668" t="s">
        <v>3736</v>
      </c>
      <c r="AF1668" t="s">
        <v>382</v>
      </c>
      <c r="AG1668" t="s">
        <v>3780</v>
      </c>
      <c r="AI1668">
        <v>1</v>
      </c>
      <c r="AL1668" t="s">
        <v>3738</v>
      </c>
      <c r="AM1668">
        <v>1</v>
      </c>
      <c r="AN1668" t="s">
        <v>31</v>
      </c>
      <c r="AO1668">
        <v>0</v>
      </c>
      <c r="AS1668" t="s">
        <v>1720</v>
      </c>
      <c r="AX1668" t="s">
        <v>31</v>
      </c>
      <c r="AY1668" t="s">
        <v>386</v>
      </c>
      <c r="AZ1668" t="s">
        <v>3781</v>
      </c>
      <c r="BF1668">
        <v>0</v>
      </c>
      <c r="BK1668" t="s">
        <v>31</v>
      </c>
      <c r="BS1668" t="s">
        <v>379</v>
      </c>
      <c r="BT1668" t="s">
        <v>379</v>
      </c>
      <c r="CI1668" t="s">
        <v>388</v>
      </c>
      <c r="CJ1668" s="14">
        <v>45014</v>
      </c>
      <c r="CK1668">
        <v>1</v>
      </c>
    </row>
    <row r="1669" spans="1:89">
      <c r="A1669" t="s">
        <v>3782</v>
      </c>
      <c r="B1669" t="s">
        <v>374</v>
      </c>
      <c r="C1669" t="s">
        <v>3783</v>
      </c>
      <c r="D1669" t="s">
        <v>3784</v>
      </c>
      <c r="E1669" t="s">
        <v>3785</v>
      </c>
      <c r="F1669" s="13">
        <v>44524.604131944441</v>
      </c>
      <c r="G1669" t="s">
        <v>2271</v>
      </c>
      <c r="H1669" t="s">
        <v>2272</v>
      </c>
      <c r="I1669" s="13">
        <v>44543.440949074073</v>
      </c>
      <c r="K1669" t="s">
        <v>379</v>
      </c>
      <c r="M1669" s="13">
        <v>44545</v>
      </c>
      <c r="R1669">
        <v>100</v>
      </c>
      <c r="S1669" t="s">
        <v>380</v>
      </c>
      <c r="T1669" t="s">
        <v>57</v>
      </c>
      <c r="V1669" t="s">
        <v>381</v>
      </c>
      <c r="W1669" t="s">
        <v>3786</v>
      </c>
      <c r="X1669" t="s">
        <v>3786</v>
      </c>
      <c r="AF1669" t="s">
        <v>382</v>
      </c>
      <c r="AG1669" t="s">
        <v>3787</v>
      </c>
      <c r="AI1669">
        <v>2</v>
      </c>
      <c r="AL1669" t="s">
        <v>3788</v>
      </c>
      <c r="AN1669" t="s">
        <v>31</v>
      </c>
      <c r="AO1669">
        <v>0</v>
      </c>
      <c r="AS1669" t="s">
        <v>702</v>
      </c>
      <c r="AX1669" t="s">
        <v>57</v>
      </c>
      <c r="AY1669" t="s">
        <v>442</v>
      </c>
      <c r="AZ1669" t="s">
        <v>3789</v>
      </c>
      <c r="BE1669" t="s">
        <v>3790</v>
      </c>
      <c r="BF1669">
        <v>0</v>
      </c>
      <c r="BK1669" t="s">
        <v>31</v>
      </c>
      <c r="BS1669" t="s">
        <v>379</v>
      </c>
      <c r="BT1669" t="s">
        <v>379</v>
      </c>
      <c r="CI1669" t="s">
        <v>388</v>
      </c>
      <c r="CJ1669" s="14">
        <v>45014</v>
      </c>
      <c r="CK1669">
        <v>1</v>
      </c>
    </row>
    <row r="1670" spans="1:89">
      <c r="A1670" t="s">
        <v>2502</v>
      </c>
      <c r="B1670" t="s">
        <v>374</v>
      </c>
      <c r="C1670" t="s">
        <v>2503</v>
      </c>
      <c r="D1670" t="s">
        <v>3791</v>
      </c>
      <c r="E1670" t="s">
        <v>3792</v>
      </c>
      <c r="F1670" s="13">
        <v>44518.478993055556</v>
      </c>
      <c r="G1670" t="s">
        <v>2506</v>
      </c>
      <c r="H1670" t="s">
        <v>2507</v>
      </c>
      <c r="I1670" s="13">
        <v>44518.479942129627</v>
      </c>
      <c r="K1670" t="s">
        <v>412</v>
      </c>
      <c r="R1670">
        <v>0</v>
      </c>
      <c r="S1670" t="s">
        <v>380</v>
      </c>
      <c r="T1670" t="s">
        <v>57</v>
      </c>
      <c r="V1670" t="s">
        <v>381</v>
      </c>
      <c r="W1670" t="s">
        <v>3793</v>
      </c>
      <c r="X1670" t="s">
        <v>3793</v>
      </c>
      <c r="AC1670" s="13">
        <v>44651</v>
      </c>
      <c r="AD1670" s="13">
        <v>44651</v>
      </c>
      <c r="AI1670">
        <v>133</v>
      </c>
      <c r="AL1670" t="s">
        <v>3794</v>
      </c>
      <c r="AN1670" t="s">
        <v>31</v>
      </c>
      <c r="AO1670">
        <v>0</v>
      </c>
      <c r="AS1670" t="s">
        <v>385</v>
      </c>
      <c r="AX1670" t="s">
        <v>31</v>
      </c>
      <c r="AY1670" t="s">
        <v>442</v>
      </c>
      <c r="AZ1670" t="s">
        <v>3795</v>
      </c>
      <c r="BF1670">
        <v>0</v>
      </c>
      <c r="BK1670" t="s">
        <v>31</v>
      </c>
      <c r="BS1670" t="s">
        <v>412</v>
      </c>
      <c r="BT1670" t="s">
        <v>412</v>
      </c>
      <c r="CI1670" t="s">
        <v>388</v>
      </c>
      <c r="CJ1670" s="14">
        <v>45014</v>
      </c>
      <c r="CK1670">
        <v>1</v>
      </c>
    </row>
    <row r="1671" spans="1:89">
      <c r="A1671" t="s">
        <v>2227</v>
      </c>
      <c r="B1671" t="s">
        <v>374</v>
      </c>
      <c r="C1671" t="s">
        <v>2228</v>
      </c>
      <c r="D1671" t="s">
        <v>3796</v>
      </c>
      <c r="E1671" t="s">
        <v>3797</v>
      </c>
      <c r="F1671" s="13">
        <v>44516.551932870374</v>
      </c>
      <c r="G1671" t="s">
        <v>2231</v>
      </c>
      <c r="H1671" t="s">
        <v>2232</v>
      </c>
      <c r="I1671" s="13">
        <v>44972.596226851849</v>
      </c>
      <c r="K1671" t="s">
        <v>379</v>
      </c>
      <c r="M1671" s="13">
        <v>44606</v>
      </c>
      <c r="R1671">
        <v>100</v>
      </c>
      <c r="S1671" t="s">
        <v>416</v>
      </c>
      <c r="T1671" t="s">
        <v>57</v>
      </c>
      <c r="V1671" t="s">
        <v>478</v>
      </c>
      <c r="W1671" t="s">
        <v>2233</v>
      </c>
      <c r="X1671" t="s">
        <v>2233</v>
      </c>
      <c r="Y1671" t="s">
        <v>480</v>
      </c>
      <c r="AF1671" t="s">
        <v>382</v>
      </c>
      <c r="AG1671" t="s">
        <v>3798</v>
      </c>
      <c r="AI1671">
        <v>-14</v>
      </c>
      <c r="AL1671" t="s">
        <v>2518</v>
      </c>
      <c r="AM1671">
        <v>1</v>
      </c>
      <c r="AN1671" t="s">
        <v>31</v>
      </c>
      <c r="AO1671">
        <v>0</v>
      </c>
      <c r="AS1671" t="s">
        <v>385</v>
      </c>
      <c r="AX1671" t="s">
        <v>31</v>
      </c>
      <c r="AY1671" t="s">
        <v>442</v>
      </c>
      <c r="AZ1671" t="s">
        <v>3799</v>
      </c>
      <c r="BE1671" t="s">
        <v>1404</v>
      </c>
      <c r="BF1671">
        <v>0</v>
      </c>
      <c r="BK1671" t="s">
        <v>31</v>
      </c>
      <c r="BS1671" t="s">
        <v>379</v>
      </c>
      <c r="BT1671" t="s">
        <v>379</v>
      </c>
      <c r="CI1671" t="s">
        <v>388</v>
      </c>
      <c r="CJ1671" s="14">
        <v>45014</v>
      </c>
      <c r="CK1671">
        <v>1</v>
      </c>
    </row>
    <row r="1672" spans="1:89">
      <c r="A1672" t="s">
        <v>2227</v>
      </c>
      <c r="B1672" t="s">
        <v>374</v>
      </c>
      <c r="C1672" t="s">
        <v>2228</v>
      </c>
      <c r="D1672" t="s">
        <v>3800</v>
      </c>
      <c r="E1672" t="s">
        <v>3801</v>
      </c>
      <c r="F1672" s="13">
        <v>44516.431805555556</v>
      </c>
      <c r="G1672" t="s">
        <v>2231</v>
      </c>
      <c r="H1672" t="s">
        <v>2232</v>
      </c>
      <c r="I1672" s="13">
        <v>44972.596226851849</v>
      </c>
      <c r="K1672" t="s">
        <v>379</v>
      </c>
      <c r="M1672" s="13">
        <v>44592</v>
      </c>
      <c r="R1672">
        <v>100</v>
      </c>
      <c r="S1672" t="s">
        <v>416</v>
      </c>
      <c r="T1672" t="s">
        <v>57</v>
      </c>
      <c r="V1672" t="s">
        <v>381</v>
      </c>
      <c r="W1672" t="s">
        <v>2233</v>
      </c>
      <c r="X1672" t="s">
        <v>2233</v>
      </c>
      <c r="AF1672" t="s">
        <v>382</v>
      </c>
      <c r="AG1672" t="s">
        <v>3802</v>
      </c>
      <c r="AI1672">
        <v>3</v>
      </c>
      <c r="AL1672" t="s">
        <v>3521</v>
      </c>
      <c r="AM1672">
        <v>1</v>
      </c>
      <c r="AN1672" t="s">
        <v>31</v>
      </c>
      <c r="AO1672">
        <v>0</v>
      </c>
      <c r="AS1672" t="s">
        <v>385</v>
      </c>
      <c r="AX1672" t="s">
        <v>31</v>
      </c>
      <c r="AY1672" t="s">
        <v>442</v>
      </c>
      <c r="AZ1672" t="s">
        <v>3522</v>
      </c>
      <c r="BE1672" t="s">
        <v>1404</v>
      </c>
      <c r="BF1672">
        <v>0</v>
      </c>
      <c r="BK1672" t="s">
        <v>31</v>
      </c>
      <c r="BS1672" t="s">
        <v>379</v>
      </c>
      <c r="BT1672" t="s">
        <v>379</v>
      </c>
      <c r="CI1672" t="s">
        <v>388</v>
      </c>
      <c r="CJ1672" s="14">
        <v>45014</v>
      </c>
      <c r="CK1672">
        <v>1</v>
      </c>
    </row>
    <row r="1673" spans="1:89">
      <c r="A1673" t="s">
        <v>2227</v>
      </c>
      <c r="B1673" t="s">
        <v>374</v>
      </c>
      <c r="C1673" t="s">
        <v>2228</v>
      </c>
      <c r="D1673" t="s">
        <v>3803</v>
      </c>
      <c r="E1673" t="s">
        <v>3804</v>
      </c>
      <c r="F1673" s="13">
        <v>44516.40116898148</v>
      </c>
      <c r="G1673" t="s">
        <v>2231</v>
      </c>
      <c r="H1673" t="s">
        <v>2232</v>
      </c>
      <c r="I1673" s="13">
        <v>44972.596226851849</v>
      </c>
      <c r="K1673" t="s">
        <v>379</v>
      </c>
      <c r="M1673" s="13">
        <v>44561</v>
      </c>
      <c r="R1673">
        <v>100</v>
      </c>
      <c r="S1673" t="s">
        <v>416</v>
      </c>
      <c r="T1673" t="s">
        <v>57</v>
      </c>
      <c r="V1673" t="s">
        <v>478</v>
      </c>
      <c r="W1673" t="s">
        <v>3528</v>
      </c>
      <c r="X1673" t="s">
        <v>3528</v>
      </c>
      <c r="AE1673" t="s">
        <v>3805</v>
      </c>
      <c r="AF1673" t="s">
        <v>382</v>
      </c>
      <c r="AG1673" t="s">
        <v>3806</v>
      </c>
      <c r="AI1673">
        <v>-40</v>
      </c>
      <c r="AJ1673" s="13">
        <v>44592</v>
      </c>
      <c r="AL1673" t="s">
        <v>3530</v>
      </c>
      <c r="AM1673">
        <v>1</v>
      </c>
      <c r="AN1673" t="s">
        <v>31</v>
      </c>
      <c r="AO1673">
        <v>0</v>
      </c>
      <c r="AR1673" t="s">
        <v>3806</v>
      </c>
      <c r="AS1673" t="s">
        <v>385</v>
      </c>
      <c r="AX1673" t="s">
        <v>31</v>
      </c>
      <c r="AY1673" t="s">
        <v>442</v>
      </c>
      <c r="AZ1673" t="s">
        <v>3532</v>
      </c>
      <c r="BE1673" t="s">
        <v>1404</v>
      </c>
      <c r="BF1673">
        <v>0</v>
      </c>
      <c r="BK1673" t="s">
        <v>31</v>
      </c>
      <c r="BS1673" t="s">
        <v>379</v>
      </c>
      <c r="BT1673" t="s">
        <v>379</v>
      </c>
      <c r="CI1673" t="s">
        <v>388</v>
      </c>
      <c r="CJ1673" s="14">
        <v>45014</v>
      </c>
      <c r="CK1673">
        <v>1</v>
      </c>
    </row>
    <row r="1674" spans="1:89">
      <c r="A1674" t="s">
        <v>1497</v>
      </c>
      <c r="B1674" t="s">
        <v>374</v>
      </c>
      <c r="C1674" t="s">
        <v>1498</v>
      </c>
      <c r="D1674" t="s">
        <v>3807</v>
      </c>
      <c r="E1674" t="s">
        <v>3808</v>
      </c>
      <c r="F1674" s="13">
        <v>44503.556354166663</v>
      </c>
      <c r="G1674" t="s">
        <v>1501</v>
      </c>
      <c r="H1674" t="s">
        <v>1502</v>
      </c>
      <c r="I1674" s="13">
        <v>45012.043599537035</v>
      </c>
      <c r="K1674" t="s">
        <v>415</v>
      </c>
      <c r="M1674" s="13">
        <v>44895</v>
      </c>
      <c r="R1674">
        <v>0</v>
      </c>
      <c r="S1674" t="s">
        <v>380</v>
      </c>
      <c r="T1674" t="s">
        <v>57</v>
      </c>
      <c r="V1674" t="s">
        <v>478</v>
      </c>
      <c r="W1674" t="s">
        <v>1684</v>
      </c>
      <c r="X1674" t="s">
        <v>1684</v>
      </c>
      <c r="AF1674" t="s">
        <v>451</v>
      </c>
      <c r="AI1674">
        <v>-117</v>
      </c>
      <c r="AL1674" t="s">
        <v>3809</v>
      </c>
      <c r="AN1674" t="s">
        <v>57</v>
      </c>
      <c r="AO1674">
        <v>0</v>
      </c>
      <c r="AS1674" t="s">
        <v>392</v>
      </c>
      <c r="AX1674" t="s">
        <v>57</v>
      </c>
      <c r="AY1674" t="s">
        <v>442</v>
      </c>
      <c r="AZ1674" t="s">
        <v>3810</v>
      </c>
      <c r="BF1674">
        <v>0</v>
      </c>
      <c r="BK1674" t="s">
        <v>31</v>
      </c>
      <c r="BS1674" t="s">
        <v>419</v>
      </c>
      <c r="BT1674" t="s">
        <v>419</v>
      </c>
      <c r="CI1674" t="s">
        <v>388</v>
      </c>
      <c r="CJ1674" s="14">
        <v>45014</v>
      </c>
      <c r="CK1674">
        <v>1</v>
      </c>
    </row>
    <row r="1675" spans="1:89">
      <c r="A1675" t="s">
        <v>2227</v>
      </c>
      <c r="B1675" t="s">
        <v>374</v>
      </c>
      <c r="C1675" t="s">
        <v>2228</v>
      </c>
      <c r="D1675" t="s">
        <v>3811</v>
      </c>
      <c r="E1675" t="s">
        <v>3812</v>
      </c>
      <c r="F1675" s="13">
        <v>44503.398298611108</v>
      </c>
      <c r="G1675" t="s">
        <v>2231</v>
      </c>
      <c r="H1675" t="s">
        <v>2232</v>
      </c>
      <c r="I1675" s="13">
        <v>45012.043599537035</v>
      </c>
      <c r="K1675" t="s">
        <v>415</v>
      </c>
      <c r="M1675" s="13">
        <v>44666</v>
      </c>
      <c r="R1675">
        <v>0</v>
      </c>
      <c r="S1675" t="s">
        <v>380</v>
      </c>
      <c r="T1675" t="s">
        <v>57</v>
      </c>
      <c r="V1675" t="s">
        <v>478</v>
      </c>
      <c r="W1675" t="s">
        <v>3528</v>
      </c>
      <c r="X1675" t="s">
        <v>3528</v>
      </c>
      <c r="AF1675" t="s">
        <v>451</v>
      </c>
      <c r="AG1675" t="s">
        <v>3813</v>
      </c>
      <c r="AI1675">
        <v>-346</v>
      </c>
      <c r="AL1675" t="s">
        <v>3814</v>
      </c>
      <c r="AN1675" t="s">
        <v>31</v>
      </c>
      <c r="AO1675">
        <v>0</v>
      </c>
      <c r="AS1675" t="s">
        <v>385</v>
      </c>
      <c r="AX1675" t="s">
        <v>31</v>
      </c>
      <c r="AY1675" t="s">
        <v>386</v>
      </c>
      <c r="AZ1675" t="s">
        <v>3815</v>
      </c>
      <c r="BF1675">
        <v>0</v>
      </c>
      <c r="BK1675" t="s">
        <v>31</v>
      </c>
      <c r="BS1675" t="s">
        <v>419</v>
      </c>
      <c r="BT1675" t="s">
        <v>419</v>
      </c>
      <c r="CI1675" t="s">
        <v>388</v>
      </c>
      <c r="CJ1675" s="14">
        <v>45014</v>
      </c>
      <c r="CK1675">
        <v>1</v>
      </c>
    </row>
    <row r="1676" spans="1:89">
      <c r="A1676" t="s">
        <v>2502</v>
      </c>
      <c r="B1676" t="s">
        <v>374</v>
      </c>
      <c r="C1676" t="s">
        <v>2503</v>
      </c>
      <c r="D1676" t="s">
        <v>3816</v>
      </c>
      <c r="E1676" t="s">
        <v>3817</v>
      </c>
      <c r="F1676" s="13">
        <v>44502.819351851853</v>
      </c>
      <c r="G1676" t="s">
        <v>2506</v>
      </c>
      <c r="H1676" t="s">
        <v>2507</v>
      </c>
      <c r="I1676" s="13">
        <v>44524.765069444446</v>
      </c>
      <c r="K1676" t="s">
        <v>379</v>
      </c>
      <c r="M1676" s="13">
        <v>44505</v>
      </c>
      <c r="R1676">
        <v>100</v>
      </c>
      <c r="S1676" t="s">
        <v>380</v>
      </c>
      <c r="T1676" t="s">
        <v>57</v>
      </c>
      <c r="V1676" t="s">
        <v>381</v>
      </c>
      <c r="W1676" t="s">
        <v>3793</v>
      </c>
      <c r="X1676" t="s">
        <v>3793</v>
      </c>
      <c r="AC1676" s="13">
        <v>44505</v>
      </c>
      <c r="AD1676" s="13">
        <v>44505</v>
      </c>
      <c r="AF1676" t="s">
        <v>382</v>
      </c>
      <c r="AG1676" t="s">
        <v>3818</v>
      </c>
      <c r="AI1676">
        <v>-19</v>
      </c>
      <c r="AL1676" t="s">
        <v>3819</v>
      </c>
      <c r="AN1676" t="s">
        <v>31</v>
      </c>
      <c r="AO1676">
        <v>0</v>
      </c>
      <c r="AS1676" t="s">
        <v>730</v>
      </c>
      <c r="AX1676" t="s">
        <v>57</v>
      </c>
      <c r="AY1676" t="s">
        <v>386</v>
      </c>
      <c r="AZ1676" t="s">
        <v>3820</v>
      </c>
      <c r="BF1676">
        <v>0</v>
      </c>
      <c r="BK1676" t="s">
        <v>31</v>
      </c>
      <c r="BS1676" t="s">
        <v>379</v>
      </c>
      <c r="BT1676" t="s">
        <v>379</v>
      </c>
      <c r="CI1676" t="s">
        <v>388</v>
      </c>
      <c r="CJ1676" s="14">
        <v>45014</v>
      </c>
      <c r="CK1676">
        <v>1</v>
      </c>
    </row>
    <row r="1677" spans="1:89">
      <c r="A1677" t="s">
        <v>1415</v>
      </c>
      <c r="B1677" t="s">
        <v>374</v>
      </c>
      <c r="C1677" t="s">
        <v>1416</v>
      </c>
      <c r="D1677" t="s">
        <v>3821</v>
      </c>
      <c r="E1677" t="s">
        <v>3822</v>
      </c>
      <c r="F1677" s="13">
        <v>44502.636817129627</v>
      </c>
      <c r="G1677" t="s">
        <v>1418</v>
      </c>
      <c r="H1677" t="s">
        <v>1419</v>
      </c>
      <c r="I1677" s="13">
        <v>45012.043587962966</v>
      </c>
      <c r="K1677" t="s">
        <v>415</v>
      </c>
      <c r="M1677" s="13">
        <v>44651</v>
      </c>
      <c r="R1677">
        <v>0</v>
      </c>
      <c r="S1677" t="s">
        <v>380</v>
      </c>
      <c r="T1677" t="s">
        <v>57</v>
      </c>
      <c r="V1677" t="s">
        <v>478</v>
      </c>
      <c r="W1677" t="s">
        <v>3823</v>
      </c>
      <c r="X1677" t="s">
        <v>3823</v>
      </c>
      <c r="AF1677" t="s">
        <v>451</v>
      </c>
      <c r="AI1677">
        <v>-361</v>
      </c>
      <c r="AL1677" t="s">
        <v>3824</v>
      </c>
      <c r="AN1677" t="s">
        <v>57</v>
      </c>
      <c r="AO1677">
        <v>0</v>
      </c>
      <c r="AS1677" t="s">
        <v>392</v>
      </c>
      <c r="AX1677" t="s">
        <v>57</v>
      </c>
      <c r="AY1677" t="s">
        <v>442</v>
      </c>
      <c r="AZ1677" t="s">
        <v>3825</v>
      </c>
      <c r="BF1677">
        <v>0</v>
      </c>
      <c r="BK1677" t="s">
        <v>31</v>
      </c>
      <c r="BS1677" t="s">
        <v>419</v>
      </c>
      <c r="BT1677" t="s">
        <v>419</v>
      </c>
      <c r="CI1677" t="s">
        <v>388</v>
      </c>
      <c r="CJ1677" s="14">
        <v>45014</v>
      </c>
      <c r="CK1677">
        <v>1</v>
      </c>
    </row>
    <row r="1678" spans="1:89">
      <c r="A1678" t="s">
        <v>2121</v>
      </c>
      <c r="B1678" t="s">
        <v>374</v>
      </c>
      <c r="C1678" t="s">
        <v>2122</v>
      </c>
      <c r="D1678" t="s">
        <v>3826</v>
      </c>
      <c r="E1678" t="s">
        <v>3827</v>
      </c>
      <c r="F1678" s="13">
        <v>44498.655023148145</v>
      </c>
      <c r="G1678" t="s">
        <v>1501</v>
      </c>
      <c r="H1678" t="s">
        <v>1502</v>
      </c>
      <c r="I1678" s="13">
        <v>44509.620266203703</v>
      </c>
      <c r="K1678" t="s">
        <v>379</v>
      </c>
      <c r="M1678" s="13">
        <v>44502</v>
      </c>
      <c r="R1678">
        <v>100</v>
      </c>
      <c r="S1678" t="s">
        <v>380</v>
      </c>
      <c r="T1678" t="s">
        <v>57</v>
      </c>
      <c r="V1678" t="s">
        <v>478</v>
      </c>
      <c r="W1678" t="s">
        <v>3828</v>
      </c>
      <c r="X1678" t="s">
        <v>3828</v>
      </c>
      <c r="AF1678" t="s">
        <v>382</v>
      </c>
      <c r="AG1678" t="s">
        <v>3829</v>
      </c>
      <c r="AI1678">
        <v>-7</v>
      </c>
      <c r="AJ1678" s="13">
        <v>44512</v>
      </c>
      <c r="AL1678" t="s">
        <v>3830</v>
      </c>
      <c r="AN1678" t="s">
        <v>31</v>
      </c>
      <c r="AO1678">
        <v>0</v>
      </c>
      <c r="AR1678" t="s">
        <v>3831</v>
      </c>
      <c r="AS1678" t="s">
        <v>385</v>
      </c>
      <c r="AX1678" t="s">
        <v>57</v>
      </c>
      <c r="AY1678" t="s">
        <v>386</v>
      </c>
      <c r="AZ1678" t="s">
        <v>3832</v>
      </c>
      <c r="BF1678">
        <v>0</v>
      </c>
      <c r="BK1678" t="s">
        <v>31</v>
      </c>
      <c r="BS1678" t="s">
        <v>379</v>
      </c>
      <c r="BT1678" t="s">
        <v>379</v>
      </c>
      <c r="CI1678" t="s">
        <v>388</v>
      </c>
      <c r="CJ1678" s="14">
        <v>45014</v>
      </c>
      <c r="CK1678">
        <v>1</v>
      </c>
    </row>
    <row r="1679" spans="1:89">
      <c r="A1679" t="s">
        <v>1497</v>
      </c>
      <c r="B1679" t="s">
        <v>374</v>
      </c>
      <c r="C1679" t="s">
        <v>1498</v>
      </c>
      <c r="D1679" t="s">
        <v>3833</v>
      </c>
      <c r="E1679" t="s">
        <v>3834</v>
      </c>
      <c r="F1679" s="13">
        <v>44495.703460648147</v>
      </c>
      <c r="G1679" t="s">
        <v>1501</v>
      </c>
      <c r="H1679" t="s">
        <v>1502</v>
      </c>
      <c r="I1679" s="13">
        <v>44587.395960648151</v>
      </c>
      <c r="K1679" t="s">
        <v>379</v>
      </c>
      <c r="M1679" s="13">
        <v>44498</v>
      </c>
      <c r="R1679">
        <v>100</v>
      </c>
      <c r="S1679" t="s">
        <v>380</v>
      </c>
      <c r="T1679" t="s">
        <v>57</v>
      </c>
      <c r="V1679" t="s">
        <v>478</v>
      </c>
      <c r="W1679" t="s">
        <v>3835</v>
      </c>
      <c r="X1679" t="s">
        <v>3835</v>
      </c>
      <c r="AB1679" t="s">
        <v>57</v>
      </c>
      <c r="AF1679" t="s">
        <v>382</v>
      </c>
      <c r="AG1679" t="s">
        <v>3836</v>
      </c>
      <c r="AI1679">
        <v>-89</v>
      </c>
      <c r="AJ1679" s="13">
        <v>44568</v>
      </c>
      <c r="AL1679" t="s">
        <v>3837</v>
      </c>
      <c r="AN1679" t="s">
        <v>57</v>
      </c>
      <c r="AO1679">
        <v>0</v>
      </c>
      <c r="AR1679" t="s">
        <v>3838</v>
      </c>
      <c r="AS1679" t="s">
        <v>392</v>
      </c>
      <c r="AX1679" t="s">
        <v>57</v>
      </c>
      <c r="AY1679" t="s">
        <v>386</v>
      </c>
      <c r="AZ1679" t="s">
        <v>3839</v>
      </c>
      <c r="BC1679" t="s">
        <v>480</v>
      </c>
      <c r="BD1679" t="s">
        <v>3840</v>
      </c>
      <c r="BF1679">
        <v>0</v>
      </c>
      <c r="BK1679" t="s">
        <v>31</v>
      </c>
      <c r="BS1679" t="s">
        <v>379</v>
      </c>
      <c r="BT1679" t="s">
        <v>379</v>
      </c>
      <c r="CC1679" t="s">
        <v>3841</v>
      </c>
      <c r="CI1679" t="s">
        <v>388</v>
      </c>
      <c r="CJ1679" s="14">
        <v>45014</v>
      </c>
      <c r="CK1679">
        <v>1</v>
      </c>
    </row>
    <row r="1680" spans="1:89">
      <c r="A1680" t="s">
        <v>1497</v>
      </c>
      <c r="B1680" t="s">
        <v>374</v>
      </c>
      <c r="C1680" t="s">
        <v>1498</v>
      </c>
      <c r="D1680" t="s">
        <v>3842</v>
      </c>
      <c r="E1680" t="s">
        <v>3843</v>
      </c>
      <c r="F1680" s="13">
        <v>44495.408101851855</v>
      </c>
      <c r="G1680" t="s">
        <v>1501</v>
      </c>
      <c r="H1680" t="s">
        <v>1502</v>
      </c>
      <c r="I1680" s="13">
        <v>45012.043587962966</v>
      </c>
      <c r="K1680" t="s">
        <v>415</v>
      </c>
      <c r="M1680" s="13">
        <v>44895</v>
      </c>
      <c r="R1680">
        <v>0</v>
      </c>
      <c r="S1680" t="s">
        <v>380</v>
      </c>
      <c r="T1680" t="s">
        <v>57</v>
      </c>
      <c r="V1680" t="s">
        <v>478</v>
      </c>
      <c r="W1680" t="s">
        <v>1684</v>
      </c>
      <c r="X1680" t="s">
        <v>1684</v>
      </c>
      <c r="AF1680" t="s">
        <v>451</v>
      </c>
      <c r="AI1680">
        <v>-117</v>
      </c>
      <c r="AL1680" t="s">
        <v>3844</v>
      </c>
      <c r="AN1680" t="s">
        <v>57</v>
      </c>
      <c r="AO1680">
        <v>0</v>
      </c>
      <c r="AS1680" t="s">
        <v>392</v>
      </c>
      <c r="AX1680" t="s">
        <v>57</v>
      </c>
      <c r="AY1680" t="s">
        <v>442</v>
      </c>
      <c r="AZ1680" t="s">
        <v>3845</v>
      </c>
      <c r="BF1680">
        <v>0</v>
      </c>
      <c r="BK1680" t="s">
        <v>31</v>
      </c>
      <c r="BS1680" t="s">
        <v>419</v>
      </c>
      <c r="BT1680" t="s">
        <v>419</v>
      </c>
      <c r="CI1680" t="s">
        <v>388</v>
      </c>
      <c r="CJ1680" s="14">
        <v>45014</v>
      </c>
      <c r="CK1680">
        <v>1</v>
      </c>
    </row>
    <row r="1681" spans="1:89">
      <c r="A1681" t="s">
        <v>1497</v>
      </c>
      <c r="B1681" t="s">
        <v>374</v>
      </c>
      <c r="C1681" t="s">
        <v>1498</v>
      </c>
      <c r="D1681" t="s">
        <v>3846</v>
      </c>
      <c r="E1681" t="s">
        <v>3847</v>
      </c>
      <c r="F1681" s="13">
        <v>44495.390868055554</v>
      </c>
      <c r="G1681" t="s">
        <v>1501</v>
      </c>
      <c r="H1681" t="s">
        <v>1502</v>
      </c>
      <c r="I1681" s="13">
        <v>45012.043587962966</v>
      </c>
      <c r="K1681" t="s">
        <v>415</v>
      </c>
      <c r="M1681" s="13">
        <v>44895</v>
      </c>
      <c r="R1681">
        <v>0</v>
      </c>
      <c r="S1681" t="s">
        <v>380</v>
      </c>
      <c r="T1681" t="s">
        <v>57</v>
      </c>
      <c r="V1681" t="s">
        <v>478</v>
      </c>
      <c r="W1681" t="s">
        <v>3848</v>
      </c>
      <c r="X1681" t="s">
        <v>3848</v>
      </c>
      <c r="AF1681" t="s">
        <v>451</v>
      </c>
      <c r="AI1681">
        <v>-117</v>
      </c>
      <c r="AL1681" t="s">
        <v>3849</v>
      </c>
      <c r="AN1681" t="s">
        <v>57</v>
      </c>
      <c r="AO1681">
        <v>0</v>
      </c>
      <c r="AS1681" t="s">
        <v>392</v>
      </c>
      <c r="AX1681" t="s">
        <v>57</v>
      </c>
      <c r="AY1681" t="s">
        <v>442</v>
      </c>
      <c r="AZ1681" t="s">
        <v>3850</v>
      </c>
      <c r="BF1681">
        <v>0</v>
      </c>
      <c r="BK1681" t="s">
        <v>31</v>
      </c>
      <c r="BS1681" t="s">
        <v>419</v>
      </c>
      <c r="BT1681" t="s">
        <v>419</v>
      </c>
      <c r="CI1681" t="s">
        <v>388</v>
      </c>
      <c r="CJ1681" s="14">
        <v>45014</v>
      </c>
      <c r="CK1681">
        <v>1</v>
      </c>
    </row>
    <row r="1682" spans="1:89">
      <c r="A1682" t="s">
        <v>1497</v>
      </c>
      <c r="B1682" t="s">
        <v>374</v>
      </c>
      <c r="C1682" t="s">
        <v>1498</v>
      </c>
      <c r="D1682" t="s">
        <v>3851</v>
      </c>
      <c r="E1682" t="s">
        <v>3852</v>
      </c>
      <c r="F1682" s="13">
        <v>44490.643877314818</v>
      </c>
      <c r="G1682" t="s">
        <v>1501</v>
      </c>
      <c r="H1682" t="s">
        <v>1502</v>
      </c>
      <c r="I1682" s="13">
        <v>44496.361898148149</v>
      </c>
      <c r="K1682" t="s">
        <v>379</v>
      </c>
      <c r="M1682" s="13">
        <v>44498</v>
      </c>
      <c r="R1682">
        <v>100</v>
      </c>
      <c r="S1682" t="s">
        <v>380</v>
      </c>
      <c r="T1682" t="s">
        <v>57</v>
      </c>
      <c r="V1682" t="s">
        <v>381</v>
      </c>
      <c r="W1682" t="s">
        <v>3853</v>
      </c>
      <c r="X1682" t="s">
        <v>3853</v>
      </c>
      <c r="AF1682" t="s">
        <v>382</v>
      </c>
      <c r="AG1682" t="s">
        <v>3854</v>
      </c>
      <c r="AI1682">
        <v>2</v>
      </c>
      <c r="AL1682" t="s">
        <v>3855</v>
      </c>
      <c r="AN1682" t="s">
        <v>31</v>
      </c>
      <c r="AO1682">
        <v>0</v>
      </c>
      <c r="AS1682" t="s">
        <v>385</v>
      </c>
      <c r="AX1682" t="s">
        <v>57</v>
      </c>
      <c r="AY1682" t="s">
        <v>386</v>
      </c>
      <c r="AZ1682" t="s">
        <v>3856</v>
      </c>
      <c r="BF1682">
        <v>0</v>
      </c>
      <c r="BK1682" t="s">
        <v>31</v>
      </c>
      <c r="BS1682" t="s">
        <v>379</v>
      </c>
      <c r="BT1682" t="s">
        <v>379</v>
      </c>
      <c r="CI1682" t="s">
        <v>388</v>
      </c>
      <c r="CJ1682" s="14">
        <v>45014</v>
      </c>
      <c r="CK1682">
        <v>1</v>
      </c>
    </row>
    <row r="1683" spans="1:89">
      <c r="A1683" t="s">
        <v>1497</v>
      </c>
      <c r="B1683" t="s">
        <v>374</v>
      </c>
      <c r="C1683" t="s">
        <v>1498</v>
      </c>
      <c r="D1683" t="s">
        <v>3857</v>
      </c>
      <c r="E1683" t="s">
        <v>3858</v>
      </c>
      <c r="F1683" s="13">
        <v>44490.597384259258</v>
      </c>
      <c r="G1683" t="s">
        <v>1501</v>
      </c>
      <c r="H1683" t="s">
        <v>1502</v>
      </c>
      <c r="I1683" s="13">
        <v>44529.599583333336</v>
      </c>
      <c r="K1683" t="s">
        <v>379</v>
      </c>
      <c r="M1683" s="13">
        <v>44498</v>
      </c>
      <c r="R1683">
        <v>100</v>
      </c>
      <c r="S1683" t="s">
        <v>416</v>
      </c>
      <c r="T1683" t="s">
        <v>57</v>
      </c>
      <c r="V1683" t="s">
        <v>478</v>
      </c>
      <c r="W1683" t="s">
        <v>3835</v>
      </c>
      <c r="X1683" t="s">
        <v>3835</v>
      </c>
      <c r="AF1683" t="s">
        <v>382</v>
      </c>
      <c r="AG1683" t="s">
        <v>3859</v>
      </c>
      <c r="AI1683">
        <v>-31</v>
      </c>
      <c r="AL1683" t="s">
        <v>3837</v>
      </c>
      <c r="AM1683">
        <v>1</v>
      </c>
      <c r="AN1683" t="s">
        <v>31</v>
      </c>
      <c r="AO1683">
        <v>0</v>
      </c>
      <c r="AS1683" t="s">
        <v>392</v>
      </c>
      <c r="AX1683" t="s">
        <v>57</v>
      </c>
      <c r="AY1683" t="s">
        <v>386</v>
      </c>
      <c r="AZ1683" t="s">
        <v>3860</v>
      </c>
      <c r="BF1683">
        <v>0</v>
      </c>
      <c r="BK1683" t="s">
        <v>31</v>
      </c>
      <c r="BS1683" t="s">
        <v>379</v>
      </c>
      <c r="BT1683" t="s">
        <v>379</v>
      </c>
      <c r="CI1683" t="s">
        <v>388</v>
      </c>
      <c r="CJ1683" s="14">
        <v>45014</v>
      </c>
      <c r="CK1683">
        <v>1</v>
      </c>
    </row>
    <row r="1684" spans="1:89">
      <c r="A1684" t="s">
        <v>1675</v>
      </c>
      <c r="B1684" t="s">
        <v>374</v>
      </c>
      <c r="C1684" t="s">
        <v>1676</v>
      </c>
      <c r="D1684" t="s">
        <v>3861</v>
      </c>
      <c r="E1684" t="s">
        <v>3862</v>
      </c>
      <c r="F1684" s="13">
        <v>44488.564467592594</v>
      </c>
      <c r="G1684" t="s">
        <v>1501</v>
      </c>
      <c r="H1684" t="s">
        <v>1502</v>
      </c>
      <c r="I1684" s="13">
        <v>45012.043587962966</v>
      </c>
      <c r="K1684" t="s">
        <v>415</v>
      </c>
      <c r="M1684" s="13">
        <v>44895</v>
      </c>
      <c r="R1684">
        <v>0</v>
      </c>
      <c r="S1684" t="s">
        <v>380</v>
      </c>
      <c r="T1684" t="s">
        <v>57</v>
      </c>
      <c r="V1684" t="s">
        <v>478</v>
      </c>
      <c r="W1684" t="s">
        <v>3863</v>
      </c>
      <c r="X1684" t="s">
        <v>3863</v>
      </c>
      <c r="AF1684" t="s">
        <v>451</v>
      </c>
      <c r="AI1684">
        <v>-117</v>
      </c>
      <c r="AL1684" t="s">
        <v>3864</v>
      </c>
      <c r="AN1684" t="s">
        <v>31</v>
      </c>
      <c r="AO1684">
        <v>0</v>
      </c>
      <c r="AS1684" t="s">
        <v>392</v>
      </c>
      <c r="AX1684" t="s">
        <v>57</v>
      </c>
      <c r="AY1684" t="s">
        <v>442</v>
      </c>
      <c r="AZ1684" t="s">
        <v>3865</v>
      </c>
      <c r="BF1684">
        <v>0</v>
      </c>
      <c r="BK1684" t="s">
        <v>31</v>
      </c>
      <c r="BS1684" t="s">
        <v>419</v>
      </c>
      <c r="BT1684" t="s">
        <v>419</v>
      </c>
      <c r="CI1684" t="s">
        <v>388</v>
      </c>
      <c r="CJ1684" s="14">
        <v>45014</v>
      </c>
      <c r="CK1684">
        <v>1</v>
      </c>
    </row>
    <row r="1685" spans="1:89">
      <c r="A1685" t="s">
        <v>1675</v>
      </c>
      <c r="B1685" t="s">
        <v>374</v>
      </c>
      <c r="C1685" t="s">
        <v>1676</v>
      </c>
      <c r="D1685" t="s">
        <v>3866</v>
      </c>
      <c r="E1685" t="s">
        <v>3867</v>
      </c>
      <c r="F1685" s="13">
        <v>44488.56009259259</v>
      </c>
      <c r="G1685" t="s">
        <v>1501</v>
      </c>
      <c r="H1685" t="s">
        <v>1502</v>
      </c>
      <c r="I1685" s="13">
        <v>45012.043576388889</v>
      </c>
      <c r="K1685" t="s">
        <v>415</v>
      </c>
      <c r="M1685" s="13">
        <v>44895</v>
      </c>
      <c r="R1685">
        <v>0</v>
      </c>
      <c r="S1685" t="s">
        <v>380</v>
      </c>
      <c r="T1685" t="s">
        <v>57</v>
      </c>
      <c r="V1685" t="s">
        <v>478</v>
      </c>
      <c r="W1685" t="s">
        <v>440</v>
      </c>
      <c r="X1685" t="s">
        <v>440</v>
      </c>
      <c r="AF1685" t="s">
        <v>451</v>
      </c>
      <c r="AI1685">
        <v>-117</v>
      </c>
      <c r="AL1685" t="s">
        <v>3864</v>
      </c>
      <c r="AN1685" t="s">
        <v>31</v>
      </c>
      <c r="AO1685">
        <v>0</v>
      </c>
      <c r="AS1685" t="s">
        <v>392</v>
      </c>
      <c r="AX1685" t="s">
        <v>57</v>
      </c>
      <c r="AY1685" t="s">
        <v>442</v>
      </c>
      <c r="AZ1685" t="s">
        <v>3868</v>
      </c>
      <c r="BF1685">
        <v>0</v>
      </c>
      <c r="BK1685" t="s">
        <v>31</v>
      </c>
      <c r="BS1685" t="s">
        <v>419</v>
      </c>
      <c r="BT1685" t="s">
        <v>419</v>
      </c>
      <c r="CI1685" t="s">
        <v>388</v>
      </c>
      <c r="CJ1685" s="14">
        <v>45014</v>
      </c>
      <c r="CK1685">
        <v>1</v>
      </c>
    </row>
    <row r="1686" spans="1:89">
      <c r="A1686" t="s">
        <v>1497</v>
      </c>
      <c r="B1686" t="s">
        <v>374</v>
      </c>
      <c r="C1686" t="s">
        <v>1498</v>
      </c>
      <c r="D1686" t="s">
        <v>3869</v>
      </c>
      <c r="E1686" t="s">
        <v>3870</v>
      </c>
      <c r="F1686" s="13">
        <v>44487.409502314818</v>
      </c>
      <c r="G1686" t="s">
        <v>1501</v>
      </c>
      <c r="H1686" t="s">
        <v>1502</v>
      </c>
      <c r="I1686" s="13">
        <v>45012.043576388889</v>
      </c>
      <c r="K1686" t="s">
        <v>415</v>
      </c>
      <c r="M1686" s="13">
        <v>44651</v>
      </c>
      <c r="R1686">
        <v>0</v>
      </c>
      <c r="S1686" t="s">
        <v>380</v>
      </c>
      <c r="T1686" t="s">
        <v>57</v>
      </c>
      <c r="V1686" t="s">
        <v>478</v>
      </c>
      <c r="W1686" t="s">
        <v>3871</v>
      </c>
      <c r="X1686" t="s">
        <v>3871</v>
      </c>
      <c r="AF1686" t="s">
        <v>451</v>
      </c>
      <c r="AI1686">
        <v>-361</v>
      </c>
      <c r="AL1686" t="s">
        <v>3872</v>
      </c>
      <c r="AN1686" t="s">
        <v>31</v>
      </c>
      <c r="AO1686">
        <v>0</v>
      </c>
      <c r="AS1686" t="s">
        <v>392</v>
      </c>
      <c r="AX1686" t="s">
        <v>57</v>
      </c>
      <c r="AY1686" t="s">
        <v>442</v>
      </c>
      <c r="AZ1686" t="s">
        <v>3873</v>
      </c>
      <c r="BF1686">
        <v>0</v>
      </c>
      <c r="BK1686" t="s">
        <v>31</v>
      </c>
      <c r="BS1686" t="s">
        <v>419</v>
      </c>
      <c r="BT1686" t="s">
        <v>419</v>
      </c>
      <c r="CI1686" t="s">
        <v>388</v>
      </c>
      <c r="CJ1686" s="14">
        <v>45014</v>
      </c>
      <c r="CK1686">
        <v>1</v>
      </c>
    </row>
    <row r="1687" spans="1:89">
      <c r="A1687" t="s">
        <v>1675</v>
      </c>
      <c r="B1687" t="s">
        <v>374</v>
      </c>
      <c r="C1687" t="s">
        <v>1676</v>
      </c>
      <c r="D1687" t="s">
        <v>3874</v>
      </c>
      <c r="E1687" t="s">
        <v>3875</v>
      </c>
      <c r="F1687" s="13">
        <v>44484.672638888886</v>
      </c>
      <c r="G1687" t="s">
        <v>1501</v>
      </c>
      <c r="H1687" t="s">
        <v>1502</v>
      </c>
      <c r="I1687" s="13">
        <v>45012.043576388889</v>
      </c>
      <c r="K1687" t="s">
        <v>415</v>
      </c>
      <c r="M1687" s="13">
        <v>44895</v>
      </c>
      <c r="R1687">
        <v>0</v>
      </c>
      <c r="S1687" t="s">
        <v>380</v>
      </c>
      <c r="T1687" t="s">
        <v>57</v>
      </c>
      <c r="V1687" t="s">
        <v>478</v>
      </c>
      <c r="W1687" t="s">
        <v>1679</v>
      </c>
      <c r="X1687" t="s">
        <v>1679</v>
      </c>
      <c r="AF1687" t="s">
        <v>451</v>
      </c>
      <c r="AI1687">
        <v>-117</v>
      </c>
      <c r="AL1687" t="s">
        <v>1680</v>
      </c>
      <c r="AN1687" t="s">
        <v>57</v>
      </c>
      <c r="AO1687">
        <v>0</v>
      </c>
      <c r="AS1687" t="s">
        <v>392</v>
      </c>
      <c r="AX1687" t="s">
        <v>57</v>
      </c>
      <c r="AY1687" t="s">
        <v>442</v>
      </c>
      <c r="AZ1687" t="s">
        <v>3876</v>
      </c>
      <c r="BF1687">
        <v>0</v>
      </c>
      <c r="BK1687" t="s">
        <v>31</v>
      </c>
      <c r="BS1687" t="s">
        <v>419</v>
      </c>
      <c r="BT1687" t="s">
        <v>419</v>
      </c>
      <c r="CI1687" t="s">
        <v>388</v>
      </c>
      <c r="CJ1687" s="14">
        <v>45014</v>
      </c>
      <c r="CK1687">
        <v>1</v>
      </c>
    </row>
    <row r="1688" spans="1:89">
      <c r="A1688" t="s">
        <v>1497</v>
      </c>
      <c r="B1688" t="s">
        <v>374</v>
      </c>
      <c r="C1688" t="s">
        <v>1498</v>
      </c>
      <c r="D1688" t="s">
        <v>3877</v>
      </c>
      <c r="E1688" t="s">
        <v>3878</v>
      </c>
      <c r="F1688" s="13">
        <v>44484.63517361111</v>
      </c>
      <c r="G1688" t="s">
        <v>1501</v>
      </c>
      <c r="H1688" t="s">
        <v>1502</v>
      </c>
      <c r="I1688" s="13">
        <v>45012.043564814812</v>
      </c>
      <c r="K1688" t="s">
        <v>415</v>
      </c>
      <c r="M1688" s="13">
        <v>44895</v>
      </c>
      <c r="R1688">
        <v>0</v>
      </c>
      <c r="S1688" t="s">
        <v>380</v>
      </c>
      <c r="T1688" t="s">
        <v>57</v>
      </c>
      <c r="V1688" t="s">
        <v>478</v>
      </c>
      <c r="W1688" t="s">
        <v>1679</v>
      </c>
      <c r="X1688" t="s">
        <v>1679</v>
      </c>
      <c r="AF1688" t="s">
        <v>451</v>
      </c>
      <c r="AI1688">
        <v>-117</v>
      </c>
      <c r="AL1688" t="s">
        <v>3879</v>
      </c>
      <c r="AN1688" t="s">
        <v>31</v>
      </c>
      <c r="AO1688">
        <v>0</v>
      </c>
      <c r="AS1688" t="s">
        <v>392</v>
      </c>
      <c r="AX1688" t="s">
        <v>57</v>
      </c>
      <c r="AY1688" t="s">
        <v>442</v>
      </c>
      <c r="AZ1688" t="s">
        <v>3880</v>
      </c>
      <c r="BF1688">
        <v>0</v>
      </c>
      <c r="BK1688" t="s">
        <v>31</v>
      </c>
      <c r="BS1688" t="s">
        <v>419</v>
      </c>
      <c r="BT1688" t="s">
        <v>419</v>
      </c>
      <c r="CI1688" t="s">
        <v>388</v>
      </c>
      <c r="CJ1688" s="14">
        <v>45014</v>
      </c>
      <c r="CK1688">
        <v>1</v>
      </c>
    </row>
    <row r="1689" spans="1:89">
      <c r="A1689" t="s">
        <v>1497</v>
      </c>
      <c r="B1689" t="s">
        <v>374</v>
      </c>
      <c r="C1689" t="s">
        <v>1498</v>
      </c>
      <c r="D1689" t="s">
        <v>3881</v>
      </c>
      <c r="E1689" t="s">
        <v>3882</v>
      </c>
      <c r="F1689" s="13">
        <v>44484.598668981482</v>
      </c>
      <c r="G1689" t="s">
        <v>1501</v>
      </c>
      <c r="H1689" t="s">
        <v>1502</v>
      </c>
      <c r="I1689" s="13">
        <v>45012.043564814812</v>
      </c>
      <c r="K1689" t="s">
        <v>415</v>
      </c>
      <c r="M1689" s="13">
        <v>44895</v>
      </c>
      <c r="R1689">
        <v>0</v>
      </c>
      <c r="S1689" t="s">
        <v>380</v>
      </c>
      <c r="T1689" t="s">
        <v>57</v>
      </c>
      <c r="V1689" t="s">
        <v>478</v>
      </c>
      <c r="W1689" t="s">
        <v>1684</v>
      </c>
      <c r="X1689" t="s">
        <v>1684</v>
      </c>
      <c r="AF1689" t="s">
        <v>451</v>
      </c>
      <c r="AI1689">
        <v>-117</v>
      </c>
      <c r="AL1689" t="s">
        <v>1685</v>
      </c>
      <c r="AN1689" t="s">
        <v>57</v>
      </c>
      <c r="AO1689">
        <v>0</v>
      </c>
      <c r="AS1689" t="s">
        <v>392</v>
      </c>
      <c r="AX1689" t="s">
        <v>57</v>
      </c>
      <c r="AY1689" t="s">
        <v>442</v>
      </c>
      <c r="AZ1689" t="s">
        <v>3883</v>
      </c>
      <c r="BF1689">
        <v>0</v>
      </c>
      <c r="BK1689" t="s">
        <v>31</v>
      </c>
      <c r="BS1689" t="s">
        <v>419</v>
      </c>
      <c r="BT1689" t="s">
        <v>419</v>
      </c>
      <c r="CI1689" t="s">
        <v>388</v>
      </c>
      <c r="CJ1689" s="14">
        <v>45014</v>
      </c>
      <c r="CK1689">
        <v>1</v>
      </c>
    </row>
    <row r="1690" spans="1:89">
      <c r="A1690" t="s">
        <v>1497</v>
      </c>
      <c r="B1690" t="s">
        <v>374</v>
      </c>
      <c r="C1690" t="s">
        <v>1498</v>
      </c>
      <c r="D1690" t="s">
        <v>3884</v>
      </c>
      <c r="E1690" t="s">
        <v>3885</v>
      </c>
      <c r="F1690" s="13">
        <v>44484.595393518517</v>
      </c>
      <c r="G1690" t="s">
        <v>1501</v>
      </c>
      <c r="H1690" t="s">
        <v>1502</v>
      </c>
      <c r="I1690" s="13">
        <v>45012.043564814812</v>
      </c>
      <c r="K1690" t="s">
        <v>415</v>
      </c>
      <c r="M1690" s="13">
        <v>44895</v>
      </c>
      <c r="R1690">
        <v>0</v>
      </c>
      <c r="S1690" t="s">
        <v>380</v>
      </c>
      <c r="T1690" t="s">
        <v>57</v>
      </c>
      <c r="V1690" t="s">
        <v>478</v>
      </c>
      <c r="W1690" t="s">
        <v>1684</v>
      </c>
      <c r="X1690" t="s">
        <v>1684</v>
      </c>
      <c r="AF1690" t="s">
        <v>451</v>
      </c>
      <c r="AI1690">
        <v>-117</v>
      </c>
      <c r="AL1690" t="s">
        <v>1685</v>
      </c>
      <c r="AN1690" t="s">
        <v>57</v>
      </c>
      <c r="AO1690">
        <v>0</v>
      </c>
      <c r="AS1690" t="s">
        <v>392</v>
      </c>
      <c r="AX1690" t="s">
        <v>57</v>
      </c>
      <c r="AY1690" t="s">
        <v>442</v>
      </c>
      <c r="AZ1690" t="s">
        <v>3886</v>
      </c>
      <c r="BF1690">
        <v>0</v>
      </c>
      <c r="BK1690" t="s">
        <v>31</v>
      </c>
      <c r="BS1690" t="s">
        <v>419</v>
      </c>
      <c r="BT1690" t="s">
        <v>419</v>
      </c>
      <c r="CI1690" t="s">
        <v>388</v>
      </c>
      <c r="CJ1690" s="14">
        <v>45014</v>
      </c>
      <c r="CK1690">
        <v>1</v>
      </c>
    </row>
    <row r="1691" spans="1:89">
      <c r="A1691" t="s">
        <v>1497</v>
      </c>
      <c r="B1691" t="s">
        <v>374</v>
      </c>
      <c r="C1691" t="s">
        <v>1498</v>
      </c>
      <c r="D1691" t="s">
        <v>3887</v>
      </c>
      <c r="E1691" t="s">
        <v>3888</v>
      </c>
      <c r="F1691" s="13">
        <v>44484.342002314814</v>
      </c>
      <c r="G1691" t="s">
        <v>1501</v>
      </c>
      <c r="H1691" t="s">
        <v>1502</v>
      </c>
      <c r="I1691" s="13">
        <v>45012.043564814812</v>
      </c>
      <c r="K1691" t="s">
        <v>415</v>
      </c>
      <c r="M1691" s="13">
        <v>44651</v>
      </c>
      <c r="R1691">
        <v>0</v>
      </c>
      <c r="S1691" t="s">
        <v>380</v>
      </c>
      <c r="T1691" t="s">
        <v>57</v>
      </c>
      <c r="V1691" t="s">
        <v>478</v>
      </c>
      <c r="W1691" t="s">
        <v>3871</v>
      </c>
      <c r="X1691" t="s">
        <v>3871</v>
      </c>
      <c r="AF1691" t="s">
        <v>451</v>
      </c>
      <c r="AI1691">
        <v>-361</v>
      </c>
      <c r="AL1691" t="s">
        <v>3889</v>
      </c>
      <c r="AN1691" t="s">
        <v>31</v>
      </c>
      <c r="AO1691">
        <v>0</v>
      </c>
      <c r="AS1691" t="s">
        <v>392</v>
      </c>
      <c r="AX1691" t="s">
        <v>57</v>
      </c>
      <c r="AY1691" t="s">
        <v>442</v>
      </c>
      <c r="AZ1691" t="s">
        <v>3890</v>
      </c>
      <c r="BF1691">
        <v>0</v>
      </c>
      <c r="BK1691" t="s">
        <v>31</v>
      </c>
      <c r="BS1691" t="s">
        <v>419</v>
      </c>
      <c r="BT1691" t="s">
        <v>419</v>
      </c>
      <c r="CI1691" t="s">
        <v>388</v>
      </c>
      <c r="CJ1691" s="14">
        <v>45014</v>
      </c>
      <c r="CK1691">
        <v>1</v>
      </c>
    </row>
    <row r="1692" spans="1:89">
      <c r="A1692" t="s">
        <v>1497</v>
      </c>
      <c r="B1692" t="s">
        <v>374</v>
      </c>
      <c r="C1692" t="s">
        <v>1498</v>
      </c>
      <c r="D1692" t="s">
        <v>3891</v>
      </c>
      <c r="E1692" t="s">
        <v>3892</v>
      </c>
      <c r="F1692" s="13">
        <v>44484.338923611111</v>
      </c>
      <c r="G1692" t="s">
        <v>1501</v>
      </c>
      <c r="H1692" t="s">
        <v>1502</v>
      </c>
      <c r="I1692" s="13">
        <v>45012.043553240743</v>
      </c>
      <c r="K1692" t="s">
        <v>415</v>
      </c>
      <c r="M1692" s="13">
        <v>44651</v>
      </c>
      <c r="R1692">
        <v>0</v>
      </c>
      <c r="S1692" t="s">
        <v>380</v>
      </c>
      <c r="T1692" t="s">
        <v>57</v>
      </c>
      <c r="V1692" t="s">
        <v>478</v>
      </c>
      <c r="W1692" t="s">
        <v>3871</v>
      </c>
      <c r="X1692" t="s">
        <v>3871</v>
      </c>
      <c r="AF1692" t="s">
        <v>451</v>
      </c>
      <c r="AI1692">
        <v>-361</v>
      </c>
      <c r="AL1692" t="s">
        <v>3889</v>
      </c>
      <c r="AN1692" t="s">
        <v>31</v>
      </c>
      <c r="AO1692">
        <v>0</v>
      </c>
      <c r="AS1692" t="s">
        <v>392</v>
      </c>
      <c r="AX1692" t="s">
        <v>57</v>
      </c>
      <c r="AY1692" t="s">
        <v>442</v>
      </c>
      <c r="AZ1692" t="s">
        <v>3893</v>
      </c>
      <c r="BF1692">
        <v>0</v>
      </c>
      <c r="BK1692" t="s">
        <v>31</v>
      </c>
      <c r="BS1692" t="s">
        <v>419</v>
      </c>
      <c r="BT1692" t="s">
        <v>419</v>
      </c>
      <c r="CI1692" t="s">
        <v>388</v>
      </c>
      <c r="CJ1692" s="14">
        <v>45014</v>
      </c>
      <c r="CK1692">
        <v>1</v>
      </c>
    </row>
    <row r="1693" spans="1:89">
      <c r="A1693" t="s">
        <v>1497</v>
      </c>
      <c r="B1693" t="s">
        <v>374</v>
      </c>
      <c r="C1693" t="s">
        <v>1498</v>
      </c>
      <c r="D1693" t="s">
        <v>3894</v>
      </c>
      <c r="E1693" t="s">
        <v>3895</v>
      </c>
      <c r="F1693" s="13">
        <v>44483.414004629631</v>
      </c>
      <c r="G1693" t="s">
        <v>1501</v>
      </c>
      <c r="H1693" t="s">
        <v>1502</v>
      </c>
      <c r="I1693" s="13">
        <v>45012.043530092589</v>
      </c>
      <c r="K1693" t="s">
        <v>415</v>
      </c>
      <c r="M1693" s="13">
        <v>44651</v>
      </c>
      <c r="R1693">
        <v>0</v>
      </c>
      <c r="S1693" t="s">
        <v>380</v>
      </c>
      <c r="T1693" t="s">
        <v>57</v>
      </c>
      <c r="V1693" t="s">
        <v>478</v>
      </c>
      <c r="W1693" t="s">
        <v>3871</v>
      </c>
      <c r="X1693" t="s">
        <v>3871</v>
      </c>
      <c r="AF1693" t="s">
        <v>451</v>
      </c>
      <c r="AI1693">
        <v>-361</v>
      </c>
      <c r="AL1693" t="s">
        <v>3889</v>
      </c>
      <c r="AN1693" t="s">
        <v>31</v>
      </c>
      <c r="AO1693">
        <v>0</v>
      </c>
      <c r="AS1693" t="s">
        <v>392</v>
      </c>
      <c r="AX1693" t="s">
        <v>57</v>
      </c>
      <c r="AY1693" t="s">
        <v>442</v>
      </c>
      <c r="AZ1693" t="s">
        <v>3896</v>
      </c>
      <c r="BF1693">
        <v>0</v>
      </c>
      <c r="BK1693" t="s">
        <v>31</v>
      </c>
      <c r="BS1693" t="s">
        <v>419</v>
      </c>
      <c r="BT1693" t="s">
        <v>419</v>
      </c>
      <c r="CI1693" t="s">
        <v>388</v>
      </c>
      <c r="CJ1693" s="14">
        <v>45014</v>
      </c>
      <c r="CK1693">
        <v>1</v>
      </c>
    </row>
    <row r="1694" spans="1:89">
      <c r="A1694" t="s">
        <v>3376</v>
      </c>
      <c r="B1694" t="s">
        <v>374</v>
      </c>
      <c r="C1694" t="s">
        <v>3377</v>
      </c>
      <c r="D1694" t="s">
        <v>3897</v>
      </c>
      <c r="E1694" t="s">
        <v>3898</v>
      </c>
      <c r="F1694" s="13">
        <v>44482.411689814813</v>
      </c>
      <c r="G1694" t="s">
        <v>3380</v>
      </c>
      <c r="H1694" t="s">
        <v>3381</v>
      </c>
      <c r="I1694" s="13">
        <v>44972.532002314816</v>
      </c>
      <c r="K1694" t="s">
        <v>379</v>
      </c>
      <c r="M1694" s="13">
        <v>44571</v>
      </c>
      <c r="R1694">
        <v>100</v>
      </c>
      <c r="S1694" t="s">
        <v>416</v>
      </c>
      <c r="T1694" t="s">
        <v>57</v>
      </c>
      <c r="V1694" t="s">
        <v>478</v>
      </c>
      <c r="W1694" t="s">
        <v>3899</v>
      </c>
      <c r="X1694" t="s">
        <v>3899</v>
      </c>
      <c r="AE1694" t="s">
        <v>3900</v>
      </c>
      <c r="AF1694" t="s">
        <v>382</v>
      </c>
      <c r="AG1694" t="s">
        <v>3901</v>
      </c>
      <c r="AI1694">
        <v>-29</v>
      </c>
      <c r="AJ1694" s="13">
        <v>44600</v>
      </c>
      <c r="AL1694" t="s">
        <v>3383</v>
      </c>
      <c r="AM1694">
        <v>1</v>
      </c>
      <c r="AN1694" t="s">
        <v>31</v>
      </c>
      <c r="AO1694">
        <v>0</v>
      </c>
      <c r="AR1694" t="s">
        <v>3902</v>
      </c>
      <c r="AS1694" t="s">
        <v>385</v>
      </c>
      <c r="AX1694" t="s">
        <v>31</v>
      </c>
      <c r="AY1694" t="s">
        <v>386</v>
      </c>
      <c r="AZ1694" t="s">
        <v>3903</v>
      </c>
      <c r="BF1694">
        <v>0</v>
      </c>
      <c r="BK1694" t="s">
        <v>31</v>
      </c>
      <c r="BS1694" t="s">
        <v>379</v>
      </c>
      <c r="BT1694" t="s">
        <v>379</v>
      </c>
      <c r="CI1694" t="s">
        <v>388</v>
      </c>
      <c r="CJ1694" s="14">
        <v>45014</v>
      </c>
      <c r="CK1694">
        <v>1</v>
      </c>
    </row>
    <row r="1695" spans="1:89">
      <c r="A1695" t="s">
        <v>3904</v>
      </c>
      <c r="B1695" t="s">
        <v>374</v>
      </c>
      <c r="C1695" t="s">
        <v>1929</v>
      </c>
      <c r="D1695" t="s">
        <v>3905</v>
      </c>
      <c r="E1695" t="s">
        <v>3906</v>
      </c>
      <c r="F1695" s="13">
        <v>44470.426759259259</v>
      </c>
      <c r="G1695" t="s">
        <v>3396</v>
      </c>
      <c r="H1695" t="s">
        <v>3397</v>
      </c>
      <c r="I1695" s="13">
        <v>44833.703101851854</v>
      </c>
      <c r="K1695" t="s">
        <v>379</v>
      </c>
      <c r="M1695" s="13">
        <v>44561</v>
      </c>
      <c r="R1695">
        <v>100</v>
      </c>
      <c r="S1695" t="s">
        <v>380</v>
      </c>
      <c r="T1695" t="s">
        <v>57</v>
      </c>
      <c r="V1695" t="s">
        <v>478</v>
      </c>
      <c r="W1695" t="s">
        <v>3406</v>
      </c>
      <c r="X1695" t="s">
        <v>3406</v>
      </c>
      <c r="AC1695" s="13">
        <v>44561</v>
      </c>
      <c r="AD1695" s="13">
        <v>44561</v>
      </c>
      <c r="AF1695" t="s">
        <v>382</v>
      </c>
      <c r="AG1695" t="s">
        <v>3907</v>
      </c>
      <c r="AI1695">
        <v>-5</v>
      </c>
      <c r="AL1695" t="s">
        <v>3908</v>
      </c>
      <c r="AN1695" t="s">
        <v>31</v>
      </c>
      <c r="AO1695">
        <v>0</v>
      </c>
      <c r="AS1695" t="s">
        <v>385</v>
      </c>
      <c r="AX1695" t="s">
        <v>31</v>
      </c>
      <c r="AY1695" t="s">
        <v>442</v>
      </c>
      <c r="AZ1695" t="s">
        <v>3909</v>
      </c>
      <c r="BF1695">
        <v>0</v>
      </c>
      <c r="BK1695" t="s">
        <v>31</v>
      </c>
      <c r="BS1695" t="s">
        <v>379</v>
      </c>
      <c r="BT1695" t="s">
        <v>379</v>
      </c>
      <c r="CI1695" t="s">
        <v>388</v>
      </c>
      <c r="CJ1695" s="14">
        <v>45014</v>
      </c>
      <c r="CK1695">
        <v>1</v>
      </c>
    </row>
    <row r="1696" spans="1:89">
      <c r="A1696" t="s">
        <v>3910</v>
      </c>
      <c r="B1696" t="s">
        <v>374</v>
      </c>
      <c r="C1696" t="s">
        <v>1929</v>
      </c>
      <c r="D1696" t="s">
        <v>3911</v>
      </c>
      <c r="E1696" t="s">
        <v>3912</v>
      </c>
      <c r="F1696" s="13">
        <v>44470.41883101852</v>
      </c>
      <c r="G1696" t="s">
        <v>3396</v>
      </c>
      <c r="H1696" t="s">
        <v>3397</v>
      </c>
      <c r="I1696" s="13">
        <v>44470.422592592593</v>
      </c>
      <c r="K1696" t="s">
        <v>409</v>
      </c>
      <c r="R1696">
        <v>0</v>
      </c>
      <c r="S1696" t="s">
        <v>380</v>
      </c>
      <c r="T1696" t="s">
        <v>57</v>
      </c>
      <c r="V1696" t="s">
        <v>381</v>
      </c>
      <c r="W1696" t="s">
        <v>3406</v>
      </c>
      <c r="X1696" t="s">
        <v>3406</v>
      </c>
      <c r="AC1696" s="13">
        <v>44561</v>
      </c>
      <c r="AD1696" s="13">
        <v>44561</v>
      </c>
      <c r="AI1696">
        <v>91</v>
      </c>
      <c r="AL1696" t="s">
        <v>3913</v>
      </c>
      <c r="AN1696" t="s">
        <v>31</v>
      </c>
      <c r="AO1696">
        <v>0</v>
      </c>
      <c r="AS1696" t="s">
        <v>385</v>
      </c>
      <c r="AX1696" t="s">
        <v>31</v>
      </c>
      <c r="AY1696" t="s">
        <v>386</v>
      </c>
      <c r="AZ1696" t="s">
        <v>3914</v>
      </c>
      <c r="BF1696">
        <v>0</v>
      </c>
      <c r="BK1696" t="s">
        <v>31</v>
      </c>
      <c r="BS1696" t="s">
        <v>409</v>
      </c>
      <c r="BT1696" t="s">
        <v>409</v>
      </c>
      <c r="CI1696" t="s">
        <v>388</v>
      </c>
      <c r="CJ1696" s="14">
        <v>45014</v>
      </c>
      <c r="CK1696">
        <v>1</v>
      </c>
    </row>
    <row r="1697" spans="1:89">
      <c r="A1697" t="s">
        <v>3915</v>
      </c>
      <c r="B1697" s="13">
        <v>45014.0628125</v>
      </c>
      <c r="C1697">
        <v>848</v>
      </c>
      <c r="D1697">
        <v>267</v>
      </c>
      <c r="E1697">
        <v>119</v>
      </c>
      <c r="CI1697" t="s">
        <v>3916</v>
      </c>
      <c r="CJ1697" s="14">
        <v>45014</v>
      </c>
      <c r="CK1697">
        <v>1</v>
      </c>
    </row>
    <row r="1698" spans="1:89">
      <c r="A1698" t="s">
        <v>624</v>
      </c>
      <c r="B1698" t="s">
        <v>374</v>
      </c>
      <c r="C1698" t="s">
        <v>375</v>
      </c>
      <c r="D1698" t="s">
        <v>3917</v>
      </c>
      <c r="E1698" t="s">
        <v>3918</v>
      </c>
      <c r="F1698" s="13">
        <v>45013.744571759256</v>
      </c>
      <c r="G1698" t="s">
        <v>610</v>
      </c>
      <c r="H1698" t="s">
        <v>611</v>
      </c>
      <c r="I1698" s="13">
        <v>45013.75209490741</v>
      </c>
      <c r="K1698" t="s">
        <v>379</v>
      </c>
      <c r="M1698" s="13">
        <v>45013</v>
      </c>
      <c r="R1698">
        <v>100</v>
      </c>
      <c r="S1698" t="s">
        <v>380</v>
      </c>
      <c r="T1698" t="s">
        <v>57</v>
      </c>
      <c r="V1698" t="s">
        <v>381</v>
      </c>
      <c r="W1698" t="s">
        <v>3919</v>
      </c>
      <c r="X1698" t="s">
        <v>3919</v>
      </c>
      <c r="AF1698" t="s">
        <v>382</v>
      </c>
      <c r="AG1698" t="s">
        <v>3918</v>
      </c>
      <c r="AI1698">
        <v>0</v>
      </c>
      <c r="AL1698" t="s">
        <v>3920</v>
      </c>
      <c r="AN1698" t="s">
        <v>31</v>
      </c>
      <c r="AO1698">
        <v>0</v>
      </c>
      <c r="AS1698" t="s">
        <v>526</v>
      </c>
      <c r="AX1698" t="s">
        <v>57</v>
      </c>
      <c r="AY1698" t="s">
        <v>442</v>
      </c>
      <c r="AZ1698" t="s">
        <v>3921</v>
      </c>
      <c r="BF1698">
        <v>0</v>
      </c>
      <c r="BK1698" t="s">
        <v>31</v>
      </c>
      <c r="BS1698" t="s">
        <v>379</v>
      </c>
      <c r="BT1698" t="s">
        <v>379</v>
      </c>
      <c r="CI1698" t="s">
        <v>388</v>
      </c>
      <c r="CJ1698" s="14">
        <v>45015</v>
      </c>
      <c r="CK1698">
        <v>1</v>
      </c>
    </row>
    <row r="1699" spans="1:89">
      <c r="A1699" t="s">
        <v>624</v>
      </c>
      <c r="B1699" t="s">
        <v>374</v>
      </c>
      <c r="C1699" t="s">
        <v>375</v>
      </c>
      <c r="D1699" t="s">
        <v>3922</v>
      </c>
      <c r="E1699" t="s">
        <v>648</v>
      </c>
      <c r="F1699" s="13">
        <v>45013.738321759258</v>
      </c>
      <c r="G1699" t="s">
        <v>610</v>
      </c>
      <c r="H1699" t="s">
        <v>611</v>
      </c>
      <c r="I1699" s="13">
        <v>45013.739259259259</v>
      </c>
      <c r="K1699" t="s">
        <v>415</v>
      </c>
      <c r="M1699" s="13">
        <v>45077</v>
      </c>
      <c r="R1699">
        <v>0</v>
      </c>
      <c r="S1699" t="s">
        <v>380</v>
      </c>
      <c r="T1699" t="s">
        <v>57</v>
      </c>
      <c r="V1699" t="s">
        <v>381</v>
      </c>
      <c r="W1699" t="s">
        <v>627</v>
      </c>
      <c r="X1699" t="s">
        <v>627</v>
      </c>
      <c r="Y1699" t="s">
        <v>480</v>
      </c>
      <c r="AF1699" t="s">
        <v>451</v>
      </c>
      <c r="AI1699">
        <v>64</v>
      </c>
      <c r="AL1699" t="s">
        <v>3923</v>
      </c>
      <c r="AN1699" t="s">
        <v>31</v>
      </c>
      <c r="AO1699">
        <v>0</v>
      </c>
      <c r="AT1699" t="s">
        <v>31</v>
      </c>
      <c r="AZ1699" t="s">
        <v>648</v>
      </c>
      <c r="BF1699">
        <v>0</v>
      </c>
      <c r="BK1699" t="s">
        <v>31</v>
      </c>
      <c r="BS1699" t="s">
        <v>484</v>
      </c>
      <c r="BT1699" t="s">
        <v>484</v>
      </c>
      <c r="CI1699" t="s">
        <v>388</v>
      </c>
      <c r="CJ1699" s="14">
        <v>45015</v>
      </c>
      <c r="CK1699">
        <v>1</v>
      </c>
    </row>
    <row r="1700" spans="1:89">
      <c r="A1700" t="s">
        <v>373</v>
      </c>
      <c r="B1700" t="s">
        <v>374</v>
      </c>
      <c r="C1700" t="s">
        <v>375</v>
      </c>
      <c r="D1700" t="s">
        <v>376</v>
      </c>
      <c r="E1700" t="s">
        <v>76</v>
      </c>
      <c r="F1700" s="13">
        <v>44998.389756944445</v>
      </c>
      <c r="G1700" t="s">
        <v>377</v>
      </c>
      <c r="H1700" t="s">
        <v>378</v>
      </c>
      <c r="I1700" s="13">
        <v>44998.39366898148</v>
      </c>
      <c r="K1700" t="s">
        <v>379</v>
      </c>
      <c r="M1700" s="13">
        <v>45127</v>
      </c>
      <c r="R1700">
        <v>100</v>
      </c>
      <c r="S1700" t="s">
        <v>380</v>
      </c>
      <c r="T1700" t="s">
        <v>57</v>
      </c>
      <c r="V1700" t="s">
        <v>381</v>
      </c>
      <c r="W1700" t="s">
        <v>378</v>
      </c>
      <c r="X1700" t="s">
        <v>378</v>
      </c>
      <c r="AF1700" t="s">
        <v>382</v>
      </c>
      <c r="AG1700" t="s">
        <v>383</v>
      </c>
      <c r="AI1700">
        <v>129</v>
      </c>
      <c r="AL1700" t="s">
        <v>384</v>
      </c>
      <c r="AN1700" t="s">
        <v>31</v>
      </c>
      <c r="AO1700">
        <v>0</v>
      </c>
      <c r="AS1700" t="s">
        <v>385</v>
      </c>
      <c r="AX1700" t="s">
        <v>57</v>
      </c>
      <c r="AY1700" t="s">
        <v>386</v>
      </c>
      <c r="AZ1700" t="s">
        <v>282</v>
      </c>
      <c r="BE1700" t="s">
        <v>387</v>
      </c>
      <c r="BF1700">
        <v>0</v>
      </c>
      <c r="BK1700" t="s">
        <v>31</v>
      </c>
      <c r="BS1700" t="s">
        <v>379</v>
      </c>
      <c r="BT1700" t="s">
        <v>379</v>
      </c>
      <c r="CI1700" t="s">
        <v>388</v>
      </c>
      <c r="CJ1700" s="14">
        <v>45015</v>
      </c>
      <c r="CK1700">
        <v>1</v>
      </c>
    </row>
    <row r="1701" spans="1:89">
      <c r="A1701" t="s">
        <v>373</v>
      </c>
      <c r="B1701" t="s">
        <v>374</v>
      </c>
      <c r="C1701" t="s">
        <v>375</v>
      </c>
      <c r="D1701" t="s">
        <v>389</v>
      </c>
      <c r="E1701" t="s">
        <v>76</v>
      </c>
      <c r="F1701" s="13">
        <v>44992.319872685184</v>
      </c>
      <c r="G1701" t="s">
        <v>377</v>
      </c>
      <c r="H1701" t="s">
        <v>378</v>
      </c>
      <c r="I1701" s="13">
        <v>44992.324988425928</v>
      </c>
      <c r="K1701" t="s">
        <v>379</v>
      </c>
      <c r="M1701" s="13">
        <v>45134</v>
      </c>
      <c r="R1701">
        <v>100</v>
      </c>
      <c r="S1701" t="s">
        <v>380</v>
      </c>
      <c r="T1701" t="s">
        <v>57</v>
      </c>
      <c r="V1701" t="s">
        <v>381</v>
      </c>
      <c r="W1701" t="s">
        <v>378</v>
      </c>
      <c r="X1701" t="s">
        <v>378</v>
      </c>
      <c r="AF1701" t="s">
        <v>382</v>
      </c>
      <c r="AG1701" t="s">
        <v>390</v>
      </c>
      <c r="AI1701">
        <v>142</v>
      </c>
      <c r="AL1701" t="s">
        <v>391</v>
      </c>
      <c r="AN1701" t="s">
        <v>31</v>
      </c>
      <c r="AO1701">
        <v>0</v>
      </c>
      <c r="AS1701" t="s">
        <v>392</v>
      </c>
      <c r="AX1701" t="s">
        <v>31</v>
      </c>
      <c r="AY1701" t="s">
        <v>386</v>
      </c>
      <c r="AZ1701" t="s">
        <v>282</v>
      </c>
      <c r="BE1701">
        <v>123</v>
      </c>
      <c r="BF1701">
        <v>0</v>
      </c>
      <c r="BK1701" t="s">
        <v>31</v>
      </c>
      <c r="BS1701" t="s">
        <v>379</v>
      </c>
      <c r="BT1701" t="s">
        <v>379</v>
      </c>
      <c r="CI1701" t="s">
        <v>388</v>
      </c>
      <c r="CJ1701" s="14">
        <v>45015</v>
      </c>
      <c r="CK1701">
        <v>1</v>
      </c>
    </row>
    <row r="1702" spans="1:89">
      <c r="A1702" t="s">
        <v>393</v>
      </c>
      <c r="B1702" t="s">
        <v>374</v>
      </c>
      <c r="C1702" t="s">
        <v>394</v>
      </c>
      <c r="D1702" t="s">
        <v>395</v>
      </c>
      <c r="E1702" t="s">
        <v>396</v>
      </c>
      <c r="F1702" s="13">
        <v>44988.550983796296</v>
      </c>
      <c r="G1702" t="s">
        <v>397</v>
      </c>
      <c r="H1702" t="s">
        <v>398</v>
      </c>
      <c r="I1702" s="13">
        <v>44988.559988425928</v>
      </c>
      <c r="K1702" t="s">
        <v>379</v>
      </c>
      <c r="M1702" s="13">
        <v>45137</v>
      </c>
      <c r="R1702">
        <v>100</v>
      </c>
      <c r="S1702" t="s">
        <v>380</v>
      </c>
      <c r="T1702" t="s">
        <v>57</v>
      </c>
      <c r="V1702" t="s">
        <v>381</v>
      </c>
      <c r="W1702" t="s">
        <v>399</v>
      </c>
      <c r="X1702" t="s">
        <v>399</v>
      </c>
      <c r="AC1702" s="13">
        <v>45199</v>
      </c>
      <c r="AD1702" s="13">
        <v>45132</v>
      </c>
      <c r="AF1702" t="s">
        <v>382</v>
      </c>
      <c r="AG1702" t="s">
        <v>400</v>
      </c>
      <c r="AI1702">
        <v>149</v>
      </c>
      <c r="AL1702" t="s">
        <v>401</v>
      </c>
      <c r="AN1702" t="s">
        <v>31</v>
      </c>
      <c r="AO1702">
        <v>0</v>
      </c>
      <c r="AS1702" t="s">
        <v>385</v>
      </c>
      <c r="AX1702" t="s">
        <v>31</v>
      </c>
      <c r="AY1702" t="s">
        <v>386</v>
      </c>
      <c r="AZ1702" t="s">
        <v>402</v>
      </c>
      <c r="BE1702" t="s">
        <v>403</v>
      </c>
      <c r="BF1702">
        <v>0</v>
      </c>
      <c r="BK1702" t="s">
        <v>31</v>
      </c>
      <c r="BS1702" t="s">
        <v>379</v>
      </c>
      <c r="BT1702" t="s">
        <v>379</v>
      </c>
      <c r="CI1702" t="s">
        <v>388</v>
      </c>
      <c r="CJ1702" s="14">
        <v>45015</v>
      </c>
      <c r="CK1702">
        <v>1</v>
      </c>
    </row>
    <row r="1703" spans="1:89">
      <c r="A1703" t="s">
        <v>404</v>
      </c>
      <c r="B1703" t="s">
        <v>374</v>
      </c>
      <c r="C1703" t="s">
        <v>375</v>
      </c>
      <c r="D1703" t="s">
        <v>405</v>
      </c>
      <c r="E1703" t="s">
        <v>406</v>
      </c>
      <c r="F1703" s="13">
        <v>44987.630289351851</v>
      </c>
      <c r="G1703" t="s">
        <v>407</v>
      </c>
      <c r="H1703" t="s">
        <v>408</v>
      </c>
      <c r="I1703" s="13">
        <v>44987.632326388892</v>
      </c>
      <c r="K1703" t="s">
        <v>409</v>
      </c>
      <c r="R1703">
        <v>0</v>
      </c>
      <c r="S1703" t="s">
        <v>380</v>
      </c>
      <c r="T1703" t="s">
        <v>57</v>
      </c>
      <c r="V1703" t="s">
        <v>381</v>
      </c>
      <c r="W1703" t="s">
        <v>406</v>
      </c>
      <c r="X1703" t="s">
        <v>406</v>
      </c>
      <c r="AI1703">
        <v>83</v>
      </c>
      <c r="AL1703" t="s">
        <v>410</v>
      </c>
      <c r="AN1703" t="s">
        <v>31</v>
      </c>
      <c r="AO1703">
        <v>0</v>
      </c>
      <c r="AZ1703" t="s">
        <v>406</v>
      </c>
      <c r="BF1703">
        <v>0</v>
      </c>
      <c r="BK1703" t="s">
        <v>31</v>
      </c>
      <c r="BS1703" t="s">
        <v>409</v>
      </c>
      <c r="BT1703" t="s">
        <v>409</v>
      </c>
      <c r="CI1703" t="s">
        <v>388</v>
      </c>
      <c r="CJ1703" s="14">
        <v>45015</v>
      </c>
      <c r="CK1703">
        <v>1</v>
      </c>
    </row>
    <row r="1704" spans="1:89">
      <c r="A1704" t="s">
        <v>373</v>
      </c>
      <c r="B1704" t="s">
        <v>374</v>
      </c>
      <c r="C1704" t="s">
        <v>375</v>
      </c>
      <c r="D1704" t="s">
        <v>411</v>
      </c>
      <c r="E1704" t="s">
        <v>76</v>
      </c>
      <c r="F1704" s="13">
        <v>44973.629270833335</v>
      </c>
      <c r="G1704" t="s">
        <v>377</v>
      </c>
      <c r="H1704" t="s">
        <v>378</v>
      </c>
      <c r="I1704" s="13">
        <v>44973.629942129628</v>
      </c>
      <c r="K1704" t="s">
        <v>412</v>
      </c>
      <c r="R1704">
        <v>0</v>
      </c>
      <c r="S1704" t="s">
        <v>380</v>
      </c>
      <c r="T1704" t="s">
        <v>57</v>
      </c>
      <c r="V1704" t="s">
        <v>381</v>
      </c>
      <c r="W1704" t="s">
        <v>378</v>
      </c>
      <c r="X1704" t="s">
        <v>378</v>
      </c>
      <c r="AI1704">
        <v>356</v>
      </c>
      <c r="AL1704" t="s">
        <v>413</v>
      </c>
      <c r="AN1704" t="s">
        <v>31</v>
      </c>
      <c r="AO1704">
        <v>0</v>
      </c>
      <c r="AS1704" t="s">
        <v>385</v>
      </c>
      <c r="AU1704" t="s">
        <v>57</v>
      </c>
      <c r="AX1704" t="s">
        <v>31</v>
      </c>
      <c r="AY1704" t="s">
        <v>386</v>
      </c>
      <c r="AZ1704" t="s">
        <v>282</v>
      </c>
      <c r="BE1704">
        <v>124</v>
      </c>
      <c r="BF1704">
        <v>0</v>
      </c>
      <c r="BK1704" t="s">
        <v>31</v>
      </c>
      <c r="BS1704" t="s">
        <v>412</v>
      </c>
      <c r="BT1704" t="s">
        <v>412</v>
      </c>
      <c r="CI1704" t="s">
        <v>388</v>
      </c>
      <c r="CJ1704" s="14">
        <v>45015</v>
      </c>
      <c r="CK1704">
        <v>1</v>
      </c>
    </row>
    <row r="1705" spans="1:89">
      <c r="A1705" t="s">
        <v>373</v>
      </c>
      <c r="B1705" t="s">
        <v>374</v>
      </c>
      <c r="C1705" t="s">
        <v>375</v>
      </c>
      <c r="D1705" t="s">
        <v>414</v>
      </c>
      <c r="E1705" t="s">
        <v>76</v>
      </c>
      <c r="F1705" s="13">
        <v>44973.623842592591</v>
      </c>
      <c r="G1705" t="s">
        <v>377</v>
      </c>
      <c r="H1705" t="s">
        <v>378</v>
      </c>
      <c r="I1705" s="13">
        <v>45012.04446759259</v>
      </c>
      <c r="K1705" t="s">
        <v>415</v>
      </c>
      <c r="M1705" s="13">
        <v>45015</v>
      </c>
      <c r="R1705">
        <v>100</v>
      </c>
      <c r="S1705" t="s">
        <v>416</v>
      </c>
      <c r="T1705" t="s">
        <v>57</v>
      </c>
      <c r="V1705" t="s">
        <v>381</v>
      </c>
      <c r="W1705" t="s">
        <v>378</v>
      </c>
      <c r="X1705" t="s">
        <v>378</v>
      </c>
      <c r="AF1705" t="s">
        <v>382</v>
      </c>
      <c r="AG1705" t="s">
        <v>417</v>
      </c>
      <c r="AI1705">
        <v>3</v>
      </c>
      <c r="AL1705" t="s">
        <v>413</v>
      </c>
      <c r="AM1705">
        <v>1</v>
      </c>
      <c r="AN1705" t="s">
        <v>31</v>
      </c>
      <c r="AO1705">
        <v>0</v>
      </c>
      <c r="AS1705" t="s">
        <v>385</v>
      </c>
      <c r="AU1705" t="s">
        <v>57</v>
      </c>
      <c r="AX1705" t="s">
        <v>31</v>
      </c>
      <c r="AY1705" t="s">
        <v>386</v>
      </c>
      <c r="AZ1705" t="s">
        <v>282</v>
      </c>
      <c r="BE1705">
        <v>124</v>
      </c>
      <c r="BF1705">
        <v>0</v>
      </c>
      <c r="BK1705" t="s">
        <v>31</v>
      </c>
      <c r="BS1705" t="s">
        <v>418</v>
      </c>
      <c r="BT1705" t="s">
        <v>419</v>
      </c>
      <c r="CI1705" t="s">
        <v>388</v>
      </c>
      <c r="CJ1705" s="14">
        <v>45015</v>
      </c>
      <c r="CK1705">
        <v>1</v>
      </c>
    </row>
    <row r="1706" spans="1:89">
      <c r="A1706" t="s">
        <v>373</v>
      </c>
      <c r="B1706" t="s">
        <v>374</v>
      </c>
      <c r="C1706" t="s">
        <v>375</v>
      </c>
      <c r="D1706" t="s">
        <v>420</v>
      </c>
      <c r="E1706" t="s">
        <v>70</v>
      </c>
      <c r="F1706" s="13">
        <v>44973.535486111112</v>
      </c>
      <c r="G1706" t="s">
        <v>377</v>
      </c>
      <c r="H1706" t="s">
        <v>378</v>
      </c>
      <c r="I1706" s="13">
        <v>44973.53638888889</v>
      </c>
      <c r="K1706" t="s">
        <v>412</v>
      </c>
      <c r="R1706">
        <v>0</v>
      </c>
      <c r="S1706" t="s">
        <v>380</v>
      </c>
      <c r="T1706" t="s">
        <v>57</v>
      </c>
      <c r="V1706" t="s">
        <v>381</v>
      </c>
      <c r="W1706" t="s">
        <v>378</v>
      </c>
      <c r="X1706" t="s">
        <v>378</v>
      </c>
      <c r="AI1706">
        <v>134</v>
      </c>
      <c r="AL1706" t="s">
        <v>421</v>
      </c>
      <c r="AN1706" t="s">
        <v>31</v>
      </c>
      <c r="AO1706">
        <v>0</v>
      </c>
      <c r="AS1706" t="s">
        <v>385</v>
      </c>
      <c r="AU1706" t="s">
        <v>57</v>
      </c>
      <c r="AX1706" t="s">
        <v>31</v>
      </c>
      <c r="AY1706" t="s">
        <v>386</v>
      </c>
      <c r="AZ1706" t="s">
        <v>422</v>
      </c>
      <c r="BE1706">
        <v>124</v>
      </c>
      <c r="BF1706">
        <v>0</v>
      </c>
      <c r="BK1706" t="s">
        <v>31</v>
      </c>
      <c r="BS1706" t="s">
        <v>412</v>
      </c>
      <c r="BT1706" t="s">
        <v>412</v>
      </c>
      <c r="CI1706" t="s">
        <v>388</v>
      </c>
      <c r="CJ1706" s="14">
        <v>45015</v>
      </c>
      <c r="CK1706">
        <v>1</v>
      </c>
    </row>
    <row r="1707" spans="1:89">
      <c r="A1707" t="s">
        <v>373</v>
      </c>
      <c r="B1707" t="s">
        <v>374</v>
      </c>
      <c r="C1707" t="s">
        <v>375</v>
      </c>
      <c r="D1707" t="s">
        <v>423</v>
      </c>
      <c r="E1707" t="s">
        <v>424</v>
      </c>
      <c r="F1707" s="13">
        <v>44973.519918981481</v>
      </c>
      <c r="G1707" t="s">
        <v>377</v>
      </c>
      <c r="H1707" t="s">
        <v>378</v>
      </c>
      <c r="I1707" s="13">
        <v>45012.04446759259</v>
      </c>
      <c r="K1707" t="s">
        <v>415</v>
      </c>
      <c r="M1707" s="13">
        <v>45015</v>
      </c>
      <c r="R1707">
        <v>100</v>
      </c>
      <c r="S1707" t="s">
        <v>416</v>
      </c>
      <c r="T1707" t="s">
        <v>57</v>
      </c>
      <c r="V1707" t="s">
        <v>381</v>
      </c>
      <c r="W1707" t="s">
        <v>378</v>
      </c>
      <c r="X1707" t="s">
        <v>378</v>
      </c>
      <c r="AF1707" t="s">
        <v>382</v>
      </c>
      <c r="AG1707" t="s">
        <v>425</v>
      </c>
      <c r="AI1707">
        <v>3</v>
      </c>
      <c r="AL1707" t="s">
        <v>421</v>
      </c>
      <c r="AM1707">
        <v>1</v>
      </c>
      <c r="AN1707" t="s">
        <v>31</v>
      </c>
      <c r="AO1707">
        <v>0</v>
      </c>
      <c r="AS1707" t="s">
        <v>385</v>
      </c>
      <c r="AU1707" t="s">
        <v>57</v>
      </c>
      <c r="AX1707" t="s">
        <v>57</v>
      </c>
      <c r="AY1707" t="s">
        <v>386</v>
      </c>
      <c r="AZ1707" t="s">
        <v>426</v>
      </c>
      <c r="BE1707" t="s">
        <v>427</v>
      </c>
      <c r="BF1707">
        <v>0</v>
      </c>
      <c r="BK1707" t="s">
        <v>31</v>
      </c>
      <c r="BS1707" t="s">
        <v>418</v>
      </c>
      <c r="BT1707" t="s">
        <v>419</v>
      </c>
      <c r="CI1707" t="s">
        <v>388</v>
      </c>
      <c r="CJ1707" s="14">
        <v>45015</v>
      </c>
      <c r="CK1707">
        <v>1</v>
      </c>
    </row>
    <row r="1708" spans="1:89">
      <c r="A1708" t="s">
        <v>373</v>
      </c>
      <c r="B1708" t="s">
        <v>374</v>
      </c>
      <c r="C1708" t="s">
        <v>375</v>
      </c>
      <c r="D1708" t="s">
        <v>428</v>
      </c>
      <c r="E1708" t="s">
        <v>429</v>
      </c>
      <c r="F1708" s="13">
        <v>44973.363749999997</v>
      </c>
      <c r="G1708" t="s">
        <v>377</v>
      </c>
      <c r="H1708" t="s">
        <v>378</v>
      </c>
      <c r="I1708" s="13">
        <v>44973.366180555553</v>
      </c>
      <c r="K1708" t="s">
        <v>412</v>
      </c>
      <c r="R1708">
        <v>0</v>
      </c>
      <c r="S1708" t="s">
        <v>380</v>
      </c>
      <c r="T1708" t="s">
        <v>57</v>
      </c>
      <c r="V1708" t="s">
        <v>381</v>
      </c>
      <c r="W1708" t="s">
        <v>378</v>
      </c>
      <c r="X1708" t="s">
        <v>378</v>
      </c>
      <c r="AI1708">
        <v>134</v>
      </c>
      <c r="AL1708" t="s">
        <v>430</v>
      </c>
      <c r="AN1708" t="s">
        <v>31</v>
      </c>
      <c r="AO1708">
        <v>0</v>
      </c>
      <c r="AS1708" t="s">
        <v>385</v>
      </c>
      <c r="AU1708" t="s">
        <v>57</v>
      </c>
      <c r="AX1708" t="s">
        <v>57</v>
      </c>
      <c r="AY1708" t="s">
        <v>386</v>
      </c>
      <c r="AZ1708" t="s">
        <v>431</v>
      </c>
      <c r="BE1708">
        <v>124</v>
      </c>
      <c r="BF1708">
        <v>0</v>
      </c>
      <c r="BK1708" t="s">
        <v>31</v>
      </c>
      <c r="BS1708" t="s">
        <v>412</v>
      </c>
      <c r="BT1708" t="s">
        <v>412</v>
      </c>
      <c r="CI1708" t="s">
        <v>388</v>
      </c>
      <c r="CJ1708" s="14">
        <v>45015</v>
      </c>
      <c r="CK1708">
        <v>1</v>
      </c>
    </row>
    <row r="1709" spans="1:89">
      <c r="A1709" t="s">
        <v>373</v>
      </c>
      <c r="B1709" t="s">
        <v>374</v>
      </c>
      <c r="C1709" t="s">
        <v>375</v>
      </c>
      <c r="D1709" t="s">
        <v>432</v>
      </c>
      <c r="E1709" t="s">
        <v>433</v>
      </c>
      <c r="F1709" s="13">
        <v>44973.354907407411</v>
      </c>
      <c r="G1709" t="s">
        <v>377</v>
      </c>
      <c r="H1709" t="s">
        <v>378</v>
      </c>
      <c r="I1709" s="13">
        <v>45012.04446759259</v>
      </c>
      <c r="K1709" t="s">
        <v>415</v>
      </c>
      <c r="M1709" s="13">
        <v>45015</v>
      </c>
      <c r="R1709">
        <v>100</v>
      </c>
      <c r="S1709" t="s">
        <v>416</v>
      </c>
      <c r="T1709" t="s">
        <v>57</v>
      </c>
      <c r="V1709" t="s">
        <v>381</v>
      </c>
      <c r="W1709" t="s">
        <v>378</v>
      </c>
      <c r="X1709" t="s">
        <v>378</v>
      </c>
      <c r="AF1709" t="s">
        <v>382</v>
      </c>
      <c r="AG1709" t="s">
        <v>434</v>
      </c>
      <c r="AI1709">
        <v>3</v>
      </c>
      <c r="AL1709" t="s">
        <v>430</v>
      </c>
      <c r="AM1709">
        <v>1</v>
      </c>
      <c r="AN1709" t="s">
        <v>31</v>
      </c>
      <c r="AO1709">
        <v>0</v>
      </c>
      <c r="AS1709" t="s">
        <v>385</v>
      </c>
      <c r="AU1709" t="s">
        <v>57</v>
      </c>
      <c r="AX1709" t="s">
        <v>57</v>
      </c>
      <c r="AY1709" t="s">
        <v>386</v>
      </c>
      <c r="AZ1709" t="s">
        <v>433</v>
      </c>
      <c r="BE1709">
        <v>124</v>
      </c>
      <c r="BF1709">
        <v>0</v>
      </c>
      <c r="BK1709" t="s">
        <v>31</v>
      </c>
      <c r="BS1709" t="s">
        <v>418</v>
      </c>
      <c r="BT1709" t="s">
        <v>419</v>
      </c>
      <c r="CI1709" t="s">
        <v>388</v>
      </c>
      <c r="CJ1709" s="14">
        <v>45015</v>
      </c>
      <c r="CK1709">
        <v>1</v>
      </c>
    </row>
    <row r="1710" spans="1:89">
      <c r="A1710" t="s">
        <v>435</v>
      </c>
      <c r="B1710" t="s">
        <v>374</v>
      </c>
      <c r="C1710" t="s">
        <v>436</v>
      </c>
      <c r="D1710" t="s">
        <v>437</v>
      </c>
      <c r="E1710" t="s">
        <v>438</v>
      </c>
      <c r="F1710" s="13">
        <v>44967.572453703702</v>
      </c>
      <c r="G1710" t="s">
        <v>439</v>
      </c>
      <c r="H1710" t="s">
        <v>440</v>
      </c>
      <c r="I1710" s="13">
        <v>44967.577175925922</v>
      </c>
      <c r="K1710" t="s">
        <v>379</v>
      </c>
      <c r="M1710" s="13">
        <v>45015</v>
      </c>
      <c r="R1710">
        <v>100</v>
      </c>
      <c r="S1710" t="s">
        <v>380</v>
      </c>
      <c r="T1710" t="s">
        <v>57</v>
      </c>
      <c r="V1710" t="s">
        <v>381</v>
      </c>
      <c r="W1710" t="s">
        <v>440</v>
      </c>
      <c r="X1710" t="s">
        <v>440</v>
      </c>
      <c r="AF1710" t="s">
        <v>382</v>
      </c>
      <c r="AG1710" t="s">
        <v>382</v>
      </c>
      <c r="AI1710">
        <v>48</v>
      </c>
      <c r="AL1710" t="s">
        <v>441</v>
      </c>
      <c r="AN1710" t="s">
        <v>31</v>
      </c>
      <c r="AO1710">
        <v>0</v>
      </c>
      <c r="AS1710" t="s">
        <v>385</v>
      </c>
      <c r="AX1710" t="s">
        <v>57</v>
      </c>
      <c r="AY1710" t="s">
        <v>442</v>
      </c>
      <c r="AZ1710" t="s">
        <v>443</v>
      </c>
      <c r="BF1710">
        <v>0</v>
      </c>
      <c r="BK1710" t="s">
        <v>31</v>
      </c>
      <c r="BS1710" t="s">
        <v>379</v>
      </c>
      <c r="BT1710" t="s">
        <v>379</v>
      </c>
      <c r="CI1710" t="s">
        <v>388</v>
      </c>
      <c r="CJ1710" s="14">
        <v>45015</v>
      </c>
      <c r="CK1710">
        <v>1</v>
      </c>
    </row>
    <row r="1711" spans="1:89">
      <c r="A1711" t="s">
        <v>444</v>
      </c>
      <c r="B1711" t="s">
        <v>374</v>
      </c>
      <c r="C1711" t="s">
        <v>445</v>
      </c>
      <c r="D1711" t="s">
        <v>446</v>
      </c>
      <c r="E1711" t="s">
        <v>447</v>
      </c>
      <c r="F1711" s="13">
        <v>44964.624756944446</v>
      </c>
      <c r="G1711" t="s">
        <v>448</v>
      </c>
      <c r="H1711" t="s">
        <v>449</v>
      </c>
      <c r="I1711" s="13">
        <v>45012.044456018521</v>
      </c>
      <c r="K1711" t="s">
        <v>415</v>
      </c>
      <c r="M1711" s="13">
        <v>45016</v>
      </c>
      <c r="R1711">
        <v>0</v>
      </c>
      <c r="S1711" t="s">
        <v>380</v>
      </c>
      <c r="V1711" t="s">
        <v>381</v>
      </c>
      <c r="W1711" t="s">
        <v>450</v>
      </c>
      <c r="X1711" t="s">
        <v>450</v>
      </c>
      <c r="AF1711" t="s">
        <v>451</v>
      </c>
      <c r="AI1711">
        <v>4</v>
      </c>
      <c r="AL1711" t="s">
        <v>452</v>
      </c>
      <c r="AN1711" t="s">
        <v>31</v>
      </c>
      <c r="AO1711">
        <v>0</v>
      </c>
      <c r="AZ1711" t="s">
        <v>453</v>
      </c>
      <c r="BF1711">
        <v>0</v>
      </c>
      <c r="BK1711" t="s">
        <v>31</v>
      </c>
      <c r="BS1711" t="s">
        <v>419</v>
      </c>
      <c r="BT1711" t="s">
        <v>419</v>
      </c>
      <c r="CI1711" t="s">
        <v>388</v>
      </c>
      <c r="CJ1711" s="14">
        <v>45015</v>
      </c>
      <c r="CK1711">
        <v>1</v>
      </c>
    </row>
    <row r="1712" spans="1:89">
      <c r="A1712" t="s">
        <v>454</v>
      </c>
      <c r="B1712" t="s">
        <v>374</v>
      </c>
      <c r="C1712" t="s">
        <v>455</v>
      </c>
      <c r="D1712" t="s">
        <v>456</v>
      </c>
      <c r="E1712" t="s">
        <v>457</v>
      </c>
      <c r="F1712" s="13">
        <v>44949.509699074071</v>
      </c>
      <c r="G1712" t="s">
        <v>458</v>
      </c>
      <c r="H1712" t="s">
        <v>459</v>
      </c>
      <c r="I1712" s="13">
        <v>44949.509710648148</v>
      </c>
      <c r="R1712">
        <v>0</v>
      </c>
      <c r="S1712" t="s">
        <v>416</v>
      </c>
      <c r="T1712" t="s">
        <v>57</v>
      </c>
      <c r="V1712" t="s">
        <v>381</v>
      </c>
      <c r="W1712" t="s">
        <v>460</v>
      </c>
      <c r="X1712" t="s">
        <v>460</v>
      </c>
      <c r="AI1712">
        <v>67</v>
      </c>
      <c r="AN1712" t="s">
        <v>31</v>
      </c>
      <c r="AO1712">
        <v>0</v>
      </c>
      <c r="AS1712" t="s">
        <v>461</v>
      </c>
      <c r="AX1712" t="s">
        <v>57</v>
      </c>
      <c r="AY1712" t="s">
        <v>386</v>
      </c>
      <c r="AZ1712" t="s">
        <v>462</v>
      </c>
      <c r="BF1712">
        <v>0</v>
      </c>
      <c r="BK1712" t="s">
        <v>31</v>
      </c>
      <c r="BS1712" t="s">
        <v>412</v>
      </c>
      <c r="CI1712" t="s">
        <v>388</v>
      </c>
      <c r="CJ1712" s="14">
        <v>45015</v>
      </c>
      <c r="CK1712">
        <v>1</v>
      </c>
    </row>
    <row r="1713" spans="1:89">
      <c r="A1713" t="s">
        <v>454</v>
      </c>
      <c r="B1713" t="s">
        <v>374</v>
      </c>
      <c r="C1713" t="s">
        <v>455</v>
      </c>
      <c r="D1713" t="s">
        <v>463</v>
      </c>
      <c r="E1713" t="s">
        <v>464</v>
      </c>
      <c r="F1713" s="13">
        <v>44949.509675925925</v>
      </c>
      <c r="G1713" t="s">
        <v>458</v>
      </c>
      <c r="H1713" t="s">
        <v>459</v>
      </c>
      <c r="I1713" s="13">
        <v>44949.509687500002</v>
      </c>
      <c r="R1713">
        <v>0</v>
      </c>
      <c r="S1713" t="s">
        <v>380</v>
      </c>
      <c r="T1713" t="s">
        <v>57</v>
      </c>
      <c r="V1713" t="s">
        <v>381</v>
      </c>
      <c r="W1713" t="s">
        <v>465</v>
      </c>
      <c r="X1713" t="s">
        <v>465</v>
      </c>
      <c r="AI1713">
        <v>23</v>
      </c>
      <c r="AN1713" t="s">
        <v>31</v>
      </c>
      <c r="AO1713">
        <v>0</v>
      </c>
      <c r="AS1713" t="s">
        <v>461</v>
      </c>
      <c r="AX1713" t="s">
        <v>57</v>
      </c>
      <c r="AY1713" t="s">
        <v>386</v>
      </c>
      <c r="AZ1713" t="s">
        <v>466</v>
      </c>
      <c r="BF1713">
        <v>0</v>
      </c>
      <c r="BK1713" t="s">
        <v>31</v>
      </c>
      <c r="BS1713" t="s">
        <v>412</v>
      </c>
      <c r="CI1713" t="s">
        <v>388</v>
      </c>
      <c r="CJ1713" s="14">
        <v>45015</v>
      </c>
      <c r="CK1713">
        <v>1</v>
      </c>
    </row>
    <row r="1714" spans="1:89">
      <c r="A1714" t="s">
        <v>454</v>
      </c>
      <c r="B1714" t="s">
        <v>374</v>
      </c>
      <c r="C1714" t="s">
        <v>455</v>
      </c>
      <c r="D1714" t="s">
        <v>467</v>
      </c>
      <c r="E1714" t="s">
        <v>468</v>
      </c>
      <c r="F1714" s="13">
        <v>44949.507824074077</v>
      </c>
      <c r="G1714" t="s">
        <v>458</v>
      </c>
      <c r="H1714" t="s">
        <v>459</v>
      </c>
      <c r="I1714" s="13">
        <v>45012.044456018521</v>
      </c>
      <c r="K1714" t="s">
        <v>415</v>
      </c>
      <c r="M1714" s="13">
        <v>45016</v>
      </c>
      <c r="R1714">
        <v>0</v>
      </c>
      <c r="S1714" t="s">
        <v>416</v>
      </c>
      <c r="T1714" t="s">
        <v>57</v>
      </c>
      <c r="V1714" t="s">
        <v>381</v>
      </c>
      <c r="W1714" t="s">
        <v>469</v>
      </c>
      <c r="X1714" t="s">
        <v>469</v>
      </c>
      <c r="AF1714" t="s">
        <v>451</v>
      </c>
      <c r="AI1714">
        <v>4</v>
      </c>
      <c r="AL1714" t="s">
        <v>470</v>
      </c>
      <c r="AN1714" t="s">
        <v>31</v>
      </c>
      <c r="AO1714">
        <v>0</v>
      </c>
      <c r="AZ1714" t="s">
        <v>471</v>
      </c>
      <c r="BF1714">
        <v>0</v>
      </c>
      <c r="BK1714" t="s">
        <v>31</v>
      </c>
      <c r="BS1714" t="s">
        <v>419</v>
      </c>
      <c r="BT1714" t="s">
        <v>419</v>
      </c>
      <c r="CI1714" t="s">
        <v>388</v>
      </c>
      <c r="CJ1714" s="14">
        <v>45015</v>
      </c>
      <c r="CK1714">
        <v>1</v>
      </c>
    </row>
    <row r="1715" spans="1:89">
      <c r="A1715" t="s">
        <v>472</v>
      </c>
      <c r="B1715" t="s">
        <v>374</v>
      </c>
      <c r="C1715" t="s">
        <v>473</v>
      </c>
      <c r="D1715" t="s">
        <v>474</v>
      </c>
      <c r="E1715" t="s">
        <v>475</v>
      </c>
      <c r="F1715" s="13">
        <v>44896.485972222225</v>
      </c>
      <c r="G1715" t="s">
        <v>476</v>
      </c>
      <c r="H1715" t="s">
        <v>477</v>
      </c>
      <c r="I1715" s="13">
        <v>45012.044456018521</v>
      </c>
      <c r="K1715" t="s">
        <v>415</v>
      </c>
      <c r="M1715" s="13">
        <v>44985</v>
      </c>
      <c r="R1715">
        <v>0</v>
      </c>
      <c r="S1715" t="s">
        <v>416</v>
      </c>
      <c r="T1715" t="s">
        <v>57</v>
      </c>
      <c r="V1715" t="s">
        <v>478</v>
      </c>
      <c r="W1715" t="s">
        <v>479</v>
      </c>
      <c r="X1715" t="s">
        <v>479</v>
      </c>
      <c r="Y1715" t="s">
        <v>480</v>
      </c>
      <c r="AC1715" s="13">
        <v>44910</v>
      </c>
      <c r="AD1715" s="13">
        <v>44903</v>
      </c>
      <c r="AF1715" t="s">
        <v>451</v>
      </c>
      <c r="AG1715" t="s">
        <v>481</v>
      </c>
      <c r="AI1715">
        <v>-27</v>
      </c>
      <c r="AL1715" t="s">
        <v>482</v>
      </c>
      <c r="AN1715" t="s">
        <v>31</v>
      </c>
      <c r="AO1715">
        <v>0</v>
      </c>
      <c r="AS1715" t="s">
        <v>385</v>
      </c>
      <c r="AT1715" t="s">
        <v>31</v>
      </c>
      <c r="AX1715" t="s">
        <v>31</v>
      </c>
      <c r="AY1715" t="s">
        <v>386</v>
      </c>
      <c r="AZ1715" t="s">
        <v>483</v>
      </c>
      <c r="BF1715">
        <v>0</v>
      </c>
      <c r="BK1715" t="s">
        <v>31</v>
      </c>
      <c r="BS1715" t="s">
        <v>484</v>
      </c>
      <c r="BT1715" t="s">
        <v>484</v>
      </c>
      <c r="CI1715" t="s">
        <v>388</v>
      </c>
      <c r="CJ1715" s="14">
        <v>45015</v>
      </c>
      <c r="CK1715">
        <v>1</v>
      </c>
    </row>
    <row r="1716" spans="1:89">
      <c r="A1716" t="s">
        <v>485</v>
      </c>
      <c r="B1716" t="s">
        <v>374</v>
      </c>
      <c r="C1716" t="s">
        <v>486</v>
      </c>
      <c r="D1716" t="s">
        <v>487</v>
      </c>
      <c r="E1716" t="s">
        <v>488</v>
      </c>
      <c r="F1716" s="13">
        <v>44894.408437500002</v>
      </c>
      <c r="G1716" t="s">
        <v>489</v>
      </c>
      <c r="H1716" t="s">
        <v>490</v>
      </c>
      <c r="I1716" s="13">
        <v>44894.408680555556</v>
      </c>
      <c r="K1716" t="s">
        <v>412</v>
      </c>
      <c r="R1716">
        <v>0</v>
      </c>
      <c r="S1716" t="s">
        <v>380</v>
      </c>
      <c r="T1716" t="s">
        <v>57</v>
      </c>
      <c r="V1716" t="s">
        <v>381</v>
      </c>
      <c r="W1716" t="s">
        <v>491</v>
      </c>
      <c r="X1716" t="s">
        <v>491</v>
      </c>
      <c r="AI1716">
        <v>9</v>
      </c>
      <c r="AL1716" t="s">
        <v>492</v>
      </c>
      <c r="AN1716" t="s">
        <v>31</v>
      </c>
      <c r="AO1716">
        <v>0</v>
      </c>
      <c r="AZ1716" t="s">
        <v>488</v>
      </c>
      <c r="BF1716">
        <v>0</v>
      </c>
      <c r="BK1716" t="s">
        <v>31</v>
      </c>
      <c r="BS1716" t="s">
        <v>412</v>
      </c>
      <c r="BT1716" t="s">
        <v>412</v>
      </c>
      <c r="CI1716" t="s">
        <v>388</v>
      </c>
      <c r="CJ1716" s="14">
        <v>45015</v>
      </c>
      <c r="CK1716">
        <v>1</v>
      </c>
    </row>
    <row r="1717" spans="1:89">
      <c r="A1717" t="s">
        <v>485</v>
      </c>
      <c r="B1717" t="s">
        <v>374</v>
      </c>
      <c r="C1717" t="s">
        <v>486</v>
      </c>
      <c r="D1717" t="s">
        <v>493</v>
      </c>
      <c r="E1717" t="s">
        <v>494</v>
      </c>
      <c r="F1717" s="13">
        <v>44894.401006944441</v>
      </c>
      <c r="G1717" t="s">
        <v>489</v>
      </c>
      <c r="H1717" t="s">
        <v>490</v>
      </c>
      <c r="I1717" s="13">
        <v>44894.404513888891</v>
      </c>
      <c r="K1717" t="s">
        <v>412</v>
      </c>
      <c r="R1717">
        <v>0</v>
      </c>
      <c r="S1717" t="s">
        <v>416</v>
      </c>
      <c r="T1717" t="s">
        <v>57</v>
      </c>
      <c r="V1717" t="s">
        <v>381</v>
      </c>
      <c r="W1717" t="s">
        <v>490</v>
      </c>
      <c r="X1717" t="s">
        <v>490</v>
      </c>
      <c r="AI1717">
        <v>9</v>
      </c>
      <c r="AL1717" t="s">
        <v>492</v>
      </c>
      <c r="AN1717" t="s">
        <v>31</v>
      </c>
      <c r="AO1717">
        <v>0</v>
      </c>
      <c r="AZ1717" t="s">
        <v>495</v>
      </c>
      <c r="BF1717">
        <v>0</v>
      </c>
      <c r="BK1717" t="s">
        <v>31</v>
      </c>
      <c r="BS1717" t="s">
        <v>412</v>
      </c>
      <c r="BT1717" t="s">
        <v>412</v>
      </c>
      <c r="CI1717" t="s">
        <v>388</v>
      </c>
      <c r="CJ1717" s="14">
        <v>45015</v>
      </c>
      <c r="CK1717">
        <v>1</v>
      </c>
    </row>
    <row r="1718" spans="1:89">
      <c r="A1718" t="s">
        <v>496</v>
      </c>
      <c r="B1718" t="s">
        <v>374</v>
      </c>
      <c r="C1718" t="s">
        <v>497</v>
      </c>
      <c r="D1718" t="s">
        <v>498</v>
      </c>
      <c r="E1718" t="s">
        <v>499</v>
      </c>
      <c r="F1718" s="13">
        <v>44847.489108796297</v>
      </c>
      <c r="G1718" t="s">
        <v>500</v>
      </c>
      <c r="H1718" t="s">
        <v>501</v>
      </c>
      <c r="I1718" s="13">
        <v>44847.489131944443</v>
      </c>
      <c r="K1718" t="s">
        <v>412</v>
      </c>
      <c r="R1718">
        <v>0</v>
      </c>
      <c r="S1718" t="s">
        <v>380</v>
      </c>
      <c r="V1718" t="s">
        <v>381</v>
      </c>
      <c r="W1718" t="s">
        <v>502</v>
      </c>
      <c r="X1718" t="s">
        <v>502</v>
      </c>
      <c r="AI1718">
        <v>0</v>
      </c>
      <c r="AL1718" t="s">
        <v>503</v>
      </c>
      <c r="AN1718" t="s">
        <v>31</v>
      </c>
      <c r="AO1718">
        <v>0</v>
      </c>
      <c r="AZ1718" t="s">
        <v>438</v>
      </c>
      <c r="BF1718">
        <v>0</v>
      </c>
      <c r="BK1718" t="s">
        <v>31</v>
      </c>
      <c r="BS1718" t="s">
        <v>412</v>
      </c>
      <c r="BT1718" t="s">
        <v>412</v>
      </c>
      <c r="CI1718" t="s">
        <v>388</v>
      </c>
      <c r="CJ1718" s="14">
        <v>45015</v>
      </c>
      <c r="CK1718">
        <v>1</v>
      </c>
    </row>
    <row r="1719" spans="1:89">
      <c r="A1719" t="s">
        <v>496</v>
      </c>
      <c r="B1719" t="s">
        <v>374</v>
      </c>
      <c r="C1719" t="s">
        <v>497</v>
      </c>
      <c r="D1719" t="s">
        <v>504</v>
      </c>
      <c r="E1719" t="s">
        <v>438</v>
      </c>
      <c r="F1719" s="13">
        <v>44847.458472222221</v>
      </c>
      <c r="G1719" t="s">
        <v>500</v>
      </c>
      <c r="H1719" t="s">
        <v>501</v>
      </c>
      <c r="I1719" s="13">
        <v>45012.044456018521</v>
      </c>
      <c r="K1719" t="s">
        <v>415</v>
      </c>
      <c r="M1719" s="13">
        <v>44925</v>
      </c>
      <c r="R1719">
        <v>0</v>
      </c>
      <c r="S1719" t="s">
        <v>416</v>
      </c>
      <c r="T1719" t="s">
        <v>57</v>
      </c>
      <c r="V1719" t="s">
        <v>478</v>
      </c>
      <c r="W1719" t="s">
        <v>505</v>
      </c>
      <c r="X1719" t="s">
        <v>505</v>
      </c>
      <c r="Y1719" t="s">
        <v>480</v>
      </c>
      <c r="AF1719" t="s">
        <v>451</v>
      </c>
      <c r="AG1719" t="s">
        <v>438</v>
      </c>
      <c r="AI1719">
        <v>-87</v>
      </c>
      <c r="AL1719" t="s">
        <v>506</v>
      </c>
      <c r="AN1719" t="s">
        <v>31</v>
      </c>
      <c r="AO1719">
        <v>0</v>
      </c>
      <c r="AT1719" t="s">
        <v>31</v>
      </c>
      <c r="AZ1719" t="s">
        <v>438</v>
      </c>
      <c r="BF1719">
        <v>0</v>
      </c>
      <c r="BK1719" t="s">
        <v>31</v>
      </c>
      <c r="BS1719" t="s">
        <v>484</v>
      </c>
      <c r="BT1719" t="s">
        <v>484</v>
      </c>
      <c r="CI1719" t="s">
        <v>388</v>
      </c>
      <c r="CJ1719" s="14">
        <v>45015</v>
      </c>
      <c r="CK1719">
        <v>1</v>
      </c>
    </row>
    <row r="1720" spans="1:89">
      <c r="A1720" t="s">
        <v>507</v>
      </c>
      <c r="B1720" t="s">
        <v>374</v>
      </c>
      <c r="C1720" t="s">
        <v>508</v>
      </c>
      <c r="D1720" t="s">
        <v>509</v>
      </c>
      <c r="E1720" t="s">
        <v>406</v>
      </c>
      <c r="F1720" s="13">
        <v>44847.450138888889</v>
      </c>
      <c r="G1720" t="s">
        <v>407</v>
      </c>
      <c r="H1720" t="s">
        <v>408</v>
      </c>
      <c r="I1720" s="13">
        <v>45012.044444444444</v>
      </c>
      <c r="K1720" t="s">
        <v>415</v>
      </c>
      <c r="M1720" s="13">
        <v>44902</v>
      </c>
      <c r="R1720">
        <v>0</v>
      </c>
      <c r="S1720" t="s">
        <v>380</v>
      </c>
      <c r="T1720" t="s">
        <v>57</v>
      </c>
      <c r="V1720" t="s">
        <v>478</v>
      </c>
      <c r="W1720" t="s">
        <v>510</v>
      </c>
      <c r="X1720" t="s">
        <v>510</v>
      </c>
      <c r="AF1720" t="s">
        <v>451</v>
      </c>
      <c r="AI1720">
        <v>-110</v>
      </c>
      <c r="AL1720" t="s">
        <v>511</v>
      </c>
      <c r="AN1720" t="s">
        <v>31</v>
      </c>
      <c r="AO1720">
        <v>0</v>
      </c>
      <c r="AZ1720" t="s">
        <v>406</v>
      </c>
      <c r="BF1720">
        <v>0</v>
      </c>
      <c r="BK1720" t="s">
        <v>31</v>
      </c>
      <c r="BS1720" t="s">
        <v>419</v>
      </c>
      <c r="BT1720" t="s">
        <v>419</v>
      </c>
      <c r="CI1720" t="s">
        <v>388</v>
      </c>
      <c r="CJ1720" s="14">
        <v>45015</v>
      </c>
      <c r="CK1720">
        <v>1</v>
      </c>
    </row>
    <row r="1721" spans="1:89">
      <c r="A1721" t="s">
        <v>496</v>
      </c>
      <c r="B1721" t="s">
        <v>374</v>
      </c>
      <c r="C1721" t="s">
        <v>497</v>
      </c>
      <c r="D1721" t="s">
        <v>512</v>
      </c>
      <c r="E1721" t="s">
        <v>438</v>
      </c>
      <c r="F1721" s="13">
        <v>44847.40898148148</v>
      </c>
      <c r="G1721" t="s">
        <v>500</v>
      </c>
      <c r="H1721" t="s">
        <v>501</v>
      </c>
      <c r="I1721" s="13">
        <v>44847.446898148148</v>
      </c>
      <c r="K1721" t="s">
        <v>379</v>
      </c>
      <c r="M1721" s="13">
        <v>44895</v>
      </c>
      <c r="R1721">
        <v>100</v>
      </c>
      <c r="S1721" t="s">
        <v>380</v>
      </c>
      <c r="T1721" t="s">
        <v>57</v>
      </c>
      <c r="V1721" t="s">
        <v>381</v>
      </c>
      <c r="W1721" t="s">
        <v>513</v>
      </c>
      <c r="X1721" t="s">
        <v>513</v>
      </c>
      <c r="AF1721" t="s">
        <v>382</v>
      </c>
      <c r="AG1721" t="s">
        <v>438</v>
      </c>
      <c r="AI1721">
        <v>48</v>
      </c>
      <c r="AK1721" t="s">
        <v>480</v>
      </c>
      <c r="AL1721" t="s">
        <v>514</v>
      </c>
      <c r="AN1721" t="s">
        <v>31</v>
      </c>
      <c r="AO1721">
        <v>0</v>
      </c>
      <c r="AS1721" t="s">
        <v>385</v>
      </c>
      <c r="AX1721" t="s">
        <v>31</v>
      </c>
      <c r="AY1721" t="s">
        <v>442</v>
      </c>
      <c r="AZ1721" t="s">
        <v>438</v>
      </c>
      <c r="BF1721">
        <v>0</v>
      </c>
      <c r="BK1721" t="s">
        <v>31</v>
      </c>
      <c r="BS1721" t="s">
        <v>379</v>
      </c>
      <c r="BT1721" t="s">
        <v>379</v>
      </c>
      <c r="CI1721" t="s">
        <v>388</v>
      </c>
      <c r="CJ1721" s="14">
        <v>45015</v>
      </c>
      <c r="CK1721">
        <v>1</v>
      </c>
    </row>
    <row r="1722" spans="1:89">
      <c r="A1722" t="s">
        <v>515</v>
      </c>
      <c r="B1722" t="s">
        <v>374</v>
      </c>
      <c r="C1722" t="s">
        <v>516</v>
      </c>
      <c r="D1722" t="s">
        <v>517</v>
      </c>
      <c r="E1722" t="s">
        <v>438</v>
      </c>
      <c r="F1722" s="13">
        <v>44847.395972222221</v>
      </c>
      <c r="G1722" t="s">
        <v>500</v>
      </c>
      <c r="H1722" t="s">
        <v>501</v>
      </c>
      <c r="I1722" s="13">
        <v>44847.404999999999</v>
      </c>
      <c r="K1722" t="s">
        <v>412</v>
      </c>
      <c r="R1722">
        <v>0</v>
      </c>
      <c r="S1722" t="s">
        <v>380</v>
      </c>
      <c r="T1722" t="s">
        <v>57</v>
      </c>
      <c r="V1722" t="s">
        <v>381</v>
      </c>
      <c r="W1722" t="s">
        <v>438</v>
      </c>
      <c r="X1722" t="s">
        <v>438</v>
      </c>
      <c r="AI1722">
        <v>56</v>
      </c>
      <c r="AL1722" t="s">
        <v>518</v>
      </c>
      <c r="AN1722" t="s">
        <v>31</v>
      </c>
      <c r="AO1722">
        <v>0</v>
      </c>
      <c r="AZ1722" t="s">
        <v>438</v>
      </c>
      <c r="BF1722">
        <v>0</v>
      </c>
      <c r="BK1722" t="s">
        <v>31</v>
      </c>
      <c r="BS1722" t="s">
        <v>412</v>
      </c>
      <c r="BT1722" t="s">
        <v>412</v>
      </c>
      <c r="CI1722" t="s">
        <v>388</v>
      </c>
      <c r="CJ1722" s="14">
        <v>45015</v>
      </c>
      <c r="CK1722">
        <v>1</v>
      </c>
    </row>
    <row r="1723" spans="1:89">
      <c r="A1723" t="s">
        <v>404</v>
      </c>
      <c r="B1723" t="s">
        <v>374</v>
      </c>
      <c r="C1723" t="s">
        <v>375</v>
      </c>
      <c r="D1723" t="s">
        <v>519</v>
      </c>
      <c r="E1723" t="s">
        <v>406</v>
      </c>
      <c r="F1723" s="13">
        <v>44846.509340277778</v>
      </c>
      <c r="G1723" t="s">
        <v>407</v>
      </c>
      <c r="H1723" t="s">
        <v>408</v>
      </c>
      <c r="I1723" s="13">
        <v>44846.562060185184</v>
      </c>
      <c r="K1723" t="s">
        <v>379</v>
      </c>
      <c r="M1723" s="13">
        <v>45000</v>
      </c>
      <c r="R1723">
        <v>100</v>
      </c>
      <c r="S1723" t="s">
        <v>380</v>
      </c>
      <c r="T1723" t="s">
        <v>57</v>
      </c>
      <c r="V1723" t="s">
        <v>381</v>
      </c>
      <c r="W1723" t="s">
        <v>520</v>
      </c>
      <c r="X1723" t="s">
        <v>520</v>
      </c>
      <c r="AB1723" t="s">
        <v>31</v>
      </c>
      <c r="AF1723" t="s">
        <v>382</v>
      </c>
      <c r="AG1723" t="s">
        <v>406</v>
      </c>
      <c r="AI1723">
        <v>154</v>
      </c>
      <c r="AL1723" t="s">
        <v>521</v>
      </c>
      <c r="AN1723" t="s">
        <v>57</v>
      </c>
      <c r="AO1723">
        <v>0</v>
      </c>
      <c r="AS1723" t="s">
        <v>522</v>
      </c>
      <c r="AX1723" t="s">
        <v>57</v>
      </c>
      <c r="AY1723" t="s">
        <v>442</v>
      </c>
      <c r="AZ1723" t="s">
        <v>406</v>
      </c>
      <c r="BC1723" t="s">
        <v>480</v>
      </c>
      <c r="BD1723" t="s">
        <v>406</v>
      </c>
      <c r="BF1723">
        <v>0</v>
      </c>
      <c r="BK1723" t="s">
        <v>31</v>
      </c>
      <c r="BS1723" t="s">
        <v>379</v>
      </c>
      <c r="BT1723" t="s">
        <v>379</v>
      </c>
      <c r="CC1723" t="s">
        <v>523</v>
      </c>
      <c r="CI1723" t="s">
        <v>388</v>
      </c>
      <c r="CJ1723" s="14">
        <v>45015</v>
      </c>
      <c r="CK1723">
        <v>1</v>
      </c>
    </row>
    <row r="1724" spans="1:89">
      <c r="A1724" t="s">
        <v>404</v>
      </c>
      <c r="B1724" t="s">
        <v>374</v>
      </c>
      <c r="C1724" t="s">
        <v>375</v>
      </c>
      <c r="D1724" t="s">
        <v>524</v>
      </c>
      <c r="E1724" t="s">
        <v>406</v>
      </c>
      <c r="F1724" s="13">
        <v>44846.501620370371</v>
      </c>
      <c r="G1724" t="s">
        <v>407</v>
      </c>
      <c r="H1724" t="s">
        <v>408</v>
      </c>
      <c r="I1724" s="13">
        <v>44846.563599537039</v>
      </c>
      <c r="K1724" t="s">
        <v>379</v>
      </c>
      <c r="M1724" s="13">
        <v>45043</v>
      </c>
      <c r="R1724">
        <v>100</v>
      </c>
      <c r="S1724" t="s">
        <v>380</v>
      </c>
      <c r="T1724" t="s">
        <v>57</v>
      </c>
      <c r="V1724" t="s">
        <v>381</v>
      </c>
      <c r="W1724" t="s">
        <v>520</v>
      </c>
      <c r="X1724" t="s">
        <v>520</v>
      </c>
      <c r="AF1724" t="s">
        <v>382</v>
      </c>
      <c r="AG1724" t="s">
        <v>406</v>
      </c>
      <c r="AI1724">
        <v>197</v>
      </c>
      <c r="AL1724" t="s">
        <v>521</v>
      </c>
      <c r="AN1724" t="s">
        <v>31</v>
      </c>
      <c r="AO1724">
        <v>0</v>
      </c>
      <c r="AS1724" t="s">
        <v>461</v>
      </c>
      <c r="AX1724" t="s">
        <v>31</v>
      </c>
      <c r="AY1724" t="s">
        <v>386</v>
      </c>
      <c r="AZ1724" t="s">
        <v>406</v>
      </c>
      <c r="BF1724">
        <v>0</v>
      </c>
      <c r="BK1724" t="s">
        <v>31</v>
      </c>
      <c r="BS1724" t="s">
        <v>379</v>
      </c>
      <c r="BT1724" t="s">
        <v>379</v>
      </c>
      <c r="CI1724" t="s">
        <v>388</v>
      </c>
      <c r="CJ1724" s="14">
        <v>45015</v>
      </c>
      <c r="CK1724">
        <v>1</v>
      </c>
    </row>
    <row r="1725" spans="1:89">
      <c r="A1725" t="s">
        <v>404</v>
      </c>
      <c r="B1725" t="s">
        <v>374</v>
      </c>
      <c r="C1725" t="s">
        <v>375</v>
      </c>
      <c r="D1725" t="s">
        <v>525</v>
      </c>
      <c r="E1725" t="s">
        <v>406</v>
      </c>
      <c r="F1725" s="13">
        <v>44846.500868055555</v>
      </c>
      <c r="G1725" t="s">
        <v>407</v>
      </c>
      <c r="H1725" t="s">
        <v>408</v>
      </c>
      <c r="I1725" s="13">
        <v>44846.542951388888</v>
      </c>
      <c r="K1725" t="s">
        <v>379</v>
      </c>
      <c r="M1725" s="13">
        <v>44936</v>
      </c>
      <c r="R1725">
        <v>100</v>
      </c>
      <c r="S1725" t="s">
        <v>416</v>
      </c>
      <c r="T1725" t="s">
        <v>57</v>
      </c>
      <c r="V1725" t="s">
        <v>381</v>
      </c>
      <c r="W1725" t="s">
        <v>510</v>
      </c>
      <c r="X1725" t="s">
        <v>510</v>
      </c>
      <c r="AF1725" t="s">
        <v>382</v>
      </c>
      <c r="AG1725" t="s">
        <v>406</v>
      </c>
      <c r="AI1725">
        <v>90</v>
      </c>
      <c r="AL1725" t="s">
        <v>521</v>
      </c>
      <c r="AM1725">
        <v>1</v>
      </c>
      <c r="AN1725" t="s">
        <v>31</v>
      </c>
      <c r="AO1725">
        <v>0</v>
      </c>
      <c r="AS1725" t="s">
        <v>526</v>
      </c>
      <c r="AX1725" t="s">
        <v>31</v>
      </c>
      <c r="AY1725" t="s">
        <v>386</v>
      </c>
      <c r="AZ1725" t="s">
        <v>406</v>
      </c>
      <c r="BE1725" t="s">
        <v>406</v>
      </c>
      <c r="BF1725">
        <v>0</v>
      </c>
      <c r="BK1725" t="s">
        <v>31</v>
      </c>
      <c r="BS1725" t="s">
        <v>379</v>
      </c>
      <c r="BT1725" t="s">
        <v>379</v>
      </c>
      <c r="CI1725" t="s">
        <v>388</v>
      </c>
      <c r="CJ1725" s="14">
        <v>45015</v>
      </c>
      <c r="CK1725">
        <v>1</v>
      </c>
    </row>
    <row r="1726" spans="1:89">
      <c r="A1726" t="s">
        <v>404</v>
      </c>
      <c r="B1726" t="s">
        <v>374</v>
      </c>
      <c r="C1726" t="s">
        <v>375</v>
      </c>
      <c r="D1726" t="s">
        <v>527</v>
      </c>
      <c r="E1726" t="s">
        <v>406</v>
      </c>
      <c r="F1726" s="13">
        <v>44846.480497685188</v>
      </c>
      <c r="G1726" t="s">
        <v>407</v>
      </c>
      <c r="H1726" t="s">
        <v>408</v>
      </c>
      <c r="I1726" s="13">
        <v>44846.49019675926</v>
      </c>
      <c r="K1726" t="s">
        <v>379</v>
      </c>
      <c r="M1726" s="13">
        <v>45015</v>
      </c>
      <c r="R1726">
        <v>100</v>
      </c>
      <c r="S1726" t="s">
        <v>380</v>
      </c>
      <c r="T1726" t="s">
        <v>57</v>
      </c>
      <c r="V1726" t="s">
        <v>381</v>
      </c>
      <c r="W1726" t="s">
        <v>510</v>
      </c>
      <c r="X1726" t="s">
        <v>510</v>
      </c>
      <c r="AC1726" s="13">
        <v>45056</v>
      </c>
      <c r="AD1726" s="13">
        <v>44993</v>
      </c>
      <c r="AF1726" t="s">
        <v>382</v>
      </c>
      <c r="AG1726" t="s">
        <v>406</v>
      </c>
      <c r="AI1726">
        <v>169</v>
      </c>
      <c r="AL1726" t="s">
        <v>528</v>
      </c>
      <c r="AN1726" t="s">
        <v>31</v>
      </c>
      <c r="AO1726">
        <v>0</v>
      </c>
      <c r="AS1726" t="s">
        <v>526</v>
      </c>
      <c r="AX1726" t="s">
        <v>57</v>
      </c>
      <c r="AY1726" t="s">
        <v>442</v>
      </c>
      <c r="AZ1726" t="s">
        <v>406</v>
      </c>
      <c r="BF1726">
        <v>0</v>
      </c>
      <c r="BK1726" t="s">
        <v>31</v>
      </c>
      <c r="BS1726" t="s">
        <v>379</v>
      </c>
      <c r="BT1726" t="s">
        <v>379</v>
      </c>
      <c r="CI1726" t="s">
        <v>388</v>
      </c>
      <c r="CJ1726" s="14">
        <v>45015</v>
      </c>
      <c r="CK1726">
        <v>1</v>
      </c>
    </row>
    <row r="1727" spans="1:89">
      <c r="A1727" t="s">
        <v>404</v>
      </c>
      <c r="B1727" t="s">
        <v>374</v>
      </c>
      <c r="C1727" t="s">
        <v>375</v>
      </c>
      <c r="D1727" t="s">
        <v>529</v>
      </c>
      <c r="E1727" t="s">
        <v>406</v>
      </c>
      <c r="F1727" s="13">
        <v>44846.469733796293</v>
      </c>
      <c r="G1727" t="s">
        <v>407</v>
      </c>
      <c r="H1727" t="s">
        <v>408</v>
      </c>
      <c r="I1727" s="13">
        <v>44846.488055555557</v>
      </c>
      <c r="K1727" t="s">
        <v>379</v>
      </c>
      <c r="M1727" s="13">
        <v>44936</v>
      </c>
      <c r="R1727">
        <v>100</v>
      </c>
      <c r="S1727" t="s">
        <v>416</v>
      </c>
      <c r="T1727" t="s">
        <v>57</v>
      </c>
      <c r="V1727" t="s">
        <v>381</v>
      </c>
      <c r="W1727" t="s">
        <v>510</v>
      </c>
      <c r="X1727" t="s">
        <v>510</v>
      </c>
      <c r="AF1727" t="s">
        <v>382</v>
      </c>
      <c r="AG1727" t="s">
        <v>406</v>
      </c>
      <c r="AI1727">
        <v>90</v>
      </c>
      <c r="AL1727" t="s">
        <v>528</v>
      </c>
      <c r="AM1727">
        <v>1</v>
      </c>
      <c r="AN1727" t="s">
        <v>31</v>
      </c>
      <c r="AO1727">
        <v>0</v>
      </c>
      <c r="AS1727" t="s">
        <v>385</v>
      </c>
      <c r="AX1727" t="s">
        <v>31</v>
      </c>
      <c r="AY1727" t="s">
        <v>386</v>
      </c>
      <c r="AZ1727" t="s">
        <v>406</v>
      </c>
      <c r="BF1727">
        <v>0</v>
      </c>
      <c r="BK1727" t="s">
        <v>31</v>
      </c>
      <c r="BS1727" t="s">
        <v>379</v>
      </c>
      <c r="BT1727" t="s">
        <v>379</v>
      </c>
      <c r="CI1727" t="s">
        <v>388</v>
      </c>
      <c r="CJ1727" s="14">
        <v>45015</v>
      </c>
      <c r="CK1727">
        <v>1</v>
      </c>
    </row>
    <row r="1728" spans="1:89">
      <c r="A1728" t="s">
        <v>404</v>
      </c>
      <c r="B1728" t="s">
        <v>374</v>
      </c>
      <c r="C1728" t="s">
        <v>375</v>
      </c>
      <c r="D1728" t="s">
        <v>530</v>
      </c>
      <c r="E1728" t="s">
        <v>406</v>
      </c>
      <c r="F1728" s="13">
        <v>44846.388518518521</v>
      </c>
      <c r="G1728" t="s">
        <v>407</v>
      </c>
      <c r="H1728" t="s">
        <v>408</v>
      </c>
      <c r="I1728" s="13">
        <v>44846.429849537039</v>
      </c>
      <c r="K1728" t="s">
        <v>379</v>
      </c>
      <c r="M1728" s="13">
        <v>44895</v>
      </c>
      <c r="R1728">
        <v>100</v>
      </c>
      <c r="S1728" t="s">
        <v>380</v>
      </c>
      <c r="T1728" t="s">
        <v>57</v>
      </c>
      <c r="V1728" t="s">
        <v>381</v>
      </c>
      <c r="W1728" t="s">
        <v>531</v>
      </c>
      <c r="X1728" t="s">
        <v>531</v>
      </c>
      <c r="AC1728" s="13">
        <v>44887</v>
      </c>
      <c r="AD1728" s="13">
        <v>44881</v>
      </c>
      <c r="AF1728" t="s">
        <v>382</v>
      </c>
      <c r="AG1728" t="s">
        <v>406</v>
      </c>
      <c r="AI1728">
        <v>49</v>
      </c>
      <c r="AK1728" t="s">
        <v>480</v>
      </c>
      <c r="AL1728" t="s">
        <v>532</v>
      </c>
      <c r="AN1728" t="s">
        <v>31</v>
      </c>
      <c r="AO1728">
        <v>0</v>
      </c>
      <c r="AS1728" t="s">
        <v>385</v>
      </c>
      <c r="AX1728" t="s">
        <v>31</v>
      </c>
      <c r="AY1728" t="s">
        <v>386</v>
      </c>
      <c r="AZ1728" t="s">
        <v>406</v>
      </c>
      <c r="BF1728">
        <v>0</v>
      </c>
      <c r="BK1728" t="s">
        <v>31</v>
      </c>
      <c r="BS1728" t="s">
        <v>379</v>
      </c>
      <c r="BT1728" t="s">
        <v>379</v>
      </c>
      <c r="CI1728" t="s">
        <v>388</v>
      </c>
      <c r="CJ1728" s="14">
        <v>45015</v>
      </c>
      <c r="CK1728">
        <v>1</v>
      </c>
    </row>
    <row r="1729" spans="1:89">
      <c r="A1729" t="s">
        <v>533</v>
      </c>
      <c r="B1729" t="s">
        <v>374</v>
      </c>
      <c r="C1729" t="s">
        <v>534</v>
      </c>
      <c r="D1729" t="s">
        <v>535</v>
      </c>
      <c r="E1729" t="s">
        <v>536</v>
      </c>
      <c r="F1729" s="13">
        <v>44839.570752314816</v>
      </c>
      <c r="G1729" t="s">
        <v>458</v>
      </c>
      <c r="H1729" t="s">
        <v>459</v>
      </c>
      <c r="I1729" s="13">
        <v>44839.570752314816</v>
      </c>
      <c r="R1729">
        <v>0</v>
      </c>
      <c r="S1729" t="s">
        <v>380</v>
      </c>
      <c r="T1729" t="s">
        <v>57</v>
      </c>
      <c r="V1729" t="s">
        <v>381</v>
      </c>
      <c r="W1729" t="s">
        <v>537</v>
      </c>
      <c r="X1729" t="s">
        <v>537</v>
      </c>
      <c r="AC1729" s="13">
        <v>44832</v>
      </c>
      <c r="AD1729" s="13">
        <v>44832</v>
      </c>
      <c r="AI1729">
        <v>-7</v>
      </c>
      <c r="AN1729" t="s">
        <v>31</v>
      </c>
      <c r="AO1729">
        <v>0</v>
      </c>
      <c r="AS1729" t="s">
        <v>538</v>
      </c>
      <c r="AX1729" t="s">
        <v>31</v>
      </c>
      <c r="AY1729" t="s">
        <v>386</v>
      </c>
      <c r="AZ1729" t="s">
        <v>539</v>
      </c>
      <c r="BF1729">
        <v>0</v>
      </c>
      <c r="BK1729" t="s">
        <v>31</v>
      </c>
      <c r="BS1729" t="s">
        <v>412</v>
      </c>
      <c r="CI1729" t="s">
        <v>388</v>
      </c>
      <c r="CJ1729" s="14">
        <v>45015</v>
      </c>
      <c r="CK1729">
        <v>1</v>
      </c>
    </row>
    <row r="1730" spans="1:89">
      <c r="A1730" t="s">
        <v>540</v>
      </c>
      <c r="B1730" t="s">
        <v>374</v>
      </c>
      <c r="C1730" t="s">
        <v>541</v>
      </c>
      <c r="D1730" t="s">
        <v>542</v>
      </c>
      <c r="E1730" t="s">
        <v>543</v>
      </c>
      <c r="F1730" s="13">
        <v>44839.570729166669</v>
      </c>
      <c r="G1730" t="s">
        <v>458</v>
      </c>
      <c r="H1730" t="s">
        <v>459</v>
      </c>
      <c r="I1730" s="13">
        <v>44839.570740740739</v>
      </c>
      <c r="R1730">
        <v>0</v>
      </c>
      <c r="S1730" t="s">
        <v>380</v>
      </c>
      <c r="T1730" t="s">
        <v>57</v>
      </c>
      <c r="V1730" t="s">
        <v>381</v>
      </c>
      <c r="W1730" t="s">
        <v>537</v>
      </c>
      <c r="X1730" t="s">
        <v>537</v>
      </c>
      <c r="AC1730" s="13">
        <v>44830</v>
      </c>
      <c r="AD1730" s="13">
        <v>44830</v>
      </c>
      <c r="AI1730">
        <v>-9</v>
      </c>
      <c r="AN1730" t="s">
        <v>31</v>
      </c>
      <c r="AO1730">
        <v>0</v>
      </c>
      <c r="AS1730" t="s">
        <v>385</v>
      </c>
      <c r="AX1730" t="s">
        <v>31</v>
      </c>
      <c r="AY1730" t="s">
        <v>386</v>
      </c>
      <c r="AZ1730" t="s">
        <v>544</v>
      </c>
      <c r="BF1730">
        <v>0</v>
      </c>
      <c r="BK1730" t="s">
        <v>31</v>
      </c>
      <c r="BS1730" t="s">
        <v>412</v>
      </c>
      <c r="CI1730" t="s">
        <v>388</v>
      </c>
      <c r="CJ1730" s="14">
        <v>45015</v>
      </c>
      <c r="CK1730">
        <v>1</v>
      </c>
    </row>
    <row r="1731" spans="1:89">
      <c r="A1731" t="s">
        <v>545</v>
      </c>
      <c r="B1731" t="s">
        <v>374</v>
      </c>
      <c r="C1731" t="s">
        <v>546</v>
      </c>
      <c r="D1731" t="s">
        <v>547</v>
      </c>
      <c r="E1731" t="s">
        <v>548</v>
      </c>
      <c r="F1731" s="13">
        <v>44839.570706018516</v>
      </c>
      <c r="G1731" t="s">
        <v>458</v>
      </c>
      <c r="H1731" t="s">
        <v>459</v>
      </c>
      <c r="I1731" s="13">
        <v>44839.570717592593</v>
      </c>
      <c r="R1731">
        <v>0</v>
      </c>
      <c r="S1731" t="s">
        <v>380</v>
      </c>
      <c r="T1731" t="s">
        <v>57</v>
      </c>
      <c r="V1731" t="s">
        <v>381</v>
      </c>
      <c r="W1731" t="s">
        <v>537</v>
      </c>
      <c r="X1731" t="s">
        <v>537</v>
      </c>
      <c r="AC1731" s="13">
        <v>44827</v>
      </c>
      <c r="AD1731" s="13">
        <v>44827</v>
      </c>
      <c r="AI1731">
        <v>-12</v>
      </c>
      <c r="AN1731" t="s">
        <v>31</v>
      </c>
      <c r="AO1731">
        <v>0</v>
      </c>
      <c r="AS1731" t="s">
        <v>385</v>
      </c>
      <c r="AX1731" t="s">
        <v>31</v>
      </c>
      <c r="AY1731" t="s">
        <v>386</v>
      </c>
      <c r="AZ1731" t="s">
        <v>549</v>
      </c>
      <c r="BF1731">
        <v>0</v>
      </c>
      <c r="BK1731" t="s">
        <v>31</v>
      </c>
      <c r="BS1731" t="s">
        <v>412</v>
      </c>
      <c r="CI1731" t="s">
        <v>388</v>
      </c>
      <c r="CJ1731" s="14">
        <v>45015</v>
      </c>
      <c r="CK1731">
        <v>1</v>
      </c>
    </row>
    <row r="1732" spans="1:89">
      <c r="A1732" t="s">
        <v>550</v>
      </c>
      <c r="B1732" t="s">
        <v>374</v>
      </c>
      <c r="C1732" t="s">
        <v>551</v>
      </c>
      <c r="D1732" t="s">
        <v>552</v>
      </c>
      <c r="E1732" t="s">
        <v>553</v>
      </c>
      <c r="F1732" s="13">
        <v>44839.57068287037</v>
      </c>
      <c r="G1732" t="s">
        <v>458</v>
      </c>
      <c r="H1732" t="s">
        <v>459</v>
      </c>
      <c r="I1732" s="13">
        <v>44839.570694444446</v>
      </c>
      <c r="R1732">
        <v>0</v>
      </c>
      <c r="S1732" t="s">
        <v>380</v>
      </c>
      <c r="T1732" t="s">
        <v>57</v>
      </c>
      <c r="V1732" t="s">
        <v>381</v>
      </c>
      <c r="W1732" t="s">
        <v>554</v>
      </c>
      <c r="X1732" t="s">
        <v>554</v>
      </c>
      <c r="AC1732" s="13">
        <v>44834</v>
      </c>
      <c r="AD1732" s="13">
        <v>44834</v>
      </c>
      <c r="AI1732">
        <v>-5</v>
      </c>
      <c r="AN1732" t="s">
        <v>31</v>
      </c>
      <c r="AO1732">
        <v>0</v>
      </c>
      <c r="AS1732" t="s">
        <v>385</v>
      </c>
      <c r="AX1732" t="s">
        <v>31</v>
      </c>
      <c r="AY1732" t="s">
        <v>386</v>
      </c>
      <c r="AZ1732" t="s">
        <v>555</v>
      </c>
      <c r="BF1732">
        <v>0</v>
      </c>
      <c r="BK1732" t="s">
        <v>31</v>
      </c>
      <c r="BS1732" t="s">
        <v>412</v>
      </c>
      <c r="CI1732" t="s">
        <v>388</v>
      </c>
      <c r="CJ1732" s="14">
        <v>45015</v>
      </c>
      <c r="CK1732">
        <v>1</v>
      </c>
    </row>
    <row r="1733" spans="1:89">
      <c r="A1733" t="s">
        <v>533</v>
      </c>
      <c r="B1733" t="s">
        <v>374</v>
      </c>
      <c r="C1733" t="s">
        <v>534</v>
      </c>
      <c r="D1733" t="s">
        <v>556</v>
      </c>
      <c r="E1733" t="s">
        <v>557</v>
      </c>
      <c r="F1733" s="13">
        <v>44839.570659722223</v>
      </c>
      <c r="G1733" t="s">
        <v>458</v>
      </c>
      <c r="H1733" t="s">
        <v>459</v>
      </c>
      <c r="I1733" s="13">
        <v>44839.570671296293</v>
      </c>
      <c r="R1733">
        <v>0</v>
      </c>
      <c r="S1733" t="s">
        <v>380</v>
      </c>
      <c r="T1733" t="s">
        <v>57</v>
      </c>
      <c r="V1733" t="s">
        <v>381</v>
      </c>
      <c r="W1733" t="s">
        <v>558</v>
      </c>
      <c r="X1733" t="s">
        <v>558</v>
      </c>
      <c r="AC1733" s="13">
        <v>44742</v>
      </c>
      <c r="AD1733" s="13">
        <v>44742</v>
      </c>
      <c r="AI1733">
        <v>-97</v>
      </c>
      <c r="AN1733" t="s">
        <v>31</v>
      </c>
      <c r="AO1733">
        <v>0</v>
      </c>
      <c r="AS1733" t="s">
        <v>538</v>
      </c>
      <c r="AX1733" t="s">
        <v>31</v>
      </c>
      <c r="AY1733" t="s">
        <v>386</v>
      </c>
      <c r="AZ1733" t="s">
        <v>559</v>
      </c>
      <c r="BF1733">
        <v>0</v>
      </c>
      <c r="BK1733" t="s">
        <v>31</v>
      </c>
      <c r="BS1733" t="s">
        <v>412</v>
      </c>
      <c r="CI1733" t="s">
        <v>388</v>
      </c>
      <c r="CJ1733" s="14">
        <v>45015</v>
      </c>
      <c r="CK1733">
        <v>1</v>
      </c>
    </row>
    <row r="1734" spans="1:89">
      <c r="A1734" t="s">
        <v>540</v>
      </c>
      <c r="B1734" t="s">
        <v>374</v>
      </c>
      <c r="C1734" t="s">
        <v>541</v>
      </c>
      <c r="D1734" t="s">
        <v>560</v>
      </c>
      <c r="E1734" t="s">
        <v>561</v>
      </c>
      <c r="F1734" s="13">
        <v>44839.570636574077</v>
      </c>
      <c r="G1734" t="s">
        <v>458</v>
      </c>
      <c r="H1734" t="s">
        <v>459</v>
      </c>
      <c r="I1734" s="13">
        <v>44839.570648148147</v>
      </c>
      <c r="R1734">
        <v>0</v>
      </c>
      <c r="S1734" t="s">
        <v>380</v>
      </c>
      <c r="T1734" t="s">
        <v>57</v>
      </c>
      <c r="V1734" t="s">
        <v>381</v>
      </c>
      <c r="W1734" t="s">
        <v>558</v>
      </c>
      <c r="X1734" t="s">
        <v>558</v>
      </c>
      <c r="AC1734" s="13">
        <v>44742</v>
      </c>
      <c r="AD1734" s="13">
        <v>44742</v>
      </c>
      <c r="AI1734">
        <v>-97</v>
      </c>
      <c r="AN1734" t="s">
        <v>31</v>
      </c>
      <c r="AO1734">
        <v>0</v>
      </c>
      <c r="AS1734" t="s">
        <v>538</v>
      </c>
      <c r="AX1734" t="s">
        <v>31</v>
      </c>
      <c r="AY1734" t="s">
        <v>386</v>
      </c>
      <c r="AZ1734" t="s">
        <v>562</v>
      </c>
      <c r="BF1734">
        <v>0</v>
      </c>
      <c r="BK1734" t="s">
        <v>31</v>
      </c>
      <c r="BS1734" t="s">
        <v>412</v>
      </c>
      <c r="CI1734" t="s">
        <v>388</v>
      </c>
      <c r="CJ1734" s="14">
        <v>45015</v>
      </c>
      <c r="CK1734">
        <v>1</v>
      </c>
    </row>
    <row r="1735" spans="1:89">
      <c r="A1735" t="s">
        <v>545</v>
      </c>
      <c r="B1735" t="s">
        <v>374</v>
      </c>
      <c r="C1735" t="s">
        <v>546</v>
      </c>
      <c r="D1735" t="s">
        <v>563</v>
      </c>
      <c r="E1735" t="s">
        <v>564</v>
      </c>
      <c r="F1735" s="13">
        <v>44839.570613425924</v>
      </c>
      <c r="G1735" t="s">
        <v>458</v>
      </c>
      <c r="H1735" t="s">
        <v>459</v>
      </c>
      <c r="I1735" s="13">
        <v>44839.570625</v>
      </c>
      <c r="R1735">
        <v>0</v>
      </c>
      <c r="S1735" t="s">
        <v>380</v>
      </c>
      <c r="T1735" t="s">
        <v>57</v>
      </c>
      <c r="V1735" t="s">
        <v>381</v>
      </c>
      <c r="W1735" t="s">
        <v>565</v>
      </c>
      <c r="X1735" t="s">
        <v>565</v>
      </c>
      <c r="AC1735" s="13">
        <v>44772</v>
      </c>
      <c r="AD1735" s="13">
        <v>44772</v>
      </c>
      <c r="AI1735">
        <v>-67</v>
      </c>
      <c r="AN1735" t="s">
        <v>31</v>
      </c>
      <c r="AO1735">
        <v>0</v>
      </c>
      <c r="AS1735" t="s">
        <v>385</v>
      </c>
      <c r="AX1735" t="s">
        <v>31</v>
      </c>
      <c r="AY1735" t="s">
        <v>386</v>
      </c>
      <c r="AZ1735" t="s">
        <v>566</v>
      </c>
      <c r="BF1735">
        <v>0</v>
      </c>
      <c r="BK1735" t="s">
        <v>31</v>
      </c>
      <c r="BS1735" t="s">
        <v>412</v>
      </c>
      <c r="CI1735" t="s">
        <v>388</v>
      </c>
      <c r="CJ1735" s="14">
        <v>45015</v>
      </c>
      <c r="CK1735">
        <v>1</v>
      </c>
    </row>
    <row r="1736" spans="1:89">
      <c r="A1736" t="s">
        <v>567</v>
      </c>
      <c r="B1736" t="s">
        <v>374</v>
      </c>
      <c r="C1736" t="s">
        <v>568</v>
      </c>
      <c r="D1736" t="s">
        <v>569</v>
      </c>
      <c r="E1736" t="s">
        <v>406</v>
      </c>
      <c r="F1736" s="13">
        <v>44839.478483796294</v>
      </c>
      <c r="G1736" t="s">
        <v>570</v>
      </c>
      <c r="H1736" t="s">
        <v>571</v>
      </c>
      <c r="I1736" s="13">
        <v>44839.49050925926</v>
      </c>
      <c r="K1736" t="s">
        <v>379</v>
      </c>
      <c r="M1736" s="13">
        <v>44854</v>
      </c>
      <c r="R1736">
        <v>100</v>
      </c>
      <c r="S1736" t="s">
        <v>380</v>
      </c>
      <c r="T1736" t="s">
        <v>57</v>
      </c>
      <c r="V1736" t="s">
        <v>381</v>
      </c>
      <c r="W1736" t="s">
        <v>406</v>
      </c>
      <c r="X1736" t="s">
        <v>406</v>
      </c>
      <c r="AF1736" t="s">
        <v>382</v>
      </c>
      <c r="AG1736" t="s">
        <v>406</v>
      </c>
      <c r="AI1736">
        <v>15</v>
      </c>
      <c r="AK1736" t="s">
        <v>480</v>
      </c>
      <c r="AL1736" t="s">
        <v>572</v>
      </c>
      <c r="AN1736" t="s">
        <v>31</v>
      </c>
      <c r="AO1736">
        <v>0</v>
      </c>
      <c r="AS1736" t="s">
        <v>526</v>
      </c>
      <c r="AX1736" t="s">
        <v>57</v>
      </c>
      <c r="AY1736" t="s">
        <v>442</v>
      </c>
      <c r="AZ1736">
        <v>1607</v>
      </c>
      <c r="BE1736">
        <v>3434</v>
      </c>
      <c r="BF1736">
        <v>0</v>
      </c>
      <c r="BK1736" t="s">
        <v>31</v>
      </c>
      <c r="BS1736" t="s">
        <v>379</v>
      </c>
      <c r="BT1736" t="s">
        <v>379</v>
      </c>
      <c r="CI1736" t="s">
        <v>388</v>
      </c>
      <c r="CJ1736" s="14">
        <v>45015</v>
      </c>
      <c r="CK1736">
        <v>1</v>
      </c>
    </row>
    <row r="1737" spans="1:89">
      <c r="A1737" t="s">
        <v>567</v>
      </c>
      <c r="B1737" t="s">
        <v>374</v>
      </c>
      <c r="C1737" t="s">
        <v>568</v>
      </c>
      <c r="D1737" t="s">
        <v>573</v>
      </c>
      <c r="E1737" t="s">
        <v>574</v>
      </c>
      <c r="F1737" s="13">
        <v>44839.448611111111</v>
      </c>
      <c r="G1737" t="s">
        <v>570</v>
      </c>
      <c r="H1737" t="s">
        <v>571</v>
      </c>
      <c r="I1737" s="13">
        <v>45012.044444444444</v>
      </c>
      <c r="K1737" t="s">
        <v>415</v>
      </c>
      <c r="M1737" s="13">
        <v>44854</v>
      </c>
      <c r="R1737">
        <v>100</v>
      </c>
      <c r="S1737" t="s">
        <v>416</v>
      </c>
      <c r="T1737" t="s">
        <v>57</v>
      </c>
      <c r="V1737" t="s">
        <v>478</v>
      </c>
      <c r="W1737" t="s">
        <v>575</v>
      </c>
      <c r="X1737" t="s">
        <v>575</v>
      </c>
      <c r="Y1737" t="s">
        <v>480</v>
      </c>
      <c r="AC1737" s="13">
        <v>44860</v>
      </c>
      <c r="AD1737" s="13">
        <v>44847</v>
      </c>
      <c r="AF1737" t="s">
        <v>382</v>
      </c>
      <c r="AG1737" t="s">
        <v>574</v>
      </c>
      <c r="AI1737">
        <v>-158</v>
      </c>
      <c r="AL1737" t="s">
        <v>576</v>
      </c>
      <c r="AN1737" t="s">
        <v>31</v>
      </c>
      <c r="AO1737">
        <v>0</v>
      </c>
      <c r="AS1737" t="s">
        <v>522</v>
      </c>
      <c r="AX1737" t="s">
        <v>57</v>
      </c>
      <c r="AY1737" t="s">
        <v>442</v>
      </c>
      <c r="AZ1737" t="s">
        <v>577</v>
      </c>
      <c r="BE1737">
        <v>244343</v>
      </c>
      <c r="BF1737">
        <v>0</v>
      </c>
      <c r="BK1737" t="s">
        <v>31</v>
      </c>
      <c r="BS1737" t="s">
        <v>419</v>
      </c>
      <c r="BT1737" t="s">
        <v>419</v>
      </c>
      <c r="CI1737" t="s">
        <v>388</v>
      </c>
      <c r="CJ1737" s="14">
        <v>45015</v>
      </c>
      <c r="CK1737">
        <v>1</v>
      </c>
    </row>
    <row r="1738" spans="1:89">
      <c r="A1738" t="s">
        <v>567</v>
      </c>
      <c r="B1738" t="s">
        <v>374</v>
      </c>
      <c r="C1738" t="s">
        <v>568</v>
      </c>
      <c r="D1738" t="s">
        <v>578</v>
      </c>
      <c r="E1738" t="s">
        <v>406</v>
      </c>
      <c r="F1738" s="13">
        <v>44818.566261574073</v>
      </c>
      <c r="G1738" t="s">
        <v>579</v>
      </c>
      <c r="H1738" t="s">
        <v>580</v>
      </c>
      <c r="I1738" s="13">
        <v>44818.581331018519</v>
      </c>
      <c r="K1738" t="s">
        <v>379</v>
      </c>
      <c r="M1738" s="13">
        <v>44826</v>
      </c>
      <c r="R1738">
        <v>100</v>
      </c>
      <c r="S1738" t="s">
        <v>380</v>
      </c>
      <c r="T1738" t="s">
        <v>57</v>
      </c>
      <c r="V1738" t="s">
        <v>381</v>
      </c>
      <c r="W1738" t="s">
        <v>574</v>
      </c>
      <c r="X1738" t="s">
        <v>574</v>
      </c>
      <c r="AB1738" t="s">
        <v>57</v>
      </c>
      <c r="AF1738" t="s">
        <v>382</v>
      </c>
      <c r="AG1738" t="s">
        <v>406</v>
      </c>
      <c r="AI1738">
        <v>8</v>
      </c>
      <c r="AL1738" t="s">
        <v>581</v>
      </c>
      <c r="AN1738" t="s">
        <v>57</v>
      </c>
      <c r="AO1738">
        <v>0</v>
      </c>
      <c r="AS1738" t="s">
        <v>526</v>
      </c>
      <c r="AX1738" t="s">
        <v>57</v>
      </c>
      <c r="AY1738" t="s">
        <v>386</v>
      </c>
      <c r="AZ1738" t="s">
        <v>582</v>
      </c>
      <c r="BC1738" t="s">
        <v>480</v>
      </c>
      <c r="BD1738" t="s">
        <v>406</v>
      </c>
      <c r="BE1738">
        <v>343</v>
      </c>
      <c r="BF1738">
        <v>0</v>
      </c>
      <c r="BK1738" t="s">
        <v>31</v>
      </c>
      <c r="BS1738" t="s">
        <v>379</v>
      </c>
      <c r="BT1738" t="s">
        <v>379</v>
      </c>
      <c r="CC1738" t="s">
        <v>583</v>
      </c>
      <c r="CI1738" t="s">
        <v>388</v>
      </c>
      <c r="CJ1738" s="14">
        <v>45015</v>
      </c>
      <c r="CK1738">
        <v>1</v>
      </c>
    </row>
    <row r="1739" spans="1:89">
      <c r="A1739" t="s">
        <v>567</v>
      </c>
      <c r="B1739" t="s">
        <v>374</v>
      </c>
      <c r="C1739" t="s">
        <v>568</v>
      </c>
      <c r="D1739" t="s">
        <v>584</v>
      </c>
      <c r="E1739" t="s">
        <v>406</v>
      </c>
      <c r="F1739" s="13">
        <v>44818.548692129632</v>
      </c>
      <c r="G1739" t="s">
        <v>579</v>
      </c>
      <c r="H1739" t="s">
        <v>580</v>
      </c>
      <c r="I1739" s="13">
        <v>44818.570439814815</v>
      </c>
      <c r="K1739" t="s">
        <v>379</v>
      </c>
      <c r="M1739" s="13">
        <v>44819</v>
      </c>
      <c r="R1739">
        <v>100</v>
      </c>
      <c r="S1739" t="s">
        <v>416</v>
      </c>
      <c r="T1739" t="s">
        <v>57</v>
      </c>
      <c r="V1739" t="s">
        <v>381</v>
      </c>
      <c r="W1739" t="s">
        <v>574</v>
      </c>
      <c r="X1739" t="s">
        <v>574</v>
      </c>
      <c r="Y1739" t="s">
        <v>480</v>
      </c>
      <c r="AF1739" t="s">
        <v>382</v>
      </c>
      <c r="AG1739" t="s">
        <v>406</v>
      </c>
      <c r="AI1739">
        <v>1</v>
      </c>
      <c r="AL1739" t="s">
        <v>581</v>
      </c>
      <c r="AM1739">
        <v>1</v>
      </c>
      <c r="AN1739" t="s">
        <v>31</v>
      </c>
      <c r="AO1739">
        <v>0</v>
      </c>
      <c r="AS1739" t="s">
        <v>385</v>
      </c>
      <c r="AX1739" t="s">
        <v>57</v>
      </c>
      <c r="AY1739" t="s">
        <v>442</v>
      </c>
      <c r="AZ1739">
        <v>2003</v>
      </c>
      <c r="BE1739">
        <v>34535</v>
      </c>
      <c r="BF1739">
        <v>0</v>
      </c>
      <c r="BK1739" t="s">
        <v>31</v>
      </c>
      <c r="BS1739" t="s">
        <v>379</v>
      </c>
      <c r="BT1739" t="s">
        <v>379</v>
      </c>
      <c r="CI1739" t="s">
        <v>388</v>
      </c>
      <c r="CJ1739" s="14">
        <v>45015</v>
      </c>
      <c r="CK1739">
        <v>1</v>
      </c>
    </row>
    <row r="1740" spans="1:89">
      <c r="A1740" t="s">
        <v>567</v>
      </c>
      <c r="B1740" t="s">
        <v>374</v>
      </c>
      <c r="C1740" t="s">
        <v>568</v>
      </c>
      <c r="D1740" t="s">
        <v>585</v>
      </c>
      <c r="E1740" t="s">
        <v>586</v>
      </c>
      <c r="F1740" s="13">
        <v>44816.654710648145</v>
      </c>
      <c r="G1740" t="s">
        <v>570</v>
      </c>
      <c r="H1740" t="s">
        <v>571</v>
      </c>
      <c r="I1740" s="13">
        <v>44816.660787037035</v>
      </c>
      <c r="K1740" t="s">
        <v>379</v>
      </c>
      <c r="M1740" s="13">
        <v>44832</v>
      </c>
      <c r="R1740">
        <v>100</v>
      </c>
      <c r="S1740" t="s">
        <v>380</v>
      </c>
      <c r="T1740" t="s">
        <v>57</v>
      </c>
      <c r="V1740" t="s">
        <v>381</v>
      </c>
      <c r="W1740" t="s">
        <v>587</v>
      </c>
      <c r="X1740" t="s">
        <v>587</v>
      </c>
      <c r="AC1740" s="13">
        <v>44824</v>
      </c>
      <c r="AD1740" s="13">
        <v>44815</v>
      </c>
      <c r="AF1740" t="s">
        <v>382</v>
      </c>
      <c r="AG1740" t="s">
        <v>574</v>
      </c>
      <c r="AI1740">
        <v>16</v>
      </c>
      <c r="AL1740" t="s">
        <v>588</v>
      </c>
      <c r="AN1740" t="s">
        <v>31</v>
      </c>
      <c r="AO1740">
        <v>0</v>
      </c>
      <c r="AS1740" t="s">
        <v>526</v>
      </c>
      <c r="AX1740" t="s">
        <v>57</v>
      </c>
      <c r="AY1740" t="s">
        <v>442</v>
      </c>
      <c r="AZ1740" t="s">
        <v>586</v>
      </c>
      <c r="BE1740">
        <v>3848</v>
      </c>
      <c r="BF1740">
        <v>0</v>
      </c>
      <c r="BK1740" t="s">
        <v>31</v>
      </c>
      <c r="BS1740" t="s">
        <v>379</v>
      </c>
      <c r="BT1740" t="s">
        <v>379</v>
      </c>
      <c r="CI1740" t="s">
        <v>388</v>
      </c>
      <c r="CJ1740" s="14">
        <v>45015</v>
      </c>
      <c r="CK1740">
        <v>1</v>
      </c>
    </row>
    <row r="1741" spans="1:89">
      <c r="A1741" t="s">
        <v>404</v>
      </c>
      <c r="B1741" t="s">
        <v>374</v>
      </c>
      <c r="C1741" t="s">
        <v>375</v>
      </c>
      <c r="D1741" t="s">
        <v>589</v>
      </c>
      <c r="E1741" t="s">
        <v>406</v>
      </c>
      <c r="F1741" s="13">
        <v>44806.478807870371</v>
      </c>
      <c r="G1741" t="s">
        <v>590</v>
      </c>
      <c r="H1741" t="s">
        <v>591</v>
      </c>
      <c r="I1741" s="13">
        <v>44806.486319444448</v>
      </c>
      <c r="K1741" t="s">
        <v>412</v>
      </c>
      <c r="R1741">
        <v>0</v>
      </c>
      <c r="S1741" t="s">
        <v>416</v>
      </c>
      <c r="T1741" t="s">
        <v>57</v>
      </c>
      <c r="V1741" t="s">
        <v>381</v>
      </c>
      <c r="W1741" t="s">
        <v>591</v>
      </c>
      <c r="X1741" t="s">
        <v>591</v>
      </c>
      <c r="AI1741">
        <v>84</v>
      </c>
      <c r="AL1741" t="s">
        <v>592</v>
      </c>
      <c r="AN1741" t="s">
        <v>31</v>
      </c>
      <c r="AO1741">
        <v>0</v>
      </c>
      <c r="AZ1741" t="s">
        <v>593</v>
      </c>
      <c r="BF1741">
        <v>0</v>
      </c>
      <c r="BK1741" t="s">
        <v>31</v>
      </c>
      <c r="BS1741" t="s">
        <v>412</v>
      </c>
      <c r="BT1741" t="s">
        <v>412</v>
      </c>
      <c r="CI1741" t="s">
        <v>388</v>
      </c>
      <c r="CJ1741" s="14">
        <v>45015</v>
      </c>
      <c r="CK1741">
        <v>1</v>
      </c>
    </row>
    <row r="1742" spans="1:89">
      <c r="A1742" t="s">
        <v>404</v>
      </c>
      <c r="B1742" t="s">
        <v>374</v>
      </c>
      <c r="C1742" t="s">
        <v>375</v>
      </c>
      <c r="D1742" t="s">
        <v>594</v>
      </c>
      <c r="E1742" t="s">
        <v>595</v>
      </c>
      <c r="F1742" s="13">
        <v>44806.470891203702</v>
      </c>
      <c r="G1742" t="s">
        <v>407</v>
      </c>
      <c r="H1742" t="s">
        <v>408</v>
      </c>
      <c r="I1742" s="13">
        <v>44806.470995370371</v>
      </c>
      <c r="K1742" t="s">
        <v>412</v>
      </c>
      <c r="R1742">
        <v>0</v>
      </c>
      <c r="S1742" t="s">
        <v>380</v>
      </c>
      <c r="T1742" t="s">
        <v>57</v>
      </c>
      <c r="V1742" t="s">
        <v>381</v>
      </c>
      <c r="W1742" t="s">
        <v>510</v>
      </c>
      <c r="X1742" t="s">
        <v>510</v>
      </c>
      <c r="AI1742">
        <v>59</v>
      </c>
      <c r="AL1742" t="s">
        <v>596</v>
      </c>
      <c r="AN1742" t="s">
        <v>31</v>
      </c>
      <c r="AO1742">
        <v>0</v>
      </c>
      <c r="AZ1742" t="s">
        <v>406</v>
      </c>
      <c r="BF1742">
        <v>0</v>
      </c>
      <c r="BK1742" t="s">
        <v>31</v>
      </c>
      <c r="BS1742" t="s">
        <v>412</v>
      </c>
      <c r="BT1742" t="s">
        <v>412</v>
      </c>
      <c r="CI1742" t="s">
        <v>388</v>
      </c>
      <c r="CJ1742" s="14">
        <v>45015</v>
      </c>
      <c r="CK1742">
        <v>1</v>
      </c>
    </row>
    <row r="1743" spans="1:89">
      <c r="A1743" t="s">
        <v>404</v>
      </c>
      <c r="B1743" t="s">
        <v>374</v>
      </c>
      <c r="C1743" t="s">
        <v>375</v>
      </c>
      <c r="D1743" t="s">
        <v>597</v>
      </c>
      <c r="E1743" t="s">
        <v>406</v>
      </c>
      <c r="F1743" s="13">
        <v>44806.470451388886</v>
      </c>
      <c r="G1743" t="s">
        <v>407</v>
      </c>
      <c r="H1743" t="s">
        <v>408</v>
      </c>
      <c r="I1743" s="13">
        <v>44806.470567129632</v>
      </c>
      <c r="K1743" t="s">
        <v>412</v>
      </c>
      <c r="R1743">
        <v>0</v>
      </c>
      <c r="S1743" t="s">
        <v>416</v>
      </c>
      <c r="T1743" t="s">
        <v>57</v>
      </c>
      <c r="V1743" t="s">
        <v>381</v>
      </c>
      <c r="W1743" t="s">
        <v>510</v>
      </c>
      <c r="X1743" t="s">
        <v>510</v>
      </c>
      <c r="AI1743">
        <v>89</v>
      </c>
      <c r="AL1743" t="s">
        <v>596</v>
      </c>
      <c r="AN1743" t="s">
        <v>31</v>
      </c>
      <c r="AO1743">
        <v>0</v>
      </c>
      <c r="AZ1743" t="s">
        <v>406</v>
      </c>
      <c r="BF1743">
        <v>0</v>
      </c>
      <c r="BK1743" t="s">
        <v>31</v>
      </c>
      <c r="BS1743" t="s">
        <v>412</v>
      </c>
      <c r="BT1743" t="s">
        <v>412</v>
      </c>
      <c r="CI1743" t="s">
        <v>388</v>
      </c>
      <c r="CJ1743" s="14">
        <v>45015</v>
      </c>
      <c r="CK1743">
        <v>1</v>
      </c>
    </row>
    <row r="1744" spans="1:89">
      <c r="A1744" t="s">
        <v>404</v>
      </c>
      <c r="B1744" t="s">
        <v>374</v>
      </c>
      <c r="C1744" t="s">
        <v>375</v>
      </c>
      <c r="D1744" t="s">
        <v>598</v>
      </c>
      <c r="E1744" t="s">
        <v>574</v>
      </c>
      <c r="F1744" s="13">
        <v>44806.448969907404</v>
      </c>
      <c r="G1744" t="s">
        <v>590</v>
      </c>
      <c r="H1744" t="s">
        <v>591</v>
      </c>
      <c r="I1744" s="13">
        <v>44806.456585648149</v>
      </c>
      <c r="K1744" t="s">
        <v>409</v>
      </c>
      <c r="R1744">
        <v>0</v>
      </c>
      <c r="S1744" t="s">
        <v>416</v>
      </c>
      <c r="T1744" t="s">
        <v>57</v>
      </c>
      <c r="V1744" t="s">
        <v>381</v>
      </c>
      <c r="W1744" t="s">
        <v>591</v>
      </c>
      <c r="X1744" t="s">
        <v>591</v>
      </c>
      <c r="AI1744">
        <v>91</v>
      </c>
      <c r="AL1744" t="s">
        <v>599</v>
      </c>
      <c r="AN1744" t="s">
        <v>31</v>
      </c>
      <c r="AO1744">
        <v>0</v>
      </c>
      <c r="AZ1744" t="s">
        <v>600</v>
      </c>
      <c r="BF1744">
        <v>0</v>
      </c>
      <c r="BK1744" t="s">
        <v>31</v>
      </c>
      <c r="BS1744" t="s">
        <v>409</v>
      </c>
      <c r="BT1744" t="s">
        <v>409</v>
      </c>
      <c r="CI1744" t="s">
        <v>388</v>
      </c>
      <c r="CJ1744" s="14">
        <v>45015</v>
      </c>
      <c r="CK1744">
        <v>1</v>
      </c>
    </row>
    <row r="1745" spans="1:89">
      <c r="A1745" t="s">
        <v>404</v>
      </c>
      <c r="B1745" t="s">
        <v>374</v>
      </c>
      <c r="C1745" t="s">
        <v>375</v>
      </c>
      <c r="D1745" t="s">
        <v>601</v>
      </c>
      <c r="E1745" t="s">
        <v>602</v>
      </c>
      <c r="F1745" s="13">
        <v>44806.445787037039</v>
      </c>
      <c r="G1745" t="s">
        <v>407</v>
      </c>
      <c r="H1745" t="s">
        <v>408</v>
      </c>
      <c r="I1745" s="13">
        <v>44806.446076388886</v>
      </c>
      <c r="K1745" t="s">
        <v>412</v>
      </c>
      <c r="R1745">
        <v>0</v>
      </c>
      <c r="S1745" t="s">
        <v>380</v>
      </c>
      <c r="T1745" t="s">
        <v>57</v>
      </c>
      <c r="V1745" t="s">
        <v>381</v>
      </c>
      <c r="W1745" t="s">
        <v>603</v>
      </c>
      <c r="X1745" t="s">
        <v>603</v>
      </c>
      <c r="AI1745">
        <v>59</v>
      </c>
      <c r="AL1745" t="s">
        <v>604</v>
      </c>
      <c r="AN1745" t="s">
        <v>31</v>
      </c>
      <c r="AO1745">
        <v>0</v>
      </c>
      <c r="AS1745" t="s">
        <v>522</v>
      </c>
      <c r="AX1745" t="s">
        <v>31</v>
      </c>
      <c r="AY1745" t="s">
        <v>442</v>
      </c>
      <c r="AZ1745" t="s">
        <v>602</v>
      </c>
      <c r="BF1745">
        <v>0</v>
      </c>
      <c r="BK1745" t="s">
        <v>31</v>
      </c>
      <c r="BS1745" t="s">
        <v>412</v>
      </c>
      <c r="BT1745" t="s">
        <v>412</v>
      </c>
      <c r="CI1745" t="s">
        <v>388</v>
      </c>
      <c r="CJ1745" s="14">
        <v>45015</v>
      </c>
      <c r="CK1745">
        <v>1</v>
      </c>
    </row>
    <row r="1746" spans="1:89">
      <c r="A1746" t="s">
        <v>404</v>
      </c>
      <c r="B1746" t="s">
        <v>374</v>
      </c>
      <c r="C1746" t="s">
        <v>375</v>
      </c>
      <c r="D1746" t="s">
        <v>605</v>
      </c>
      <c r="E1746" t="s">
        <v>602</v>
      </c>
      <c r="F1746" s="13">
        <v>44806.444895833331</v>
      </c>
      <c r="G1746" t="s">
        <v>407</v>
      </c>
      <c r="H1746" t="s">
        <v>408</v>
      </c>
      <c r="I1746" s="13">
        <v>44806.445335648146</v>
      </c>
      <c r="K1746" t="s">
        <v>412</v>
      </c>
      <c r="R1746">
        <v>0</v>
      </c>
      <c r="S1746" t="s">
        <v>416</v>
      </c>
      <c r="T1746" t="s">
        <v>57</v>
      </c>
      <c r="V1746" t="s">
        <v>381</v>
      </c>
      <c r="W1746" t="s">
        <v>603</v>
      </c>
      <c r="X1746" t="s">
        <v>603</v>
      </c>
      <c r="AI1746">
        <v>89</v>
      </c>
      <c r="AL1746" t="s">
        <v>604</v>
      </c>
      <c r="AN1746" t="s">
        <v>31</v>
      </c>
      <c r="AO1746">
        <v>0</v>
      </c>
      <c r="AS1746" t="s">
        <v>522</v>
      </c>
      <c r="AX1746" t="s">
        <v>57</v>
      </c>
      <c r="AY1746" t="s">
        <v>442</v>
      </c>
      <c r="AZ1746" t="s">
        <v>602</v>
      </c>
      <c r="BF1746">
        <v>0</v>
      </c>
      <c r="BK1746" t="s">
        <v>31</v>
      </c>
      <c r="BS1746" t="s">
        <v>412</v>
      </c>
      <c r="BT1746" t="s">
        <v>412</v>
      </c>
      <c r="CI1746" t="s">
        <v>388</v>
      </c>
      <c r="CJ1746" s="14">
        <v>45015</v>
      </c>
      <c r="CK1746">
        <v>1</v>
      </c>
    </row>
    <row r="1747" spans="1:89">
      <c r="A1747" t="s">
        <v>606</v>
      </c>
      <c r="B1747" t="s">
        <v>374</v>
      </c>
      <c r="C1747" t="s">
        <v>607</v>
      </c>
      <c r="D1747" t="s">
        <v>608</v>
      </c>
      <c r="E1747" t="s">
        <v>609</v>
      </c>
      <c r="F1747" s="13">
        <v>44805.624618055554</v>
      </c>
      <c r="G1747" t="s">
        <v>610</v>
      </c>
      <c r="H1747" t="s">
        <v>611</v>
      </c>
      <c r="I1747" s="13">
        <v>45013.359976851854</v>
      </c>
      <c r="K1747" t="s">
        <v>415</v>
      </c>
      <c r="M1747" s="13">
        <v>44895</v>
      </c>
      <c r="R1747">
        <v>0</v>
      </c>
      <c r="S1747" t="s">
        <v>416</v>
      </c>
      <c r="T1747" t="s">
        <v>57</v>
      </c>
      <c r="V1747" t="s">
        <v>478</v>
      </c>
      <c r="W1747" t="s">
        <v>612</v>
      </c>
      <c r="X1747" t="s">
        <v>612</v>
      </c>
      <c r="Y1747" t="s">
        <v>480</v>
      </c>
      <c r="AF1747" t="s">
        <v>451</v>
      </c>
      <c r="AI1747">
        <v>-117</v>
      </c>
      <c r="AL1747" t="s">
        <v>613</v>
      </c>
      <c r="AN1747" t="s">
        <v>31</v>
      </c>
      <c r="AO1747">
        <v>0</v>
      </c>
      <c r="AT1747" t="s">
        <v>31</v>
      </c>
      <c r="AZ1747" t="s">
        <v>609</v>
      </c>
      <c r="BF1747">
        <v>0</v>
      </c>
      <c r="BK1747" t="s">
        <v>31</v>
      </c>
      <c r="BS1747" t="s">
        <v>484</v>
      </c>
      <c r="BT1747" t="s">
        <v>484</v>
      </c>
      <c r="CI1747" t="s">
        <v>388</v>
      </c>
      <c r="CJ1747" s="14">
        <v>45015</v>
      </c>
      <c r="CK1747">
        <v>1</v>
      </c>
    </row>
    <row r="1748" spans="1:89">
      <c r="A1748" t="s">
        <v>404</v>
      </c>
      <c r="B1748" t="s">
        <v>374</v>
      </c>
      <c r="C1748" t="s">
        <v>375</v>
      </c>
      <c r="D1748" t="s">
        <v>614</v>
      </c>
      <c r="E1748" t="s">
        <v>615</v>
      </c>
      <c r="F1748" s="13">
        <v>44805.55537037037</v>
      </c>
      <c r="G1748" t="s">
        <v>407</v>
      </c>
      <c r="H1748" t="s">
        <v>408</v>
      </c>
      <c r="I1748" s="13">
        <v>44805.666805555556</v>
      </c>
      <c r="K1748" t="s">
        <v>379</v>
      </c>
      <c r="M1748" s="13">
        <v>44957</v>
      </c>
      <c r="R1748">
        <v>100</v>
      </c>
      <c r="S1748" t="s">
        <v>380</v>
      </c>
      <c r="T1748" t="s">
        <v>57</v>
      </c>
      <c r="V1748" t="s">
        <v>381</v>
      </c>
      <c r="W1748" t="s">
        <v>603</v>
      </c>
      <c r="X1748" t="s">
        <v>603</v>
      </c>
      <c r="AF1748" t="s">
        <v>382</v>
      </c>
      <c r="AG1748" t="s">
        <v>480</v>
      </c>
      <c r="AI1748">
        <v>152</v>
      </c>
      <c r="AL1748" t="s">
        <v>616</v>
      </c>
      <c r="AN1748" t="s">
        <v>31</v>
      </c>
      <c r="AO1748">
        <v>0</v>
      </c>
      <c r="AS1748" t="s">
        <v>385</v>
      </c>
      <c r="AX1748" t="s">
        <v>57</v>
      </c>
      <c r="AY1748" t="s">
        <v>442</v>
      </c>
      <c r="AZ1748" t="s">
        <v>617</v>
      </c>
      <c r="BF1748">
        <v>0</v>
      </c>
      <c r="BK1748" t="s">
        <v>31</v>
      </c>
      <c r="BS1748" t="s">
        <v>379</v>
      </c>
      <c r="BT1748" t="s">
        <v>379</v>
      </c>
      <c r="CI1748" t="s">
        <v>388</v>
      </c>
      <c r="CJ1748" s="14">
        <v>45015</v>
      </c>
      <c r="CK1748">
        <v>1</v>
      </c>
    </row>
    <row r="1749" spans="1:89">
      <c r="A1749" t="s">
        <v>404</v>
      </c>
      <c r="B1749" t="s">
        <v>374</v>
      </c>
      <c r="C1749" t="s">
        <v>375</v>
      </c>
      <c r="D1749" t="s">
        <v>618</v>
      </c>
      <c r="E1749" t="s">
        <v>615</v>
      </c>
      <c r="F1749" s="13">
        <v>44805.547719907408</v>
      </c>
      <c r="G1749" t="s">
        <v>407</v>
      </c>
      <c r="H1749" t="s">
        <v>408</v>
      </c>
      <c r="I1749" s="13">
        <v>44805.620659722219</v>
      </c>
      <c r="K1749" t="s">
        <v>379</v>
      </c>
      <c r="M1749" s="13">
        <v>44895</v>
      </c>
      <c r="R1749">
        <v>100</v>
      </c>
      <c r="S1749" t="s">
        <v>416</v>
      </c>
      <c r="T1749" t="s">
        <v>57</v>
      </c>
      <c r="V1749" t="s">
        <v>381</v>
      </c>
      <c r="W1749" t="s">
        <v>603</v>
      </c>
      <c r="X1749" t="s">
        <v>603</v>
      </c>
      <c r="AF1749" t="s">
        <v>382</v>
      </c>
      <c r="AG1749" t="s">
        <v>615</v>
      </c>
      <c r="AI1749">
        <v>90</v>
      </c>
      <c r="AL1749" t="s">
        <v>616</v>
      </c>
      <c r="AM1749">
        <v>1</v>
      </c>
      <c r="AN1749" t="s">
        <v>31</v>
      </c>
      <c r="AO1749">
        <v>0</v>
      </c>
      <c r="AS1749" t="s">
        <v>522</v>
      </c>
      <c r="AX1749" t="s">
        <v>57</v>
      </c>
      <c r="AY1749" t="s">
        <v>386</v>
      </c>
      <c r="AZ1749" t="s">
        <v>615</v>
      </c>
      <c r="BF1749">
        <v>0</v>
      </c>
      <c r="BK1749" t="s">
        <v>31</v>
      </c>
      <c r="BS1749" t="s">
        <v>379</v>
      </c>
      <c r="BT1749" t="s">
        <v>379</v>
      </c>
      <c r="CI1749" t="s">
        <v>388</v>
      </c>
      <c r="CJ1749" s="14">
        <v>45015</v>
      </c>
      <c r="CK1749">
        <v>1</v>
      </c>
    </row>
    <row r="1750" spans="1:89">
      <c r="A1750" t="s">
        <v>404</v>
      </c>
      <c r="B1750" t="s">
        <v>374</v>
      </c>
      <c r="C1750" t="s">
        <v>375</v>
      </c>
      <c r="D1750" t="s">
        <v>619</v>
      </c>
      <c r="E1750" t="s">
        <v>406</v>
      </c>
      <c r="F1750" s="13">
        <v>44805.526226851849</v>
      </c>
      <c r="G1750" t="s">
        <v>590</v>
      </c>
      <c r="H1750" t="s">
        <v>591</v>
      </c>
      <c r="I1750" s="13">
        <v>45012.044432870367</v>
      </c>
      <c r="K1750" t="s">
        <v>415</v>
      </c>
      <c r="M1750" s="13">
        <v>44834</v>
      </c>
      <c r="R1750">
        <v>100</v>
      </c>
      <c r="S1750" t="s">
        <v>380</v>
      </c>
      <c r="T1750" t="s">
        <v>57</v>
      </c>
      <c r="V1750" t="s">
        <v>478</v>
      </c>
      <c r="W1750" t="s">
        <v>591</v>
      </c>
      <c r="X1750" t="s">
        <v>591</v>
      </c>
      <c r="AF1750" t="s">
        <v>382</v>
      </c>
      <c r="AG1750" t="s">
        <v>406</v>
      </c>
      <c r="AI1750">
        <v>-178</v>
      </c>
      <c r="AJ1750" s="13">
        <v>44862</v>
      </c>
      <c r="AK1750" t="s">
        <v>480</v>
      </c>
      <c r="AL1750" t="s">
        <v>620</v>
      </c>
      <c r="AN1750" t="s">
        <v>31</v>
      </c>
      <c r="AO1750">
        <v>0</v>
      </c>
      <c r="AS1750" t="s">
        <v>526</v>
      </c>
      <c r="AX1750" t="s">
        <v>31</v>
      </c>
      <c r="AY1750" t="s">
        <v>386</v>
      </c>
      <c r="AZ1750" t="s">
        <v>621</v>
      </c>
      <c r="BF1750">
        <v>1</v>
      </c>
      <c r="BK1750" t="s">
        <v>57</v>
      </c>
      <c r="BR1750" s="13">
        <v>44862</v>
      </c>
      <c r="BS1750" t="s">
        <v>622</v>
      </c>
      <c r="BT1750" t="s">
        <v>623</v>
      </c>
      <c r="BZ1750" s="13">
        <v>44806</v>
      </c>
      <c r="CI1750" t="s">
        <v>388</v>
      </c>
      <c r="CJ1750" s="14">
        <v>45015</v>
      </c>
      <c r="CK1750">
        <v>1</v>
      </c>
    </row>
    <row r="1751" spans="1:89">
      <c r="A1751" t="s">
        <v>624</v>
      </c>
      <c r="B1751" t="s">
        <v>374</v>
      </c>
      <c r="C1751" t="s">
        <v>375</v>
      </c>
      <c r="D1751" t="s">
        <v>625</v>
      </c>
      <c r="E1751" t="s">
        <v>626</v>
      </c>
      <c r="F1751" s="13">
        <v>44805.478263888886</v>
      </c>
      <c r="G1751" t="s">
        <v>610</v>
      </c>
      <c r="H1751" t="s">
        <v>611</v>
      </c>
      <c r="I1751" s="13">
        <v>45012.044432870367</v>
      </c>
      <c r="K1751" t="s">
        <v>415</v>
      </c>
      <c r="M1751" s="13">
        <v>44834</v>
      </c>
      <c r="R1751">
        <v>0</v>
      </c>
      <c r="S1751" t="s">
        <v>380</v>
      </c>
      <c r="V1751" t="s">
        <v>478</v>
      </c>
      <c r="W1751" t="s">
        <v>627</v>
      </c>
      <c r="X1751" t="s">
        <v>627</v>
      </c>
      <c r="AF1751" t="s">
        <v>451</v>
      </c>
      <c r="AI1751">
        <v>-178</v>
      </c>
      <c r="AL1751" t="s">
        <v>628</v>
      </c>
      <c r="AN1751" t="s">
        <v>31</v>
      </c>
      <c r="AO1751">
        <v>0</v>
      </c>
      <c r="AZ1751" t="s">
        <v>629</v>
      </c>
      <c r="BF1751">
        <v>0</v>
      </c>
      <c r="BK1751" t="s">
        <v>31</v>
      </c>
      <c r="BS1751" t="s">
        <v>419</v>
      </c>
      <c r="BT1751" t="s">
        <v>419</v>
      </c>
      <c r="CI1751" t="s">
        <v>388</v>
      </c>
      <c r="CJ1751" s="14">
        <v>45015</v>
      </c>
      <c r="CK1751">
        <v>1</v>
      </c>
    </row>
    <row r="1752" spans="1:89">
      <c r="A1752" t="s">
        <v>404</v>
      </c>
      <c r="B1752" t="s">
        <v>374</v>
      </c>
      <c r="C1752" t="s">
        <v>375</v>
      </c>
      <c r="D1752" t="s">
        <v>630</v>
      </c>
      <c r="E1752" t="s">
        <v>631</v>
      </c>
      <c r="F1752" s="13">
        <v>44805.470196759263</v>
      </c>
      <c r="G1752" t="s">
        <v>407</v>
      </c>
      <c r="H1752" t="s">
        <v>408</v>
      </c>
      <c r="I1752" s="13">
        <v>44805.495474537034</v>
      </c>
      <c r="K1752" t="s">
        <v>379</v>
      </c>
      <c r="M1752" s="13">
        <v>44865</v>
      </c>
      <c r="R1752">
        <v>100</v>
      </c>
      <c r="S1752" t="s">
        <v>380</v>
      </c>
      <c r="T1752" t="s">
        <v>57</v>
      </c>
      <c r="V1752" t="s">
        <v>381</v>
      </c>
      <c r="W1752" t="s">
        <v>603</v>
      </c>
      <c r="X1752" t="s">
        <v>603</v>
      </c>
      <c r="AC1752" s="13">
        <v>44895</v>
      </c>
      <c r="AD1752" s="13">
        <v>44837</v>
      </c>
      <c r="AF1752" t="s">
        <v>382</v>
      </c>
      <c r="AG1752" t="s">
        <v>480</v>
      </c>
      <c r="AI1752">
        <v>60</v>
      </c>
      <c r="AK1752" t="s">
        <v>480</v>
      </c>
      <c r="AL1752" t="s">
        <v>632</v>
      </c>
      <c r="AN1752" t="s">
        <v>31</v>
      </c>
      <c r="AO1752">
        <v>0</v>
      </c>
      <c r="AS1752" t="s">
        <v>385</v>
      </c>
      <c r="AX1752" t="s">
        <v>57</v>
      </c>
      <c r="AY1752" t="s">
        <v>442</v>
      </c>
      <c r="AZ1752" t="s">
        <v>631</v>
      </c>
      <c r="BF1752">
        <v>0</v>
      </c>
      <c r="BK1752" t="s">
        <v>31</v>
      </c>
      <c r="BS1752" t="s">
        <v>379</v>
      </c>
      <c r="BT1752" t="s">
        <v>379</v>
      </c>
      <c r="CI1752" t="s">
        <v>388</v>
      </c>
      <c r="CJ1752" s="14">
        <v>45015</v>
      </c>
      <c r="CK1752">
        <v>1</v>
      </c>
    </row>
    <row r="1753" spans="1:89">
      <c r="A1753" t="s">
        <v>624</v>
      </c>
      <c r="B1753" t="s">
        <v>374</v>
      </c>
      <c r="C1753" t="s">
        <v>375</v>
      </c>
      <c r="D1753" t="s">
        <v>633</v>
      </c>
      <c r="E1753" t="s">
        <v>629</v>
      </c>
      <c r="F1753" s="13">
        <v>44805.449259259258</v>
      </c>
      <c r="G1753" t="s">
        <v>610</v>
      </c>
      <c r="H1753" t="s">
        <v>611</v>
      </c>
      <c r="I1753" s="13">
        <v>45012.044432870367</v>
      </c>
      <c r="K1753" t="s">
        <v>415</v>
      </c>
      <c r="M1753" s="13">
        <v>44834</v>
      </c>
      <c r="R1753">
        <v>100</v>
      </c>
      <c r="S1753" t="s">
        <v>380</v>
      </c>
      <c r="T1753" t="s">
        <v>57</v>
      </c>
      <c r="V1753" t="s">
        <v>478</v>
      </c>
      <c r="W1753" t="s">
        <v>627</v>
      </c>
      <c r="X1753" t="s">
        <v>627</v>
      </c>
      <c r="Y1753" t="s">
        <v>480</v>
      </c>
      <c r="AF1753" t="s">
        <v>382</v>
      </c>
      <c r="AG1753" t="s">
        <v>634</v>
      </c>
      <c r="AI1753">
        <v>-178</v>
      </c>
      <c r="AL1753" t="s">
        <v>635</v>
      </c>
      <c r="AN1753" t="s">
        <v>31</v>
      </c>
      <c r="AO1753">
        <v>0</v>
      </c>
      <c r="AS1753" t="s">
        <v>526</v>
      </c>
      <c r="AT1753" t="s">
        <v>31</v>
      </c>
      <c r="AX1753" t="s">
        <v>31</v>
      </c>
      <c r="AY1753" t="s">
        <v>386</v>
      </c>
      <c r="AZ1753" t="s">
        <v>636</v>
      </c>
      <c r="BF1753">
        <v>0</v>
      </c>
      <c r="BK1753" t="s">
        <v>31</v>
      </c>
      <c r="BS1753" t="s">
        <v>484</v>
      </c>
      <c r="BT1753" t="s">
        <v>484</v>
      </c>
      <c r="CI1753" t="s">
        <v>388</v>
      </c>
      <c r="CJ1753" s="14">
        <v>45015</v>
      </c>
      <c r="CK1753">
        <v>1</v>
      </c>
    </row>
    <row r="1754" spans="1:89">
      <c r="A1754" t="s">
        <v>637</v>
      </c>
      <c r="B1754" t="s">
        <v>374</v>
      </c>
      <c r="C1754" t="s">
        <v>638</v>
      </c>
      <c r="D1754" t="s">
        <v>639</v>
      </c>
      <c r="E1754" t="s">
        <v>640</v>
      </c>
      <c r="F1754" s="13">
        <v>44804.672384259262</v>
      </c>
      <c r="G1754" t="s">
        <v>641</v>
      </c>
      <c r="H1754" t="s">
        <v>642</v>
      </c>
      <c r="I1754" s="13">
        <v>44833.703101851854</v>
      </c>
      <c r="K1754" t="s">
        <v>412</v>
      </c>
      <c r="M1754" s="13">
        <v>44742</v>
      </c>
      <c r="R1754">
        <v>0</v>
      </c>
      <c r="S1754" t="s">
        <v>380</v>
      </c>
      <c r="T1754" t="s">
        <v>57</v>
      </c>
      <c r="V1754" t="s">
        <v>381</v>
      </c>
      <c r="W1754" t="s">
        <v>643</v>
      </c>
      <c r="X1754" t="s">
        <v>643</v>
      </c>
      <c r="AC1754" s="13">
        <v>44834</v>
      </c>
      <c r="AD1754" s="13">
        <v>44834</v>
      </c>
      <c r="AI1754">
        <v>-62</v>
      </c>
      <c r="AN1754" t="s">
        <v>31</v>
      </c>
      <c r="AO1754">
        <v>0</v>
      </c>
      <c r="AS1754" t="s">
        <v>538</v>
      </c>
      <c r="AX1754" t="s">
        <v>57</v>
      </c>
      <c r="AY1754" t="s">
        <v>442</v>
      </c>
      <c r="AZ1754" t="s">
        <v>644</v>
      </c>
      <c r="BF1754">
        <v>0</v>
      </c>
      <c r="BK1754" t="s">
        <v>31</v>
      </c>
      <c r="BS1754" t="s">
        <v>412</v>
      </c>
      <c r="CI1754" t="s">
        <v>388</v>
      </c>
      <c r="CJ1754" s="14">
        <v>45015</v>
      </c>
      <c r="CK1754">
        <v>1</v>
      </c>
    </row>
    <row r="1755" spans="1:89">
      <c r="A1755" t="s">
        <v>637</v>
      </c>
      <c r="B1755" t="s">
        <v>374</v>
      </c>
      <c r="C1755" t="s">
        <v>638</v>
      </c>
      <c r="D1755" t="s">
        <v>645</v>
      </c>
      <c r="E1755" t="s">
        <v>646</v>
      </c>
      <c r="F1755" s="13">
        <v>44804.672361111108</v>
      </c>
      <c r="G1755" t="s">
        <v>641</v>
      </c>
      <c r="H1755" t="s">
        <v>642</v>
      </c>
      <c r="I1755" s="13">
        <v>44833.703101851854</v>
      </c>
      <c r="K1755" t="s">
        <v>412</v>
      </c>
      <c r="M1755" s="13">
        <v>44620</v>
      </c>
      <c r="R1755">
        <v>0</v>
      </c>
      <c r="S1755" t="s">
        <v>416</v>
      </c>
      <c r="T1755" t="s">
        <v>57</v>
      </c>
      <c r="V1755" t="s">
        <v>381</v>
      </c>
      <c r="W1755" t="s">
        <v>647</v>
      </c>
      <c r="X1755" t="s">
        <v>647</v>
      </c>
      <c r="AC1755" s="13">
        <v>44711</v>
      </c>
      <c r="AD1755" s="13">
        <v>44711</v>
      </c>
      <c r="AI1755">
        <v>-184</v>
      </c>
      <c r="AN1755" t="s">
        <v>31</v>
      </c>
      <c r="AO1755">
        <v>0</v>
      </c>
      <c r="AS1755" t="s">
        <v>648</v>
      </c>
      <c r="AX1755" t="s">
        <v>31</v>
      </c>
      <c r="AY1755" t="s">
        <v>386</v>
      </c>
      <c r="AZ1755" t="s">
        <v>649</v>
      </c>
      <c r="BF1755">
        <v>0</v>
      </c>
      <c r="BK1755" t="s">
        <v>31</v>
      </c>
      <c r="BS1755" t="s">
        <v>412</v>
      </c>
      <c r="CI1755" t="s">
        <v>388</v>
      </c>
      <c r="CJ1755" s="14">
        <v>45015</v>
      </c>
      <c r="CK1755">
        <v>1</v>
      </c>
    </row>
    <row r="1756" spans="1:89">
      <c r="A1756" t="s">
        <v>637</v>
      </c>
      <c r="B1756" t="s">
        <v>374</v>
      </c>
      <c r="C1756" t="s">
        <v>638</v>
      </c>
      <c r="D1756" t="s">
        <v>650</v>
      </c>
      <c r="E1756" t="s">
        <v>651</v>
      </c>
      <c r="F1756" s="13">
        <v>44804.672337962962</v>
      </c>
      <c r="G1756" t="s">
        <v>641</v>
      </c>
      <c r="H1756" t="s">
        <v>642</v>
      </c>
      <c r="I1756" s="13">
        <v>44833.703101851854</v>
      </c>
      <c r="K1756" t="s">
        <v>412</v>
      </c>
      <c r="M1756" s="13">
        <v>44620</v>
      </c>
      <c r="R1756">
        <v>0</v>
      </c>
      <c r="S1756" t="s">
        <v>416</v>
      </c>
      <c r="T1756" t="s">
        <v>57</v>
      </c>
      <c r="V1756" t="s">
        <v>381</v>
      </c>
      <c r="W1756" t="s">
        <v>647</v>
      </c>
      <c r="X1756" t="s">
        <v>647</v>
      </c>
      <c r="AC1756" s="13">
        <v>44711</v>
      </c>
      <c r="AD1756" s="13">
        <v>44711</v>
      </c>
      <c r="AI1756">
        <v>-184</v>
      </c>
      <c r="AN1756" t="s">
        <v>31</v>
      </c>
      <c r="AO1756">
        <v>0</v>
      </c>
      <c r="AS1756" t="s">
        <v>392</v>
      </c>
      <c r="AX1756" t="s">
        <v>31</v>
      </c>
      <c r="AY1756" t="s">
        <v>386</v>
      </c>
      <c r="AZ1756" t="s">
        <v>652</v>
      </c>
      <c r="BF1756">
        <v>0</v>
      </c>
      <c r="BK1756" t="s">
        <v>31</v>
      </c>
      <c r="BS1756" t="s">
        <v>412</v>
      </c>
      <c r="CI1756" t="s">
        <v>388</v>
      </c>
      <c r="CJ1756" s="14">
        <v>45015</v>
      </c>
      <c r="CK1756">
        <v>1</v>
      </c>
    </row>
    <row r="1757" spans="1:89">
      <c r="A1757" t="s">
        <v>637</v>
      </c>
      <c r="B1757" t="s">
        <v>374</v>
      </c>
      <c r="C1757" t="s">
        <v>638</v>
      </c>
      <c r="D1757" t="s">
        <v>653</v>
      </c>
      <c r="E1757" t="s">
        <v>654</v>
      </c>
      <c r="F1757" s="13">
        <v>44804.672314814816</v>
      </c>
      <c r="G1757" t="s">
        <v>641</v>
      </c>
      <c r="H1757" t="s">
        <v>642</v>
      </c>
      <c r="I1757" s="13">
        <v>44833.703101851854</v>
      </c>
      <c r="K1757" t="s">
        <v>412</v>
      </c>
      <c r="M1757" s="13">
        <v>44620</v>
      </c>
      <c r="R1757">
        <v>0</v>
      </c>
      <c r="S1757" t="s">
        <v>380</v>
      </c>
      <c r="T1757" t="s">
        <v>57</v>
      </c>
      <c r="V1757" t="s">
        <v>381</v>
      </c>
      <c r="W1757" t="s">
        <v>647</v>
      </c>
      <c r="X1757" t="s">
        <v>647</v>
      </c>
      <c r="AC1757" s="13">
        <v>44711</v>
      </c>
      <c r="AD1757" s="13">
        <v>44711</v>
      </c>
      <c r="AI1757">
        <v>-184</v>
      </c>
      <c r="AN1757" t="s">
        <v>31</v>
      </c>
      <c r="AO1757">
        <v>0</v>
      </c>
      <c r="AS1757" t="s">
        <v>385</v>
      </c>
      <c r="AX1757" t="s">
        <v>31</v>
      </c>
      <c r="AY1757" t="s">
        <v>442</v>
      </c>
      <c r="AZ1757" t="s">
        <v>655</v>
      </c>
      <c r="BF1757">
        <v>0</v>
      </c>
      <c r="BK1757" t="s">
        <v>31</v>
      </c>
      <c r="BS1757" t="s">
        <v>412</v>
      </c>
      <c r="CI1757" t="s">
        <v>388</v>
      </c>
      <c r="CJ1757" s="14">
        <v>45015</v>
      </c>
      <c r="CK1757">
        <v>1</v>
      </c>
    </row>
    <row r="1758" spans="1:89">
      <c r="A1758" t="s">
        <v>637</v>
      </c>
      <c r="B1758" t="s">
        <v>374</v>
      </c>
      <c r="C1758" t="s">
        <v>638</v>
      </c>
      <c r="D1758" t="s">
        <v>656</v>
      </c>
      <c r="E1758" t="s">
        <v>657</v>
      </c>
      <c r="F1758" s="13">
        <v>44804.672303240739</v>
      </c>
      <c r="G1758" t="s">
        <v>641</v>
      </c>
      <c r="H1758" t="s">
        <v>642</v>
      </c>
      <c r="I1758" s="13">
        <v>44833.703101851854</v>
      </c>
      <c r="K1758" t="s">
        <v>412</v>
      </c>
      <c r="M1758" s="13">
        <v>44620</v>
      </c>
      <c r="R1758">
        <v>0</v>
      </c>
      <c r="S1758" t="s">
        <v>380</v>
      </c>
      <c r="T1758" t="s">
        <v>57</v>
      </c>
      <c r="V1758" t="s">
        <v>381</v>
      </c>
      <c r="W1758" t="s">
        <v>647</v>
      </c>
      <c r="X1758" t="s">
        <v>647</v>
      </c>
      <c r="AC1758" s="13">
        <v>44711</v>
      </c>
      <c r="AD1758" s="13">
        <v>44711</v>
      </c>
      <c r="AI1758">
        <v>-184</v>
      </c>
      <c r="AN1758" t="s">
        <v>31</v>
      </c>
      <c r="AO1758">
        <v>0</v>
      </c>
      <c r="AS1758" t="s">
        <v>385</v>
      </c>
      <c r="AX1758" t="s">
        <v>31</v>
      </c>
      <c r="AY1758" t="s">
        <v>442</v>
      </c>
      <c r="AZ1758" t="s">
        <v>658</v>
      </c>
      <c r="BF1758">
        <v>0</v>
      </c>
      <c r="BK1758" t="s">
        <v>31</v>
      </c>
      <c r="BS1758" t="s">
        <v>412</v>
      </c>
      <c r="CI1758" t="s">
        <v>388</v>
      </c>
      <c r="CJ1758" s="14">
        <v>45015</v>
      </c>
      <c r="CK1758">
        <v>1</v>
      </c>
    </row>
    <row r="1759" spans="1:89">
      <c r="A1759" t="s">
        <v>637</v>
      </c>
      <c r="B1759" t="s">
        <v>374</v>
      </c>
      <c r="C1759" t="s">
        <v>638</v>
      </c>
      <c r="D1759" t="s">
        <v>659</v>
      </c>
      <c r="E1759" t="s">
        <v>660</v>
      </c>
      <c r="F1759" s="13">
        <v>44804.672280092593</v>
      </c>
      <c r="G1759" t="s">
        <v>641</v>
      </c>
      <c r="H1759" t="s">
        <v>642</v>
      </c>
      <c r="I1759" s="13">
        <v>44833.703101851854</v>
      </c>
      <c r="K1759" t="s">
        <v>412</v>
      </c>
      <c r="M1759" s="13">
        <v>44620</v>
      </c>
      <c r="R1759">
        <v>0</v>
      </c>
      <c r="S1759" t="s">
        <v>380</v>
      </c>
      <c r="T1759" t="s">
        <v>57</v>
      </c>
      <c r="V1759" t="s">
        <v>381</v>
      </c>
      <c r="W1759" t="s">
        <v>647</v>
      </c>
      <c r="X1759" t="s">
        <v>647</v>
      </c>
      <c r="AC1759" s="13">
        <v>44711</v>
      </c>
      <c r="AD1759" s="13">
        <v>44711</v>
      </c>
      <c r="AI1759">
        <v>-184</v>
      </c>
      <c r="AN1759" t="s">
        <v>31</v>
      </c>
      <c r="AO1759">
        <v>0</v>
      </c>
      <c r="AS1759" t="s">
        <v>526</v>
      </c>
      <c r="AX1759" t="s">
        <v>31</v>
      </c>
      <c r="AY1759" t="s">
        <v>442</v>
      </c>
      <c r="AZ1759" t="s">
        <v>661</v>
      </c>
      <c r="BF1759">
        <v>0</v>
      </c>
      <c r="BK1759" t="s">
        <v>31</v>
      </c>
      <c r="BS1759" t="s">
        <v>412</v>
      </c>
      <c r="CI1759" t="s">
        <v>388</v>
      </c>
      <c r="CJ1759" s="14">
        <v>45015</v>
      </c>
      <c r="CK1759">
        <v>1</v>
      </c>
    </row>
    <row r="1760" spans="1:89">
      <c r="A1760" t="s">
        <v>637</v>
      </c>
      <c r="B1760" t="s">
        <v>374</v>
      </c>
      <c r="C1760" t="s">
        <v>638</v>
      </c>
      <c r="D1760" t="s">
        <v>662</v>
      </c>
      <c r="E1760" t="s">
        <v>663</v>
      </c>
      <c r="F1760" s="13">
        <v>44804.672256944446</v>
      </c>
      <c r="G1760" t="s">
        <v>641</v>
      </c>
      <c r="H1760" t="s">
        <v>642</v>
      </c>
      <c r="I1760" s="13">
        <v>44833.703101851854</v>
      </c>
      <c r="K1760" t="s">
        <v>412</v>
      </c>
      <c r="M1760" s="13">
        <v>44620</v>
      </c>
      <c r="R1760">
        <v>0</v>
      </c>
      <c r="S1760" t="s">
        <v>380</v>
      </c>
      <c r="T1760" t="s">
        <v>57</v>
      </c>
      <c r="V1760" t="s">
        <v>381</v>
      </c>
      <c r="W1760" t="s">
        <v>647</v>
      </c>
      <c r="X1760" t="s">
        <v>647</v>
      </c>
      <c r="AC1760" s="13">
        <v>44711</v>
      </c>
      <c r="AD1760" s="13">
        <v>44711</v>
      </c>
      <c r="AI1760">
        <v>-184</v>
      </c>
      <c r="AN1760" t="s">
        <v>31</v>
      </c>
      <c r="AO1760">
        <v>0</v>
      </c>
      <c r="AS1760" t="s">
        <v>648</v>
      </c>
      <c r="AX1760" t="s">
        <v>31</v>
      </c>
      <c r="AY1760" t="s">
        <v>442</v>
      </c>
      <c r="AZ1760" t="s">
        <v>648</v>
      </c>
      <c r="BF1760">
        <v>0</v>
      </c>
      <c r="BK1760" t="s">
        <v>31</v>
      </c>
      <c r="BS1760" t="s">
        <v>412</v>
      </c>
      <c r="CI1760" t="s">
        <v>388</v>
      </c>
      <c r="CJ1760" s="14">
        <v>45015</v>
      </c>
      <c r="CK1760">
        <v>1</v>
      </c>
    </row>
    <row r="1761" spans="1:89">
      <c r="A1761" t="s">
        <v>637</v>
      </c>
      <c r="B1761" t="s">
        <v>374</v>
      </c>
      <c r="C1761" t="s">
        <v>638</v>
      </c>
      <c r="D1761" t="s">
        <v>664</v>
      </c>
      <c r="E1761" t="s">
        <v>665</v>
      </c>
      <c r="F1761" s="13">
        <v>44804.67224537037</v>
      </c>
      <c r="G1761" t="s">
        <v>641</v>
      </c>
      <c r="H1761" t="s">
        <v>642</v>
      </c>
      <c r="I1761" s="13">
        <v>44833.703101851854</v>
      </c>
      <c r="K1761" t="s">
        <v>412</v>
      </c>
      <c r="M1761" s="13">
        <v>44620</v>
      </c>
      <c r="R1761">
        <v>0</v>
      </c>
      <c r="S1761" t="s">
        <v>380</v>
      </c>
      <c r="T1761" t="s">
        <v>57</v>
      </c>
      <c r="V1761" t="s">
        <v>381</v>
      </c>
      <c r="W1761" t="s">
        <v>647</v>
      </c>
      <c r="X1761" t="s">
        <v>647</v>
      </c>
      <c r="AC1761" s="13">
        <v>44711</v>
      </c>
      <c r="AD1761" s="13">
        <v>44711</v>
      </c>
      <c r="AI1761">
        <v>-184</v>
      </c>
      <c r="AN1761" t="s">
        <v>31</v>
      </c>
      <c r="AO1761">
        <v>0</v>
      </c>
      <c r="AS1761" t="s">
        <v>385</v>
      </c>
      <c r="AX1761" t="s">
        <v>31</v>
      </c>
      <c r="AY1761" t="s">
        <v>442</v>
      </c>
      <c r="AZ1761" t="s">
        <v>666</v>
      </c>
      <c r="BF1761">
        <v>0</v>
      </c>
      <c r="BK1761" t="s">
        <v>31</v>
      </c>
      <c r="BS1761" t="s">
        <v>412</v>
      </c>
      <c r="CI1761" t="s">
        <v>388</v>
      </c>
      <c r="CJ1761" s="14">
        <v>45015</v>
      </c>
      <c r="CK1761">
        <v>1</v>
      </c>
    </row>
    <row r="1762" spans="1:89">
      <c r="A1762" t="s">
        <v>637</v>
      </c>
      <c r="B1762" t="s">
        <v>374</v>
      </c>
      <c r="C1762" t="s">
        <v>638</v>
      </c>
      <c r="D1762" t="s">
        <v>667</v>
      </c>
      <c r="E1762" t="s">
        <v>668</v>
      </c>
      <c r="F1762" s="13">
        <v>44804.672222222223</v>
      </c>
      <c r="G1762" t="s">
        <v>641</v>
      </c>
      <c r="H1762" t="s">
        <v>642</v>
      </c>
      <c r="I1762" s="13">
        <v>44833.703101851854</v>
      </c>
      <c r="K1762" t="s">
        <v>412</v>
      </c>
      <c r="M1762" s="13">
        <v>44620</v>
      </c>
      <c r="R1762">
        <v>0</v>
      </c>
      <c r="S1762" t="s">
        <v>380</v>
      </c>
      <c r="T1762" t="s">
        <v>57</v>
      </c>
      <c r="V1762" t="s">
        <v>381</v>
      </c>
      <c r="W1762" t="s">
        <v>647</v>
      </c>
      <c r="X1762" t="s">
        <v>647</v>
      </c>
      <c r="AC1762" s="13">
        <v>44711</v>
      </c>
      <c r="AD1762" s="13">
        <v>44711</v>
      </c>
      <c r="AI1762">
        <v>-184</v>
      </c>
      <c r="AN1762" t="s">
        <v>31</v>
      </c>
      <c r="AO1762">
        <v>0</v>
      </c>
      <c r="AS1762" t="s">
        <v>648</v>
      </c>
      <c r="AX1762" t="s">
        <v>31</v>
      </c>
      <c r="AY1762" t="s">
        <v>442</v>
      </c>
      <c r="AZ1762" t="s">
        <v>669</v>
      </c>
      <c r="BF1762">
        <v>0</v>
      </c>
      <c r="BK1762" t="s">
        <v>31</v>
      </c>
      <c r="BS1762" t="s">
        <v>412</v>
      </c>
      <c r="CI1762" t="s">
        <v>388</v>
      </c>
      <c r="CJ1762" s="14">
        <v>45015</v>
      </c>
      <c r="CK1762">
        <v>1</v>
      </c>
    </row>
    <row r="1763" spans="1:89">
      <c r="A1763" t="s">
        <v>637</v>
      </c>
      <c r="B1763" t="s">
        <v>374</v>
      </c>
      <c r="C1763" t="s">
        <v>638</v>
      </c>
      <c r="D1763" t="s">
        <v>670</v>
      </c>
      <c r="E1763" t="s">
        <v>671</v>
      </c>
      <c r="F1763" s="13">
        <v>44804.672199074077</v>
      </c>
      <c r="G1763" t="s">
        <v>641</v>
      </c>
      <c r="H1763" t="s">
        <v>642</v>
      </c>
      <c r="I1763" s="13">
        <v>44833.703101851854</v>
      </c>
      <c r="K1763" t="s">
        <v>412</v>
      </c>
      <c r="M1763" s="13">
        <v>44620</v>
      </c>
      <c r="R1763">
        <v>0</v>
      </c>
      <c r="S1763" t="s">
        <v>380</v>
      </c>
      <c r="T1763" t="s">
        <v>57</v>
      </c>
      <c r="V1763" t="s">
        <v>381</v>
      </c>
      <c r="W1763" t="s">
        <v>647</v>
      </c>
      <c r="X1763" t="s">
        <v>647</v>
      </c>
      <c r="AC1763" s="13">
        <v>44711</v>
      </c>
      <c r="AD1763" s="13">
        <v>44711</v>
      </c>
      <c r="AI1763">
        <v>-184</v>
      </c>
      <c r="AN1763" t="s">
        <v>31</v>
      </c>
      <c r="AO1763">
        <v>0</v>
      </c>
      <c r="AS1763" t="s">
        <v>538</v>
      </c>
      <c r="AX1763" t="s">
        <v>31</v>
      </c>
      <c r="AY1763" t="s">
        <v>442</v>
      </c>
      <c r="AZ1763" t="s">
        <v>672</v>
      </c>
      <c r="BF1763">
        <v>0</v>
      </c>
      <c r="BK1763" t="s">
        <v>31</v>
      </c>
      <c r="BS1763" t="s">
        <v>412</v>
      </c>
      <c r="CI1763" t="s">
        <v>388</v>
      </c>
      <c r="CJ1763" s="14">
        <v>45015</v>
      </c>
      <c r="CK1763">
        <v>1</v>
      </c>
    </row>
    <row r="1764" spans="1:89">
      <c r="A1764" t="s">
        <v>673</v>
      </c>
      <c r="B1764" t="s">
        <v>374</v>
      </c>
      <c r="C1764" t="s">
        <v>674</v>
      </c>
      <c r="D1764" t="s">
        <v>675</v>
      </c>
      <c r="E1764" t="s">
        <v>676</v>
      </c>
      <c r="F1764" s="13">
        <v>44804.451608796298</v>
      </c>
      <c r="G1764" t="s">
        <v>677</v>
      </c>
      <c r="H1764" t="s">
        <v>678</v>
      </c>
      <c r="I1764" s="13">
        <v>44804.457673611112</v>
      </c>
      <c r="K1764" t="s">
        <v>412</v>
      </c>
      <c r="R1764">
        <v>0</v>
      </c>
      <c r="S1764" t="s">
        <v>380</v>
      </c>
      <c r="T1764" t="s">
        <v>57</v>
      </c>
      <c r="V1764" t="s">
        <v>381</v>
      </c>
      <c r="W1764" t="s">
        <v>679</v>
      </c>
      <c r="X1764" t="s">
        <v>679</v>
      </c>
      <c r="AI1764">
        <v>20</v>
      </c>
      <c r="AL1764" t="s">
        <v>680</v>
      </c>
      <c r="AN1764" t="s">
        <v>31</v>
      </c>
      <c r="AO1764">
        <v>0</v>
      </c>
      <c r="AZ1764" t="s">
        <v>676</v>
      </c>
      <c r="BF1764">
        <v>0</v>
      </c>
      <c r="BK1764" t="s">
        <v>31</v>
      </c>
      <c r="BS1764" t="s">
        <v>412</v>
      </c>
      <c r="BT1764" t="s">
        <v>412</v>
      </c>
      <c r="CI1764" t="s">
        <v>388</v>
      </c>
      <c r="CJ1764" s="14">
        <v>45015</v>
      </c>
      <c r="CK1764">
        <v>1</v>
      </c>
    </row>
    <row r="1765" spans="1:89">
      <c r="A1765" t="s">
        <v>673</v>
      </c>
      <c r="B1765" t="s">
        <v>374</v>
      </c>
      <c r="C1765" t="s">
        <v>674</v>
      </c>
      <c r="D1765" t="s">
        <v>681</v>
      </c>
      <c r="E1765" t="s">
        <v>682</v>
      </c>
      <c r="F1765" s="13">
        <v>44804.450381944444</v>
      </c>
      <c r="G1765" t="s">
        <v>677</v>
      </c>
      <c r="H1765" t="s">
        <v>678</v>
      </c>
      <c r="I1765" s="13">
        <v>44804.457071759258</v>
      </c>
      <c r="K1765" t="s">
        <v>412</v>
      </c>
      <c r="R1765">
        <v>0</v>
      </c>
      <c r="S1765" t="s">
        <v>380</v>
      </c>
      <c r="T1765" t="s">
        <v>57</v>
      </c>
      <c r="V1765" t="s">
        <v>381</v>
      </c>
      <c r="W1765" t="s">
        <v>683</v>
      </c>
      <c r="X1765" t="s">
        <v>683</v>
      </c>
      <c r="AI1765">
        <v>20</v>
      </c>
      <c r="AL1765" t="s">
        <v>680</v>
      </c>
      <c r="AN1765" t="s">
        <v>31</v>
      </c>
      <c r="AO1765">
        <v>0</v>
      </c>
      <c r="AS1765" t="s">
        <v>385</v>
      </c>
      <c r="AZ1765" t="s">
        <v>682</v>
      </c>
      <c r="BF1765">
        <v>0</v>
      </c>
      <c r="BK1765" t="s">
        <v>31</v>
      </c>
      <c r="BS1765" t="s">
        <v>412</v>
      </c>
      <c r="BT1765" t="s">
        <v>412</v>
      </c>
      <c r="CI1765" t="s">
        <v>388</v>
      </c>
      <c r="CJ1765" s="14">
        <v>45015</v>
      </c>
      <c r="CK1765">
        <v>1</v>
      </c>
    </row>
    <row r="1766" spans="1:89">
      <c r="A1766" t="s">
        <v>404</v>
      </c>
      <c r="B1766" t="s">
        <v>374</v>
      </c>
      <c r="C1766" t="s">
        <v>375</v>
      </c>
      <c r="D1766" t="s">
        <v>684</v>
      </c>
      <c r="E1766" t="s">
        <v>685</v>
      </c>
      <c r="F1766" s="13">
        <v>44797.441041666665</v>
      </c>
      <c r="G1766" t="s">
        <v>407</v>
      </c>
      <c r="H1766" t="s">
        <v>408</v>
      </c>
      <c r="I1766" s="13">
        <v>44797.456944444442</v>
      </c>
      <c r="R1766">
        <v>0</v>
      </c>
      <c r="S1766" t="s">
        <v>416</v>
      </c>
      <c r="T1766" t="s">
        <v>57</v>
      </c>
      <c r="V1766" t="s">
        <v>381</v>
      </c>
      <c r="W1766" t="s">
        <v>686</v>
      </c>
      <c r="X1766" t="s">
        <v>686</v>
      </c>
      <c r="AI1766">
        <v>38</v>
      </c>
      <c r="AN1766" t="s">
        <v>31</v>
      </c>
      <c r="AO1766">
        <v>0</v>
      </c>
      <c r="AY1766" t="s">
        <v>442</v>
      </c>
      <c r="AZ1766" t="s">
        <v>574</v>
      </c>
      <c r="BF1766">
        <v>0</v>
      </c>
      <c r="BK1766" t="s">
        <v>31</v>
      </c>
      <c r="BS1766" t="s">
        <v>412</v>
      </c>
      <c r="CI1766" t="s">
        <v>388</v>
      </c>
      <c r="CJ1766" s="14">
        <v>45015</v>
      </c>
      <c r="CK1766">
        <v>1</v>
      </c>
    </row>
    <row r="1767" spans="1:89">
      <c r="A1767" t="s">
        <v>687</v>
      </c>
      <c r="B1767" t="s">
        <v>374</v>
      </c>
      <c r="C1767" t="s">
        <v>688</v>
      </c>
      <c r="D1767" t="s">
        <v>689</v>
      </c>
      <c r="E1767" t="s">
        <v>690</v>
      </c>
      <c r="F1767" s="13">
        <v>44797.421053240738</v>
      </c>
      <c r="G1767" t="s">
        <v>590</v>
      </c>
      <c r="H1767" t="s">
        <v>591</v>
      </c>
      <c r="I1767" s="13">
        <v>45012.044421296298</v>
      </c>
      <c r="K1767" t="s">
        <v>415</v>
      </c>
      <c r="M1767" s="13">
        <v>44893</v>
      </c>
      <c r="R1767">
        <v>100</v>
      </c>
      <c r="S1767" t="s">
        <v>416</v>
      </c>
      <c r="T1767" t="s">
        <v>57</v>
      </c>
      <c r="V1767" t="s">
        <v>478</v>
      </c>
      <c r="W1767" t="s">
        <v>591</v>
      </c>
      <c r="X1767" t="s">
        <v>591</v>
      </c>
      <c r="AF1767" t="s">
        <v>382</v>
      </c>
      <c r="AG1767" t="s">
        <v>691</v>
      </c>
      <c r="AI1767">
        <v>-119</v>
      </c>
      <c r="AL1767" t="s">
        <v>692</v>
      </c>
      <c r="AN1767" t="s">
        <v>31</v>
      </c>
      <c r="AO1767">
        <v>0</v>
      </c>
      <c r="AZ1767" t="s">
        <v>690</v>
      </c>
      <c r="BF1767">
        <v>0</v>
      </c>
      <c r="BK1767" t="s">
        <v>31</v>
      </c>
      <c r="BS1767" t="s">
        <v>419</v>
      </c>
      <c r="BT1767" t="s">
        <v>419</v>
      </c>
      <c r="CI1767" t="s">
        <v>388</v>
      </c>
      <c r="CJ1767" s="14">
        <v>45015</v>
      </c>
      <c r="CK1767">
        <v>1</v>
      </c>
    </row>
    <row r="1768" spans="1:89">
      <c r="A1768" t="s">
        <v>687</v>
      </c>
      <c r="B1768" t="s">
        <v>374</v>
      </c>
      <c r="C1768" t="s">
        <v>688</v>
      </c>
      <c r="D1768" t="s">
        <v>693</v>
      </c>
      <c r="E1768" t="s">
        <v>691</v>
      </c>
      <c r="F1768" s="13">
        <v>44797.416203703702</v>
      </c>
      <c r="G1768" t="s">
        <v>590</v>
      </c>
      <c r="H1768" t="s">
        <v>591</v>
      </c>
      <c r="I1768" s="13">
        <v>45012.044421296298</v>
      </c>
      <c r="K1768" t="s">
        <v>415</v>
      </c>
      <c r="M1768" s="13">
        <v>44893</v>
      </c>
      <c r="R1768">
        <v>0</v>
      </c>
      <c r="S1768" t="s">
        <v>380</v>
      </c>
      <c r="T1768" t="s">
        <v>57</v>
      </c>
      <c r="V1768" t="s">
        <v>478</v>
      </c>
      <c r="W1768" t="s">
        <v>591</v>
      </c>
      <c r="X1768" t="s">
        <v>591</v>
      </c>
      <c r="AF1768" t="s">
        <v>451</v>
      </c>
      <c r="AI1768">
        <v>-119</v>
      </c>
      <c r="AL1768" t="s">
        <v>692</v>
      </c>
      <c r="AN1768" t="s">
        <v>31</v>
      </c>
      <c r="AO1768">
        <v>0</v>
      </c>
      <c r="AZ1768" t="s">
        <v>691</v>
      </c>
      <c r="BF1768">
        <v>0</v>
      </c>
      <c r="BK1768" t="s">
        <v>31</v>
      </c>
      <c r="BS1768" t="s">
        <v>419</v>
      </c>
      <c r="BT1768" t="s">
        <v>419</v>
      </c>
      <c r="CI1768" t="s">
        <v>388</v>
      </c>
      <c r="CJ1768" s="14">
        <v>45015</v>
      </c>
      <c r="CK1768">
        <v>1</v>
      </c>
    </row>
    <row r="1769" spans="1:89">
      <c r="A1769" t="s">
        <v>404</v>
      </c>
      <c r="B1769" t="s">
        <v>374</v>
      </c>
      <c r="C1769" t="s">
        <v>375</v>
      </c>
      <c r="D1769" t="s">
        <v>694</v>
      </c>
      <c r="E1769" t="s">
        <v>695</v>
      </c>
      <c r="F1769" s="13">
        <v>44797.397939814815</v>
      </c>
      <c r="G1769" t="s">
        <v>407</v>
      </c>
      <c r="H1769" t="s">
        <v>408</v>
      </c>
      <c r="I1769" s="13">
        <v>44797.416712962964</v>
      </c>
      <c r="K1769" t="s">
        <v>379</v>
      </c>
      <c r="M1769" s="13">
        <v>44834</v>
      </c>
      <c r="R1769">
        <v>100</v>
      </c>
      <c r="S1769" t="s">
        <v>380</v>
      </c>
      <c r="T1769" t="s">
        <v>57</v>
      </c>
      <c r="V1769" t="s">
        <v>381</v>
      </c>
      <c r="W1769" t="s">
        <v>408</v>
      </c>
      <c r="X1769" t="s">
        <v>408</v>
      </c>
      <c r="AC1769" s="13">
        <v>44863</v>
      </c>
      <c r="AD1769" s="13">
        <v>44834</v>
      </c>
      <c r="AF1769" t="s">
        <v>382</v>
      </c>
      <c r="AG1769" t="s">
        <v>695</v>
      </c>
      <c r="AI1769">
        <v>37</v>
      </c>
      <c r="AK1769" t="s">
        <v>480</v>
      </c>
      <c r="AL1769" t="s">
        <v>696</v>
      </c>
      <c r="AN1769" t="s">
        <v>31</v>
      </c>
      <c r="AO1769">
        <v>0</v>
      </c>
      <c r="AS1769" t="s">
        <v>385</v>
      </c>
      <c r="AX1769" t="s">
        <v>31</v>
      </c>
      <c r="AY1769" t="s">
        <v>386</v>
      </c>
      <c r="AZ1769" t="s">
        <v>695</v>
      </c>
      <c r="BF1769">
        <v>0</v>
      </c>
      <c r="BK1769" t="s">
        <v>31</v>
      </c>
      <c r="BS1769" t="s">
        <v>379</v>
      </c>
      <c r="BT1769" t="s">
        <v>379</v>
      </c>
      <c r="CI1769" t="s">
        <v>388</v>
      </c>
      <c r="CJ1769" s="14">
        <v>45015</v>
      </c>
      <c r="CK1769">
        <v>1</v>
      </c>
    </row>
    <row r="1770" spans="1:89">
      <c r="A1770" t="s">
        <v>697</v>
      </c>
      <c r="B1770" t="s">
        <v>374</v>
      </c>
      <c r="C1770" t="s">
        <v>698</v>
      </c>
      <c r="D1770" t="s">
        <v>699</v>
      </c>
      <c r="E1770" t="s">
        <v>700</v>
      </c>
      <c r="F1770" s="13">
        <v>44795.506469907406</v>
      </c>
      <c r="G1770" t="s">
        <v>641</v>
      </c>
      <c r="H1770" t="s">
        <v>642</v>
      </c>
      <c r="I1770" s="13">
        <v>44795.506481481483</v>
      </c>
      <c r="K1770" t="s">
        <v>412</v>
      </c>
      <c r="M1770" s="13">
        <v>44666</v>
      </c>
      <c r="R1770">
        <v>0</v>
      </c>
      <c r="S1770" t="s">
        <v>380</v>
      </c>
      <c r="T1770" t="s">
        <v>57</v>
      </c>
      <c r="V1770" t="s">
        <v>381</v>
      </c>
      <c r="W1770" t="s">
        <v>701</v>
      </c>
      <c r="X1770" t="s">
        <v>701</v>
      </c>
      <c r="AC1770" s="13">
        <v>44666</v>
      </c>
      <c r="AD1770" s="13">
        <v>44592</v>
      </c>
      <c r="AI1770">
        <v>-129</v>
      </c>
      <c r="AN1770" t="s">
        <v>31</v>
      </c>
      <c r="AO1770">
        <v>0</v>
      </c>
      <c r="AS1770" t="s">
        <v>702</v>
      </c>
      <c r="AX1770" t="s">
        <v>31</v>
      </c>
      <c r="AY1770" t="s">
        <v>442</v>
      </c>
      <c r="AZ1770" t="s">
        <v>703</v>
      </c>
      <c r="BF1770">
        <v>0</v>
      </c>
      <c r="BK1770" t="s">
        <v>31</v>
      </c>
      <c r="BS1770" t="s">
        <v>412</v>
      </c>
      <c r="CI1770" t="s">
        <v>388</v>
      </c>
      <c r="CJ1770" s="14">
        <v>45015</v>
      </c>
      <c r="CK1770">
        <v>1</v>
      </c>
    </row>
    <row r="1771" spans="1:89">
      <c r="A1771" t="s">
        <v>697</v>
      </c>
      <c r="B1771" t="s">
        <v>374</v>
      </c>
      <c r="C1771" t="s">
        <v>698</v>
      </c>
      <c r="D1771" t="s">
        <v>704</v>
      </c>
      <c r="E1771" t="s">
        <v>705</v>
      </c>
      <c r="F1771" s="13">
        <v>44795.50644675926</v>
      </c>
      <c r="G1771" t="s">
        <v>641</v>
      </c>
      <c r="H1771" t="s">
        <v>642</v>
      </c>
      <c r="I1771" s="13">
        <v>44795.506458333337</v>
      </c>
      <c r="K1771" t="s">
        <v>412</v>
      </c>
      <c r="M1771" s="13">
        <v>44607</v>
      </c>
      <c r="R1771">
        <v>0</v>
      </c>
      <c r="S1771" t="s">
        <v>380</v>
      </c>
      <c r="T1771" t="s">
        <v>57</v>
      </c>
      <c r="V1771" t="s">
        <v>381</v>
      </c>
      <c r="W1771" t="s">
        <v>706</v>
      </c>
      <c r="X1771" t="s">
        <v>706</v>
      </c>
      <c r="AI1771">
        <v>-188</v>
      </c>
      <c r="AN1771" t="s">
        <v>31</v>
      </c>
      <c r="AO1771">
        <v>0</v>
      </c>
      <c r="AS1771" t="s">
        <v>707</v>
      </c>
      <c r="AX1771" t="s">
        <v>31</v>
      </c>
      <c r="AY1771" t="s">
        <v>442</v>
      </c>
      <c r="AZ1771" t="s">
        <v>708</v>
      </c>
      <c r="BF1771">
        <v>0</v>
      </c>
      <c r="BK1771" t="s">
        <v>31</v>
      </c>
      <c r="BS1771" t="s">
        <v>412</v>
      </c>
      <c r="CI1771" t="s">
        <v>388</v>
      </c>
      <c r="CJ1771" s="14">
        <v>45015</v>
      </c>
      <c r="CK1771">
        <v>1</v>
      </c>
    </row>
    <row r="1772" spans="1:89">
      <c r="A1772" t="s">
        <v>697</v>
      </c>
      <c r="B1772" t="s">
        <v>374</v>
      </c>
      <c r="C1772" t="s">
        <v>698</v>
      </c>
      <c r="D1772" t="s">
        <v>709</v>
      </c>
      <c r="E1772" t="s">
        <v>700</v>
      </c>
      <c r="F1772" s="13">
        <v>44795.506423611114</v>
      </c>
      <c r="G1772" t="s">
        <v>641</v>
      </c>
      <c r="H1772" t="s">
        <v>642</v>
      </c>
      <c r="I1772" s="13">
        <v>44795.506435185183</v>
      </c>
      <c r="K1772" t="s">
        <v>412</v>
      </c>
      <c r="M1772" s="13">
        <v>44666</v>
      </c>
      <c r="R1772">
        <v>0</v>
      </c>
      <c r="S1772" t="s">
        <v>380</v>
      </c>
      <c r="T1772" t="s">
        <v>57</v>
      </c>
      <c r="V1772" t="s">
        <v>381</v>
      </c>
      <c r="W1772" t="s">
        <v>701</v>
      </c>
      <c r="X1772" t="s">
        <v>701</v>
      </c>
      <c r="AC1772" s="13">
        <v>44666</v>
      </c>
      <c r="AD1772" s="13">
        <v>44592</v>
      </c>
      <c r="AI1772">
        <v>-129</v>
      </c>
      <c r="AN1772" t="s">
        <v>31</v>
      </c>
      <c r="AO1772">
        <v>0</v>
      </c>
      <c r="AS1772" t="s">
        <v>702</v>
      </c>
      <c r="AX1772" t="s">
        <v>31</v>
      </c>
      <c r="AY1772" t="s">
        <v>442</v>
      </c>
      <c r="AZ1772" t="s">
        <v>703</v>
      </c>
      <c r="BF1772">
        <v>0</v>
      </c>
      <c r="BK1772" t="s">
        <v>31</v>
      </c>
      <c r="BS1772" t="s">
        <v>412</v>
      </c>
      <c r="CI1772" t="s">
        <v>388</v>
      </c>
      <c r="CJ1772" s="14">
        <v>45015</v>
      </c>
      <c r="CK1772">
        <v>1</v>
      </c>
    </row>
    <row r="1773" spans="1:89">
      <c r="A1773" t="s">
        <v>697</v>
      </c>
      <c r="B1773" t="s">
        <v>374</v>
      </c>
      <c r="C1773" t="s">
        <v>698</v>
      </c>
      <c r="D1773" t="s">
        <v>710</v>
      </c>
      <c r="E1773" t="s">
        <v>700</v>
      </c>
      <c r="F1773" s="13">
        <v>44795.506412037037</v>
      </c>
      <c r="G1773" t="s">
        <v>641</v>
      </c>
      <c r="H1773" t="s">
        <v>642</v>
      </c>
      <c r="I1773" s="13">
        <v>44795.506412037037</v>
      </c>
      <c r="K1773" t="s">
        <v>412</v>
      </c>
      <c r="M1773" s="13">
        <v>44666</v>
      </c>
      <c r="R1773">
        <v>0</v>
      </c>
      <c r="S1773" t="s">
        <v>380</v>
      </c>
      <c r="T1773" t="s">
        <v>57</v>
      </c>
      <c r="V1773" t="s">
        <v>381</v>
      </c>
      <c r="W1773" t="s">
        <v>701</v>
      </c>
      <c r="X1773" t="s">
        <v>701</v>
      </c>
      <c r="AC1773" s="13">
        <v>44666</v>
      </c>
      <c r="AD1773" s="13">
        <v>44592</v>
      </c>
      <c r="AI1773">
        <v>-129</v>
      </c>
      <c r="AN1773" t="s">
        <v>31</v>
      </c>
      <c r="AO1773">
        <v>0</v>
      </c>
      <c r="AS1773" t="s">
        <v>702</v>
      </c>
      <c r="AX1773" t="s">
        <v>31</v>
      </c>
      <c r="AY1773" t="s">
        <v>442</v>
      </c>
      <c r="AZ1773" t="s">
        <v>703</v>
      </c>
      <c r="BF1773">
        <v>0</v>
      </c>
      <c r="BK1773" t="s">
        <v>31</v>
      </c>
      <c r="BS1773" t="s">
        <v>412</v>
      </c>
      <c r="CI1773" t="s">
        <v>388</v>
      </c>
      <c r="CJ1773" s="14">
        <v>45015</v>
      </c>
      <c r="CK1773">
        <v>1</v>
      </c>
    </row>
    <row r="1774" spans="1:89">
      <c r="A1774" t="s">
        <v>711</v>
      </c>
      <c r="B1774" t="s">
        <v>374</v>
      </c>
      <c r="C1774" t="s">
        <v>712</v>
      </c>
      <c r="D1774" t="s">
        <v>713</v>
      </c>
      <c r="E1774" t="s">
        <v>705</v>
      </c>
      <c r="F1774" s="13">
        <v>44795.506388888891</v>
      </c>
      <c r="G1774" t="s">
        <v>641</v>
      </c>
      <c r="H1774" t="s">
        <v>642</v>
      </c>
      <c r="I1774" s="13">
        <v>44795.50640046296</v>
      </c>
      <c r="K1774" t="s">
        <v>412</v>
      </c>
      <c r="M1774" s="13">
        <v>44607</v>
      </c>
      <c r="R1774">
        <v>0</v>
      </c>
      <c r="S1774" t="s">
        <v>380</v>
      </c>
      <c r="T1774" t="s">
        <v>57</v>
      </c>
      <c r="V1774" t="s">
        <v>381</v>
      </c>
      <c r="W1774" t="s">
        <v>706</v>
      </c>
      <c r="X1774" t="s">
        <v>706</v>
      </c>
      <c r="AI1774">
        <v>-188</v>
      </c>
      <c r="AN1774" t="s">
        <v>31</v>
      </c>
      <c r="AO1774">
        <v>0</v>
      </c>
      <c r="AS1774" t="s">
        <v>707</v>
      </c>
      <c r="AX1774" t="s">
        <v>31</v>
      </c>
      <c r="AY1774" t="s">
        <v>442</v>
      </c>
      <c r="AZ1774" t="s">
        <v>708</v>
      </c>
      <c r="BF1774">
        <v>0</v>
      </c>
      <c r="BK1774" t="s">
        <v>31</v>
      </c>
      <c r="BS1774" t="s">
        <v>412</v>
      </c>
      <c r="CI1774" t="s">
        <v>388</v>
      </c>
      <c r="CJ1774" s="14">
        <v>45015</v>
      </c>
      <c r="CK1774">
        <v>1</v>
      </c>
    </row>
    <row r="1775" spans="1:89">
      <c r="A1775" t="s">
        <v>714</v>
      </c>
      <c r="B1775" t="s">
        <v>374</v>
      </c>
      <c r="C1775" t="s">
        <v>715</v>
      </c>
      <c r="D1775" t="s">
        <v>716</v>
      </c>
      <c r="E1775" t="s">
        <v>700</v>
      </c>
      <c r="F1775" s="13">
        <v>44795.506365740737</v>
      </c>
      <c r="G1775" t="s">
        <v>641</v>
      </c>
      <c r="H1775" t="s">
        <v>642</v>
      </c>
      <c r="I1775" s="13">
        <v>44795.506377314814</v>
      </c>
      <c r="K1775" t="s">
        <v>412</v>
      </c>
      <c r="M1775" s="13">
        <v>44666</v>
      </c>
      <c r="R1775">
        <v>0</v>
      </c>
      <c r="S1775" t="s">
        <v>380</v>
      </c>
      <c r="T1775" t="s">
        <v>57</v>
      </c>
      <c r="V1775" t="s">
        <v>381</v>
      </c>
      <c r="W1775" t="s">
        <v>701</v>
      </c>
      <c r="X1775" t="s">
        <v>701</v>
      </c>
      <c r="AC1775" s="13">
        <v>44666</v>
      </c>
      <c r="AD1775" s="13">
        <v>44592</v>
      </c>
      <c r="AI1775">
        <v>-129</v>
      </c>
      <c r="AN1775" t="s">
        <v>31</v>
      </c>
      <c r="AO1775">
        <v>0</v>
      </c>
      <c r="AS1775" t="s">
        <v>702</v>
      </c>
      <c r="AX1775" t="s">
        <v>31</v>
      </c>
      <c r="AY1775" t="s">
        <v>442</v>
      </c>
      <c r="AZ1775" t="s">
        <v>703</v>
      </c>
      <c r="BF1775">
        <v>0</v>
      </c>
      <c r="BK1775" t="s">
        <v>31</v>
      </c>
      <c r="BS1775" t="s">
        <v>412</v>
      </c>
      <c r="CI1775" t="s">
        <v>388</v>
      </c>
      <c r="CJ1775" s="14">
        <v>45015</v>
      </c>
      <c r="CK1775">
        <v>1</v>
      </c>
    </row>
    <row r="1776" spans="1:89">
      <c r="A1776" t="s">
        <v>714</v>
      </c>
      <c r="B1776" t="s">
        <v>374</v>
      </c>
      <c r="C1776" t="s">
        <v>715</v>
      </c>
      <c r="D1776" t="s">
        <v>717</v>
      </c>
      <c r="E1776" t="s">
        <v>705</v>
      </c>
      <c r="F1776" s="13">
        <v>44795.506342592591</v>
      </c>
      <c r="G1776" t="s">
        <v>641</v>
      </c>
      <c r="H1776" t="s">
        <v>642</v>
      </c>
      <c r="I1776" s="13">
        <v>44795.506354166668</v>
      </c>
      <c r="K1776" t="s">
        <v>412</v>
      </c>
      <c r="M1776" s="13">
        <v>44607</v>
      </c>
      <c r="R1776">
        <v>0</v>
      </c>
      <c r="S1776" t="s">
        <v>380</v>
      </c>
      <c r="T1776" t="s">
        <v>57</v>
      </c>
      <c r="V1776" t="s">
        <v>381</v>
      </c>
      <c r="W1776" t="s">
        <v>706</v>
      </c>
      <c r="X1776" t="s">
        <v>706</v>
      </c>
      <c r="AI1776">
        <v>-188</v>
      </c>
      <c r="AN1776" t="s">
        <v>31</v>
      </c>
      <c r="AO1776">
        <v>0</v>
      </c>
      <c r="AS1776" t="s">
        <v>707</v>
      </c>
      <c r="AX1776" t="s">
        <v>31</v>
      </c>
      <c r="AY1776" t="s">
        <v>442</v>
      </c>
      <c r="AZ1776" t="s">
        <v>708</v>
      </c>
      <c r="BF1776">
        <v>0</v>
      </c>
      <c r="BK1776" t="s">
        <v>31</v>
      </c>
      <c r="BS1776" t="s">
        <v>412</v>
      </c>
      <c r="CI1776" t="s">
        <v>388</v>
      </c>
      <c r="CJ1776" s="14">
        <v>45015</v>
      </c>
      <c r="CK1776">
        <v>1</v>
      </c>
    </row>
    <row r="1777" spans="1:89">
      <c r="A1777" t="s">
        <v>714</v>
      </c>
      <c r="B1777" t="s">
        <v>374</v>
      </c>
      <c r="C1777" t="s">
        <v>715</v>
      </c>
      <c r="D1777" t="s">
        <v>718</v>
      </c>
      <c r="E1777" t="s">
        <v>719</v>
      </c>
      <c r="F1777" s="13">
        <v>44795.506319444445</v>
      </c>
      <c r="G1777" t="s">
        <v>641</v>
      </c>
      <c r="H1777" t="s">
        <v>642</v>
      </c>
      <c r="I1777" s="13">
        <v>44795.506331018521</v>
      </c>
      <c r="K1777" t="s">
        <v>412</v>
      </c>
      <c r="M1777" s="13">
        <v>44712</v>
      </c>
      <c r="R1777">
        <v>0</v>
      </c>
      <c r="S1777" t="s">
        <v>380</v>
      </c>
      <c r="T1777" t="s">
        <v>57</v>
      </c>
      <c r="V1777" t="s">
        <v>381</v>
      </c>
      <c r="W1777" t="s">
        <v>720</v>
      </c>
      <c r="X1777" t="s">
        <v>720</v>
      </c>
      <c r="AC1777" s="13">
        <v>44712</v>
      </c>
      <c r="AD1777" s="13">
        <v>44620</v>
      </c>
      <c r="AI1777">
        <v>-83</v>
      </c>
      <c r="AN1777" t="s">
        <v>31</v>
      </c>
      <c r="AO1777">
        <v>0</v>
      </c>
      <c r="AS1777" t="s">
        <v>538</v>
      </c>
      <c r="AX1777" t="s">
        <v>57</v>
      </c>
      <c r="AY1777" t="s">
        <v>442</v>
      </c>
      <c r="AZ1777" t="s">
        <v>721</v>
      </c>
      <c r="BF1777">
        <v>0</v>
      </c>
      <c r="BK1777" t="s">
        <v>31</v>
      </c>
      <c r="BS1777" t="s">
        <v>412</v>
      </c>
      <c r="CI1777" t="s">
        <v>388</v>
      </c>
      <c r="CJ1777" s="14">
        <v>45015</v>
      </c>
      <c r="CK1777">
        <v>1</v>
      </c>
    </row>
    <row r="1778" spans="1:89">
      <c r="A1778" t="s">
        <v>714</v>
      </c>
      <c r="B1778" t="s">
        <v>374</v>
      </c>
      <c r="C1778" t="s">
        <v>715</v>
      </c>
      <c r="D1778" t="s">
        <v>722</v>
      </c>
      <c r="E1778" t="s">
        <v>723</v>
      </c>
      <c r="F1778" s="13">
        <v>44795.506296296298</v>
      </c>
      <c r="G1778" t="s">
        <v>641</v>
      </c>
      <c r="H1778" t="s">
        <v>642</v>
      </c>
      <c r="I1778" s="13">
        <v>44795.506307870368</v>
      </c>
      <c r="K1778" t="s">
        <v>412</v>
      </c>
      <c r="M1778" s="13">
        <v>44712</v>
      </c>
      <c r="R1778">
        <v>0</v>
      </c>
      <c r="S1778" t="s">
        <v>380</v>
      </c>
      <c r="T1778" t="s">
        <v>57</v>
      </c>
      <c r="V1778" t="s">
        <v>381</v>
      </c>
      <c r="W1778" t="s">
        <v>720</v>
      </c>
      <c r="X1778" t="s">
        <v>720</v>
      </c>
      <c r="AC1778" s="13">
        <v>44712</v>
      </c>
      <c r="AD1778" s="13">
        <v>44620</v>
      </c>
      <c r="AI1778">
        <v>-83</v>
      </c>
      <c r="AN1778" t="s">
        <v>31</v>
      </c>
      <c r="AO1778">
        <v>0</v>
      </c>
      <c r="AS1778" t="s">
        <v>538</v>
      </c>
      <c r="AX1778" t="s">
        <v>57</v>
      </c>
      <c r="AY1778" t="s">
        <v>442</v>
      </c>
      <c r="AZ1778" t="s">
        <v>721</v>
      </c>
      <c r="BF1778">
        <v>0</v>
      </c>
      <c r="BK1778" t="s">
        <v>31</v>
      </c>
      <c r="BS1778" t="s">
        <v>412</v>
      </c>
      <c r="CI1778" t="s">
        <v>388</v>
      </c>
      <c r="CJ1778" s="14">
        <v>45015</v>
      </c>
      <c r="CK1778">
        <v>1</v>
      </c>
    </row>
    <row r="1779" spans="1:89">
      <c r="A1779" t="s">
        <v>714</v>
      </c>
      <c r="B1779" t="s">
        <v>374</v>
      </c>
      <c r="C1779" t="s">
        <v>715</v>
      </c>
      <c r="D1779" t="s">
        <v>724</v>
      </c>
      <c r="E1779" t="s">
        <v>725</v>
      </c>
      <c r="F1779" s="13">
        <v>44795.506273148145</v>
      </c>
      <c r="G1779" t="s">
        <v>641</v>
      </c>
      <c r="H1779" t="s">
        <v>642</v>
      </c>
      <c r="I1779" s="13">
        <v>44795.506296296298</v>
      </c>
      <c r="K1779" t="s">
        <v>412</v>
      </c>
      <c r="M1779" s="13">
        <v>44680</v>
      </c>
      <c r="R1779">
        <v>0</v>
      </c>
      <c r="S1779" t="s">
        <v>380</v>
      </c>
      <c r="T1779" t="s">
        <v>57</v>
      </c>
      <c r="V1779" t="s">
        <v>381</v>
      </c>
      <c r="W1779" t="s">
        <v>726</v>
      </c>
      <c r="X1779" t="s">
        <v>726</v>
      </c>
      <c r="AC1779" s="13">
        <v>44680</v>
      </c>
      <c r="AD1779" s="13">
        <v>44680</v>
      </c>
      <c r="AI1779">
        <v>-115</v>
      </c>
      <c r="AN1779" t="s">
        <v>31</v>
      </c>
      <c r="AO1779">
        <v>0</v>
      </c>
      <c r="AS1779" t="s">
        <v>385</v>
      </c>
      <c r="AX1779" t="s">
        <v>57</v>
      </c>
      <c r="AY1779" t="s">
        <v>442</v>
      </c>
      <c r="AZ1779" t="s">
        <v>721</v>
      </c>
      <c r="BF1779">
        <v>0</v>
      </c>
      <c r="BK1779" t="s">
        <v>31</v>
      </c>
      <c r="BS1779" t="s">
        <v>412</v>
      </c>
      <c r="CI1779" t="s">
        <v>388</v>
      </c>
      <c r="CJ1779" s="14">
        <v>45015</v>
      </c>
      <c r="CK1779">
        <v>1</v>
      </c>
    </row>
    <row r="1780" spans="1:89">
      <c r="A1780" t="s">
        <v>714</v>
      </c>
      <c r="B1780" t="s">
        <v>374</v>
      </c>
      <c r="C1780" t="s">
        <v>715</v>
      </c>
      <c r="D1780" t="s">
        <v>727</v>
      </c>
      <c r="E1780" t="s">
        <v>728</v>
      </c>
      <c r="F1780" s="13">
        <v>44795.506261574075</v>
      </c>
      <c r="G1780" t="s">
        <v>641</v>
      </c>
      <c r="H1780" t="s">
        <v>642</v>
      </c>
      <c r="I1780" s="13">
        <v>44795.506273148145</v>
      </c>
      <c r="K1780" t="s">
        <v>412</v>
      </c>
      <c r="M1780" s="13">
        <v>44609</v>
      </c>
      <c r="R1780">
        <v>0</v>
      </c>
      <c r="S1780" t="s">
        <v>380</v>
      </c>
      <c r="T1780" t="s">
        <v>57</v>
      </c>
      <c r="V1780" t="s">
        <v>381</v>
      </c>
      <c r="W1780" t="s">
        <v>729</v>
      </c>
      <c r="X1780" t="s">
        <v>729</v>
      </c>
      <c r="AC1780" s="13">
        <v>44609</v>
      </c>
      <c r="AD1780" s="13">
        <v>44609</v>
      </c>
      <c r="AI1780">
        <v>-186</v>
      </c>
      <c r="AN1780" t="s">
        <v>31</v>
      </c>
      <c r="AO1780">
        <v>0</v>
      </c>
      <c r="AS1780" t="s">
        <v>730</v>
      </c>
      <c r="AX1780" t="s">
        <v>57</v>
      </c>
      <c r="AY1780" t="s">
        <v>442</v>
      </c>
      <c r="AZ1780" t="s">
        <v>721</v>
      </c>
      <c r="BF1780">
        <v>0</v>
      </c>
      <c r="BK1780" t="s">
        <v>31</v>
      </c>
      <c r="BS1780" t="s">
        <v>412</v>
      </c>
      <c r="CI1780" t="s">
        <v>388</v>
      </c>
      <c r="CJ1780" s="14">
        <v>45015</v>
      </c>
      <c r="CK1780">
        <v>1</v>
      </c>
    </row>
    <row r="1781" spans="1:89">
      <c r="A1781" t="s">
        <v>731</v>
      </c>
      <c r="B1781" t="s">
        <v>374</v>
      </c>
      <c r="C1781" t="s">
        <v>732</v>
      </c>
      <c r="D1781" t="s">
        <v>733</v>
      </c>
      <c r="E1781" t="s">
        <v>734</v>
      </c>
      <c r="F1781" s="13">
        <v>44795.506238425929</v>
      </c>
      <c r="G1781" t="s">
        <v>641</v>
      </c>
      <c r="H1781" t="s">
        <v>642</v>
      </c>
      <c r="I1781" s="13">
        <v>44795.506249999999</v>
      </c>
      <c r="K1781" t="s">
        <v>412</v>
      </c>
      <c r="M1781" s="13">
        <v>44742</v>
      </c>
      <c r="R1781">
        <v>0</v>
      </c>
      <c r="S1781" t="s">
        <v>416</v>
      </c>
      <c r="T1781" t="s">
        <v>57</v>
      </c>
      <c r="V1781" t="s">
        <v>381</v>
      </c>
      <c r="W1781" t="s">
        <v>729</v>
      </c>
      <c r="X1781" t="s">
        <v>729</v>
      </c>
      <c r="AC1781" s="13">
        <v>44742</v>
      </c>
      <c r="AD1781" s="13">
        <v>44469</v>
      </c>
      <c r="AI1781">
        <v>-53</v>
      </c>
      <c r="AN1781" t="s">
        <v>31</v>
      </c>
      <c r="AO1781">
        <v>0</v>
      </c>
      <c r="AS1781" t="s">
        <v>730</v>
      </c>
      <c r="AX1781" t="s">
        <v>57</v>
      </c>
      <c r="AY1781" t="s">
        <v>442</v>
      </c>
      <c r="AZ1781" t="s">
        <v>721</v>
      </c>
      <c r="BF1781">
        <v>0</v>
      </c>
      <c r="BK1781" t="s">
        <v>31</v>
      </c>
      <c r="BS1781" t="s">
        <v>412</v>
      </c>
      <c r="CI1781" t="s">
        <v>388</v>
      </c>
      <c r="CJ1781" s="14">
        <v>45015</v>
      </c>
      <c r="CK1781">
        <v>1</v>
      </c>
    </row>
    <row r="1782" spans="1:89">
      <c r="A1782" t="s">
        <v>731</v>
      </c>
      <c r="B1782" t="s">
        <v>374</v>
      </c>
      <c r="C1782" t="s">
        <v>732</v>
      </c>
      <c r="D1782" t="s">
        <v>735</v>
      </c>
      <c r="E1782" t="s">
        <v>736</v>
      </c>
      <c r="F1782" s="13">
        <v>44795.506215277775</v>
      </c>
      <c r="G1782" t="s">
        <v>641</v>
      </c>
      <c r="H1782" t="s">
        <v>642</v>
      </c>
      <c r="I1782" s="13">
        <v>44795.506226851852</v>
      </c>
      <c r="K1782" t="s">
        <v>412</v>
      </c>
      <c r="M1782" s="13">
        <v>44681</v>
      </c>
      <c r="R1782">
        <v>0</v>
      </c>
      <c r="S1782" t="s">
        <v>380</v>
      </c>
      <c r="T1782" t="s">
        <v>57</v>
      </c>
      <c r="V1782" t="s">
        <v>381</v>
      </c>
      <c r="W1782" t="s">
        <v>737</v>
      </c>
      <c r="X1782" t="s">
        <v>737</v>
      </c>
      <c r="AC1782" s="13">
        <v>44681</v>
      </c>
      <c r="AD1782" s="13">
        <v>44620</v>
      </c>
      <c r="AI1782">
        <v>-114</v>
      </c>
      <c r="AN1782" t="s">
        <v>31</v>
      </c>
      <c r="AO1782">
        <v>0</v>
      </c>
      <c r="AS1782" t="s">
        <v>538</v>
      </c>
      <c r="AX1782" t="s">
        <v>57</v>
      </c>
      <c r="AY1782" t="s">
        <v>442</v>
      </c>
      <c r="AZ1782" t="s">
        <v>721</v>
      </c>
      <c r="BF1782">
        <v>0</v>
      </c>
      <c r="BK1782" t="s">
        <v>31</v>
      </c>
      <c r="BS1782" t="s">
        <v>412</v>
      </c>
      <c r="CI1782" t="s">
        <v>388</v>
      </c>
      <c r="CJ1782" s="14">
        <v>45015</v>
      </c>
      <c r="CK1782">
        <v>1</v>
      </c>
    </row>
    <row r="1783" spans="1:89">
      <c r="A1783" t="s">
        <v>738</v>
      </c>
      <c r="B1783" t="s">
        <v>374</v>
      </c>
      <c r="C1783" t="s">
        <v>739</v>
      </c>
      <c r="D1783" t="s">
        <v>740</v>
      </c>
      <c r="E1783" t="s">
        <v>741</v>
      </c>
      <c r="F1783" s="13">
        <v>44795.506192129629</v>
      </c>
      <c r="G1783" t="s">
        <v>641</v>
      </c>
      <c r="H1783" t="s">
        <v>642</v>
      </c>
      <c r="I1783" s="13">
        <v>44795.506203703706</v>
      </c>
      <c r="K1783" t="s">
        <v>412</v>
      </c>
      <c r="M1783" s="13">
        <v>44651</v>
      </c>
      <c r="R1783">
        <v>0</v>
      </c>
      <c r="S1783" t="s">
        <v>380</v>
      </c>
      <c r="T1783" t="s">
        <v>57</v>
      </c>
      <c r="V1783" t="s">
        <v>381</v>
      </c>
      <c r="W1783" t="s">
        <v>729</v>
      </c>
      <c r="X1783" t="s">
        <v>729</v>
      </c>
      <c r="AC1783" s="13">
        <v>45078</v>
      </c>
      <c r="AD1783" s="13">
        <v>44713</v>
      </c>
      <c r="AI1783">
        <v>-144</v>
      </c>
      <c r="AN1783" t="s">
        <v>31</v>
      </c>
      <c r="AO1783">
        <v>0</v>
      </c>
      <c r="AS1783" t="s">
        <v>385</v>
      </c>
      <c r="AX1783" t="s">
        <v>57</v>
      </c>
      <c r="AY1783" t="s">
        <v>442</v>
      </c>
      <c r="AZ1783" t="s">
        <v>721</v>
      </c>
      <c r="BF1783">
        <v>0</v>
      </c>
      <c r="BK1783" t="s">
        <v>31</v>
      </c>
      <c r="BS1783" t="s">
        <v>412</v>
      </c>
      <c r="CI1783" t="s">
        <v>388</v>
      </c>
      <c r="CJ1783" s="14">
        <v>45015</v>
      </c>
      <c r="CK1783">
        <v>1</v>
      </c>
    </row>
    <row r="1784" spans="1:89">
      <c r="A1784" t="s">
        <v>738</v>
      </c>
      <c r="B1784" t="s">
        <v>374</v>
      </c>
      <c r="C1784" t="s">
        <v>739</v>
      </c>
      <c r="D1784" t="s">
        <v>742</v>
      </c>
      <c r="E1784" t="s">
        <v>743</v>
      </c>
      <c r="F1784" s="13">
        <v>44795.506180555552</v>
      </c>
      <c r="G1784" t="s">
        <v>641</v>
      </c>
      <c r="H1784" t="s">
        <v>642</v>
      </c>
      <c r="I1784" s="13">
        <v>44795.506192129629</v>
      </c>
      <c r="K1784" t="s">
        <v>412</v>
      </c>
      <c r="M1784" s="13">
        <v>44742</v>
      </c>
      <c r="R1784">
        <v>0</v>
      </c>
      <c r="S1784" t="s">
        <v>416</v>
      </c>
      <c r="T1784" t="s">
        <v>57</v>
      </c>
      <c r="V1784" t="s">
        <v>381</v>
      </c>
      <c r="W1784" t="s">
        <v>729</v>
      </c>
      <c r="X1784" t="s">
        <v>729</v>
      </c>
      <c r="AC1784" s="13">
        <v>45078</v>
      </c>
      <c r="AD1784" s="13">
        <v>44713</v>
      </c>
      <c r="AI1784">
        <v>-53</v>
      </c>
      <c r="AN1784" t="s">
        <v>31</v>
      </c>
      <c r="AO1784">
        <v>0</v>
      </c>
      <c r="AS1784" t="s">
        <v>744</v>
      </c>
      <c r="AX1784" t="s">
        <v>57</v>
      </c>
      <c r="AY1784" t="s">
        <v>442</v>
      </c>
      <c r="AZ1784" t="s">
        <v>745</v>
      </c>
      <c r="BF1784">
        <v>0</v>
      </c>
      <c r="BK1784" t="s">
        <v>31</v>
      </c>
      <c r="BS1784" t="s">
        <v>412</v>
      </c>
      <c r="CI1784" t="s">
        <v>388</v>
      </c>
      <c r="CJ1784" s="14">
        <v>45015</v>
      </c>
      <c r="CK1784">
        <v>1</v>
      </c>
    </row>
    <row r="1785" spans="1:89">
      <c r="A1785" t="s">
        <v>738</v>
      </c>
      <c r="B1785" t="s">
        <v>374</v>
      </c>
      <c r="C1785" t="s">
        <v>739</v>
      </c>
      <c r="D1785" t="s">
        <v>746</v>
      </c>
      <c r="E1785" t="s">
        <v>747</v>
      </c>
      <c r="F1785" s="13">
        <v>44795.506157407406</v>
      </c>
      <c r="G1785" t="s">
        <v>641</v>
      </c>
      <c r="H1785" t="s">
        <v>642</v>
      </c>
      <c r="I1785" s="13">
        <v>44795.506168981483</v>
      </c>
      <c r="K1785" t="s">
        <v>412</v>
      </c>
      <c r="M1785" s="13">
        <v>44742</v>
      </c>
      <c r="R1785">
        <v>0</v>
      </c>
      <c r="S1785" t="s">
        <v>416</v>
      </c>
      <c r="T1785" t="s">
        <v>57</v>
      </c>
      <c r="V1785" t="s">
        <v>381</v>
      </c>
      <c r="W1785" t="s">
        <v>729</v>
      </c>
      <c r="X1785" t="s">
        <v>729</v>
      </c>
      <c r="AC1785" s="13">
        <v>45078</v>
      </c>
      <c r="AD1785" s="13">
        <v>44713</v>
      </c>
      <c r="AI1785">
        <v>-53</v>
      </c>
      <c r="AN1785" t="s">
        <v>31</v>
      </c>
      <c r="AO1785">
        <v>0</v>
      </c>
      <c r="AS1785" t="s">
        <v>744</v>
      </c>
      <c r="AX1785" t="s">
        <v>57</v>
      </c>
      <c r="AY1785" t="s">
        <v>442</v>
      </c>
      <c r="AZ1785" t="s">
        <v>721</v>
      </c>
      <c r="BF1785">
        <v>0</v>
      </c>
      <c r="BK1785" t="s">
        <v>31</v>
      </c>
      <c r="BS1785" t="s">
        <v>412</v>
      </c>
      <c r="CI1785" t="s">
        <v>388</v>
      </c>
      <c r="CJ1785" s="14">
        <v>45015</v>
      </c>
      <c r="CK1785">
        <v>1</v>
      </c>
    </row>
    <row r="1786" spans="1:89">
      <c r="A1786" t="s">
        <v>738</v>
      </c>
      <c r="B1786" t="s">
        <v>374</v>
      </c>
      <c r="C1786" t="s">
        <v>739</v>
      </c>
      <c r="D1786" t="s">
        <v>748</v>
      </c>
      <c r="E1786" t="s">
        <v>749</v>
      </c>
      <c r="F1786" s="13">
        <v>44795.50613425926</v>
      </c>
      <c r="G1786" t="s">
        <v>641</v>
      </c>
      <c r="H1786" t="s">
        <v>642</v>
      </c>
      <c r="I1786" s="13">
        <v>44795.506145833337</v>
      </c>
      <c r="K1786" t="s">
        <v>412</v>
      </c>
      <c r="M1786" s="13">
        <v>44666</v>
      </c>
      <c r="R1786">
        <v>0</v>
      </c>
      <c r="S1786" t="s">
        <v>380</v>
      </c>
      <c r="T1786" t="s">
        <v>57</v>
      </c>
      <c r="V1786" t="s">
        <v>381</v>
      </c>
      <c r="W1786" t="s">
        <v>750</v>
      </c>
      <c r="X1786" t="s">
        <v>750</v>
      </c>
      <c r="AC1786" s="13">
        <v>44666</v>
      </c>
      <c r="AD1786" s="13">
        <v>44666</v>
      </c>
      <c r="AI1786">
        <v>-129</v>
      </c>
      <c r="AN1786" t="s">
        <v>31</v>
      </c>
      <c r="AO1786">
        <v>0</v>
      </c>
      <c r="AS1786" t="s">
        <v>385</v>
      </c>
      <c r="AX1786" t="s">
        <v>57</v>
      </c>
      <c r="AY1786" t="s">
        <v>442</v>
      </c>
      <c r="AZ1786" t="s">
        <v>751</v>
      </c>
      <c r="BF1786">
        <v>0</v>
      </c>
      <c r="BK1786" t="s">
        <v>31</v>
      </c>
      <c r="BS1786" t="s">
        <v>412</v>
      </c>
      <c r="CI1786" t="s">
        <v>388</v>
      </c>
      <c r="CJ1786" s="14">
        <v>45015</v>
      </c>
      <c r="CK1786">
        <v>1</v>
      </c>
    </row>
    <row r="1787" spans="1:89">
      <c r="A1787" t="s">
        <v>738</v>
      </c>
      <c r="B1787" t="s">
        <v>374</v>
      </c>
      <c r="C1787" t="s">
        <v>739</v>
      </c>
      <c r="D1787" t="s">
        <v>752</v>
      </c>
      <c r="E1787" t="s">
        <v>753</v>
      </c>
      <c r="F1787" s="13">
        <v>44795.506122685183</v>
      </c>
      <c r="G1787" t="s">
        <v>641</v>
      </c>
      <c r="H1787" t="s">
        <v>642</v>
      </c>
      <c r="I1787" s="13">
        <v>44795.50613425926</v>
      </c>
      <c r="K1787" t="s">
        <v>412</v>
      </c>
      <c r="M1787" s="13">
        <v>44666</v>
      </c>
      <c r="R1787">
        <v>0</v>
      </c>
      <c r="S1787" t="s">
        <v>380</v>
      </c>
      <c r="T1787" t="s">
        <v>57</v>
      </c>
      <c r="V1787" t="s">
        <v>381</v>
      </c>
      <c r="W1787" t="s">
        <v>750</v>
      </c>
      <c r="X1787" t="s">
        <v>750</v>
      </c>
      <c r="AC1787" s="13">
        <v>44666</v>
      </c>
      <c r="AD1787" s="13">
        <v>44666</v>
      </c>
      <c r="AI1787">
        <v>-129</v>
      </c>
      <c r="AN1787" t="s">
        <v>31</v>
      </c>
      <c r="AO1787">
        <v>0</v>
      </c>
      <c r="AS1787" t="s">
        <v>385</v>
      </c>
      <c r="AX1787" t="s">
        <v>57</v>
      </c>
      <c r="AY1787" t="s">
        <v>442</v>
      </c>
      <c r="AZ1787" t="s">
        <v>754</v>
      </c>
      <c r="BF1787">
        <v>0</v>
      </c>
      <c r="BK1787" t="s">
        <v>31</v>
      </c>
      <c r="BS1787" t="s">
        <v>412</v>
      </c>
      <c r="CI1787" t="s">
        <v>388</v>
      </c>
      <c r="CJ1787" s="14">
        <v>45015</v>
      </c>
      <c r="CK1787">
        <v>1</v>
      </c>
    </row>
    <row r="1788" spans="1:89">
      <c r="A1788" t="s">
        <v>755</v>
      </c>
      <c r="B1788" t="s">
        <v>374</v>
      </c>
      <c r="C1788" t="s">
        <v>756</v>
      </c>
      <c r="D1788" t="s">
        <v>757</v>
      </c>
      <c r="E1788" t="s">
        <v>758</v>
      </c>
      <c r="F1788" s="13">
        <v>44795.506099537037</v>
      </c>
      <c r="G1788" t="s">
        <v>641</v>
      </c>
      <c r="H1788" t="s">
        <v>642</v>
      </c>
      <c r="I1788" s="13">
        <v>44795.506111111114</v>
      </c>
      <c r="K1788" t="s">
        <v>412</v>
      </c>
      <c r="M1788" s="13">
        <v>44666</v>
      </c>
      <c r="R1788">
        <v>0</v>
      </c>
      <c r="S1788" t="s">
        <v>380</v>
      </c>
      <c r="T1788" t="s">
        <v>57</v>
      </c>
      <c r="V1788" t="s">
        <v>381</v>
      </c>
      <c r="W1788" t="s">
        <v>750</v>
      </c>
      <c r="X1788" t="s">
        <v>750</v>
      </c>
      <c r="AC1788" s="13">
        <v>44666</v>
      </c>
      <c r="AD1788" s="13">
        <v>44666</v>
      </c>
      <c r="AI1788">
        <v>-129</v>
      </c>
      <c r="AN1788" t="s">
        <v>31</v>
      </c>
      <c r="AO1788">
        <v>0</v>
      </c>
      <c r="AS1788" t="s">
        <v>385</v>
      </c>
      <c r="AX1788" t="s">
        <v>57</v>
      </c>
      <c r="AY1788" t="s">
        <v>442</v>
      </c>
      <c r="AZ1788" t="s">
        <v>759</v>
      </c>
      <c r="BF1788">
        <v>0</v>
      </c>
      <c r="BK1788" t="s">
        <v>31</v>
      </c>
      <c r="BS1788" t="s">
        <v>412</v>
      </c>
      <c r="CI1788" t="s">
        <v>388</v>
      </c>
      <c r="CJ1788" s="14">
        <v>45015</v>
      </c>
      <c r="CK1788">
        <v>1</v>
      </c>
    </row>
    <row r="1789" spans="1:89">
      <c r="A1789" t="s">
        <v>760</v>
      </c>
      <c r="B1789" t="s">
        <v>374</v>
      </c>
      <c r="C1789" t="s">
        <v>761</v>
      </c>
      <c r="D1789" t="s">
        <v>762</v>
      </c>
      <c r="E1789" t="s">
        <v>763</v>
      </c>
      <c r="F1789" s="13">
        <v>44795.506076388891</v>
      </c>
      <c r="G1789" t="s">
        <v>641</v>
      </c>
      <c r="H1789" t="s">
        <v>642</v>
      </c>
      <c r="I1789" s="13">
        <v>44795.50608796296</v>
      </c>
      <c r="K1789" t="s">
        <v>412</v>
      </c>
      <c r="M1789" s="13">
        <v>44666</v>
      </c>
      <c r="R1789">
        <v>0</v>
      </c>
      <c r="S1789" t="s">
        <v>380</v>
      </c>
      <c r="T1789" t="s">
        <v>57</v>
      </c>
      <c r="V1789" t="s">
        <v>381</v>
      </c>
      <c r="W1789" t="s">
        <v>750</v>
      </c>
      <c r="X1789" t="s">
        <v>750</v>
      </c>
      <c r="AC1789" s="13">
        <v>44666</v>
      </c>
      <c r="AD1789" s="13">
        <v>44666</v>
      </c>
      <c r="AI1789">
        <v>-129</v>
      </c>
      <c r="AN1789" t="s">
        <v>31</v>
      </c>
      <c r="AO1789">
        <v>0</v>
      </c>
      <c r="AS1789" t="s">
        <v>385</v>
      </c>
      <c r="AX1789" t="s">
        <v>57</v>
      </c>
      <c r="AY1789" t="s">
        <v>442</v>
      </c>
      <c r="AZ1789" t="s">
        <v>764</v>
      </c>
      <c r="BF1789">
        <v>0</v>
      </c>
      <c r="BK1789" t="s">
        <v>31</v>
      </c>
      <c r="BS1789" t="s">
        <v>412</v>
      </c>
      <c r="CI1789" t="s">
        <v>388</v>
      </c>
      <c r="CJ1789" s="14">
        <v>45015</v>
      </c>
      <c r="CK1789">
        <v>1</v>
      </c>
    </row>
    <row r="1790" spans="1:89">
      <c r="A1790" t="s">
        <v>765</v>
      </c>
      <c r="B1790" t="s">
        <v>374</v>
      </c>
      <c r="C1790" t="s">
        <v>766</v>
      </c>
      <c r="D1790" t="s">
        <v>767</v>
      </c>
      <c r="E1790" t="s">
        <v>768</v>
      </c>
      <c r="F1790" s="13">
        <v>44795.506053240744</v>
      </c>
      <c r="G1790" t="s">
        <v>641</v>
      </c>
      <c r="H1790" t="s">
        <v>642</v>
      </c>
      <c r="I1790" s="13">
        <v>44795.506064814814</v>
      </c>
      <c r="K1790" t="s">
        <v>412</v>
      </c>
      <c r="M1790" s="13">
        <v>44666</v>
      </c>
      <c r="R1790">
        <v>0</v>
      </c>
      <c r="S1790" t="s">
        <v>380</v>
      </c>
      <c r="T1790" t="s">
        <v>57</v>
      </c>
      <c r="V1790" t="s">
        <v>381</v>
      </c>
      <c r="W1790" t="s">
        <v>750</v>
      </c>
      <c r="X1790" t="s">
        <v>750</v>
      </c>
      <c r="AC1790" s="13">
        <v>44666</v>
      </c>
      <c r="AD1790" s="13">
        <v>44666</v>
      </c>
      <c r="AI1790">
        <v>-129</v>
      </c>
      <c r="AN1790" t="s">
        <v>31</v>
      </c>
      <c r="AO1790">
        <v>0</v>
      </c>
      <c r="AS1790" t="s">
        <v>385</v>
      </c>
      <c r="AX1790" t="s">
        <v>57</v>
      </c>
      <c r="AY1790" t="s">
        <v>442</v>
      </c>
      <c r="AZ1790" t="s">
        <v>769</v>
      </c>
      <c r="BF1790">
        <v>0</v>
      </c>
      <c r="BK1790" t="s">
        <v>31</v>
      </c>
      <c r="BS1790" t="s">
        <v>412</v>
      </c>
      <c r="CI1790" t="s">
        <v>388</v>
      </c>
      <c r="CJ1790" s="14">
        <v>45015</v>
      </c>
      <c r="CK1790">
        <v>1</v>
      </c>
    </row>
    <row r="1791" spans="1:89">
      <c r="A1791" t="s">
        <v>765</v>
      </c>
      <c r="B1791" t="s">
        <v>374</v>
      </c>
      <c r="C1791" t="s">
        <v>766</v>
      </c>
      <c r="D1791" t="s">
        <v>770</v>
      </c>
      <c r="E1791" t="s">
        <v>771</v>
      </c>
      <c r="F1791" s="13">
        <v>44795.506030092591</v>
      </c>
      <c r="G1791" t="s">
        <v>641</v>
      </c>
      <c r="H1791" t="s">
        <v>642</v>
      </c>
      <c r="I1791" s="13">
        <v>44795.506041666667</v>
      </c>
      <c r="K1791" t="s">
        <v>412</v>
      </c>
      <c r="M1791" s="13">
        <v>44666</v>
      </c>
      <c r="R1791">
        <v>0</v>
      </c>
      <c r="S1791" t="s">
        <v>380</v>
      </c>
      <c r="T1791" t="s">
        <v>57</v>
      </c>
      <c r="V1791" t="s">
        <v>381</v>
      </c>
      <c r="W1791" t="s">
        <v>772</v>
      </c>
      <c r="X1791" t="s">
        <v>772</v>
      </c>
      <c r="AC1791" s="13">
        <v>44666</v>
      </c>
      <c r="AD1791" s="13">
        <v>44666</v>
      </c>
      <c r="AI1791">
        <v>-129</v>
      </c>
      <c r="AN1791" t="s">
        <v>31</v>
      </c>
      <c r="AO1791">
        <v>0</v>
      </c>
      <c r="AS1791" t="s">
        <v>385</v>
      </c>
      <c r="AX1791" t="s">
        <v>57</v>
      </c>
      <c r="AY1791" t="s">
        <v>442</v>
      </c>
      <c r="AZ1791" t="s">
        <v>773</v>
      </c>
      <c r="BF1791">
        <v>0</v>
      </c>
      <c r="BK1791" t="s">
        <v>31</v>
      </c>
      <c r="BS1791" t="s">
        <v>412</v>
      </c>
      <c r="CI1791" t="s">
        <v>388</v>
      </c>
      <c r="CJ1791" s="14">
        <v>45015</v>
      </c>
      <c r="CK1791">
        <v>1</v>
      </c>
    </row>
    <row r="1792" spans="1:89">
      <c r="A1792" t="s">
        <v>765</v>
      </c>
      <c r="B1792" t="s">
        <v>374</v>
      </c>
      <c r="C1792" t="s">
        <v>766</v>
      </c>
      <c r="D1792" t="s">
        <v>774</v>
      </c>
      <c r="E1792" t="s">
        <v>775</v>
      </c>
      <c r="F1792" s="13">
        <v>44795.506006944444</v>
      </c>
      <c r="G1792" t="s">
        <v>641</v>
      </c>
      <c r="H1792" t="s">
        <v>642</v>
      </c>
      <c r="I1792" s="13">
        <v>44795.506018518521</v>
      </c>
      <c r="K1792" t="s">
        <v>412</v>
      </c>
      <c r="M1792" s="13">
        <v>44712</v>
      </c>
      <c r="R1792">
        <v>0</v>
      </c>
      <c r="S1792" t="s">
        <v>380</v>
      </c>
      <c r="T1792" t="s">
        <v>57</v>
      </c>
      <c r="V1792" t="s">
        <v>381</v>
      </c>
      <c r="W1792" t="s">
        <v>776</v>
      </c>
      <c r="X1792" t="s">
        <v>776</v>
      </c>
      <c r="AC1792" s="13">
        <v>44712</v>
      </c>
      <c r="AD1792" s="13">
        <v>44712</v>
      </c>
      <c r="AI1792">
        <v>-83</v>
      </c>
      <c r="AN1792" t="s">
        <v>31</v>
      </c>
      <c r="AO1792">
        <v>0</v>
      </c>
      <c r="AS1792" t="s">
        <v>392</v>
      </c>
      <c r="AX1792" t="s">
        <v>57</v>
      </c>
      <c r="AY1792" t="s">
        <v>386</v>
      </c>
      <c r="AZ1792" t="s">
        <v>777</v>
      </c>
      <c r="BF1792">
        <v>0</v>
      </c>
      <c r="BK1792" t="s">
        <v>31</v>
      </c>
      <c r="BS1792" t="s">
        <v>412</v>
      </c>
      <c r="CI1792" t="s">
        <v>388</v>
      </c>
      <c r="CJ1792" s="14">
        <v>45015</v>
      </c>
      <c r="CK1792">
        <v>1</v>
      </c>
    </row>
    <row r="1793" spans="1:89">
      <c r="A1793" t="s">
        <v>778</v>
      </c>
      <c r="B1793" t="s">
        <v>374</v>
      </c>
      <c r="C1793" t="s">
        <v>779</v>
      </c>
      <c r="D1793" t="s">
        <v>780</v>
      </c>
      <c r="E1793" t="s">
        <v>781</v>
      </c>
      <c r="F1793" s="13">
        <v>44795.505972222221</v>
      </c>
      <c r="G1793" t="s">
        <v>641</v>
      </c>
      <c r="H1793" t="s">
        <v>642</v>
      </c>
      <c r="I1793" s="13">
        <v>44795.505983796298</v>
      </c>
      <c r="K1793" t="s">
        <v>412</v>
      </c>
      <c r="M1793" s="13">
        <v>44635</v>
      </c>
      <c r="R1793">
        <v>0</v>
      </c>
      <c r="S1793" t="s">
        <v>380</v>
      </c>
      <c r="T1793" t="s">
        <v>57</v>
      </c>
      <c r="V1793" t="s">
        <v>381</v>
      </c>
      <c r="W1793" t="s">
        <v>782</v>
      </c>
      <c r="X1793" t="s">
        <v>782</v>
      </c>
      <c r="AC1793" s="13">
        <v>44635</v>
      </c>
      <c r="AD1793" s="13">
        <v>44635</v>
      </c>
      <c r="AI1793">
        <v>-160</v>
      </c>
      <c r="AN1793" t="s">
        <v>31</v>
      </c>
      <c r="AO1793">
        <v>0</v>
      </c>
      <c r="AS1793" t="s">
        <v>648</v>
      </c>
      <c r="AX1793" t="s">
        <v>31</v>
      </c>
      <c r="AY1793" t="s">
        <v>442</v>
      </c>
      <c r="AZ1793" t="s">
        <v>783</v>
      </c>
      <c r="BF1793">
        <v>0</v>
      </c>
      <c r="BK1793" t="s">
        <v>31</v>
      </c>
      <c r="BS1793" t="s">
        <v>412</v>
      </c>
      <c r="CI1793" t="s">
        <v>388</v>
      </c>
      <c r="CJ1793" s="14">
        <v>45015</v>
      </c>
      <c r="CK1793">
        <v>1</v>
      </c>
    </row>
    <row r="1794" spans="1:89">
      <c r="A1794" t="s">
        <v>778</v>
      </c>
      <c r="B1794" t="s">
        <v>374</v>
      </c>
      <c r="C1794" t="s">
        <v>779</v>
      </c>
      <c r="D1794" t="s">
        <v>784</v>
      </c>
      <c r="E1794" t="s">
        <v>785</v>
      </c>
      <c r="F1794" s="13">
        <v>44795.505949074075</v>
      </c>
      <c r="G1794" t="s">
        <v>641</v>
      </c>
      <c r="H1794" t="s">
        <v>642</v>
      </c>
      <c r="I1794" s="13">
        <v>44795.505960648145</v>
      </c>
      <c r="K1794" t="s">
        <v>412</v>
      </c>
      <c r="M1794" s="13">
        <v>44635</v>
      </c>
      <c r="R1794">
        <v>0</v>
      </c>
      <c r="S1794" t="s">
        <v>380</v>
      </c>
      <c r="T1794" t="s">
        <v>57</v>
      </c>
      <c r="V1794" t="s">
        <v>381</v>
      </c>
      <c r="W1794" t="s">
        <v>782</v>
      </c>
      <c r="X1794" t="s">
        <v>782</v>
      </c>
      <c r="AC1794" s="13">
        <v>44635</v>
      </c>
      <c r="AD1794" s="13">
        <v>44635</v>
      </c>
      <c r="AI1794">
        <v>-160</v>
      </c>
      <c r="AN1794" t="s">
        <v>31</v>
      </c>
      <c r="AO1794">
        <v>0</v>
      </c>
      <c r="AS1794" t="s">
        <v>648</v>
      </c>
      <c r="AX1794" t="s">
        <v>31</v>
      </c>
      <c r="AY1794" t="s">
        <v>442</v>
      </c>
      <c r="AZ1794" t="s">
        <v>786</v>
      </c>
      <c r="BF1794">
        <v>0</v>
      </c>
      <c r="BK1794" t="s">
        <v>31</v>
      </c>
      <c r="BS1794" t="s">
        <v>412</v>
      </c>
      <c r="CI1794" t="s">
        <v>388</v>
      </c>
      <c r="CJ1794" s="14">
        <v>45015</v>
      </c>
      <c r="CK1794">
        <v>1</v>
      </c>
    </row>
    <row r="1795" spans="1:89">
      <c r="A1795" t="s">
        <v>778</v>
      </c>
      <c r="B1795" t="s">
        <v>374</v>
      </c>
      <c r="C1795" t="s">
        <v>779</v>
      </c>
      <c r="D1795" t="s">
        <v>787</v>
      </c>
      <c r="E1795" t="s">
        <v>788</v>
      </c>
      <c r="F1795" s="13">
        <v>44795.505925925929</v>
      </c>
      <c r="G1795" t="s">
        <v>641</v>
      </c>
      <c r="H1795" t="s">
        <v>642</v>
      </c>
      <c r="I1795" s="13">
        <v>44795.505937499998</v>
      </c>
      <c r="K1795" t="s">
        <v>412</v>
      </c>
      <c r="M1795" s="13">
        <v>44666</v>
      </c>
      <c r="R1795">
        <v>0</v>
      </c>
      <c r="S1795" t="s">
        <v>380</v>
      </c>
      <c r="T1795" t="s">
        <v>57</v>
      </c>
      <c r="V1795" t="s">
        <v>381</v>
      </c>
      <c r="W1795" t="s">
        <v>782</v>
      </c>
      <c r="X1795" t="s">
        <v>782</v>
      </c>
      <c r="AC1795" s="13">
        <v>44666</v>
      </c>
      <c r="AD1795" s="13">
        <v>44666</v>
      </c>
      <c r="AI1795">
        <v>-129</v>
      </c>
      <c r="AN1795" t="s">
        <v>31</v>
      </c>
      <c r="AO1795">
        <v>0</v>
      </c>
      <c r="AS1795" t="s">
        <v>702</v>
      </c>
      <c r="AX1795" t="s">
        <v>31</v>
      </c>
      <c r="AY1795" t="s">
        <v>442</v>
      </c>
      <c r="AZ1795" t="s">
        <v>789</v>
      </c>
      <c r="BF1795">
        <v>0</v>
      </c>
      <c r="BK1795" t="s">
        <v>31</v>
      </c>
      <c r="BS1795" t="s">
        <v>412</v>
      </c>
      <c r="CI1795" t="s">
        <v>388</v>
      </c>
      <c r="CJ1795" s="14">
        <v>45015</v>
      </c>
      <c r="CK1795">
        <v>1</v>
      </c>
    </row>
    <row r="1796" spans="1:89">
      <c r="A1796" t="s">
        <v>778</v>
      </c>
      <c r="B1796" t="s">
        <v>374</v>
      </c>
      <c r="C1796" t="s">
        <v>779</v>
      </c>
      <c r="D1796" t="s">
        <v>790</v>
      </c>
      <c r="E1796" t="s">
        <v>791</v>
      </c>
      <c r="F1796" s="13">
        <v>44795.505902777775</v>
      </c>
      <c r="G1796" t="s">
        <v>641</v>
      </c>
      <c r="H1796" t="s">
        <v>642</v>
      </c>
      <c r="I1796" s="13">
        <v>44795.505914351852</v>
      </c>
      <c r="K1796" t="s">
        <v>412</v>
      </c>
      <c r="M1796" s="13">
        <v>44620</v>
      </c>
      <c r="R1796">
        <v>0</v>
      </c>
      <c r="S1796" t="s">
        <v>380</v>
      </c>
      <c r="T1796" t="s">
        <v>57</v>
      </c>
      <c r="V1796" t="s">
        <v>381</v>
      </c>
      <c r="W1796" t="s">
        <v>792</v>
      </c>
      <c r="X1796" t="s">
        <v>792</v>
      </c>
      <c r="AC1796" s="13">
        <v>44620</v>
      </c>
      <c r="AD1796" s="13">
        <v>44620</v>
      </c>
      <c r="AI1796">
        <v>-175</v>
      </c>
      <c r="AN1796" t="s">
        <v>31</v>
      </c>
      <c r="AO1796">
        <v>0</v>
      </c>
      <c r="AS1796" t="s">
        <v>385</v>
      </c>
      <c r="AX1796" t="s">
        <v>57</v>
      </c>
      <c r="AY1796" t="s">
        <v>386</v>
      </c>
      <c r="AZ1796" t="s">
        <v>721</v>
      </c>
      <c r="BF1796">
        <v>0</v>
      </c>
      <c r="BK1796" t="s">
        <v>31</v>
      </c>
      <c r="BS1796" t="s">
        <v>412</v>
      </c>
      <c r="CI1796" t="s">
        <v>388</v>
      </c>
      <c r="CJ1796" s="14">
        <v>45015</v>
      </c>
      <c r="CK1796">
        <v>1</v>
      </c>
    </row>
    <row r="1797" spans="1:89">
      <c r="A1797" t="s">
        <v>778</v>
      </c>
      <c r="B1797" t="s">
        <v>374</v>
      </c>
      <c r="C1797" t="s">
        <v>779</v>
      </c>
      <c r="D1797" t="s">
        <v>793</v>
      </c>
      <c r="E1797" t="s">
        <v>794</v>
      </c>
      <c r="F1797" s="13">
        <v>44795.505879629629</v>
      </c>
      <c r="G1797" t="s">
        <v>641</v>
      </c>
      <c r="H1797" t="s">
        <v>642</v>
      </c>
      <c r="I1797" s="13">
        <v>44795.505891203706</v>
      </c>
      <c r="K1797" t="s">
        <v>412</v>
      </c>
      <c r="M1797" s="13">
        <v>44681</v>
      </c>
      <c r="R1797">
        <v>0</v>
      </c>
      <c r="S1797" t="s">
        <v>380</v>
      </c>
      <c r="T1797" t="s">
        <v>57</v>
      </c>
      <c r="V1797" t="s">
        <v>381</v>
      </c>
      <c r="W1797" t="s">
        <v>792</v>
      </c>
      <c r="X1797" t="s">
        <v>792</v>
      </c>
      <c r="AC1797" s="13">
        <v>44681</v>
      </c>
      <c r="AD1797" s="13">
        <v>44681</v>
      </c>
      <c r="AI1797">
        <v>-114</v>
      </c>
      <c r="AN1797" t="s">
        <v>31</v>
      </c>
      <c r="AO1797">
        <v>0</v>
      </c>
      <c r="AS1797" t="s">
        <v>385</v>
      </c>
      <c r="AX1797" t="s">
        <v>57</v>
      </c>
      <c r="AY1797" t="s">
        <v>386</v>
      </c>
      <c r="AZ1797" t="s">
        <v>721</v>
      </c>
      <c r="BF1797">
        <v>0</v>
      </c>
      <c r="BK1797" t="s">
        <v>31</v>
      </c>
      <c r="BS1797" t="s">
        <v>412</v>
      </c>
      <c r="CI1797" t="s">
        <v>388</v>
      </c>
      <c r="CJ1797" s="14">
        <v>45015</v>
      </c>
      <c r="CK1797">
        <v>1</v>
      </c>
    </row>
    <row r="1798" spans="1:89">
      <c r="A1798" t="s">
        <v>778</v>
      </c>
      <c r="B1798" t="s">
        <v>374</v>
      </c>
      <c r="C1798" t="s">
        <v>779</v>
      </c>
      <c r="D1798" t="s">
        <v>795</v>
      </c>
      <c r="E1798" t="s">
        <v>796</v>
      </c>
      <c r="F1798" s="13">
        <v>44795.505856481483</v>
      </c>
      <c r="G1798" t="s">
        <v>641</v>
      </c>
      <c r="H1798" t="s">
        <v>642</v>
      </c>
      <c r="I1798" s="13">
        <v>44795.505868055552</v>
      </c>
      <c r="K1798" t="s">
        <v>412</v>
      </c>
      <c r="M1798" s="13">
        <v>44681</v>
      </c>
      <c r="R1798">
        <v>0</v>
      </c>
      <c r="S1798" t="s">
        <v>380</v>
      </c>
      <c r="T1798" t="s">
        <v>57</v>
      </c>
      <c r="V1798" t="s">
        <v>381</v>
      </c>
      <c r="W1798" t="s">
        <v>792</v>
      </c>
      <c r="X1798" t="s">
        <v>792</v>
      </c>
      <c r="AC1798" s="13">
        <v>44681</v>
      </c>
      <c r="AD1798" s="13">
        <v>44681</v>
      </c>
      <c r="AI1798">
        <v>-114</v>
      </c>
      <c r="AN1798" t="s">
        <v>31</v>
      </c>
      <c r="AO1798">
        <v>0</v>
      </c>
      <c r="AS1798" t="s">
        <v>385</v>
      </c>
      <c r="AX1798" t="s">
        <v>57</v>
      </c>
      <c r="AY1798" t="s">
        <v>386</v>
      </c>
      <c r="AZ1798" t="s">
        <v>721</v>
      </c>
      <c r="BF1798">
        <v>0</v>
      </c>
      <c r="BK1798" t="s">
        <v>31</v>
      </c>
      <c r="BS1798" t="s">
        <v>412</v>
      </c>
      <c r="CI1798" t="s">
        <v>388</v>
      </c>
      <c r="CJ1798" s="14">
        <v>45015</v>
      </c>
      <c r="CK1798">
        <v>1</v>
      </c>
    </row>
    <row r="1799" spans="1:89">
      <c r="A1799" t="s">
        <v>797</v>
      </c>
      <c r="B1799" t="s">
        <v>374</v>
      </c>
      <c r="C1799" t="s">
        <v>607</v>
      </c>
      <c r="D1799" t="s">
        <v>798</v>
      </c>
      <c r="E1799" t="s">
        <v>799</v>
      </c>
      <c r="F1799" s="13">
        <v>44795.505833333336</v>
      </c>
      <c r="G1799" t="s">
        <v>641</v>
      </c>
      <c r="H1799" t="s">
        <v>642</v>
      </c>
      <c r="I1799" s="13">
        <v>44795.505844907406</v>
      </c>
      <c r="K1799" t="s">
        <v>412</v>
      </c>
      <c r="M1799" s="13">
        <v>44596</v>
      </c>
      <c r="R1799">
        <v>0</v>
      </c>
      <c r="S1799" t="s">
        <v>416</v>
      </c>
      <c r="T1799" t="s">
        <v>57</v>
      </c>
      <c r="V1799" t="s">
        <v>381</v>
      </c>
      <c r="W1799" t="s">
        <v>800</v>
      </c>
      <c r="X1799" t="s">
        <v>800</v>
      </c>
      <c r="AC1799" s="13">
        <v>44596</v>
      </c>
      <c r="AD1799" s="13">
        <v>44596</v>
      </c>
      <c r="AI1799">
        <v>-199</v>
      </c>
      <c r="AN1799" t="s">
        <v>31</v>
      </c>
      <c r="AO1799">
        <v>0</v>
      </c>
      <c r="AS1799" t="s">
        <v>538</v>
      </c>
      <c r="AX1799" t="s">
        <v>57</v>
      </c>
      <c r="AY1799" t="s">
        <v>386</v>
      </c>
      <c r="AZ1799" t="s">
        <v>721</v>
      </c>
      <c r="BF1799">
        <v>0</v>
      </c>
      <c r="BK1799" t="s">
        <v>31</v>
      </c>
      <c r="BS1799" t="s">
        <v>412</v>
      </c>
      <c r="CI1799" t="s">
        <v>388</v>
      </c>
      <c r="CJ1799" s="14">
        <v>45015</v>
      </c>
      <c r="CK1799">
        <v>1</v>
      </c>
    </row>
    <row r="1800" spans="1:89">
      <c r="A1800" t="s">
        <v>797</v>
      </c>
      <c r="B1800" t="s">
        <v>374</v>
      </c>
      <c r="C1800" t="s">
        <v>607</v>
      </c>
      <c r="D1800" t="s">
        <v>801</v>
      </c>
      <c r="E1800" t="s">
        <v>802</v>
      </c>
      <c r="F1800" s="13">
        <v>44795.505810185183</v>
      </c>
      <c r="G1800" t="s">
        <v>641</v>
      </c>
      <c r="H1800" t="s">
        <v>642</v>
      </c>
      <c r="I1800" s="13">
        <v>44795.50582175926</v>
      </c>
      <c r="K1800" t="s">
        <v>412</v>
      </c>
      <c r="M1800" s="13">
        <v>44610</v>
      </c>
      <c r="R1800">
        <v>0</v>
      </c>
      <c r="S1800" t="s">
        <v>380</v>
      </c>
      <c r="T1800" t="s">
        <v>57</v>
      </c>
      <c r="V1800" t="s">
        <v>381</v>
      </c>
      <c r="W1800" t="s">
        <v>800</v>
      </c>
      <c r="X1800" t="s">
        <v>800</v>
      </c>
      <c r="AC1800" s="13">
        <v>44610</v>
      </c>
      <c r="AD1800" s="13">
        <v>44610</v>
      </c>
      <c r="AI1800">
        <v>-185</v>
      </c>
      <c r="AN1800" t="s">
        <v>31</v>
      </c>
      <c r="AO1800">
        <v>0</v>
      </c>
      <c r="AS1800" t="s">
        <v>538</v>
      </c>
      <c r="AX1800" t="s">
        <v>57</v>
      </c>
      <c r="AY1800" t="s">
        <v>386</v>
      </c>
      <c r="AZ1800" t="s">
        <v>721</v>
      </c>
      <c r="BF1800">
        <v>0</v>
      </c>
      <c r="BK1800" t="s">
        <v>31</v>
      </c>
      <c r="BS1800" t="s">
        <v>412</v>
      </c>
      <c r="CI1800" t="s">
        <v>388</v>
      </c>
      <c r="CJ1800" s="14">
        <v>45015</v>
      </c>
      <c r="CK1800">
        <v>1</v>
      </c>
    </row>
    <row r="1801" spans="1:89">
      <c r="A1801" t="s">
        <v>797</v>
      </c>
      <c r="B1801" t="s">
        <v>374</v>
      </c>
      <c r="C1801" t="s">
        <v>607</v>
      </c>
      <c r="D1801" t="s">
        <v>803</v>
      </c>
      <c r="E1801" t="s">
        <v>804</v>
      </c>
      <c r="F1801" s="13">
        <v>44795.505787037036</v>
      </c>
      <c r="G1801" t="s">
        <v>641</v>
      </c>
      <c r="H1801" t="s">
        <v>642</v>
      </c>
      <c r="I1801" s="13">
        <v>44795.505798611113</v>
      </c>
      <c r="K1801" t="s">
        <v>412</v>
      </c>
      <c r="M1801" s="13">
        <v>44616</v>
      </c>
      <c r="R1801">
        <v>0</v>
      </c>
      <c r="S1801" t="s">
        <v>380</v>
      </c>
      <c r="T1801" t="s">
        <v>57</v>
      </c>
      <c r="V1801" t="s">
        <v>381</v>
      </c>
      <c r="W1801" t="s">
        <v>800</v>
      </c>
      <c r="X1801" t="s">
        <v>800</v>
      </c>
      <c r="AC1801" s="13">
        <v>44616</v>
      </c>
      <c r="AD1801" s="13">
        <v>44616</v>
      </c>
      <c r="AI1801">
        <v>-179</v>
      </c>
      <c r="AN1801" t="s">
        <v>31</v>
      </c>
      <c r="AO1801">
        <v>0</v>
      </c>
      <c r="AS1801" t="s">
        <v>538</v>
      </c>
      <c r="AX1801" t="s">
        <v>57</v>
      </c>
      <c r="AY1801" t="s">
        <v>386</v>
      </c>
      <c r="AZ1801" t="s">
        <v>721</v>
      </c>
      <c r="BF1801">
        <v>0</v>
      </c>
      <c r="BK1801" t="s">
        <v>31</v>
      </c>
      <c r="BS1801" t="s">
        <v>412</v>
      </c>
      <c r="CI1801" t="s">
        <v>388</v>
      </c>
      <c r="CJ1801" s="14">
        <v>45015</v>
      </c>
      <c r="CK1801">
        <v>1</v>
      </c>
    </row>
    <row r="1802" spans="1:89">
      <c r="A1802" t="s">
        <v>805</v>
      </c>
      <c r="B1802" t="s">
        <v>374</v>
      </c>
      <c r="C1802" t="s">
        <v>806</v>
      </c>
      <c r="D1802" t="s">
        <v>807</v>
      </c>
      <c r="E1802" t="s">
        <v>808</v>
      </c>
      <c r="F1802" s="13">
        <v>44795.50576388889</v>
      </c>
      <c r="G1802" t="s">
        <v>641</v>
      </c>
      <c r="H1802" t="s">
        <v>642</v>
      </c>
      <c r="I1802" s="13">
        <v>44795.50577546296</v>
      </c>
      <c r="K1802" t="s">
        <v>412</v>
      </c>
      <c r="M1802" s="13">
        <v>44637</v>
      </c>
      <c r="R1802">
        <v>0</v>
      </c>
      <c r="S1802" t="s">
        <v>380</v>
      </c>
      <c r="T1802" t="s">
        <v>57</v>
      </c>
      <c r="V1802" t="s">
        <v>381</v>
      </c>
      <c r="W1802" t="s">
        <v>809</v>
      </c>
      <c r="X1802" t="s">
        <v>809</v>
      </c>
      <c r="AC1802" s="13">
        <v>44637</v>
      </c>
      <c r="AD1802" s="13">
        <v>44637</v>
      </c>
      <c r="AI1802">
        <v>-158</v>
      </c>
      <c r="AN1802" t="s">
        <v>31</v>
      </c>
      <c r="AO1802">
        <v>0</v>
      </c>
      <c r="AS1802" t="s">
        <v>538</v>
      </c>
      <c r="AX1802" t="s">
        <v>57</v>
      </c>
      <c r="AY1802" t="s">
        <v>442</v>
      </c>
      <c r="AZ1802" t="s">
        <v>721</v>
      </c>
      <c r="BF1802">
        <v>0</v>
      </c>
      <c r="BK1802" t="s">
        <v>31</v>
      </c>
      <c r="BS1802" t="s">
        <v>412</v>
      </c>
      <c r="CI1802" t="s">
        <v>388</v>
      </c>
      <c r="CJ1802" s="14">
        <v>45015</v>
      </c>
      <c r="CK1802">
        <v>1</v>
      </c>
    </row>
    <row r="1803" spans="1:89">
      <c r="A1803" t="s">
        <v>805</v>
      </c>
      <c r="B1803" t="s">
        <v>374</v>
      </c>
      <c r="C1803" t="s">
        <v>806</v>
      </c>
      <c r="D1803" t="s">
        <v>810</v>
      </c>
      <c r="E1803" t="s">
        <v>811</v>
      </c>
      <c r="F1803" s="13">
        <v>44795.505740740744</v>
      </c>
      <c r="G1803" t="s">
        <v>641</v>
      </c>
      <c r="H1803" t="s">
        <v>642</v>
      </c>
      <c r="I1803" s="13">
        <v>44795.505752314813</v>
      </c>
      <c r="K1803" t="s">
        <v>412</v>
      </c>
      <c r="M1803" s="13">
        <v>44663</v>
      </c>
      <c r="R1803">
        <v>0</v>
      </c>
      <c r="S1803" t="s">
        <v>380</v>
      </c>
      <c r="T1803" t="s">
        <v>57</v>
      </c>
      <c r="V1803" t="s">
        <v>381</v>
      </c>
      <c r="W1803" t="s">
        <v>809</v>
      </c>
      <c r="X1803" t="s">
        <v>809</v>
      </c>
      <c r="AC1803" s="13">
        <v>44663</v>
      </c>
      <c r="AD1803" s="13">
        <v>44663</v>
      </c>
      <c r="AI1803">
        <v>-132</v>
      </c>
      <c r="AN1803" t="s">
        <v>31</v>
      </c>
      <c r="AO1803">
        <v>0</v>
      </c>
      <c r="AS1803" t="s">
        <v>538</v>
      </c>
      <c r="AX1803" t="s">
        <v>57</v>
      </c>
      <c r="AY1803" t="s">
        <v>386</v>
      </c>
      <c r="AZ1803" t="s">
        <v>721</v>
      </c>
      <c r="BF1803">
        <v>0</v>
      </c>
      <c r="BK1803" t="s">
        <v>31</v>
      </c>
      <c r="BS1803" t="s">
        <v>412</v>
      </c>
      <c r="CI1803" t="s">
        <v>388</v>
      </c>
      <c r="CJ1803" s="14">
        <v>45015</v>
      </c>
      <c r="CK1803">
        <v>1</v>
      </c>
    </row>
    <row r="1804" spans="1:89">
      <c r="A1804" t="s">
        <v>797</v>
      </c>
      <c r="B1804" t="s">
        <v>374</v>
      </c>
      <c r="C1804" t="s">
        <v>607</v>
      </c>
      <c r="D1804" t="s">
        <v>812</v>
      </c>
      <c r="E1804" t="s">
        <v>804</v>
      </c>
      <c r="F1804" s="13">
        <v>44795.50571759259</v>
      </c>
      <c r="G1804" t="s">
        <v>641</v>
      </c>
      <c r="H1804" t="s">
        <v>642</v>
      </c>
      <c r="I1804" s="13">
        <v>44795.505729166667</v>
      </c>
      <c r="K1804" t="s">
        <v>412</v>
      </c>
      <c r="M1804" s="13">
        <v>44616</v>
      </c>
      <c r="R1804">
        <v>0</v>
      </c>
      <c r="S1804" t="s">
        <v>380</v>
      </c>
      <c r="T1804" t="s">
        <v>57</v>
      </c>
      <c r="V1804" t="s">
        <v>381</v>
      </c>
      <c r="W1804" t="s">
        <v>800</v>
      </c>
      <c r="X1804" t="s">
        <v>800</v>
      </c>
      <c r="AC1804" s="13">
        <v>44616</v>
      </c>
      <c r="AD1804" s="13">
        <v>44616</v>
      </c>
      <c r="AI1804">
        <v>-179</v>
      </c>
      <c r="AN1804" t="s">
        <v>31</v>
      </c>
      <c r="AO1804">
        <v>0</v>
      </c>
      <c r="AS1804" t="s">
        <v>538</v>
      </c>
      <c r="AX1804" t="s">
        <v>57</v>
      </c>
      <c r="AY1804" t="s">
        <v>386</v>
      </c>
      <c r="AZ1804" t="s">
        <v>721</v>
      </c>
      <c r="BF1804">
        <v>0</v>
      </c>
      <c r="BK1804" t="s">
        <v>31</v>
      </c>
      <c r="BS1804" t="s">
        <v>412</v>
      </c>
      <c r="CI1804" t="s">
        <v>388</v>
      </c>
      <c r="CJ1804" s="14">
        <v>45015</v>
      </c>
      <c r="CK1804">
        <v>1</v>
      </c>
    </row>
    <row r="1805" spans="1:89">
      <c r="A1805" t="s">
        <v>805</v>
      </c>
      <c r="B1805" t="s">
        <v>374</v>
      </c>
      <c r="C1805" t="s">
        <v>806</v>
      </c>
      <c r="D1805" t="s">
        <v>813</v>
      </c>
      <c r="E1805" t="s">
        <v>808</v>
      </c>
      <c r="F1805" s="13">
        <v>44795.505694444444</v>
      </c>
      <c r="G1805" t="s">
        <v>641</v>
      </c>
      <c r="H1805" t="s">
        <v>642</v>
      </c>
      <c r="I1805" s="13">
        <v>44795.505706018521</v>
      </c>
      <c r="K1805" t="s">
        <v>412</v>
      </c>
      <c r="M1805" s="13">
        <v>44637</v>
      </c>
      <c r="R1805">
        <v>0</v>
      </c>
      <c r="S1805" t="s">
        <v>380</v>
      </c>
      <c r="T1805" t="s">
        <v>57</v>
      </c>
      <c r="V1805" t="s">
        <v>381</v>
      </c>
      <c r="W1805" t="s">
        <v>809</v>
      </c>
      <c r="X1805" t="s">
        <v>809</v>
      </c>
      <c r="AC1805" s="13">
        <v>44637</v>
      </c>
      <c r="AD1805" s="13">
        <v>44637</v>
      </c>
      <c r="AI1805">
        <v>-158</v>
      </c>
      <c r="AN1805" t="s">
        <v>31</v>
      </c>
      <c r="AO1805">
        <v>0</v>
      </c>
      <c r="AS1805" t="s">
        <v>538</v>
      </c>
      <c r="AX1805" t="s">
        <v>57</v>
      </c>
      <c r="AY1805" t="s">
        <v>442</v>
      </c>
      <c r="AZ1805" t="s">
        <v>721</v>
      </c>
      <c r="BF1805">
        <v>0</v>
      </c>
      <c r="BK1805" t="s">
        <v>31</v>
      </c>
      <c r="BS1805" t="s">
        <v>412</v>
      </c>
      <c r="CI1805" t="s">
        <v>388</v>
      </c>
      <c r="CJ1805" s="14">
        <v>45015</v>
      </c>
      <c r="CK1805">
        <v>1</v>
      </c>
    </row>
    <row r="1806" spans="1:89">
      <c r="A1806" t="s">
        <v>805</v>
      </c>
      <c r="B1806" t="s">
        <v>374</v>
      </c>
      <c r="C1806" t="s">
        <v>806</v>
      </c>
      <c r="D1806" t="s">
        <v>814</v>
      </c>
      <c r="E1806" t="s">
        <v>811</v>
      </c>
      <c r="F1806" s="13">
        <v>44795.505659722221</v>
      </c>
      <c r="G1806" t="s">
        <v>641</v>
      </c>
      <c r="H1806" t="s">
        <v>642</v>
      </c>
      <c r="I1806" s="13">
        <v>44795.505671296298</v>
      </c>
      <c r="K1806" t="s">
        <v>412</v>
      </c>
      <c r="M1806" s="13">
        <v>44663</v>
      </c>
      <c r="R1806">
        <v>0</v>
      </c>
      <c r="S1806" t="s">
        <v>380</v>
      </c>
      <c r="T1806" t="s">
        <v>57</v>
      </c>
      <c r="V1806" t="s">
        <v>381</v>
      </c>
      <c r="W1806" t="s">
        <v>809</v>
      </c>
      <c r="X1806" t="s">
        <v>809</v>
      </c>
      <c r="AC1806" s="13">
        <v>44663</v>
      </c>
      <c r="AD1806" s="13">
        <v>44663</v>
      </c>
      <c r="AI1806">
        <v>-132</v>
      </c>
      <c r="AN1806" t="s">
        <v>31</v>
      </c>
      <c r="AO1806">
        <v>0</v>
      </c>
      <c r="AS1806" t="s">
        <v>538</v>
      </c>
      <c r="AX1806" t="s">
        <v>57</v>
      </c>
      <c r="AY1806" t="s">
        <v>386</v>
      </c>
      <c r="AZ1806" t="s">
        <v>721</v>
      </c>
      <c r="BF1806">
        <v>0</v>
      </c>
      <c r="BK1806" t="s">
        <v>31</v>
      </c>
      <c r="BS1806" t="s">
        <v>412</v>
      </c>
      <c r="CI1806" t="s">
        <v>388</v>
      </c>
      <c r="CJ1806" s="14">
        <v>45015</v>
      </c>
      <c r="CK1806">
        <v>1</v>
      </c>
    </row>
    <row r="1807" spans="1:89">
      <c r="A1807" t="s">
        <v>805</v>
      </c>
      <c r="B1807" t="s">
        <v>374</v>
      </c>
      <c r="C1807" t="s">
        <v>806</v>
      </c>
      <c r="D1807" t="s">
        <v>815</v>
      </c>
      <c r="E1807" t="s">
        <v>816</v>
      </c>
      <c r="F1807" s="13">
        <v>44795.505636574075</v>
      </c>
      <c r="G1807" t="s">
        <v>641</v>
      </c>
      <c r="H1807" t="s">
        <v>642</v>
      </c>
      <c r="I1807" s="13">
        <v>44795.505648148152</v>
      </c>
      <c r="K1807" t="s">
        <v>412</v>
      </c>
      <c r="M1807" s="13">
        <v>44663</v>
      </c>
      <c r="R1807">
        <v>0</v>
      </c>
      <c r="S1807" t="s">
        <v>416</v>
      </c>
      <c r="T1807" t="s">
        <v>57</v>
      </c>
      <c r="V1807" t="s">
        <v>381</v>
      </c>
      <c r="W1807" t="s">
        <v>809</v>
      </c>
      <c r="X1807" t="s">
        <v>809</v>
      </c>
      <c r="AC1807" s="13">
        <v>44663</v>
      </c>
      <c r="AD1807" s="13">
        <v>44663</v>
      </c>
      <c r="AI1807">
        <v>-132</v>
      </c>
      <c r="AN1807" t="s">
        <v>31</v>
      </c>
      <c r="AO1807">
        <v>0</v>
      </c>
      <c r="AS1807" t="s">
        <v>385</v>
      </c>
      <c r="AX1807" t="s">
        <v>57</v>
      </c>
      <c r="AY1807" t="s">
        <v>386</v>
      </c>
      <c r="AZ1807" t="s">
        <v>721</v>
      </c>
      <c r="BF1807">
        <v>0</v>
      </c>
      <c r="BK1807" t="s">
        <v>31</v>
      </c>
      <c r="BS1807" t="s">
        <v>412</v>
      </c>
      <c r="CI1807" t="s">
        <v>388</v>
      </c>
      <c r="CJ1807" s="14">
        <v>45015</v>
      </c>
      <c r="CK1807">
        <v>1</v>
      </c>
    </row>
    <row r="1808" spans="1:89">
      <c r="A1808" t="s">
        <v>805</v>
      </c>
      <c r="B1808" t="s">
        <v>374</v>
      </c>
      <c r="C1808" t="s">
        <v>806</v>
      </c>
      <c r="D1808" t="s">
        <v>817</v>
      </c>
      <c r="E1808" t="s">
        <v>818</v>
      </c>
      <c r="F1808" s="13">
        <v>44795.505613425928</v>
      </c>
      <c r="G1808" t="s">
        <v>641</v>
      </c>
      <c r="H1808" t="s">
        <v>642</v>
      </c>
      <c r="I1808" s="13">
        <v>44795.505624999998</v>
      </c>
      <c r="K1808" t="s">
        <v>412</v>
      </c>
      <c r="M1808" s="13">
        <v>44607</v>
      </c>
      <c r="R1808">
        <v>0</v>
      </c>
      <c r="S1808" t="s">
        <v>380</v>
      </c>
      <c r="T1808" t="s">
        <v>57</v>
      </c>
      <c r="V1808" t="s">
        <v>381</v>
      </c>
      <c r="W1808" t="s">
        <v>809</v>
      </c>
      <c r="X1808" t="s">
        <v>809</v>
      </c>
      <c r="AC1808" s="13">
        <v>44607</v>
      </c>
      <c r="AD1808" s="13">
        <v>44607</v>
      </c>
      <c r="AI1808">
        <v>-188</v>
      </c>
      <c r="AN1808" t="s">
        <v>31</v>
      </c>
      <c r="AO1808">
        <v>0</v>
      </c>
      <c r="AS1808" t="s">
        <v>538</v>
      </c>
      <c r="AX1808" t="s">
        <v>57</v>
      </c>
      <c r="AY1808" t="s">
        <v>386</v>
      </c>
      <c r="AZ1808" t="s">
        <v>721</v>
      </c>
      <c r="BF1808">
        <v>0</v>
      </c>
      <c r="BK1808" t="s">
        <v>31</v>
      </c>
      <c r="BS1808" t="s">
        <v>412</v>
      </c>
      <c r="CI1808" t="s">
        <v>388</v>
      </c>
      <c r="CJ1808" s="14">
        <v>45015</v>
      </c>
      <c r="CK1808">
        <v>1</v>
      </c>
    </row>
    <row r="1809" spans="1:89">
      <c r="A1809" t="s">
        <v>819</v>
      </c>
      <c r="B1809" t="s">
        <v>374</v>
      </c>
      <c r="C1809" t="s">
        <v>820</v>
      </c>
      <c r="D1809" t="s">
        <v>821</v>
      </c>
      <c r="E1809" t="s">
        <v>822</v>
      </c>
      <c r="F1809" s="13">
        <v>44795.505590277775</v>
      </c>
      <c r="G1809" t="s">
        <v>641</v>
      </c>
      <c r="H1809" t="s">
        <v>642</v>
      </c>
      <c r="I1809" s="13">
        <v>44795.505601851852</v>
      </c>
      <c r="K1809" t="s">
        <v>412</v>
      </c>
      <c r="M1809" s="13">
        <v>44742</v>
      </c>
      <c r="R1809">
        <v>0</v>
      </c>
      <c r="S1809" t="s">
        <v>380</v>
      </c>
      <c r="T1809" t="s">
        <v>57</v>
      </c>
      <c r="V1809" t="s">
        <v>381</v>
      </c>
      <c r="W1809" t="s">
        <v>809</v>
      </c>
      <c r="X1809" t="s">
        <v>809</v>
      </c>
      <c r="AC1809" s="13">
        <v>44742</v>
      </c>
      <c r="AD1809" s="13">
        <v>44742</v>
      </c>
      <c r="AI1809">
        <v>-53</v>
      </c>
      <c r="AN1809" t="s">
        <v>31</v>
      </c>
      <c r="AO1809">
        <v>0</v>
      </c>
      <c r="AS1809" t="s">
        <v>392</v>
      </c>
      <c r="AX1809" t="s">
        <v>57</v>
      </c>
      <c r="AY1809" t="s">
        <v>386</v>
      </c>
      <c r="AZ1809" t="s">
        <v>721</v>
      </c>
      <c r="BF1809">
        <v>0</v>
      </c>
      <c r="BK1809" t="s">
        <v>31</v>
      </c>
      <c r="BS1809" t="s">
        <v>412</v>
      </c>
      <c r="CI1809" t="s">
        <v>388</v>
      </c>
      <c r="CJ1809" s="14">
        <v>45015</v>
      </c>
      <c r="CK1809">
        <v>1</v>
      </c>
    </row>
    <row r="1810" spans="1:89">
      <c r="A1810" t="s">
        <v>819</v>
      </c>
      <c r="B1810" t="s">
        <v>374</v>
      </c>
      <c r="C1810" t="s">
        <v>820</v>
      </c>
      <c r="D1810" t="s">
        <v>823</v>
      </c>
      <c r="E1810" t="s">
        <v>824</v>
      </c>
      <c r="F1810" s="13">
        <v>44795.505567129629</v>
      </c>
      <c r="G1810" t="s">
        <v>641</v>
      </c>
      <c r="H1810" t="s">
        <v>642</v>
      </c>
      <c r="I1810" s="13">
        <v>44795.505578703705</v>
      </c>
      <c r="K1810" t="s">
        <v>412</v>
      </c>
      <c r="M1810" s="13">
        <v>44651</v>
      </c>
      <c r="R1810">
        <v>0</v>
      </c>
      <c r="S1810" t="s">
        <v>380</v>
      </c>
      <c r="T1810" t="s">
        <v>57</v>
      </c>
      <c r="V1810" t="s">
        <v>381</v>
      </c>
      <c r="W1810" t="s">
        <v>792</v>
      </c>
      <c r="X1810" t="s">
        <v>792</v>
      </c>
      <c r="AC1810" s="13">
        <v>44651</v>
      </c>
      <c r="AD1810" s="13">
        <v>44651</v>
      </c>
      <c r="AI1810">
        <v>-144</v>
      </c>
      <c r="AN1810" t="s">
        <v>31</v>
      </c>
      <c r="AO1810">
        <v>0</v>
      </c>
      <c r="AS1810" t="s">
        <v>385</v>
      </c>
      <c r="AX1810" t="s">
        <v>57</v>
      </c>
      <c r="AY1810" t="s">
        <v>386</v>
      </c>
      <c r="AZ1810" t="s">
        <v>721</v>
      </c>
      <c r="BF1810">
        <v>0</v>
      </c>
      <c r="BK1810" t="s">
        <v>31</v>
      </c>
      <c r="BS1810" t="s">
        <v>412</v>
      </c>
      <c r="CI1810" t="s">
        <v>388</v>
      </c>
      <c r="CJ1810" s="14">
        <v>45015</v>
      </c>
      <c r="CK1810">
        <v>1</v>
      </c>
    </row>
    <row r="1811" spans="1:89">
      <c r="A1811" t="s">
        <v>797</v>
      </c>
      <c r="B1811" t="s">
        <v>374</v>
      </c>
      <c r="C1811" t="s">
        <v>607</v>
      </c>
      <c r="D1811" t="s">
        <v>825</v>
      </c>
      <c r="E1811" t="s">
        <v>826</v>
      </c>
      <c r="F1811" s="13">
        <v>44795.505543981482</v>
      </c>
      <c r="G1811" t="s">
        <v>641</v>
      </c>
      <c r="H1811" t="s">
        <v>642</v>
      </c>
      <c r="I1811" s="13">
        <v>44795.505555555559</v>
      </c>
      <c r="K1811" t="s">
        <v>412</v>
      </c>
      <c r="M1811" s="13">
        <v>44592</v>
      </c>
      <c r="R1811">
        <v>0</v>
      </c>
      <c r="S1811" t="s">
        <v>380</v>
      </c>
      <c r="T1811" t="s">
        <v>57</v>
      </c>
      <c r="V1811" t="s">
        <v>381</v>
      </c>
      <c r="W1811" t="s">
        <v>827</v>
      </c>
      <c r="X1811" t="s">
        <v>827</v>
      </c>
      <c r="AC1811" s="13">
        <v>44592</v>
      </c>
      <c r="AD1811" s="13">
        <v>44592</v>
      </c>
      <c r="AI1811">
        <v>-203</v>
      </c>
      <c r="AN1811" t="s">
        <v>31</v>
      </c>
      <c r="AO1811">
        <v>0</v>
      </c>
      <c r="AS1811" t="s">
        <v>385</v>
      </c>
      <c r="AX1811" t="s">
        <v>57</v>
      </c>
      <c r="AY1811" t="s">
        <v>386</v>
      </c>
      <c r="AZ1811" t="s">
        <v>721</v>
      </c>
      <c r="BF1811">
        <v>0</v>
      </c>
      <c r="BK1811" t="s">
        <v>31</v>
      </c>
      <c r="BS1811" t="s">
        <v>412</v>
      </c>
      <c r="CI1811" t="s">
        <v>388</v>
      </c>
      <c r="CJ1811" s="14">
        <v>45015</v>
      </c>
      <c r="CK1811">
        <v>1</v>
      </c>
    </row>
    <row r="1812" spans="1:89">
      <c r="A1812" t="s">
        <v>797</v>
      </c>
      <c r="B1812" t="s">
        <v>374</v>
      </c>
      <c r="C1812" t="s">
        <v>607</v>
      </c>
      <c r="D1812" t="s">
        <v>828</v>
      </c>
      <c r="E1812" t="s">
        <v>829</v>
      </c>
      <c r="F1812" s="13">
        <v>44795.505520833336</v>
      </c>
      <c r="G1812" t="s">
        <v>641</v>
      </c>
      <c r="H1812" t="s">
        <v>642</v>
      </c>
      <c r="I1812" s="13">
        <v>44795.505532407406</v>
      </c>
      <c r="K1812" t="s">
        <v>412</v>
      </c>
      <c r="M1812" s="13">
        <v>44651</v>
      </c>
      <c r="R1812">
        <v>0</v>
      </c>
      <c r="S1812" t="s">
        <v>380</v>
      </c>
      <c r="T1812" t="s">
        <v>57</v>
      </c>
      <c r="V1812" t="s">
        <v>381</v>
      </c>
      <c r="W1812" t="s">
        <v>827</v>
      </c>
      <c r="X1812" t="s">
        <v>827</v>
      </c>
      <c r="AC1812" s="13">
        <v>44651</v>
      </c>
      <c r="AD1812" s="13">
        <v>44651</v>
      </c>
      <c r="AI1812">
        <v>-144</v>
      </c>
      <c r="AN1812" t="s">
        <v>31</v>
      </c>
      <c r="AO1812">
        <v>0</v>
      </c>
      <c r="AS1812" t="s">
        <v>385</v>
      </c>
      <c r="AX1812" t="s">
        <v>57</v>
      </c>
      <c r="AY1812" t="s">
        <v>386</v>
      </c>
      <c r="AZ1812" t="s">
        <v>721</v>
      </c>
      <c r="BF1812">
        <v>0</v>
      </c>
      <c r="BK1812" t="s">
        <v>31</v>
      </c>
      <c r="BS1812" t="s">
        <v>412</v>
      </c>
      <c r="CI1812" t="s">
        <v>388</v>
      </c>
      <c r="CJ1812" s="14">
        <v>45015</v>
      </c>
      <c r="CK1812">
        <v>1</v>
      </c>
    </row>
    <row r="1813" spans="1:89">
      <c r="A1813" t="s">
        <v>819</v>
      </c>
      <c r="B1813" t="s">
        <v>374</v>
      </c>
      <c r="C1813" t="s">
        <v>820</v>
      </c>
      <c r="D1813" t="s">
        <v>830</v>
      </c>
      <c r="E1813" t="s">
        <v>831</v>
      </c>
      <c r="F1813" s="13">
        <v>44795.505497685182</v>
      </c>
      <c r="G1813" t="s">
        <v>641</v>
      </c>
      <c r="H1813" t="s">
        <v>642</v>
      </c>
      <c r="I1813" s="13">
        <v>44795.505509259259</v>
      </c>
      <c r="K1813" t="s">
        <v>412</v>
      </c>
      <c r="M1813" s="13">
        <v>44651</v>
      </c>
      <c r="R1813">
        <v>0</v>
      </c>
      <c r="S1813" t="s">
        <v>380</v>
      </c>
      <c r="T1813" t="s">
        <v>57</v>
      </c>
      <c r="V1813" t="s">
        <v>381</v>
      </c>
      <c r="W1813" t="s">
        <v>832</v>
      </c>
      <c r="X1813" t="s">
        <v>832</v>
      </c>
      <c r="AC1813" s="13">
        <v>44651</v>
      </c>
      <c r="AD1813" s="13">
        <v>44651</v>
      </c>
      <c r="AI1813">
        <v>-144</v>
      </c>
      <c r="AN1813" t="s">
        <v>31</v>
      </c>
      <c r="AO1813">
        <v>0</v>
      </c>
      <c r="AS1813" t="s">
        <v>385</v>
      </c>
      <c r="AX1813" t="s">
        <v>57</v>
      </c>
      <c r="AY1813" t="s">
        <v>386</v>
      </c>
      <c r="AZ1813" t="s">
        <v>721</v>
      </c>
      <c r="BF1813">
        <v>0</v>
      </c>
      <c r="BK1813" t="s">
        <v>31</v>
      </c>
      <c r="BS1813" t="s">
        <v>412</v>
      </c>
      <c r="CI1813" t="s">
        <v>388</v>
      </c>
      <c r="CJ1813" s="14">
        <v>45015</v>
      </c>
      <c r="CK1813">
        <v>1</v>
      </c>
    </row>
    <row r="1814" spans="1:89">
      <c r="A1814" t="s">
        <v>819</v>
      </c>
      <c r="B1814" t="s">
        <v>374</v>
      </c>
      <c r="C1814" t="s">
        <v>820</v>
      </c>
      <c r="D1814" t="s">
        <v>833</v>
      </c>
      <c r="E1814" t="s">
        <v>834</v>
      </c>
      <c r="F1814" s="13">
        <v>44795.505474537036</v>
      </c>
      <c r="G1814" t="s">
        <v>641</v>
      </c>
      <c r="H1814" t="s">
        <v>642</v>
      </c>
      <c r="I1814" s="13">
        <v>44795.505486111113</v>
      </c>
      <c r="K1814" t="s">
        <v>412</v>
      </c>
      <c r="M1814" s="13">
        <v>44834</v>
      </c>
      <c r="R1814">
        <v>0</v>
      </c>
      <c r="S1814" t="s">
        <v>380</v>
      </c>
      <c r="T1814" t="s">
        <v>57</v>
      </c>
      <c r="V1814" t="s">
        <v>381</v>
      </c>
      <c r="W1814" t="s">
        <v>832</v>
      </c>
      <c r="X1814" t="s">
        <v>832</v>
      </c>
      <c r="AC1814" s="13">
        <v>44834</v>
      </c>
      <c r="AD1814" s="13">
        <v>44834</v>
      </c>
      <c r="AI1814">
        <v>39</v>
      </c>
      <c r="AN1814" t="s">
        <v>31</v>
      </c>
      <c r="AO1814">
        <v>0</v>
      </c>
      <c r="AS1814" t="s">
        <v>385</v>
      </c>
      <c r="AX1814" t="s">
        <v>57</v>
      </c>
      <c r="AY1814" t="s">
        <v>386</v>
      </c>
      <c r="AZ1814" t="s">
        <v>721</v>
      </c>
      <c r="BF1814">
        <v>0</v>
      </c>
      <c r="BK1814" t="s">
        <v>31</v>
      </c>
      <c r="BS1814" t="s">
        <v>412</v>
      </c>
      <c r="CI1814" t="s">
        <v>388</v>
      </c>
      <c r="CJ1814" s="14">
        <v>45015</v>
      </c>
      <c r="CK1814">
        <v>1</v>
      </c>
    </row>
    <row r="1815" spans="1:89">
      <c r="A1815" t="s">
        <v>819</v>
      </c>
      <c r="B1815" t="s">
        <v>374</v>
      </c>
      <c r="C1815" t="s">
        <v>820</v>
      </c>
      <c r="D1815" t="s">
        <v>835</v>
      </c>
      <c r="E1815" t="s">
        <v>836</v>
      </c>
      <c r="F1815" s="13">
        <v>44795.50545138889</v>
      </c>
      <c r="G1815" t="s">
        <v>641</v>
      </c>
      <c r="H1815" t="s">
        <v>642</v>
      </c>
      <c r="I1815" s="13">
        <v>44795.505462962959</v>
      </c>
      <c r="K1815" t="s">
        <v>412</v>
      </c>
      <c r="M1815" s="13">
        <v>44742</v>
      </c>
      <c r="R1815">
        <v>0</v>
      </c>
      <c r="S1815" t="s">
        <v>380</v>
      </c>
      <c r="T1815" t="s">
        <v>57</v>
      </c>
      <c r="V1815" t="s">
        <v>381</v>
      </c>
      <c r="W1815" t="s">
        <v>832</v>
      </c>
      <c r="X1815" t="s">
        <v>832</v>
      </c>
      <c r="AC1815" s="13">
        <v>44742</v>
      </c>
      <c r="AD1815" s="13">
        <v>44742</v>
      </c>
      <c r="AI1815">
        <v>-53</v>
      </c>
      <c r="AN1815" t="s">
        <v>31</v>
      </c>
      <c r="AO1815">
        <v>0</v>
      </c>
      <c r="AS1815" t="s">
        <v>385</v>
      </c>
      <c r="AX1815" t="s">
        <v>57</v>
      </c>
      <c r="AY1815" t="s">
        <v>442</v>
      </c>
      <c r="AZ1815" t="s">
        <v>721</v>
      </c>
      <c r="BF1815">
        <v>0</v>
      </c>
      <c r="BK1815" t="s">
        <v>31</v>
      </c>
      <c r="BS1815" t="s">
        <v>412</v>
      </c>
      <c r="CI1815" t="s">
        <v>388</v>
      </c>
      <c r="CJ1815" s="14">
        <v>45015</v>
      </c>
      <c r="CK1815">
        <v>1</v>
      </c>
    </row>
    <row r="1816" spans="1:89">
      <c r="A1816" t="s">
        <v>819</v>
      </c>
      <c r="B1816" t="s">
        <v>374</v>
      </c>
      <c r="C1816" t="s">
        <v>820</v>
      </c>
      <c r="D1816" t="s">
        <v>837</v>
      </c>
      <c r="E1816" t="s">
        <v>838</v>
      </c>
      <c r="F1816" s="13">
        <v>44795.505428240744</v>
      </c>
      <c r="G1816" t="s">
        <v>641</v>
      </c>
      <c r="H1816" t="s">
        <v>642</v>
      </c>
      <c r="I1816" s="13">
        <v>44795.505439814813</v>
      </c>
      <c r="K1816" t="s">
        <v>412</v>
      </c>
      <c r="M1816" s="13">
        <v>44742</v>
      </c>
      <c r="R1816">
        <v>0</v>
      </c>
      <c r="S1816" t="s">
        <v>380</v>
      </c>
      <c r="T1816" t="s">
        <v>57</v>
      </c>
      <c r="V1816" t="s">
        <v>381</v>
      </c>
      <c r="W1816" t="s">
        <v>832</v>
      </c>
      <c r="X1816" t="s">
        <v>832</v>
      </c>
      <c r="AC1816" s="13">
        <v>44742</v>
      </c>
      <c r="AD1816" s="13">
        <v>44742</v>
      </c>
      <c r="AI1816">
        <v>-53</v>
      </c>
      <c r="AN1816" t="s">
        <v>31</v>
      </c>
      <c r="AO1816">
        <v>0</v>
      </c>
      <c r="AS1816" t="s">
        <v>538</v>
      </c>
      <c r="AX1816" t="s">
        <v>57</v>
      </c>
      <c r="AY1816" t="s">
        <v>386</v>
      </c>
      <c r="AZ1816" t="s">
        <v>721</v>
      </c>
      <c r="BF1816">
        <v>0</v>
      </c>
      <c r="BK1816" t="s">
        <v>31</v>
      </c>
      <c r="BS1816" t="s">
        <v>412</v>
      </c>
      <c r="CI1816" t="s">
        <v>388</v>
      </c>
      <c r="CJ1816" s="14">
        <v>45015</v>
      </c>
      <c r="CK1816">
        <v>1</v>
      </c>
    </row>
    <row r="1817" spans="1:89">
      <c r="A1817" t="s">
        <v>797</v>
      </c>
      <c r="B1817" t="s">
        <v>374</v>
      </c>
      <c r="C1817" t="s">
        <v>607</v>
      </c>
      <c r="D1817" t="s">
        <v>839</v>
      </c>
      <c r="E1817" t="s">
        <v>840</v>
      </c>
      <c r="F1817" s="13">
        <v>44795.505416666667</v>
      </c>
      <c r="G1817" t="s">
        <v>641</v>
      </c>
      <c r="H1817" t="s">
        <v>642</v>
      </c>
      <c r="I1817" s="13">
        <v>44795.505428240744</v>
      </c>
      <c r="K1817" t="s">
        <v>412</v>
      </c>
      <c r="M1817" s="13">
        <v>44651</v>
      </c>
      <c r="R1817">
        <v>0</v>
      </c>
      <c r="S1817" t="s">
        <v>380</v>
      </c>
      <c r="T1817" t="s">
        <v>57</v>
      </c>
      <c r="V1817" t="s">
        <v>381</v>
      </c>
      <c r="W1817" t="s">
        <v>832</v>
      </c>
      <c r="X1817" t="s">
        <v>832</v>
      </c>
      <c r="AC1817" s="13">
        <v>44651</v>
      </c>
      <c r="AD1817" s="13">
        <v>44651</v>
      </c>
      <c r="AI1817">
        <v>-144</v>
      </c>
      <c r="AN1817" t="s">
        <v>31</v>
      </c>
      <c r="AO1817">
        <v>0</v>
      </c>
      <c r="AS1817" t="s">
        <v>385</v>
      </c>
      <c r="AX1817" t="s">
        <v>57</v>
      </c>
      <c r="AY1817" t="s">
        <v>386</v>
      </c>
      <c r="AZ1817" t="s">
        <v>721</v>
      </c>
      <c r="BF1817">
        <v>0</v>
      </c>
      <c r="BK1817" t="s">
        <v>31</v>
      </c>
      <c r="BS1817" t="s">
        <v>412</v>
      </c>
      <c r="CI1817" t="s">
        <v>388</v>
      </c>
      <c r="CJ1817" s="14">
        <v>45015</v>
      </c>
      <c r="CK1817">
        <v>1</v>
      </c>
    </row>
    <row r="1818" spans="1:89">
      <c r="A1818" t="s">
        <v>841</v>
      </c>
      <c r="B1818" t="s">
        <v>374</v>
      </c>
      <c r="C1818" t="s">
        <v>842</v>
      </c>
      <c r="D1818" t="s">
        <v>843</v>
      </c>
      <c r="E1818" t="s">
        <v>844</v>
      </c>
      <c r="F1818" s="13">
        <v>44795.505381944444</v>
      </c>
      <c r="G1818" t="s">
        <v>641</v>
      </c>
      <c r="H1818" t="s">
        <v>642</v>
      </c>
      <c r="I1818" s="13">
        <v>44795.505393518521</v>
      </c>
      <c r="K1818" t="s">
        <v>412</v>
      </c>
      <c r="M1818" s="13">
        <v>44926</v>
      </c>
      <c r="R1818">
        <v>0</v>
      </c>
      <c r="S1818" t="s">
        <v>380</v>
      </c>
      <c r="T1818" t="s">
        <v>57</v>
      </c>
      <c r="V1818" t="s">
        <v>381</v>
      </c>
      <c r="W1818" t="s">
        <v>845</v>
      </c>
      <c r="X1818" t="s">
        <v>845</v>
      </c>
      <c r="AC1818" s="13">
        <v>44926</v>
      </c>
      <c r="AD1818" s="13">
        <v>44926</v>
      </c>
      <c r="AI1818">
        <v>131</v>
      </c>
      <c r="AN1818" t="s">
        <v>31</v>
      </c>
      <c r="AO1818">
        <v>0</v>
      </c>
      <c r="AS1818" t="s">
        <v>538</v>
      </c>
      <c r="AX1818" t="s">
        <v>57</v>
      </c>
      <c r="AY1818" t="s">
        <v>442</v>
      </c>
      <c r="AZ1818" t="s">
        <v>721</v>
      </c>
      <c r="BF1818">
        <v>0</v>
      </c>
      <c r="BK1818" t="s">
        <v>31</v>
      </c>
      <c r="BS1818" t="s">
        <v>412</v>
      </c>
      <c r="CI1818" t="s">
        <v>388</v>
      </c>
      <c r="CJ1818" s="14">
        <v>45015</v>
      </c>
      <c r="CK1818">
        <v>1</v>
      </c>
    </row>
    <row r="1819" spans="1:89">
      <c r="A1819" t="s">
        <v>841</v>
      </c>
      <c r="B1819" t="s">
        <v>374</v>
      </c>
      <c r="C1819" t="s">
        <v>842</v>
      </c>
      <c r="D1819" t="s">
        <v>846</v>
      </c>
      <c r="E1819" t="s">
        <v>847</v>
      </c>
      <c r="F1819" s="13">
        <v>44795.505370370367</v>
      </c>
      <c r="G1819" t="s">
        <v>641</v>
      </c>
      <c r="H1819" t="s">
        <v>642</v>
      </c>
      <c r="I1819" s="13">
        <v>44795.505381944444</v>
      </c>
      <c r="K1819" t="s">
        <v>412</v>
      </c>
      <c r="M1819" s="13">
        <v>44742</v>
      </c>
      <c r="R1819">
        <v>0</v>
      </c>
      <c r="S1819" t="s">
        <v>380</v>
      </c>
      <c r="T1819" t="s">
        <v>57</v>
      </c>
      <c r="V1819" t="s">
        <v>381</v>
      </c>
      <c r="W1819" t="s">
        <v>845</v>
      </c>
      <c r="X1819" t="s">
        <v>845</v>
      </c>
      <c r="AC1819" s="13">
        <v>44742</v>
      </c>
      <c r="AD1819" s="13">
        <v>44742</v>
      </c>
      <c r="AI1819">
        <v>-53</v>
      </c>
      <c r="AN1819" t="s">
        <v>31</v>
      </c>
      <c r="AO1819">
        <v>0</v>
      </c>
      <c r="AS1819" t="s">
        <v>385</v>
      </c>
      <c r="AX1819" t="s">
        <v>57</v>
      </c>
      <c r="AY1819" t="s">
        <v>386</v>
      </c>
      <c r="AZ1819" t="s">
        <v>721</v>
      </c>
      <c r="BF1819">
        <v>0</v>
      </c>
      <c r="BK1819" t="s">
        <v>31</v>
      </c>
      <c r="BS1819" t="s">
        <v>412</v>
      </c>
      <c r="CI1819" t="s">
        <v>388</v>
      </c>
      <c r="CJ1819" s="14">
        <v>45015</v>
      </c>
      <c r="CK1819">
        <v>1</v>
      </c>
    </row>
    <row r="1820" spans="1:89">
      <c r="A1820" t="s">
        <v>841</v>
      </c>
      <c r="B1820" t="s">
        <v>374</v>
      </c>
      <c r="C1820" t="s">
        <v>842</v>
      </c>
      <c r="D1820" t="s">
        <v>848</v>
      </c>
      <c r="E1820" t="s">
        <v>847</v>
      </c>
      <c r="F1820" s="13">
        <v>44795.505347222221</v>
      </c>
      <c r="G1820" t="s">
        <v>641</v>
      </c>
      <c r="H1820" t="s">
        <v>642</v>
      </c>
      <c r="I1820" s="13">
        <v>44795.505358796298</v>
      </c>
      <c r="K1820" t="s">
        <v>412</v>
      </c>
      <c r="M1820" s="13">
        <v>44742</v>
      </c>
      <c r="R1820">
        <v>0</v>
      </c>
      <c r="S1820" t="s">
        <v>380</v>
      </c>
      <c r="T1820" t="s">
        <v>57</v>
      </c>
      <c r="V1820" t="s">
        <v>381</v>
      </c>
      <c r="W1820" t="s">
        <v>845</v>
      </c>
      <c r="X1820" t="s">
        <v>845</v>
      </c>
      <c r="AC1820" s="13">
        <v>44742</v>
      </c>
      <c r="AD1820" s="13">
        <v>44742</v>
      </c>
      <c r="AI1820">
        <v>-53</v>
      </c>
      <c r="AN1820" t="s">
        <v>31</v>
      </c>
      <c r="AO1820">
        <v>0</v>
      </c>
      <c r="AS1820" t="s">
        <v>385</v>
      </c>
      <c r="AX1820" t="s">
        <v>57</v>
      </c>
      <c r="AY1820" t="s">
        <v>386</v>
      </c>
      <c r="AZ1820" t="s">
        <v>721</v>
      </c>
      <c r="BF1820">
        <v>0</v>
      </c>
      <c r="BK1820" t="s">
        <v>31</v>
      </c>
      <c r="BS1820" t="s">
        <v>412</v>
      </c>
      <c r="CI1820" t="s">
        <v>388</v>
      </c>
      <c r="CJ1820" s="14">
        <v>45015</v>
      </c>
      <c r="CK1820">
        <v>1</v>
      </c>
    </row>
    <row r="1821" spans="1:89">
      <c r="A1821" t="s">
        <v>849</v>
      </c>
      <c r="B1821" t="s">
        <v>374</v>
      </c>
      <c r="C1821" t="s">
        <v>850</v>
      </c>
      <c r="D1821" t="s">
        <v>851</v>
      </c>
      <c r="E1821" t="s">
        <v>852</v>
      </c>
      <c r="F1821" s="13">
        <v>44795.505324074074</v>
      </c>
      <c r="G1821" t="s">
        <v>641</v>
      </c>
      <c r="H1821" t="s">
        <v>642</v>
      </c>
      <c r="I1821" s="13">
        <v>44795.505335648151</v>
      </c>
      <c r="K1821" t="s">
        <v>412</v>
      </c>
      <c r="M1821" s="13">
        <v>44651</v>
      </c>
      <c r="R1821">
        <v>0</v>
      </c>
      <c r="S1821" t="s">
        <v>380</v>
      </c>
      <c r="T1821" t="s">
        <v>57</v>
      </c>
      <c r="V1821" t="s">
        <v>381</v>
      </c>
      <c r="W1821" t="s">
        <v>800</v>
      </c>
      <c r="X1821" t="s">
        <v>800</v>
      </c>
      <c r="AC1821" s="13">
        <v>44651</v>
      </c>
      <c r="AD1821" s="13">
        <v>44651</v>
      </c>
      <c r="AI1821">
        <v>-144</v>
      </c>
      <c r="AN1821" t="s">
        <v>31</v>
      </c>
      <c r="AO1821">
        <v>0</v>
      </c>
      <c r="AS1821" t="s">
        <v>730</v>
      </c>
      <c r="AX1821" t="s">
        <v>57</v>
      </c>
      <c r="AY1821" t="s">
        <v>386</v>
      </c>
      <c r="AZ1821" t="s">
        <v>721</v>
      </c>
      <c r="BF1821">
        <v>0</v>
      </c>
      <c r="BK1821" t="s">
        <v>31</v>
      </c>
      <c r="BS1821" t="s">
        <v>412</v>
      </c>
      <c r="CI1821" t="s">
        <v>388</v>
      </c>
      <c r="CJ1821" s="14">
        <v>45015</v>
      </c>
      <c r="CK1821">
        <v>1</v>
      </c>
    </row>
    <row r="1822" spans="1:89">
      <c r="A1822" t="s">
        <v>849</v>
      </c>
      <c r="B1822" t="s">
        <v>374</v>
      </c>
      <c r="C1822" t="s">
        <v>850</v>
      </c>
      <c r="D1822" t="s">
        <v>853</v>
      </c>
      <c r="E1822" t="s">
        <v>854</v>
      </c>
      <c r="F1822" s="13">
        <v>44795.505300925928</v>
      </c>
      <c r="G1822" t="s">
        <v>641</v>
      </c>
      <c r="H1822" t="s">
        <v>642</v>
      </c>
      <c r="I1822" s="13">
        <v>44795.505312499998</v>
      </c>
      <c r="K1822" t="s">
        <v>412</v>
      </c>
      <c r="M1822" s="13">
        <v>44651</v>
      </c>
      <c r="R1822">
        <v>0</v>
      </c>
      <c r="S1822" t="s">
        <v>380</v>
      </c>
      <c r="T1822" t="s">
        <v>57</v>
      </c>
      <c r="V1822" t="s">
        <v>381</v>
      </c>
      <c r="W1822" t="s">
        <v>855</v>
      </c>
      <c r="X1822" t="s">
        <v>855</v>
      </c>
      <c r="AC1822" s="13">
        <v>44651</v>
      </c>
      <c r="AD1822" s="13">
        <v>44651</v>
      </c>
      <c r="AI1822">
        <v>-144</v>
      </c>
      <c r="AN1822" t="s">
        <v>31</v>
      </c>
      <c r="AO1822">
        <v>0</v>
      </c>
      <c r="AS1822" t="s">
        <v>538</v>
      </c>
      <c r="AX1822" t="s">
        <v>57</v>
      </c>
      <c r="AY1822" t="s">
        <v>386</v>
      </c>
      <c r="AZ1822" t="s">
        <v>721</v>
      </c>
      <c r="BF1822">
        <v>0</v>
      </c>
      <c r="BK1822" t="s">
        <v>31</v>
      </c>
      <c r="BS1822" t="s">
        <v>412</v>
      </c>
      <c r="CI1822" t="s">
        <v>388</v>
      </c>
      <c r="CJ1822" s="14">
        <v>45015</v>
      </c>
      <c r="CK1822">
        <v>1</v>
      </c>
    </row>
    <row r="1823" spans="1:89">
      <c r="A1823" t="s">
        <v>849</v>
      </c>
      <c r="B1823" t="s">
        <v>374</v>
      </c>
      <c r="C1823" t="s">
        <v>850</v>
      </c>
      <c r="D1823" t="s">
        <v>856</v>
      </c>
      <c r="E1823" t="s">
        <v>857</v>
      </c>
      <c r="F1823" s="13">
        <v>44795.505289351851</v>
      </c>
      <c r="G1823" t="s">
        <v>641</v>
      </c>
      <c r="H1823" t="s">
        <v>642</v>
      </c>
      <c r="I1823" s="13">
        <v>44795.505289351851</v>
      </c>
      <c r="K1823" t="s">
        <v>412</v>
      </c>
      <c r="M1823" s="13">
        <v>44469</v>
      </c>
      <c r="R1823">
        <v>0</v>
      </c>
      <c r="S1823" t="s">
        <v>380</v>
      </c>
      <c r="T1823" t="s">
        <v>57</v>
      </c>
      <c r="V1823" t="s">
        <v>381</v>
      </c>
      <c r="W1823" t="s">
        <v>858</v>
      </c>
      <c r="X1823" t="s">
        <v>858</v>
      </c>
      <c r="AC1823" s="13">
        <v>44469</v>
      </c>
      <c r="AD1823" s="13">
        <v>44469</v>
      </c>
      <c r="AI1823">
        <v>-326</v>
      </c>
      <c r="AN1823" t="s">
        <v>31</v>
      </c>
      <c r="AO1823">
        <v>0</v>
      </c>
      <c r="AS1823" t="s">
        <v>385</v>
      </c>
      <c r="AX1823" t="s">
        <v>57</v>
      </c>
      <c r="AY1823" t="s">
        <v>386</v>
      </c>
      <c r="AZ1823" t="s">
        <v>721</v>
      </c>
      <c r="BF1823">
        <v>0</v>
      </c>
      <c r="BK1823" t="s">
        <v>31</v>
      </c>
      <c r="BS1823" t="s">
        <v>412</v>
      </c>
      <c r="CI1823" t="s">
        <v>388</v>
      </c>
      <c r="CJ1823" s="14">
        <v>45015</v>
      </c>
      <c r="CK1823">
        <v>1</v>
      </c>
    </row>
    <row r="1824" spans="1:89">
      <c r="A1824" t="s">
        <v>859</v>
      </c>
      <c r="B1824" t="s">
        <v>374</v>
      </c>
      <c r="C1824" t="s">
        <v>860</v>
      </c>
      <c r="D1824" t="s">
        <v>861</v>
      </c>
      <c r="E1824" t="s">
        <v>862</v>
      </c>
      <c r="F1824" s="13">
        <v>44795.505266203705</v>
      </c>
      <c r="G1824" t="s">
        <v>641</v>
      </c>
      <c r="H1824" t="s">
        <v>642</v>
      </c>
      <c r="I1824" s="13">
        <v>44795.505277777775</v>
      </c>
      <c r="K1824" t="s">
        <v>412</v>
      </c>
      <c r="M1824" s="13">
        <v>44469</v>
      </c>
      <c r="R1824">
        <v>0</v>
      </c>
      <c r="S1824" t="s">
        <v>380</v>
      </c>
      <c r="T1824" t="s">
        <v>57</v>
      </c>
      <c r="V1824" t="s">
        <v>381</v>
      </c>
      <c r="W1824" t="s">
        <v>863</v>
      </c>
      <c r="X1824" t="s">
        <v>863</v>
      </c>
      <c r="AC1824" s="13">
        <v>44469</v>
      </c>
      <c r="AD1824" s="13">
        <v>44469</v>
      </c>
      <c r="AI1824">
        <v>-326</v>
      </c>
      <c r="AN1824" t="s">
        <v>31</v>
      </c>
      <c r="AO1824">
        <v>0</v>
      </c>
      <c r="AS1824" t="s">
        <v>385</v>
      </c>
      <c r="AX1824" t="s">
        <v>57</v>
      </c>
      <c r="AY1824" t="s">
        <v>386</v>
      </c>
      <c r="AZ1824" t="s">
        <v>721</v>
      </c>
      <c r="BF1824">
        <v>0</v>
      </c>
      <c r="BK1824" t="s">
        <v>31</v>
      </c>
      <c r="BS1824" t="s">
        <v>412</v>
      </c>
      <c r="CI1824" t="s">
        <v>388</v>
      </c>
      <c r="CJ1824" s="14">
        <v>45015</v>
      </c>
      <c r="CK1824">
        <v>1</v>
      </c>
    </row>
    <row r="1825" spans="1:89">
      <c r="A1825" t="s">
        <v>859</v>
      </c>
      <c r="B1825" t="s">
        <v>374</v>
      </c>
      <c r="C1825" t="s">
        <v>860</v>
      </c>
      <c r="D1825" t="s">
        <v>864</v>
      </c>
      <c r="E1825" t="s">
        <v>865</v>
      </c>
      <c r="F1825" s="13">
        <v>44795.505243055559</v>
      </c>
      <c r="G1825" t="s">
        <v>641</v>
      </c>
      <c r="H1825" t="s">
        <v>642</v>
      </c>
      <c r="I1825" s="13">
        <v>44795.505254629628</v>
      </c>
      <c r="K1825" t="s">
        <v>412</v>
      </c>
      <c r="M1825" s="13">
        <v>44696</v>
      </c>
      <c r="R1825">
        <v>0</v>
      </c>
      <c r="S1825" t="s">
        <v>380</v>
      </c>
      <c r="T1825" t="s">
        <v>57</v>
      </c>
      <c r="V1825" t="s">
        <v>381</v>
      </c>
      <c r="W1825" t="s">
        <v>866</v>
      </c>
      <c r="X1825" t="s">
        <v>866</v>
      </c>
      <c r="AC1825" s="13">
        <v>44545</v>
      </c>
      <c r="AD1825" s="13">
        <v>44545</v>
      </c>
      <c r="AI1825">
        <v>-99</v>
      </c>
      <c r="AN1825" t="s">
        <v>31</v>
      </c>
      <c r="AO1825">
        <v>0</v>
      </c>
      <c r="AS1825" t="s">
        <v>392</v>
      </c>
      <c r="AX1825" t="s">
        <v>57</v>
      </c>
      <c r="AY1825" t="s">
        <v>386</v>
      </c>
      <c r="AZ1825" t="s">
        <v>721</v>
      </c>
      <c r="BF1825">
        <v>0</v>
      </c>
      <c r="BK1825" t="s">
        <v>31</v>
      </c>
      <c r="BS1825" t="s">
        <v>412</v>
      </c>
      <c r="CI1825" t="s">
        <v>388</v>
      </c>
      <c r="CJ1825" s="14">
        <v>45015</v>
      </c>
      <c r="CK1825">
        <v>1</v>
      </c>
    </row>
    <row r="1826" spans="1:89">
      <c r="A1826" t="s">
        <v>867</v>
      </c>
      <c r="B1826" t="s">
        <v>374</v>
      </c>
      <c r="C1826" t="s">
        <v>607</v>
      </c>
      <c r="D1826" t="s">
        <v>868</v>
      </c>
      <c r="E1826" t="s">
        <v>869</v>
      </c>
      <c r="F1826" s="13">
        <v>44795.505231481482</v>
      </c>
      <c r="G1826" t="s">
        <v>641</v>
      </c>
      <c r="H1826" t="s">
        <v>642</v>
      </c>
      <c r="I1826" s="13">
        <v>44795.505231481482</v>
      </c>
      <c r="K1826" t="s">
        <v>412</v>
      </c>
      <c r="M1826" s="13">
        <v>44696</v>
      </c>
      <c r="R1826">
        <v>0</v>
      </c>
      <c r="S1826" t="s">
        <v>380</v>
      </c>
      <c r="T1826" t="s">
        <v>57</v>
      </c>
      <c r="V1826" t="s">
        <v>381</v>
      </c>
      <c r="W1826" t="s">
        <v>866</v>
      </c>
      <c r="X1826" t="s">
        <v>866</v>
      </c>
      <c r="AC1826" s="13">
        <v>44545</v>
      </c>
      <c r="AD1826" s="13">
        <v>44545</v>
      </c>
      <c r="AI1826">
        <v>-99</v>
      </c>
      <c r="AN1826" t="s">
        <v>31</v>
      </c>
      <c r="AO1826">
        <v>0</v>
      </c>
      <c r="AS1826" t="s">
        <v>385</v>
      </c>
      <c r="AX1826" t="s">
        <v>57</v>
      </c>
      <c r="AY1826" t="s">
        <v>386</v>
      </c>
      <c r="AZ1826" t="s">
        <v>721</v>
      </c>
      <c r="BF1826">
        <v>0</v>
      </c>
      <c r="BK1826" t="s">
        <v>31</v>
      </c>
      <c r="BS1826" t="s">
        <v>412</v>
      </c>
      <c r="CI1826" t="s">
        <v>388</v>
      </c>
      <c r="CJ1826" s="14">
        <v>45015</v>
      </c>
      <c r="CK1826">
        <v>1</v>
      </c>
    </row>
    <row r="1827" spans="1:89">
      <c r="A1827" t="s">
        <v>867</v>
      </c>
      <c r="B1827" t="s">
        <v>374</v>
      </c>
      <c r="C1827" t="s">
        <v>607</v>
      </c>
      <c r="D1827" t="s">
        <v>870</v>
      </c>
      <c r="E1827" t="s">
        <v>871</v>
      </c>
      <c r="F1827" s="13">
        <v>44795.505208333336</v>
      </c>
      <c r="G1827" t="s">
        <v>641</v>
      </c>
      <c r="H1827" t="s">
        <v>642</v>
      </c>
      <c r="I1827" s="13">
        <v>44795.505219907405</v>
      </c>
      <c r="K1827" t="s">
        <v>412</v>
      </c>
      <c r="M1827" s="13">
        <v>44651</v>
      </c>
      <c r="R1827">
        <v>0</v>
      </c>
      <c r="S1827" t="s">
        <v>380</v>
      </c>
      <c r="T1827" t="s">
        <v>57</v>
      </c>
      <c r="V1827" t="s">
        <v>381</v>
      </c>
      <c r="W1827" t="s">
        <v>800</v>
      </c>
      <c r="X1827" t="s">
        <v>800</v>
      </c>
      <c r="AC1827" s="13">
        <v>44651</v>
      </c>
      <c r="AD1827" s="13">
        <v>44651</v>
      </c>
      <c r="AI1827">
        <v>-144</v>
      </c>
      <c r="AN1827" t="s">
        <v>31</v>
      </c>
      <c r="AO1827">
        <v>0</v>
      </c>
      <c r="AS1827" t="s">
        <v>730</v>
      </c>
      <c r="AX1827" t="s">
        <v>57</v>
      </c>
      <c r="AY1827" t="s">
        <v>386</v>
      </c>
      <c r="AZ1827" t="s">
        <v>721</v>
      </c>
      <c r="BF1827">
        <v>0</v>
      </c>
      <c r="BK1827" t="s">
        <v>31</v>
      </c>
      <c r="BS1827" t="s">
        <v>412</v>
      </c>
      <c r="CI1827" t="s">
        <v>388</v>
      </c>
      <c r="CJ1827" s="14">
        <v>45015</v>
      </c>
      <c r="CK1827">
        <v>1</v>
      </c>
    </row>
    <row r="1828" spans="1:89">
      <c r="A1828" t="s">
        <v>714</v>
      </c>
      <c r="B1828" t="s">
        <v>374</v>
      </c>
      <c r="C1828" t="s">
        <v>715</v>
      </c>
      <c r="D1828" t="s">
        <v>872</v>
      </c>
      <c r="E1828" t="s">
        <v>873</v>
      </c>
      <c r="F1828" s="13">
        <v>44795.505185185182</v>
      </c>
      <c r="G1828" t="s">
        <v>641</v>
      </c>
      <c r="H1828" t="s">
        <v>642</v>
      </c>
      <c r="I1828" s="13">
        <v>44795.505196759259</v>
      </c>
      <c r="K1828" t="s">
        <v>412</v>
      </c>
      <c r="M1828" s="13">
        <v>44742</v>
      </c>
      <c r="R1828">
        <v>0</v>
      </c>
      <c r="S1828" t="s">
        <v>416</v>
      </c>
      <c r="T1828" t="s">
        <v>57</v>
      </c>
      <c r="V1828" t="s">
        <v>381</v>
      </c>
      <c r="W1828" t="s">
        <v>874</v>
      </c>
      <c r="X1828" t="s">
        <v>874</v>
      </c>
      <c r="AC1828" s="13">
        <v>44926</v>
      </c>
      <c r="AD1828" s="13">
        <v>44926</v>
      </c>
      <c r="AI1828">
        <v>-53</v>
      </c>
      <c r="AN1828" t="s">
        <v>31</v>
      </c>
      <c r="AO1828">
        <v>0</v>
      </c>
      <c r="AS1828" t="s">
        <v>392</v>
      </c>
      <c r="AY1828" t="s">
        <v>442</v>
      </c>
      <c r="AZ1828" t="s">
        <v>875</v>
      </c>
      <c r="BF1828">
        <v>0</v>
      </c>
      <c r="BK1828" t="s">
        <v>31</v>
      </c>
      <c r="BS1828" t="s">
        <v>412</v>
      </c>
      <c r="CI1828" t="s">
        <v>388</v>
      </c>
      <c r="CJ1828" s="14">
        <v>45015</v>
      </c>
      <c r="CK1828">
        <v>1</v>
      </c>
    </row>
    <row r="1829" spans="1:89">
      <c r="A1829" t="s">
        <v>714</v>
      </c>
      <c r="B1829" t="s">
        <v>374</v>
      </c>
      <c r="C1829" t="s">
        <v>715</v>
      </c>
      <c r="D1829" t="s">
        <v>876</v>
      </c>
      <c r="E1829" t="s">
        <v>877</v>
      </c>
      <c r="F1829" s="13">
        <v>44795.505173611113</v>
      </c>
      <c r="G1829" t="s">
        <v>641</v>
      </c>
      <c r="H1829" t="s">
        <v>642</v>
      </c>
      <c r="I1829" s="13">
        <v>44795.505173611113</v>
      </c>
      <c r="K1829" t="s">
        <v>412</v>
      </c>
      <c r="M1829" s="13">
        <v>44651</v>
      </c>
      <c r="R1829">
        <v>0</v>
      </c>
      <c r="S1829" t="s">
        <v>416</v>
      </c>
      <c r="T1829" t="s">
        <v>57</v>
      </c>
      <c r="V1829" t="s">
        <v>381</v>
      </c>
      <c r="W1829" t="s">
        <v>874</v>
      </c>
      <c r="X1829" t="s">
        <v>874</v>
      </c>
      <c r="AC1829" s="13">
        <v>44742</v>
      </c>
      <c r="AD1829" s="13">
        <v>44742</v>
      </c>
      <c r="AI1829">
        <v>-144</v>
      </c>
      <c r="AN1829" t="s">
        <v>31</v>
      </c>
      <c r="AO1829">
        <v>0</v>
      </c>
      <c r="AS1829" t="s">
        <v>392</v>
      </c>
      <c r="AX1829" t="s">
        <v>31</v>
      </c>
      <c r="AY1829" t="s">
        <v>442</v>
      </c>
      <c r="AZ1829" t="s">
        <v>875</v>
      </c>
      <c r="BF1829">
        <v>0</v>
      </c>
      <c r="BK1829" t="s">
        <v>31</v>
      </c>
      <c r="BS1829" t="s">
        <v>412</v>
      </c>
      <c r="CI1829" t="s">
        <v>388</v>
      </c>
      <c r="CJ1829" s="14">
        <v>45015</v>
      </c>
      <c r="CK1829">
        <v>1</v>
      </c>
    </row>
    <row r="1830" spans="1:89">
      <c r="A1830" t="s">
        <v>714</v>
      </c>
      <c r="B1830" t="s">
        <v>374</v>
      </c>
      <c r="C1830" t="s">
        <v>715</v>
      </c>
      <c r="D1830" t="s">
        <v>878</v>
      </c>
      <c r="E1830" t="s">
        <v>879</v>
      </c>
      <c r="F1830" s="13">
        <v>44795.505150462966</v>
      </c>
      <c r="G1830" t="s">
        <v>641</v>
      </c>
      <c r="H1830" t="s">
        <v>642</v>
      </c>
      <c r="I1830" s="13">
        <v>44795.505162037036</v>
      </c>
      <c r="K1830" t="s">
        <v>412</v>
      </c>
      <c r="M1830" s="13">
        <v>44957</v>
      </c>
      <c r="R1830">
        <v>0</v>
      </c>
      <c r="S1830" t="s">
        <v>416</v>
      </c>
      <c r="T1830" t="s">
        <v>57</v>
      </c>
      <c r="V1830" t="s">
        <v>381</v>
      </c>
      <c r="W1830" t="s">
        <v>880</v>
      </c>
      <c r="X1830" t="s">
        <v>880</v>
      </c>
      <c r="AC1830" s="13">
        <v>44957</v>
      </c>
      <c r="AD1830" s="13">
        <v>44957</v>
      </c>
      <c r="AI1830">
        <v>162</v>
      </c>
      <c r="AN1830" t="s">
        <v>31</v>
      </c>
      <c r="AO1830">
        <v>0</v>
      </c>
      <c r="AS1830" t="s">
        <v>881</v>
      </c>
      <c r="AX1830" t="s">
        <v>57</v>
      </c>
      <c r="AY1830" t="s">
        <v>442</v>
      </c>
      <c r="AZ1830" t="s">
        <v>882</v>
      </c>
      <c r="BF1830">
        <v>0</v>
      </c>
      <c r="BK1830" t="s">
        <v>31</v>
      </c>
      <c r="BS1830" t="s">
        <v>412</v>
      </c>
      <c r="CI1830" t="s">
        <v>388</v>
      </c>
      <c r="CJ1830" s="14">
        <v>45015</v>
      </c>
      <c r="CK1830">
        <v>1</v>
      </c>
    </row>
    <row r="1831" spans="1:89">
      <c r="A1831" t="s">
        <v>883</v>
      </c>
      <c r="B1831" t="s">
        <v>374</v>
      </c>
      <c r="C1831" t="s">
        <v>473</v>
      </c>
      <c r="D1831" t="s">
        <v>884</v>
      </c>
      <c r="E1831" t="s">
        <v>885</v>
      </c>
      <c r="F1831" s="13">
        <v>44795.505127314813</v>
      </c>
      <c r="G1831" t="s">
        <v>641</v>
      </c>
      <c r="H1831" t="s">
        <v>642</v>
      </c>
      <c r="I1831" s="13">
        <v>44795.50513888889</v>
      </c>
      <c r="K1831" t="s">
        <v>412</v>
      </c>
      <c r="M1831" s="13">
        <v>44576</v>
      </c>
      <c r="R1831">
        <v>0</v>
      </c>
      <c r="S1831" t="s">
        <v>380</v>
      </c>
      <c r="T1831" t="s">
        <v>57</v>
      </c>
      <c r="V1831" t="s">
        <v>381</v>
      </c>
      <c r="W1831" t="s">
        <v>886</v>
      </c>
      <c r="X1831" t="s">
        <v>886</v>
      </c>
      <c r="AC1831" s="13">
        <v>44576</v>
      </c>
      <c r="AD1831" s="13">
        <v>44576</v>
      </c>
      <c r="AI1831">
        <v>-219</v>
      </c>
      <c r="AN1831" t="s">
        <v>31</v>
      </c>
      <c r="AO1831">
        <v>0</v>
      </c>
      <c r="AS1831" t="s">
        <v>385</v>
      </c>
      <c r="AX1831" t="s">
        <v>57</v>
      </c>
      <c r="AY1831" t="s">
        <v>386</v>
      </c>
      <c r="AZ1831" t="s">
        <v>721</v>
      </c>
      <c r="BF1831">
        <v>0</v>
      </c>
      <c r="BK1831" t="s">
        <v>31</v>
      </c>
      <c r="BS1831" t="s">
        <v>412</v>
      </c>
      <c r="CI1831" t="s">
        <v>388</v>
      </c>
      <c r="CJ1831" s="14">
        <v>45015</v>
      </c>
      <c r="CK1831">
        <v>1</v>
      </c>
    </row>
    <row r="1832" spans="1:89">
      <c r="A1832" t="s">
        <v>883</v>
      </c>
      <c r="B1832" t="s">
        <v>374</v>
      </c>
      <c r="C1832" t="s">
        <v>473</v>
      </c>
      <c r="D1832" t="s">
        <v>887</v>
      </c>
      <c r="E1832" t="s">
        <v>888</v>
      </c>
      <c r="F1832" s="13">
        <v>44795.505104166667</v>
      </c>
      <c r="G1832" t="s">
        <v>641</v>
      </c>
      <c r="H1832" t="s">
        <v>642</v>
      </c>
      <c r="I1832" s="13">
        <v>44795.505115740743</v>
      </c>
      <c r="K1832" t="s">
        <v>412</v>
      </c>
      <c r="M1832" s="13">
        <v>44576</v>
      </c>
      <c r="R1832">
        <v>0</v>
      </c>
      <c r="S1832" t="s">
        <v>380</v>
      </c>
      <c r="T1832" t="s">
        <v>57</v>
      </c>
      <c r="V1832" t="s">
        <v>381</v>
      </c>
      <c r="W1832" t="s">
        <v>886</v>
      </c>
      <c r="X1832" t="s">
        <v>886</v>
      </c>
      <c r="AC1832" s="13">
        <v>44576</v>
      </c>
      <c r="AD1832" s="13">
        <v>44576</v>
      </c>
      <c r="AI1832">
        <v>-219</v>
      </c>
      <c r="AN1832" t="s">
        <v>31</v>
      </c>
      <c r="AO1832">
        <v>0</v>
      </c>
      <c r="AS1832" t="s">
        <v>385</v>
      </c>
      <c r="AX1832" t="s">
        <v>57</v>
      </c>
      <c r="AY1832" t="s">
        <v>386</v>
      </c>
      <c r="AZ1832" t="s">
        <v>721</v>
      </c>
      <c r="BF1832">
        <v>0</v>
      </c>
      <c r="BK1832" t="s">
        <v>31</v>
      </c>
      <c r="BS1832" t="s">
        <v>412</v>
      </c>
      <c r="CI1832" t="s">
        <v>388</v>
      </c>
      <c r="CJ1832" s="14">
        <v>45015</v>
      </c>
      <c r="CK1832">
        <v>1</v>
      </c>
    </row>
    <row r="1833" spans="1:89">
      <c r="A1833" t="s">
        <v>883</v>
      </c>
      <c r="B1833" t="s">
        <v>374</v>
      </c>
      <c r="C1833" t="s">
        <v>473</v>
      </c>
      <c r="D1833" t="s">
        <v>889</v>
      </c>
      <c r="E1833" t="s">
        <v>890</v>
      </c>
      <c r="F1833" s="13">
        <v>44795.50509259259</v>
      </c>
      <c r="G1833" t="s">
        <v>641</v>
      </c>
      <c r="H1833" t="s">
        <v>642</v>
      </c>
      <c r="I1833" s="13">
        <v>44795.505104166667</v>
      </c>
      <c r="K1833" t="s">
        <v>412</v>
      </c>
      <c r="M1833" s="13">
        <v>44576</v>
      </c>
      <c r="R1833">
        <v>0</v>
      </c>
      <c r="S1833" t="s">
        <v>380</v>
      </c>
      <c r="T1833" t="s">
        <v>57</v>
      </c>
      <c r="V1833" t="s">
        <v>381</v>
      </c>
      <c r="W1833" t="s">
        <v>886</v>
      </c>
      <c r="X1833" t="s">
        <v>886</v>
      </c>
      <c r="AC1833" s="13">
        <v>44576</v>
      </c>
      <c r="AD1833" s="13">
        <v>44576</v>
      </c>
      <c r="AI1833">
        <v>-219</v>
      </c>
      <c r="AN1833" t="s">
        <v>31</v>
      </c>
      <c r="AO1833">
        <v>0</v>
      </c>
      <c r="AS1833" t="s">
        <v>385</v>
      </c>
      <c r="AX1833" t="s">
        <v>57</v>
      </c>
      <c r="AY1833" t="s">
        <v>386</v>
      </c>
      <c r="AZ1833" t="s">
        <v>721</v>
      </c>
      <c r="BF1833">
        <v>0</v>
      </c>
      <c r="BK1833" t="s">
        <v>31</v>
      </c>
      <c r="BS1833" t="s">
        <v>412</v>
      </c>
      <c r="CI1833" t="s">
        <v>388</v>
      </c>
      <c r="CJ1833" s="14">
        <v>45015</v>
      </c>
      <c r="CK1833">
        <v>1</v>
      </c>
    </row>
    <row r="1834" spans="1:89">
      <c r="A1834" t="s">
        <v>883</v>
      </c>
      <c r="B1834" t="s">
        <v>374</v>
      </c>
      <c r="C1834" t="s">
        <v>473</v>
      </c>
      <c r="D1834" t="s">
        <v>891</v>
      </c>
      <c r="E1834" t="s">
        <v>892</v>
      </c>
      <c r="F1834" s="13">
        <v>44795.505069444444</v>
      </c>
      <c r="G1834" t="s">
        <v>641</v>
      </c>
      <c r="H1834" t="s">
        <v>642</v>
      </c>
      <c r="I1834" s="13">
        <v>44795.50508101852</v>
      </c>
      <c r="K1834" t="s">
        <v>412</v>
      </c>
      <c r="M1834" s="13">
        <v>44576</v>
      </c>
      <c r="R1834">
        <v>0</v>
      </c>
      <c r="S1834" t="s">
        <v>380</v>
      </c>
      <c r="T1834" t="s">
        <v>57</v>
      </c>
      <c r="V1834" t="s">
        <v>381</v>
      </c>
      <c r="W1834" t="s">
        <v>886</v>
      </c>
      <c r="X1834" t="s">
        <v>886</v>
      </c>
      <c r="AC1834" s="13">
        <v>44576</v>
      </c>
      <c r="AD1834" s="13">
        <v>44576</v>
      </c>
      <c r="AI1834">
        <v>-219</v>
      </c>
      <c r="AN1834" t="s">
        <v>31</v>
      </c>
      <c r="AO1834">
        <v>0</v>
      </c>
      <c r="AS1834" t="s">
        <v>385</v>
      </c>
      <c r="AX1834" t="s">
        <v>57</v>
      </c>
      <c r="AY1834" t="s">
        <v>386</v>
      </c>
      <c r="AZ1834" t="s">
        <v>721</v>
      </c>
      <c r="BF1834">
        <v>0</v>
      </c>
      <c r="BK1834" t="s">
        <v>31</v>
      </c>
      <c r="BS1834" t="s">
        <v>412</v>
      </c>
      <c r="CI1834" t="s">
        <v>388</v>
      </c>
      <c r="CJ1834" s="14">
        <v>45015</v>
      </c>
      <c r="CK1834">
        <v>1</v>
      </c>
    </row>
    <row r="1835" spans="1:89">
      <c r="A1835" t="s">
        <v>883</v>
      </c>
      <c r="B1835" t="s">
        <v>374</v>
      </c>
      <c r="C1835" t="s">
        <v>473</v>
      </c>
      <c r="D1835" t="s">
        <v>893</v>
      </c>
      <c r="E1835" t="s">
        <v>894</v>
      </c>
      <c r="F1835" s="13">
        <v>44795.50503472222</v>
      </c>
      <c r="G1835" t="s">
        <v>641</v>
      </c>
      <c r="H1835" t="s">
        <v>642</v>
      </c>
      <c r="I1835" s="13">
        <v>44795.505057870374</v>
      </c>
      <c r="K1835" t="s">
        <v>412</v>
      </c>
      <c r="M1835" s="13">
        <v>44576</v>
      </c>
      <c r="R1835">
        <v>0</v>
      </c>
      <c r="S1835" t="s">
        <v>380</v>
      </c>
      <c r="T1835" t="s">
        <v>57</v>
      </c>
      <c r="V1835" t="s">
        <v>381</v>
      </c>
      <c r="W1835" t="s">
        <v>886</v>
      </c>
      <c r="X1835" t="s">
        <v>886</v>
      </c>
      <c r="AC1835" s="13">
        <v>44576</v>
      </c>
      <c r="AD1835" s="13">
        <v>44576</v>
      </c>
      <c r="AI1835">
        <v>-219</v>
      </c>
      <c r="AN1835" t="s">
        <v>31</v>
      </c>
      <c r="AO1835">
        <v>0</v>
      </c>
      <c r="AS1835" t="s">
        <v>385</v>
      </c>
      <c r="AX1835" t="s">
        <v>57</v>
      </c>
      <c r="AY1835" t="s">
        <v>386</v>
      </c>
      <c r="AZ1835" t="s">
        <v>721</v>
      </c>
      <c r="BF1835">
        <v>0</v>
      </c>
      <c r="BK1835" t="s">
        <v>31</v>
      </c>
      <c r="BS1835" t="s">
        <v>412</v>
      </c>
      <c r="CI1835" t="s">
        <v>388</v>
      </c>
      <c r="CJ1835" s="14">
        <v>45015</v>
      </c>
      <c r="CK1835">
        <v>1</v>
      </c>
    </row>
    <row r="1836" spans="1:89">
      <c r="A1836" t="s">
        <v>895</v>
      </c>
      <c r="B1836" t="s">
        <v>374</v>
      </c>
      <c r="C1836" t="s">
        <v>896</v>
      </c>
      <c r="D1836" t="s">
        <v>897</v>
      </c>
      <c r="E1836" t="s">
        <v>898</v>
      </c>
      <c r="F1836" s="13">
        <v>44795.505011574074</v>
      </c>
      <c r="G1836" t="s">
        <v>641</v>
      </c>
      <c r="H1836" t="s">
        <v>642</v>
      </c>
      <c r="I1836" s="13">
        <v>44795.50503472222</v>
      </c>
      <c r="K1836" t="s">
        <v>412</v>
      </c>
      <c r="M1836" s="13">
        <v>44545</v>
      </c>
      <c r="R1836">
        <v>0</v>
      </c>
      <c r="S1836" t="s">
        <v>380</v>
      </c>
      <c r="T1836" t="s">
        <v>57</v>
      </c>
      <c r="V1836" t="s">
        <v>381</v>
      </c>
      <c r="W1836" t="s">
        <v>899</v>
      </c>
      <c r="X1836" t="s">
        <v>899</v>
      </c>
      <c r="AC1836" s="13">
        <v>44545</v>
      </c>
      <c r="AD1836" s="13">
        <v>44545</v>
      </c>
      <c r="AI1836">
        <v>-250</v>
      </c>
      <c r="AN1836" t="s">
        <v>31</v>
      </c>
      <c r="AO1836">
        <v>0</v>
      </c>
      <c r="AS1836" t="s">
        <v>461</v>
      </c>
      <c r="AX1836" t="s">
        <v>57</v>
      </c>
      <c r="AY1836" t="s">
        <v>386</v>
      </c>
      <c r="AZ1836" t="s">
        <v>721</v>
      </c>
      <c r="BF1836">
        <v>0</v>
      </c>
      <c r="BK1836" t="s">
        <v>31</v>
      </c>
      <c r="BS1836" t="s">
        <v>412</v>
      </c>
      <c r="CI1836" t="s">
        <v>388</v>
      </c>
      <c r="CJ1836" s="14">
        <v>45015</v>
      </c>
      <c r="CK1836">
        <v>1</v>
      </c>
    </row>
    <row r="1837" spans="1:89">
      <c r="A1837" t="s">
        <v>895</v>
      </c>
      <c r="B1837" t="s">
        <v>374</v>
      </c>
      <c r="C1837" t="s">
        <v>896</v>
      </c>
      <c r="D1837" t="s">
        <v>900</v>
      </c>
      <c r="E1837" t="s">
        <v>901</v>
      </c>
      <c r="F1837" s="13">
        <v>44795.504988425928</v>
      </c>
      <c r="G1837" t="s">
        <v>641</v>
      </c>
      <c r="H1837" t="s">
        <v>642</v>
      </c>
      <c r="I1837" s="13">
        <v>44795.505011574074</v>
      </c>
      <c r="K1837" t="s">
        <v>412</v>
      </c>
      <c r="M1837" s="13">
        <v>44545</v>
      </c>
      <c r="R1837">
        <v>0</v>
      </c>
      <c r="S1837" t="s">
        <v>380</v>
      </c>
      <c r="T1837" t="s">
        <v>57</v>
      </c>
      <c r="V1837" t="s">
        <v>381</v>
      </c>
      <c r="W1837" t="s">
        <v>899</v>
      </c>
      <c r="X1837" t="s">
        <v>899</v>
      </c>
      <c r="AC1837" s="13">
        <v>44545</v>
      </c>
      <c r="AD1837" s="13">
        <v>44545</v>
      </c>
      <c r="AI1837">
        <v>-250</v>
      </c>
      <c r="AN1837" t="s">
        <v>31</v>
      </c>
      <c r="AO1837">
        <v>0</v>
      </c>
      <c r="AS1837" t="s">
        <v>385</v>
      </c>
      <c r="AX1837" t="s">
        <v>57</v>
      </c>
      <c r="AY1837" t="s">
        <v>386</v>
      </c>
      <c r="AZ1837" t="s">
        <v>721</v>
      </c>
      <c r="BF1837">
        <v>0</v>
      </c>
      <c r="BK1837" t="s">
        <v>31</v>
      </c>
      <c r="BS1837" t="s">
        <v>412</v>
      </c>
      <c r="CI1837" t="s">
        <v>388</v>
      </c>
      <c r="CJ1837" s="14">
        <v>45015</v>
      </c>
      <c r="CK1837">
        <v>1</v>
      </c>
    </row>
    <row r="1838" spans="1:89">
      <c r="A1838" t="s">
        <v>902</v>
      </c>
      <c r="B1838" t="s">
        <v>374</v>
      </c>
      <c r="C1838" t="s">
        <v>903</v>
      </c>
      <c r="D1838" t="s">
        <v>904</v>
      </c>
      <c r="E1838" t="s">
        <v>905</v>
      </c>
      <c r="F1838" s="13">
        <v>44795.504965277774</v>
      </c>
      <c r="G1838" t="s">
        <v>641</v>
      </c>
      <c r="H1838" t="s">
        <v>642</v>
      </c>
      <c r="I1838" s="13">
        <v>44795.504976851851</v>
      </c>
      <c r="K1838" t="s">
        <v>412</v>
      </c>
      <c r="M1838" s="13">
        <v>44545</v>
      </c>
      <c r="R1838">
        <v>0</v>
      </c>
      <c r="S1838" t="s">
        <v>416</v>
      </c>
      <c r="T1838" t="s">
        <v>57</v>
      </c>
      <c r="V1838" t="s">
        <v>381</v>
      </c>
      <c r="W1838" t="s">
        <v>906</v>
      </c>
      <c r="X1838" t="s">
        <v>906</v>
      </c>
      <c r="AC1838" s="13">
        <v>44545</v>
      </c>
      <c r="AD1838" s="13">
        <v>44545</v>
      </c>
      <c r="AI1838">
        <v>-250</v>
      </c>
      <c r="AN1838" t="s">
        <v>31</v>
      </c>
      <c r="AO1838">
        <v>0</v>
      </c>
      <c r="AS1838" t="s">
        <v>385</v>
      </c>
      <c r="AX1838" t="s">
        <v>57</v>
      </c>
      <c r="AY1838" t="s">
        <v>386</v>
      </c>
      <c r="AZ1838" t="s">
        <v>721</v>
      </c>
      <c r="BF1838">
        <v>0</v>
      </c>
      <c r="BK1838" t="s">
        <v>31</v>
      </c>
      <c r="BS1838" t="s">
        <v>412</v>
      </c>
      <c r="CI1838" t="s">
        <v>388</v>
      </c>
      <c r="CJ1838" s="14">
        <v>45015</v>
      </c>
      <c r="CK1838">
        <v>1</v>
      </c>
    </row>
    <row r="1839" spans="1:89">
      <c r="A1839" t="s">
        <v>902</v>
      </c>
      <c r="B1839" t="s">
        <v>374</v>
      </c>
      <c r="C1839" t="s">
        <v>903</v>
      </c>
      <c r="D1839" t="s">
        <v>907</v>
      </c>
      <c r="E1839" t="s">
        <v>908</v>
      </c>
      <c r="F1839" s="13">
        <v>44795.504942129628</v>
      </c>
      <c r="G1839" t="s">
        <v>641</v>
      </c>
      <c r="H1839" t="s">
        <v>642</v>
      </c>
      <c r="I1839" s="13">
        <v>44795.504953703705</v>
      </c>
      <c r="K1839" t="s">
        <v>412</v>
      </c>
      <c r="M1839" s="13">
        <v>44545</v>
      </c>
      <c r="R1839">
        <v>0</v>
      </c>
      <c r="S1839" t="s">
        <v>380</v>
      </c>
      <c r="T1839" t="s">
        <v>57</v>
      </c>
      <c r="V1839" t="s">
        <v>381</v>
      </c>
      <c r="W1839" t="s">
        <v>909</v>
      </c>
      <c r="X1839" t="s">
        <v>909</v>
      </c>
      <c r="AC1839" s="13">
        <v>44545</v>
      </c>
      <c r="AD1839" s="13">
        <v>44545</v>
      </c>
      <c r="AI1839">
        <v>-250</v>
      </c>
      <c r="AN1839" t="s">
        <v>31</v>
      </c>
      <c r="AO1839">
        <v>0</v>
      </c>
      <c r="AS1839" t="s">
        <v>702</v>
      </c>
      <c r="AX1839" t="s">
        <v>57</v>
      </c>
      <c r="AY1839" t="s">
        <v>386</v>
      </c>
      <c r="AZ1839" t="s">
        <v>721</v>
      </c>
      <c r="BF1839">
        <v>0</v>
      </c>
      <c r="BK1839" t="s">
        <v>31</v>
      </c>
      <c r="BS1839" t="s">
        <v>412</v>
      </c>
      <c r="CI1839" t="s">
        <v>388</v>
      </c>
      <c r="CJ1839" s="14">
        <v>45015</v>
      </c>
      <c r="CK1839">
        <v>1</v>
      </c>
    </row>
    <row r="1840" spans="1:89">
      <c r="A1840" t="s">
        <v>895</v>
      </c>
      <c r="B1840" t="s">
        <v>374</v>
      </c>
      <c r="C1840" t="s">
        <v>896</v>
      </c>
      <c r="D1840" t="s">
        <v>910</v>
      </c>
      <c r="E1840" t="s">
        <v>911</v>
      </c>
      <c r="F1840" s="13">
        <v>44795.504918981482</v>
      </c>
      <c r="G1840" t="s">
        <v>641</v>
      </c>
      <c r="H1840" t="s">
        <v>642</v>
      </c>
      <c r="I1840" s="13">
        <v>44795.504930555559</v>
      </c>
      <c r="K1840" t="s">
        <v>412</v>
      </c>
      <c r="M1840" s="13">
        <v>44576</v>
      </c>
      <c r="R1840">
        <v>0</v>
      </c>
      <c r="S1840" t="s">
        <v>380</v>
      </c>
      <c r="T1840" t="s">
        <v>57</v>
      </c>
      <c r="V1840" t="s">
        <v>381</v>
      </c>
      <c r="W1840" t="s">
        <v>912</v>
      </c>
      <c r="X1840" t="s">
        <v>912</v>
      </c>
      <c r="AC1840" s="13">
        <v>44576</v>
      </c>
      <c r="AD1840" s="13">
        <v>44576</v>
      </c>
      <c r="AI1840">
        <v>-219</v>
      </c>
      <c r="AN1840" t="s">
        <v>31</v>
      </c>
      <c r="AO1840">
        <v>0</v>
      </c>
      <c r="AS1840" t="s">
        <v>702</v>
      </c>
      <c r="AX1840" t="s">
        <v>57</v>
      </c>
      <c r="AY1840" t="s">
        <v>386</v>
      </c>
      <c r="AZ1840" t="s">
        <v>721</v>
      </c>
      <c r="BF1840">
        <v>0</v>
      </c>
      <c r="BK1840" t="s">
        <v>31</v>
      </c>
      <c r="BS1840" t="s">
        <v>412</v>
      </c>
      <c r="CI1840" t="s">
        <v>388</v>
      </c>
      <c r="CJ1840" s="14">
        <v>45015</v>
      </c>
      <c r="CK1840">
        <v>1</v>
      </c>
    </row>
    <row r="1841" spans="1:89">
      <c r="A1841" t="s">
        <v>895</v>
      </c>
      <c r="B1841" t="s">
        <v>374</v>
      </c>
      <c r="C1841" t="s">
        <v>896</v>
      </c>
      <c r="D1841" t="s">
        <v>913</v>
      </c>
      <c r="E1841" t="s">
        <v>914</v>
      </c>
      <c r="F1841" s="13">
        <v>44795.504895833335</v>
      </c>
      <c r="G1841" t="s">
        <v>641</v>
      </c>
      <c r="H1841" t="s">
        <v>642</v>
      </c>
      <c r="I1841" s="13">
        <v>44795.504907407405</v>
      </c>
      <c r="K1841" t="s">
        <v>412</v>
      </c>
      <c r="M1841" s="13">
        <v>44545</v>
      </c>
      <c r="R1841">
        <v>0</v>
      </c>
      <c r="S1841" t="s">
        <v>380</v>
      </c>
      <c r="T1841" t="s">
        <v>57</v>
      </c>
      <c r="V1841" t="s">
        <v>381</v>
      </c>
      <c r="W1841" t="s">
        <v>912</v>
      </c>
      <c r="X1841" t="s">
        <v>912</v>
      </c>
      <c r="AC1841" s="13">
        <v>44545</v>
      </c>
      <c r="AD1841" s="13">
        <v>44545</v>
      </c>
      <c r="AI1841">
        <v>-250</v>
      </c>
      <c r="AN1841" t="s">
        <v>31</v>
      </c>
      <c r="AO1841">
        <v>0</v>
      </c>
      <c r="AS1841" t="s">
        <v>385</v>
      </c>
      <c r="AX1841" t="s">
        <v>57</v>
      </c>
      <c r="AY1841" t="s">
        <v>386</v>
      </c>
      <c r="AZ1841" t="s">
        <v>721</v>
      </c>
      <c r="BF1841">
        <v>0</v>
      </c>
      <c r="BK1841" t="s">
        <v>31</v>
      </c>
      <c r="BS1841" t="s">
        <v>412</v>
      </c>
      <c r="CI1841" t="s">
        <v>388</v>
      </c>
      <c r="CJ1841" s="14">
        <v>45015</v>
      </c>
      <c r="CK1841">
        <v>1</v>
      </c>
    </row>
    <row r="1842" spans="1:89">
      <c r="A1842" t="s">
        <v>915</v>
      </c>
      <c r="B1842" t="s">
        <v>374</v>
      </c>
      <c r="C1842" t="s">
        <v>916</v>
      </c>
      <c r="D1842" t="s">
        <v>917</v>
      </c>
      <c r="E1842" t="s">
        <v>918</v>
      </c>
      <c r="F1842" s="13">
        <v>44795.504872685182</v>
      </c>
      <c r="G1842" t="s">
        <v>641</v>
      </c>
      <c r="H1842" t="s">
        <v>642</v>
      </c>
      <c r="I1842" s="13">
        <v>44795.504884259259</v>
      </c>
      <c r="K1842" t="s">
        <v>412</v>
      </c>
      <c r="M1842" s="13">
        <v>44456</v>
      </c>
      <c r="R1842">
        <v>0</v>
      </c>
      <c r="S1842" t="s">
        <v>380</v>
      </c>
      <c r="T1842" t="s">
        <v>57</v>
      </c>
      <c r="V1842" t="s">
        <v>381</v>
      </c>
      <c r="W1842" t="s">
        <v>912</v>
      </c>
      <c r="X1842" t="s">
        <v>912</v>
      </c>
      <c r="AC1842" s="13">
        <v>44456</v>
      </c>
      <c r="AD1842" s="13">
        <v>44456</v>
      </c>
      <c r="AI1842">
        <v>-339</v>
      </c>
      <c r="AN1842" t="s">
        <v>31</v>
      </c>
      <c r="AO1842">
        <v>0</v>
      </c>
      <c r="AS1842" t="s">
        <v>385</v>
      </c>
      <c r="AX1842" t="s">
        <v>57</v>
      </c>
      <c r="AY1842" t="s">
        <v>386</v>
      </c>
      <c r="AZ1842" t="s">
        <v>721</v>
      </c>
      <c r="BF1842">
        <v>0</v>
      </c>
      <c r="BK1842" t="s">
        <v>31</v>
      </c>
      <c r="BS1842" t="s">
        <v>412</v>
      </c>
      <c r="CI1842" t="s">
        <v>388</v>
      </c>
      <c r="CJ1842" s="14">
        <v>45015</v>
      </c>
      <c r="CK1842">
        <v>1</v>
      </c>
    </row>
    <row r="1843" spans="1:89">
      <c r="A1843" t="s">
        <v>895</v>
      </c>
      <c r="B1843" t="s">
        <v>374</v>
      </c>
      <c r="C1843" t="s">
        <v>896</v>
      </c>
      <c r="D1843" t="s">
        <v>919</v>
      </c>
      <c r="E1843" t="s">
        <v>920</v>
      </c>
      <c r="F1843" s="13">
        <v>44795.504849537036</v>
      </c>
      <c r="G1843" t="s">
        <v>641</v>
      </c>
      <c r="H1843" t="s">
        <v>642</v>
      </c>
      <c r="I1843" s="13">
        <v>44795.504861111112</v>
      </c>
      <c r="K1843" t="s">
        <v>412</v>
      </c>
      <c r="M1843" s="13">
        <v>44484</v>
      </c>
      <c r="R1843">
        <v>0</v>
      </c>
      <c r="S1843" t="s">
        <v>380</v>
      </c>
      <c r="T1843" t="s">
        <v>57</v>
      </c>
      <c r="V1843" t="s">
        <v>381</v>
      </c>
      <c r="W1843" t="s">
        <v>921</v>
      </c>
      <c r="X1843" t="s">
        <v>921</v>
      </c>
      <c r="AC1843" s="13">
        <v>44484</v>
      </c>
      <c r="AD1843" s="13">
        <v>44484</v>
      </c>
      <c r="AI1843">
        <v>-311</v>
      </c>
      <c r="AN1843" t="s">
        <v>31</v>
      </c>
      <c r="AO1843">
        <v>0</v>
      </c>
      <c r="AS1843" t="s">
        <v>385</v>
      </c>
      <c r="AX1843" t="s">
        <v>57</v>
      </c>
      <c r="AY1843" t="s">
        <v>386</v>
      </c>
      <c r="AZ1843" t="s">
        <v>721</v>
      </c>
      <c r="BF1843">
        <v>0</v>
      </c>
      <c r="BK1843" t="s">
        <v>31</v>
      </c>
      <c r="BS1843" t="s">
        <v>412</v>
      </c>
      <c r="CI1843" t="s">
        <v>388</v>
      </c>
      <c r="CJ1843" s="14">
        <v>45015</v>
      </c>
      <c r="CK1843">
        <v>1</v>
      </c>
    </row>
    <row r="1844" spans="1:89">
      <c r="A1844" t="s">
        <v>895</v>
      </c>
      <c r="B1844" t="s">
        <v>374</v>
      </c>
      <c r="C1844" t="s">
        <v>896</v>
      </c>
      <c r="D1844" t="s">
        <v>922</v>
      </c>
      <c r="E1844" t="s">
        <v>923</v>
      </c>
      <c r="F1844" s="13">
        <v>44795.504826388889</v>
      </c>
      <c r="G1844" t="s">
        <v>641</v>
      </c>
      <c r="H1844" t="s">
        <v>642</v>
      </c>
      <c r="I1844" s="13">
        <v>44795.504837962966</v>
      </c>
      <c r="K1844" t="s">
        <v>412</v>
      </c>
      <c r="M1844" s="13">
        <v>44530</v>
      </c>
      <c r="R1844">
        <v>0</v>
      </c>
      <c r="S1844" t="s">
        <v>380</v>
      </c>
      <c r="T1844" t="s">
        <v>57</v>
      </c>
      <c r="V1844" t="s">
        <v>381</v>
      </c>
      <c r="W1844" t="s">
        <v>924</v>
      </c>
      <c r="X1844" t="s">
        <v>924</v>
      </c>
      <c r="AC1844" s="13">
        <v>44530</v>
      </c>
      <c r="AD1844" s="13">
        <v>44530</v>
      </c>
      <c r="AI1844">
        <v>-265</v>
      </c>
      <c r="AN1844" t="s">
        <v>31</v>
      </c>
      <c r="AO1844">
        <v>0</v>
      </c>
      <c r="AS1844" t="s">
        <v>385</v>
      </c>
      <c r="AX1844" t="s">
        <v>57</v>
      </c>
      <c r="AY1844" t="s">
        <v>386</v>
      </c>
      <c r="AZ1844" t="s">
        <v>721</v>
      </c>
      <c r="BF1844">
        <v>0</v>
      </c>
      <c r="BK1844" t="s">
        <v>31</v>
      </c>
      <c r="BS1844" t="s">
        <v>412</v>
      </c>
      <c r="CI1844" t="s">
        <v>388</v>
      </c>
      <c r="CJ1844" s="14">
        <v>45015</v>
      </c>
      <c r="CK1844">
        <v>1</v>
      </c>
    </row>
    <row r="1845" spans="1:89">
      <c r="A1845" t="s">
        <v>895</v>
      </c>
      <c r="B1845" t="s">
        <v>374</v>
      </c>
      <c r="C1845" t="s">
        <v>896</v>
      </c>
      <c r="D1845" t="s">
        <v>925</v>
      </c>
      <c r="E1845" t="s">
        <v>926</v>
      </c>
      <c r="F1845" s="13">
        <v>44795.504803240743</v>
      </c>
      <c r="G1845" t="s">
        <v>641</v>
      </c>
      <c r="H1845" t="s">
        <v>642</v>
      </c>
      <c r="I1845" s="13">
        <v>44795.504814814813</v>
      </c>
      <c r="K1845" t="s">
        <v>412</v>
      </c>
      <c r="M1845" s="13">
        <v>44484</v>
      </c>
      <c r="R1845">
        <v>0</v>
      </c>
      <c r="S1845" t="s">
        <v>380</v>
      </c>
      <c r="T1845" t="s">
        <v>57</v>
      </c>
      <c r="V1845" t="s">
        <v>381</v>
      </c>
      <c r="W1845" t="s">
        <v>927</v>
      </c>
      <c r="X1845" t="s">
        <v>927</v>
      </c>
      <c r="AC1845" s="13">
        <v>44484</v>
      </c>
      <c r="AD1845" s="13">
        <v>44484</v>
      </c>
      <c r="AI1845">
        <v>-311</v>
      </c>
      <c r="AN1845" t="s">
        <v>31</v>
      </c>
      <c r="AO1845">
        <v>0</v>
      </c>
      <c r="AS1845" t="s">
        <v>385</v>
      </c>
      <c r="AX1845" t="s">
        <v>57</v>
      </c>
      <c r="AY1845" t="s">
        <v>386</v>
      </c>
      <c r="AZ1845" t="s">
        <v>721</v>
      </c>
      <c r="BF1845">
        <v>0</v>
      </c>
      <c r="BK1845" t="s">
        <v>31</v>
      </c>
      <c r="BS1845" t="s">
        <v>412</v>
      </c>
      <c r="CI1845" t="s">
        <v>388</v>
      </c>
      <c r="CJ1845" s="14">
        <v>45015</v>
      </c>
      <c r="CK1845">
        <v>1</v>
      </c>
    </row>
    <row r="1846" spans="1:89">
      <c r="A1846" t="s">
        <v>928</v>
      </c>
      <c r="B1846" t="s">
        <v>374</v>
      </c>
      <c r="C1846" t="s">
        <v>392</v>
      </c>
      <c r="D1846" t="s">
        <v>929</v>
      </c>
      <c r="E1846" t="s">
        <v>930</v>
      </c>
      <c r="F1846" s="13">
        <v>44795.504780092589</v>
      </c>
      <c r="G1846" t="s">
        <v>641</v>
      </c>
      <c r="H1846" t="s">
        <v>642</v>
      </c>
      <c r="I1846" s="13">
        <v>44795.504791666666</v>
      </c>
      <c r="K1846" t="s">
        <v>412</v>
      </c>
      <c r="M1846" s="13">
        <v>44484</v>
      </c>
      <c r="R1846">
        <v>0</v>
      </c>
      <c r="S1846" t="s">
        <v>416</v>
      </c>
      <c r="T1846" t="s">
        <v>57</v>
      </c>
      <c r="V1846" t="s">
        <v>381</v>
      </c>
      <c r="W1846" t="s">
        <v>931</v>
      </c>
      <c r="X1846" t="s">
        <v>931</v>
      </c>
      <c r="AC1846" s="13">
        <v>44484</v>
      </c>
      <c r="AD1846" s="13">
        <v>44484</v>
      </c>
      <c r="AI1846">
        <v>-311</v>
      </c>
      <c r="AN1846" t="s">
        <v>31</v>
      </c>
      <c r="AO1846">
        <v>0</v>
      </c>
      <c r="AS1846" t="s">
        <v>385</v>
      </c>
      <c r="AX1846" t="s">
        <v>57</v>
      </c>
      <c r="AY1846" t="s">
        <v>386</v>
      </c>
      <c r="AZ1846" t="s">
        <v>721</v>
      </c>
      <c r="BF1846">
        <v>0</v>
      </c>
      <c r="BK1846" t="s">
        <v>31</v>
      </c>
      <c r="BS1846" t="s">
        <v>412</v>
      </c>
      <c r="CI1846" t="s">
        <v>388</v>
      </c>
      <c r="CJ1846" s="14">
        <v>45015</v>
      </c>
      <c r="CK1846">
        <v>1</v>
      </c>
    </row>
    <row r="1847" spans="1:89">
      <c r="A1847" t="s">
        <v>928</v>
      </c>
      <c r="B1847" t="s">
        <v>374</v>
      </c>
      <c r="C1847" t="s">
        <v>392</v>
      </c>
      <c r="D1847" t="s">
        <v>932</v>
      </c>
      <c r="E1847" t="s">
        <v>933</v>
      </c>
      <c r="F1847" s="13">
        <v>44795.504756944443</v>
      </c>
      <c r="G1847" t="s">
        <v>641</v>
      </c>
      <c r="H1847" t="s">
        <v>642</v>
      </c>
      <c r="I1847" s="13">
        <v>44795.50476851852</v>
      </c>
      <c r="K1847" t="s">
        <v>412</v>
      </c>
      <c r="M1847" s="13">
        <v>44484</v>
      </c>
      <c r="R1847">
        <v>0</v>
      </c>
      <c r="S1847" t="s">
        <v>416</v>
      </c>
      <c r="T1847" t="s">
        <v>57</v>
      </c>
      <c r="V1847" t="s">
        <v>381</v>
      </c>
      <c r="W1847" t="s">
        <v>934</v>
      </c>
      <c r="X1847" t="s">
        <v>934</v>
      </c>
      <c r="AC1847" s="13">
        <v>44484</v>
      </c>
      <c r="AD1847" s="13">
        <v>44484</v>
      </c>
      <c r="AI1847">
        <v>-311</v>
      </c>
      <c r="AN1847" t="s">
        <v>31</v>
      </c>
      <c r="AO1847">
        <v>0</v>
      </c>
      <c r="AS1847" t="s">
        <v>392</v>
      </c>
      <c r="AX1847" t="s">
        <v>57</v>
      </c>
      <c r="AY1847" t="s">
        <v>386</v>
      </c>
      <c r="AZ1847" t="s">
        <v>721</v>
      </c>
      <c r="BF1847">
        <v>0</v>
      </c>
      <c r="BK1847" t="s">
        <v>31</v>
      </c>
      <c r="BS1847" t="s">
        <v>412</v>
      </c>
      <c r="CI1847" t="s">
        <v>388</v>
      </c>
      <c r="CJ1847" s="14">
        <v>45015</v>
      </c>
      <c r="CK1847">
        <v>1</v>
      </c>
    </row>
    <row r="1848" spans="1:89">
      <c r="A1848" t="s">
        <v>902</v>
      </c>
      <c r="B1848" t="s">
        <v>374</v>
      </c>
      <c r="C1848" t="s">
        <v>903</v>
      </c>
      <c r="D1848" t="s">
        <v>935</v>
      </c>
      <c r="E1848" t="s">
        <v>936</v>
      </c>
      <c r="F1848" s="13">
        <v>44795.504733796297</v>
      </c>
      <c r="G1848" t="s">
        <v>641</v>
      </c>
      <c r="H1848" t="s">
        <v>642</v>
      </c>
      <c r="I1848" s="13">
        <v>44795.504745370374</v>
      </c>
      <c r="K1848" t="s">
        <v>412</v>
      </c>
      <c r="M1848" s="13">
        <v>44458</v>
      </c>
      <c r="R1848">
        <v>0</v>
      </c>
      <c r="S1848" t="s">
        <v>416</v>
      </c>
      <c r="T1848" t="s">
        <v>57</v>
      </c>
      <c r="V1848" t="s">
        <v>381</v>
      </c>
      <c r="W1848" t="s">
        <v>934</v>
      </c>
      <c r="X1848" t="s">
        <v>934</v>
      </c>
      <c r="AC1848" s="13">
        <v>44458</v>
      </c>
      <c r="AD1848" s="13">
        <v>44458</v>
      </c>
      <c r="AI1848">
        <v>-337</v>
      </c>
      <c r="AN1848" t="s">
        <v>31</v>
      </c>
      <c r="AO1848">
        <v>0</v>
      </c>
      <c r="AS1848" t="s">
        <v>392</v>
      </c>
      <c r="AX1848" t="s">
        <v>57</v>
      </c>
      <c r="AY1848" t="s">
        <v>386</v>
      </c>
      <c r="AZ1848" t="s">
        <v>721</v>
      </c>
      <c r="BF1848">
        <v>0</v>
      </c>
      <c r="BK1848" t="s">
        <v>31</v>
      </c>
      <c r="BS1848" t="s">
        <v>412</v>
      </c>
      <c r="CI1848" t="s">
        <v>388</v>
      </c>
      <c r="CJ1848" s="14">
        <v>45015</v>
      </c>
      <c r="CK1848">
        <v>1</v>
      </c>
    </row>
    <row r="1849" spans="1:89">
      <c r="A1849" t="s">
        <v>902</v>
      </c>
      <c r="B1849" t="s">
        <v>374</v>
      </c>
      <c r="C1849" t="s">
        <v>903</v>
      </c>
      <c r="D1849" t="s">
        <v>937</v>
      </c>
      <c r="E1849" t="s">
        <v>936</v>
      </c>
      <c r="F1849" s="13">
        <v>44795.504710648151</v>
      </c>
      <c r="G1849" t="s">
        <v>641</v>
      </c>
      <c r="H1849" t="s">
        <v>642</v>
      </c>
      <c r="I1849" s="13">
        <v>44795.50472222222</v>
      </c>
      <c r="K1849" t="s">
        <v>412</v>
      </c>
      <c r="M1849" s="13">
        <v>44458</v>
      </c>
      <c r="R1849">
        <v>0</v>
      </c>
      <c r="S1849" t="s">
        <v>416</v>
      </c>
      <c r="T1849" t="s">
        <v>57</v>
      </c>
      <c r="V1849" t="s">
        <v>381</v>
      </c>
      <c r="W1849" t="s">
        <v>938</v>
      </c>
      <c r="X1849" t="s">
        <v>938</v>
      </c>
      <c r="AC1849" s="13">
        <v>44458</v>
      </c>
      <c r="AD1849" s="13">
        <v>44458</v>
      </c>
      <c r="AI1849">
        <v>-337</v>
      </c>
      <c r="AN1849" t="s">
        <v>31</v>
      </c>
      <c r="AO1849">
        <v>0</v>
      </c>
      <c r="AS1849" t="s">
        <v>385</v>
      </c>
      <c r="AX1849" t="s">
        <v>57</v>
      </c>
      <c r="AY1849" t="s">
        <v>386</v>
      </c>
      <c r="AZ1849" t="s">
        <v>721</v>
      </c>
      <c r="BF1849">
        <v>0</v>
      </c>
      <c r="BK1849" t="s">
        <v>31</v>
      </c>
      <c r="BS1849" t="s">
        <v>412</v>
      </c>
      <c r="CI1849" t="s">
        <v>388</v>
      </c>
      <c r="CJ1849" s="14">
        <v>45015</v>
      </c>
      <c r="CK1849">
        <v>1</v>
      </c>
    </row>
    <row r="1850" spans="1:89">
      <c r="A1850" t="s">
        <v>928</v>
      </c>
      <c r="B1850" t="s">
        <v>374</v>
      </c>
      <c r="C1850" t="s">
        <v>392</v>
      </c>
      <c r="D1850" t="s">
        <v>939</v>
      </c>
      <c r="E1850" t="s">
        <v>940</v>
      </c>
      <c r="F1850" s="13">
        <v>44795.504687499997</v>
      </c>
      <c r="G1850" t="s">
        <v>641</v>
      </c>
      <c r="H1850" t="s">
        <v>642</v>
      </c>
      <c r="I1850" s="13">
        <v>44795.504699074074</v>
      </c>
      <c r="K1850" t="s">
        <v>412</v>
      </c>
      <c r="M1850" s="13">
        <v>44484</v>
      </c>
      <c r="R1850">
        <v>0</v>
      </c>
      <c r="S1850" t="s">
        <v>416</v>
      </c>
      <c r="T1850" t="s">
        <v>57</v>
      </c>
      <c r="V1850" t="s">
        <v>381</v>
      </c>
      <c r="W1850" t="s">
        <v>938</v>
      </c>
      <c r="X1850" t="s">
        <v>938</v>
      </c>
      <c r="AC1850" s="13">
        <v>44484</v>
      </c>
      <c r="AD1850" s="13">
        <v>44484</v>
      </c>
      <c r="AI1850">
        <v>-311</v>
      </c>
      <c r="AN1850" t="s">
        <v>31</v>
      </c>
      <c r="AO1850">
        <v>0</v>
      </c>
      <c r="AS1850" t="s">
        <v>385</v>
      </c>
      <c r="AX1850" t="s">
        <v>57</v>
      </c>
      <c r="AY1850" t="s">
        <v>386</v>
      </c>
      <c r="AZ1850" t="s">
        <v>721</v>
      </c>
      <c r="BF1850">
        <v>0</v>
      </c>
      <c r="BK1850" t="s">
        <v>31</v>
      </c>
      <c r="BS1850" t="s">
        <v>412</v>
      </c>
      <c r="CI1850" t="s">
        <v>388</v>
      </c>
      <c r="CJ1850" s="14">
        <v>45015</v>
      </c>
      <c r="CK1850">
        <v>1</v>
      </c>
    </row>
    <row r="1851" spans="1:89">
      <c r="A1851" t="s">
        <v>928</v>
      </c>
      <c r="B1851" t="s">
        <v>374</v>
      </c>
      <c r="C1851" t="s">
        <v>392</v>
      </c>
      <c r="D1851" t="s">
        <v>941</v>
      </c>
      <c r="E1851" t="s">
        <v>942</v>
      </c>
      <c r="F1851" s="13">
        <v>44795.504664351851</v>
      </c>
      <c r="G1851" t="s">
        <v>641</v>
      </c>
      <c r="H1851" t="s">
        <v>642</v>
      </c>
      <c r="I1851" s="13">
        <v>44795.504675925928</v>
      </c>
      <c r="K1851" t="s">
        <v>412</v>
      </c>
      <c r="M1851" s="13">
        <v>44484</v>
      </c>
      <c r="R1851">
        <v>0</v>
      </c>
      <c r="S1851" t="s">
        <v>416</v>
      </c>
      <c r="T1851" t="s">
        <v>57</v>
      </c>
      <c r="V1851" t="s">
        <v>381</v>
      </c>
      <c r="W1851" t="s">
        <v>934</v>
      </c>
      <c r="X1851" t="s">
        <v>934</v>
      </c>
      <c r="AC1851" s="13">
        <v>44484</v>
      </c>
      <c r="AD1851" s="13">
        <v>44484</v>
      </c>
      <c r="AI1851">
        <v>-311</v>
      </c>
      <c r="AN1851" t="s">
        <v>31</v>
      </c>
      <c r="AO1851">
        <v>0</v>
      </c>
      <c r="AS1851" t="s">
        <v>392</v>
      </c>
      <c r="AX1851" t="s">
        <v>57</v>
      </c>
      <c r="AY1851" t="s">
        <v>386</v>
      </c>
      <c r="AZ1851" t="s">
        <v>721</v>
      </c>
      <c r="BF1851">
        <v>0</v>
      </c>
      <c r="BK1851" t="s">
        <v>31</v>
      </c>
      <c r="BS1851" t="s">
        <v>412</v>
      </c>
      <c r="CI1851" t="s">
        <v>388</v>
      </c>
      <c r="CJ1851" s="14">
        <v>45015</v>
      </c>
      <c r="CK1851">
        <v>1</v>
      </c>
    </row>
    <row r="1852" spans="1:89">
      <c r="A1852" t="s">
        <v>928</v>
      </c>
      <c r="B1852" t="s">
        <v>374</v>
      </c>
      <c r="C1852" t="s">
        <v>392</v>
      </c>
      <c r="D1852" t="s">
        <v>943</v>
      </c>
      <c r="E1852" t="s">
        <v>944</v>
      </c>
      <c r="F1852" s="13">
        <v>44795.504641203705</v>
      </c>
      <c r="G1852" t="s">
        <v>641</v>
      </c>
      <c r="H1852" t="s">
        <v>642</v>
      </c>
      <c r="I1852" s="13">
        <v>44795.504652777781</v>
      </c>
      <c r="K1852" t="s">
        <v>412</v>
      </c>
      <c r="M1852" s="13">
        <v>44484</v>
      </c>
      <c r="R1852">
        <v>0</v>
      </c>
      <c r="S1852" t="s">
        <v>416</v>
      </c>
      <c r="T1852" t="s">
        <v>57</v>
      </c>
      <c r="V1852" t="s">
        <v>381</v>
      </c>
      <c r="W1852" t="s">
        <v>934</v>
      </c>
      <c r="X1852" t="s">
        <v>934</v>
      </c>
      <c r="AC1852" s="13">
        <v>44484</v>
      </c>
      <c r="AD1852" s="13">
        <v>44484</v>
      </c>
      <c r="AI1852">
        <v>-311</v>
      </c>
      <c r="AN1852" t="s">
        <v>31</v>
      </c>
      <c r="AO1852">
        <v>0</v>
      </c>
      <c r="AS1852" t="s">
        <v>392</v>
      </c>
      <c r="AX1852" t="s">
        <v>57</v>
      </c>
      <c r="AY1852" t="s">
        <v>386</v>
      </c>
      <c r="AZ1852" t="s">
        <v>721</v>
      </c>
      <c r="BF1852">
        <v>0</v>
      </c>
      <c r="BK1852" t="s">
        <v>31</v>
      </c>
      <c r="BS1852" t="s">
        <v>412</v>
      </c>
      <c r="CI1852" t="s">
        <v>388</v>
      </c>
      <c r="CJ1852" s="14">
        <v>45015</v>
      </c>
      <c r="CK1852">
        <v>1</v>
      </c>
    </row>
    <row r="1853" spans="1:89">
      <c r="A1853" t="s">
        <v>928</v>
      </c>
      <c r="B1853" t="s">
        <v>374</v>
      </c>
      <c r="C1853" t="s">
        <v>392</v>
      </c>
      <c r="D1853" t="s">
        <v>945</v>
      </c>
      <c r="E1853" t="s">
        <v>946</v>
      </c>
      <c r="F1853" s="13">
        <v>44795.504618055558</v>
      </c>
      <c r="G1853" t="s">
        <v>641</v>
      </c>
      <c r="H1853" t="s">
        <v>642</v>
      </c>
      <c r="I1853" s="13">
        <v>44795.504629629628</v>
      </c>
      <c r="K1853" t="s">
        <v>412</v>
      </c>
      <c r="M1853" s="13">
        <v>44484</v>
      </c>
      <c r="R1853">
        <v>0</v>
      </c>
      <c r="S1853" t="s">
        <v>416</v>
      </c>
      <c r="T1853" t="s">
        <v>57</v>
      </c>
      <c r="V1853" t="s">
        <v>381</v>
      </c>
      <c r="W1853" t="s">
        <v>934</v>
      </c>
      <c r="X1853" t="s">
        <v>934</v>
      </c>
      <c r="AC1853" s="13">
        <v>44484</v>
      </c>
      <c r="AD1853" s="13">
        <v>44484</v>
      </c>
      <c r="AI1853">
        <v>-311</v>
      </c>
      <c r="AN1853" t="s">
        <v>31</v>
      </c>
      <c r="AO1853">
        <v>0</v>
      </c>
      <c r="AS1853" t="s">
        <v>392</v>
      </c>
      <c r="AX1853" t="s">
        <v>57</v>
      </c>
      <c r="AY1853" t="s">
        <v>386</v>
      </c>
      <c r="AZ1853" t="s">
        <v>721</v>
      </c>
      <c r="BF1853">
        <v>0</v>
      </c>
      <c r="BK1853" t="s">
        <v>31</v>
      </c>
      <c r="BS1853" t="s">
        <v>412</v>
      </c>
      <c r="CI1853" t="s">
        <v>388</v>
      </c>
      <c r="CJ1853" s="14">
        <v>45015</v>
      </c>
      <c r="CK1853">
        <v>1</v>
      </c>
    </row>
    <row r="1854" spans="1:89">
      <c r="A1854" t="s">
        <v>902</v>
      </c>
      <c r="B1854" t="s">
        <v>374</v>
      </c>
      <c r="C1854" t="s">
        <v>903</v>
      </c>
      <c r="D1854" t="s">
        <v>947</v>
      </c>
      <c r="E1854" t="s">
        <v>948</v>
      </c>
      <c r="F1854" s="13">
        <v>44795.504594907405</v>
      </c>
      <c r="G1854" t="s">
        <v>641</v>
      </c>
      <c r="H1854" t="s">
        <v>642</v>
      </c>
      <c r="I1854" s="13">
        <v>44795.504606481481</v>
      </c>
      <c r="K1854" t="s">
        <v>412</v>
      </c>
      <c r="M1854" s="13">
        <v>44458</v>
      </c>
      <c r="R1854">
        <v>0</v>
      </c>
      <c r="S1854" t="s">
        <v>416</v>
      </c>
      <c r="T1854" t="s">
        <v>57</v>
      </c>
      <c r="V1854" t="s">
        <v>381</v>
      </c>
      <c r="W1854" t="s">
        <v>934</v>
      </c>
      <c r="X1854" t="s">
        <v>934</v>
      </c>
      <c r="AC1854" s="13">
        <v>44458</v>
      </c>
      <c r="AD1854" s="13">
        <v>44458</v>
      </c>
      <c r="AI1854">
        <v>-337</v>
      </c>
      <c r="AN1854" t="s">
        <v>31</v>
      </c>
      <c r="AO1854">
        <v>0</v>
      </c>
      <c r="AS1854" t="s">
        <v>392</v>
      </c>
      <c r="AX1854" t="s">
        <v>57</v>
      </c>
      <c r="AY1854" t="s">
        <v>386</v>
      </c>
      <c r="AZ1854" t="s">
        <v>721</v>
      </c>
      <c r="BF1854">
        <v>0</v>
      </c>
      <c r="BK1854" t="s">
        <v>31</v>
      </c>
      <c r="BS1854" t="s">
        <v>412</v>
      </c>
      <c r="CI1854" t="s">
        <v>388</v>
      </c>
      <c r="CJ1854" s="14">
        <v>45015</v>
      </c>
      <c r="CK1854">
        <v>1</v>
      </c>
    </row>
    <row r="1855" spans="1:89">
      <c r="A1855" t="s">
        <v>902</v>
      </c>
      <c r="B1855" t="s">
        <v>374</v>
      </c>
      <c r="C1855" t="s">
        <v>903</v>
      </c>
      <c r="D1855" t="s">
        <v>949</v>
      </c>
      <c r="E1855" t="s">
        <v>950</v>
      </c>
      <c r="F1855" s="13">
        <v>44795.504571759258</v>
      </c>
      <c r="G1855" t="s">
        <v>641</v>
      </c>
      <c r="H1855" t="s">
        <v>642</v>
      </c>
      <c r="I1855" s="13">
        <v>44795.504583333335</v>
      </c>
      <c r="K1855" t="s">
        <v>412</v>
      </c>
      <c r="M1855" s="13">
        <v>44458</v>
      </c>
      <c r="R1855">
        <v>0</v>
      </c>
      <c r="S1855" t="s">
        <v>416</v>
      </c>
      <c r="T1855" t="s">
        <v>57</v>
      </c>
      <c r="V1855" t="s">
        <v>381</v>
      </c>
      <c r="W1855" t="s">
        <v>938</v>
      </c>
      <c r="X1855" t="s">
        <v>938</v>
      </c>
      <c r="AC1855" s="13">
        <v>44458</v>
      </c>
      <c r="AD1855" s="13">
        <v>44458</v>
      </c>
      <c r="AI1855">
        <v>-337</v>
      </c>
      <c r="AN1855" t="s">
        <v>31</v>
      </c>
      <c r="AO1855">
        <v>0</v>
      </c>
      <c r="AS1855" t="s">
        <v>385</v>
      </c>
      <c r="AX1855" t="s">
        <v>57</v>
      </c>
      <c r="AY1855" t="s">
        <v>386</v>
      </c>
      <c r="AZ1855" t="s">
        <v>721</v>
      </c>
      <c r="BF1855">
        <v>0</v>
      </c>
      <c r="BK1855" t="s">
        <v>31</v>
      </c>
      <c r="BS1855" t="s">
        <v>412</v>
      </c>
      <c r="CI1855" t="s">
        <v>388</v>
      </c>
      <c r="CJ1855" s="14">
        <v>45015</v>
      </c>
      <c r="CK1855">
        <v>1</v>
      </c>
    </row>
    <row r="1856" spans="1:89">
      <c r="A1856" t="s">
        <v>928</v>
      </c>
      <c r="B1856" t="s">
        <v>374</v>
      </c>
      <c r="C1856" t="s">
        <v>392</v>
      </c>
      <c r="D1856" t="s">
        <v>951</v>
      </c>
      <c r="E1856" t="s">
        <v>952</v>
      </c>
      <c r="F1856" s="13">
        <v>44795.504548611112</v>
      </c>
      <c r="G1856" t="s">
        <v>641</v>
      </c>
      <c r="H1856" t="s">
        <v>642</v>
      </c>
      <c r="I1856" s="13">
        <v>44795.504560185182</v>
      </c>
      <c r="K1856" t="s">
        <v>412</v>
      </c>
      <c r="M1856" s="13">
        <v>44484</v>
      </c>
      <c r="R1856">
        <v>0</v>
      </c>
      <c r="S1856" t="s">
        <v>416</v>
      </c>
      <c r="T1856" t="s">
        <v>57</v>
      </c>
      <c r="V1856" t="s">
        <v>381</v>
      </c>
      <c r="W1856" t="s">
        <v>938</v>
      </c>
      <c r="X1856" t="s">
        <v>938</v>
      </c>
      <c r="AC1856" s="13">
        <v>44484</v>
      </c>
      <c r="AD1856" s="13">
        <v>44484</v>
      </c>
      <c r="AI1856">
        <v>-311</v>
      </c>
      <c r="AN1856" t="s">
        <v>31</v>
      </c>
      <c r="AO1856">
        <v>0</v>
      </c>
      <c r="AS1856" t="s">
        <v>385</v>
      </c>
      <c r="AX1856" t="s">
        <v>57</v>
      </c>
      <c r="AY1856" t="s">
        <v>386</v>
      </c>
      <c r="AZ1856" t="s">
        <v>721</v>
      </c>
      <c r="BF1856">
        <v>0</v>
      </c>
      <c r="BK1856" t="s">
        <v>31</v>
      </c>
      <c r="BS1856" t="s">
        <v>412</v>
      </c>
      <c r="CI1856" t="s">
        <v>388</v>
      </c>
      <c r="CJ1856" s="14">
        <v>45015</v>
      </c>
      <c r="CK1856">
        <v>1</v>
      </c>
    </row>
    <row r="1857" spans="1:89">
      <c r="A1857" t="s">
        <v>902</v>
      </c>
      <c r="B1857" t="s">
        <v>374</v>
      </c>
      <c r="C1857" t="s">
        <v>903</v>
      </c>
      <c r="D1857" t="s">
        <v>953</v>
      </c>
      <c r="E1857" t="s">
        <v>954</v>
      </c>
      <c r="F1857" s="13">
        <v>44795.504537037035</v>
      </c>
      <c r="G1857" t="s">
        <v>641</v>
      </c>
      <c r="H1857" t="s">
        <v>642</v>
      </c>
      <c r="I1857" s="13">
        <v>44795.504548611112</v>
      </c>
      <c r="K1857" t="s">
        <v>412</v>
      </c>
      <c r="M1857" s="13">
        <v>44458</v>
      </c>
      <c r="R1857">
        <v>0</v>
      </c>
      <c r="S1857" t="s">
        <v>416</v>
      </c>
      <c r="T1857" t="s">
        <v>57</v>
      </c>
      <c r="V1857" t="s">
        <v>381</v>
      </c>
      <c r="W1857" t="s">
        <v>934</v>
      </c>
      <c r="X1857" t="s">
        <v>934</v>
      </c>
      <c r="AC1857" s="13">
        <v>44458</v>
      </c>
      <c r="AD1857" s="13">
        <v>44458</v>
      </c>
      <c r="AI1857">
        <v>-337</v>
      </c>
      <c r="AN1857" t="s">
        <v>31</v>
      </c>
      <c r="AO1857">
        <v>0</v>
      </c>
      <c r="AS1857" t="s">
        <v>392</v>
      </c>
      <c r="AX1857" t="s">
        <v>57</v>
      </c>
      <c r="AY1857" t="s">
        <v>386</v>
      </c>
      <c r="AZ1857" t="s">
        <v>721</v>
      </c>
      <c r="BF1857">
        <v>0</v>
      </c>
      <c r="BK1857" t="s">
        <v>31</v>
      </c>
      <c r="BS1857" t="s">
        <v>412</v>
      </c>
      <c r="CI1857" t="s">
        <v>388</v>
      </c>
      <c r="CJ1857" s="14">
        <v>45015</v>
      </c>
      <c r="CK1857">
        <v>1</v>
      </c>
    </row>
    <row r="1858" spans="1:89">
      <c r="A1858" t="s">
        <v>928</v>
      </c>
      <c r="B1858" t="s">
        <v>374</v>
      </c>
      <c r="C1858" t="s">
        <v>392</v>
      </c>
      <c r="D1858" t="s">
        <v>955</v>
      </c>
      <c r="E1858" t="s">
        <v>956</v>
      </c>
      <c r="F1858" s="13">
        <v>44795.504513888889</v>
      </c>
      <c r="G1858" t="s">
        <v>641</v>
      </c>
      <c r="H1858" t="s">
        <v>642</v>
      </c>
      <c r="I1858" s="13">
        <v>44795.504525462966</v>
      </c>
      <c r="K1858" t="s">
        <v>412</v>
      </c>
      <c r="M1858" s="13">
        <v>44484</v>
      </c>
      <c r="R1858">
        <v>0</v>
      </c>
      <c r="S1858" t="s">
        <v>416</v>
      </c>
      <c r="T1858" t="s">
        <v>57</v>
      </c>
      <c r="V1858" t="s">
        <v>381</v>
      </c>
      <c r="W1858" t="s">
        <v>938</v>
      </c>
      <c r="X1858" t="s">
        <v>938</v>
      </c>
      <c r="AC1858" s="13">
        <v>44484</v>
      </c>
      <c r="AD1858" s="13">
        <v>44484</v>
      </c>
      <c r="AI1858">
        <v>-311</v>
      </c>
      <c r="AN1858" t="s">
        <v>31</v>
      </c>
      <c r="AO1858">
        <v>0</v>
      </c>
      <c r="AS1858" t="s">
        <v>385</v>
      </c>
      <c r="AX1858" t="s">
        <v>57</v>
      </c>
      <c r="AY1858" t="s">
        <v>386</v>
      </c>
      <c r="AZ1858" t="s">
        <v>721</v>
      </c>
      <c r="BF1858">
        <v>0</v>
      </c>
      <c r="BK1858" t="s">
        <v>31</v>
      </c>
      <c r="BS1858" t="s">
        <v>412</v>
      </c>
      <c r="CI1858" t="s">
        <v>388</v>
      </c>
      <c r="CJ1858" s="14">
        <v>45015</v>
      </c>
      <c r="CK1858">
        <v>1</v>
      </c>
    </row>
    <row r="1859" spans="1:89">
      <c r="A1859" t="s">
        <v>902</v>
      </c>
      <c r="B1859" t="s">
        <v>374</v>
      </c>
      <c r="C1859" t="s">
        <v>903</v>
      </c>
      <c r="D1859" t="s">
        <v>957</v>
      </c>
      <c r="E1859" t="s">
        <v>958</v>
      </c>
      <c r="F1859" s="13">
        <v>44795.504490740743</v>
      </c>
      <c r="G1859" t="s">
        <v>641</v>
      </c>
      <c r="H1859" t="s">
        <v>642</v>
      </c>
      <c r="I1859" s="13">
        <v>44795.504502314812</v>
      </c>
      <c r="K1859" t="s">
        <v>412</v>
      </c>
      <c r="M1859" s="13">
        <v>44456</v>
      </c>
      <c r="R1859">
        <v>0</v>
      </c>
      <c r="S1859" t="s">
        <v>416</v>
      </c>
      <c r="T1859" t="s">
        <v>57</v>
      </c>
      <c r="V1859" t="s">
        <v>381</v>
      </c>
      <c r="W1859" t="s">
        <v>934</v>
      </c>
      <c r="X1859" t="s">
        <v>934</v>
      </c>
      <c r="AC1859" s="13">
        <v>44456</v>
      </c>
      <c r="AD1859" s="13">
        <v>44456</v>
      </c>
      <c r="AI1859">
        <v>-339</v>
      </c>
      <c r="AN1859" t="s">
        <v>31</v>
      </c>
      <c r="AO1859">
        <v>0</v>
      </c>
      <c r="AS1859" t="s">
        <v>392</v>
      </c>
      <c r="AX1859" t="s">
        <v>57</v>
      </c>
      <c r="AY1859" t="s">
        <v>386</v>
      </c>
      <c r="AZ1859" t="s">
        <v>721</v>
      </c>
      <c r="BF1859">
        <v>0</v>
      </c>
      <c r="BK1859" t="s">
        <v>31</v>
      </c>
      <c r="BS1859" t="s">
        <v>412</v>
      </c>
      <c r="CI1859" t="s">
        <v>388</v>
      </c>
      <c r="CJ1859" s="14">
        <v>45015</v>
      </c>
      <c r="CK1859">
        <v>1</v>
      </c>
    </row>
    <row r="1860" spans="1:89">
      <c r="A1860" t="s">
        <v>928</v>
      </c>
      <c r="B1860" t="s">
        <v>374</v>
      </c>
      <c r="C1860" t="s">
        <v>392</v>
      </c>
      <c r="D1860" t="s">
        <v>959</v>
      </c>
      <c r="E1860" t="s">
        <v>960</v>
      </c>
      <c r="F1860" s="13">
        <v>44795.504467592589</v>
      </c>
      <c r="G1860" t="s">
        <v>641</v>
      </c>
      <c r="H1860" t="s">
        <v>642</v>
      </c>
      <c r="I1860" s="13">
        <v>44795.504479166666</v>
      </c>
      <c r="K1860" t="s">
        <v>412</v>
      </c>
      <c r="M1860" s="13">
        <v>44484</v>
      </c>
      <c r="R1860">
        <v>0</v>
      </c>
      <c r="S1860" t="s">
        <v>416</v>
      </c>
      <c r="T1860" t="s">
        <v>57</v>
      </c>
      <c r="V1860" t="s">
        <v>381</v>
      </c>
      <c r="W1860" t="s">
        <v>938</v>
      </c>
      <c r="X1860" t="s">
        <v>938</v>
      </c>
      <c r="AC1860" s="13">
        <v>44484</v>
      </c>
      <c r="AD1860" s="13">
        <v>44484</v>
      </c>
      <c r="AI1860">
        <v>-311</v>
      </c>
      <c r="AN1860" t="s">
        <v>31</v>
      </c>
      <c r="AO1860">
        <v>0</v>
      </c>
      <c r="AS1860" t="s">
        <v>385</v>
      </c>
      <c r="AX1860" t="s">
        <v>57</v>
      </c>
      <c r="AY1860" t="s">
        <v>386</v>
      </c>
      <c r="AZ1860" t="s">
        <v>721</v>
      </c>
      <c r="BF1860">
        <v>0</v>
      </c>
      <c r="BK1860" t="s">
        <v>31</v>
      </c>
      <c r="BS1860" t="s">
        <v>412</v>
      </c>
      <c r="CI1860" t="s">
        <v>388</v>
      </c>
      <c r="CJ1860" s="14">
        <v>45015</v>
      </c>
      <c r="CK1860">
        <v>1</v>
      </c>
    </row>
    <row r="1861" spans="1:89">
      <c r="A1861" t="s">
        <v>928</v>
      </c>
      <c r="B1861" t="s">
        <v>374</v>
      </c>
      <c r="C1861" t="s">
        <v>392</v>
      </c>
      <c r="D1861" t="s">
        <v>961</v>
      </c>
      <c r="E1861" t="s">
        <v>962</v>
      </c>
      <c r="F1861" s="13">
        <v>44795.504444444443</v>
      </c>
      <c r="G1861" t="s">
        <v>641</v>
      </c>
      <c r="H1861" t="s">
        <v>642</v>
      </c>
      <c r="I1861" s="13">
        <v>44795.50445601852</v>
      </c>
      <c r="K1861" t="s">
        <v>412</v>
      </c>
      <c r="M1861" s="13">
        <v>44484</v>
      </c>
      <c r="R1861">
        <v>0</v>
      </c>
      <c r="S1861" t="s">
        <v>416</v>
      </c>
      <c r="T1861" t="s">
        <v>57</v>
      </c>
      <c r="V1861" t="s">
        <v>381</v>
      </c>
      <c r="W1861" t="s">
        <v>934</v>
      </c>
      <c r="X1861" t="s">
        <v>934</v>
      </c>
      <c r="AC1861" s="13">
        <v>44484</v>
      </c>
      <c r="AD1861" s="13">
        <v>44484</v>
      </c>
      <c r="AI1861">
        <v>-311</v>
      </c>
      <c r="AN1861" t="s">
        <v>31</v>
      </c>
      <c r="AO1861">
        <v>0</v>
      </c>
      <c r="AS1861" t="s">
        <v>392</v>
      </c>
      <c r="AX1861" t="s">
        <v>57</v>
      </c>
      <c r="AY1861" t="s">
        <v>386</v>
      </c>
      <c r="AZ1861" t="s">
        <v>721</v>
      </c>
      <c r="BF1861">
        <v>0</v>
      </c>
      <c r="BK1861" t="s">
        <v>31</v>
      </c>
      <c r="BS1861" t="s">
        <v>412</v>
      </c>
      <c r="CI1861" t="s">
        <v>388</v>
      </c>
      <c r="CJ1861" s="14">
        <v>45015</v>
      </c>
      <c r="CK1861">
        <v>1</v>
      </c>
    </row>
    <row r="1862" spans="1:89">
      <c r="A1862" t="s">
        <v>928</v>
      </c>
      <c r="B1862" t="s">
        <v>374</v>
      </c>
      <c r="C1862" t="s">
        <v>392</v>
      </c>
      <c r="D1862" t="s">
        <v>963</v>
      </c>
      <c r="E1862" t="s">
        <v>964</v>
      </c>
      <c r="F1862" s="13">
        <v>44795.504432870373</v>
      </c>
      <c r="G1862" t="s">
        <v>641</v>
      </c>
      <c r="H1862" t="s">
        <v>642</v>
      </c>
      <c r="I1862" s="13">
        <v>44795.504444444443</v>
      </c>
      <c r="K1862" t="s">
        <v>412</v>
      </c>
      <c r="M1862" s="13">
        <v>44484</v>
      </c>
      <c r="R1862">
        <v>0</v>
      </c>
      <c r="S1862" t="s">
        <v>416</v>
      </c>
      <c r="T1862" t="s">
        <v>57</v>
      </c>
      <c r="V1862" t="s">
        <v>381</v>
      </c>
      <c r="W1862" t="s">
        <v>934</v>
      </c>
      <c r="X1862" t="s">
        <v>934</v>
      </c>
      <c r="AC1862" s="13">
        <v>44484</v>
      </c>
      <c r="AD1862" s="13">
        <v>44484</v>
      </c>
      <c r="AI1862">
        <v>-311</v>
      </c>
      <c r="AN1862" t="s">
        <v>31</v>
      </c>
      <c r="AO1862">
        <v>0</v>
      </c>
      <c r="AS1862" t="s">
        <v>392</v>
      </c>
      <c r="AX1862" t="s">
        <v>57</v>
      </c>
      <c r="AY1862" t="s">
        <v>386</v>
      </c>
      <c r="AZ1862" t="s">
        <v>721</v>
      </c>
      <c r="BF1862">
        <v>0</v>
      </c>
      <c r="BK1862" t="s">
        <v>31</v>
      </c>
      <c r="BS1862" t="s">
        <v>412</v>
      </c>
      <c r="CI1862" t="s">
        <v>388</v>
      </c>
      <c r="CJ1862" s="14">
        <v>45015</v>
      </c>
      <c r="CK1862">
        <v>1</v>
      </c>
    </row>
    <row r="1863" spans="1:89">
      <c r="A1863" t="s">
        <v>965</v>
      </c>
      <c r="B1863" t="s">
        <v>374</v>
      </c>
      <c r="C1863" t="s">
        <v>966</v>
      </c>
      <c r="D1863" t="s">
        <v>967</v>
      </c>
      <c r="E1863" t="s">
        <v>968</v>
      </c>
      <c r="F1863" s="13">
        <v>44795.50440972222</v>
      </c>
      <c r="G1863" t="s">
        <v>641</v>
      </c>
      <c r="H1863" t="s">
        <v>642</v>
      </c>
      <c r="I1863" s="13">
        <v>44795.504421296297</v>
      </c>
      <c r="K1863" t="s">
        <v>412</v>
      </c>
      <c r="M1863" s="13">
        <v>44454</v>
      </c>
      <c r="R1863">
        <v>0</v>
      </c>
      <c r="S1863" t="s">
        <v>380</v>
      </c>
      <c r="T1863" t="s">
        <v>57</v>
      </c>
      <c r="V1863" t="s">
        <v>381</v>
      </c>
      <c r="W1863" t="s">
        <v>934</v>
      </c>
      <c r="X1863" t="s">
        <v>934</v>
      </c>
      <c r="AC1863" s="13">
        <v>44454</v>
      </c>
      <c r="AD1863" s="13">
        <v>44454</v>
      </c>
      <c r="AI1863">
        <v>-341</v>
      </c>
      <c r="AN1863" t="s">
        <v>31</v>
      </c>
      <c r="AO1863">
        <v>0</v>
      </c>
      <c r="AS1863" t="s">
        <v>392</v>
      </c>
      <c r="AX1863" t="s">
        <v>57</v>
      </c>
      <c r="AY1863" t="s">
        <v>386</v>
      </c>
      <c r="AZ1863" t="s">
        <v>721</v>
      </c>
      <c r="BF1863">
        <v>0</v>
      </c>
      <c r="BK1863" t="s">
        <v>31</v>
      </c>
      <c r="BS1863" t="s">
        <v>412</v>
      </c>
      <c r="CI1863" t="s">
        <v>388</v>
      </c>
      <c r="CJ1863" s="14">
        <v>45015</v>
      </c>
      <c r="CK1863">
        <v>1</v>
      </c>
    </row>
    <row r="1864" spans="1:89">
      <c r="A1864" t="s">
        <v>902</v>
      </c>
      <c r="B1864" t="s">
        <v>374</v>
      </c>
      <c r="C1864" t="s">
        <v>903</v>
      </c>
      <c r="D1864" t="s">
        <v>969</v>
      </c>
      <c r="E1864" t="s">
        <v>970</v>
      </c>
      <c r="F1864" s="13">
        <v>44795.504386574074</v>
      </c>
      <c r="G1864" t="s">
        <v>641</v>
      </c>
      <c r="H1864" t="s">
        <v>642</v>
      </c>
      <c r="I1864" s="13">
        <v>44795.50439814815</v>
      </c>
      <c r="K1864" t="s">
        <v>412</v>
      </c>
      <c r="M1864" s="13">
        <v>44331</v>
      </c>
      <c r="R1864">
        <v>0</v>
      </c>
      <c r="S1864" t="s">
        <v>380</v>
      </c>
      <c r="T1864" t="s">
        <v>57</v>
      </c>
      <c r="V1864" t="s">
        <v>381</v>
      </c>
      <c r="W1864" t="s">
        <v>971</v>
      </c>
      <c r="X1864" t="s">
        <v>971</v>
      </c>
      <c r="AC1864" s="13">
        <v>44331</v>
      </c>
      <c r="AD1864" s="13">
        <v>44331</v>
      </c>
      <c r="AI1864">
        <v>-464</v>
      </c>
      <c r="AN1864" t="s">
        <v>31</v>
      </c>
      <c r="AO1864">
        <v>0</v>
      </c>
      <c r="AS1864" t="s">
        <v>385</v>
      </c>
      <c r="AX1864" t="s">
        <v>57</v>
      </c>
      <c r="AY1864" t="s">
        <v>386</v>
      </c>
      <c r="AZ1864" t="s">
        <v>721</v>
      </c>
      <c r="BF1864">
        <v>0</v>
      </c>
      <c r="BK1864" t="s">
        <v>31</v>
      </c>
      <c r="BS1864" t="s">
        <v>412</v>
      </c>
      <c r="CI1864" t="s">
        <v>388</v>
      </c>
      <c r="CJ1864" s="14">
        <v>45015</v>
      </c>
      <c r="CK1864">
        <v>1</v>
      </c>
    </row>
    <row r="1865" spans="1:89">
      <c r="A1865" t="s">
        <v>883</v>
      </c>
      <c r="B1865" t="s">
        <v>374</v>
      </c>
      <c r="C1865" t="s">
        <v>473</v>
      </c>
      <c r="D1865" t="s">
        <v>972</v>
      </c>
      <c r="E1865" t="s">
        <v>973</v>
      </c>
      <c r="F1865" s="13">
        <v>44795.504363425927</v>
      </c>
      <c r="G1865" t="s">
        <v>641</v>
      </c>
      <c r="H1865" t="s">
        <v>642</v>
      </c>
      <c r="I1865" s="13">
        <v>44795.504374999997</v>
      </c>
      <c r="K1865" t="s">
        <v>412</v>
      </c>
      <c r="M1865" s="13">
        <v>44301</v>
      </c>
      <c r="R1865">
        <v>0</v>
      </c>
      <c r="S1865" t="s">
        <v>380</v>
      </c>
      <c r="T1865" t="s">
        <v>57</v>
      </c>
      <c r="V1865" t="s">
        <v>381</v>
      </c>
      <c r="W1865" t="s">
        <v>931</v>
      </c>
      <c r="X1865" t="s">
        <v>931</v>
      </c>
      <c r="AC1865" s="13">
        <v>44301</v>
      </c>
      <c r="AD1865" s="13">
        <v>44301</v>
      </c>
      <c r="AI1865">
        <v>-494</v>
      </c>
      <c r="AN1865" t="s">
        <v>31</v>
      </c>
      <c r="AO1865">
        <v>0</v>
      </c>
      <c r="AS1865" t="s">
        <v>385</v>
      </c>
      <c r="AX1865" t="s">
        <v>57</v>
      </c>
      <c r="AY1865" t="s">
        <v>386</v>
      </c>
      <c r="AZ1865" t="s">
        <v>721</v>
      </c>
      <c r="BF1865">
        <v>0</v>
      </c>
      <c r="BK1865" t="s">
        <v>31</v>
      </c>
      <c r="BS1865" t="s">
        <v>412</v>
      </c>
      <c r="CI1865" t="s">
        <v>388</v>
      </c>
      <c r="CJ1865" s="14">
        <v>45015</v>
      </c>
      <c r="CK1865">
        <v>1</v>
      </c>
    </row>
    <row r="1866" spans="1:89">
      <c r="A1866" t="s">
        <v>915</v>
      </c>
      <c r="B1866" t="s">
        <v>374</v>
      </c>
      <c r="C1866" t="s">
        <v>916</v>
      </c>
      <c r="D1866" t="s">
        <v>974</v>
      </c>
      <c r="E1866" t="s">
        <v>975</v>
      </c>
      <c r="F1866" s="13">
        <v>44795.504340277781</v>
      </c>
      <c r="G1866" t="s">
        <v>641</v>
      </c>
      <c r="H1866" t="s">
        <v>642</v>
      </c>
      <c r="I1866" s="13">
        <v>44795.504351851851</v>
      </c>
      <c r="K1866" t="s">
        <v>412</v>
      </c>
      <c r="M1866" s="13">
        <v>44135</v>
      </c>
      <c r="R1866">
        <v>0</v>
      </c>
      <c r="S1866" t="s">
        <v>380</v>
      </c>
      <c r="T1866" t="s">
        <v>57</v>
      </c>
      <c r="V1866" t="s">
        <v>381</v>
      </c>
      <c r="W1866" t="s">
        <v>931</v>
      </c>
      <c r="X1866" t="s">
        <v>931</v>
      </c>
      <c r="AC1866" s="13">
        <v>44135</v>
      </c>
      <c r="AD1866" s="13">
        <v>44135</v>
      </c>
      <c r="AI1866">
        <v>-660</v>
      </c>
      <c r="AN1866" t="s">
        <v>31</v>
      </c>
      <c r="AO1866">
        <v>0</v>
      </c>
      <c r="AS1866" t="s">
        <v>385</v>
      </c>
      <c r="AX1866" t="s">
        <v>57</v>
      </c>
      <c r="AY1866" t="s">
        <v>386</v>
      </c>
      <c r="AZ1866" t="s">
        <v>976</v>
      </c>
      <c r="BF1866">
        <v>0</v>
      </c>
      <c r="BK1866" t="s">
        <v>31</v>
      </c>
      <c r="BS1866" t="s">
        <v>412</v>
      </c>
      <c r="CI1866" t="s">
        <v>388</v>
      </c>
      <c r="CJ1866" s="14">
        <v>45015</v>
      </c>
      <c r="CK1866">
        <v>1</v>
      </c>
    </row>
    <row r="1867" spans="1:89">
      <c r="A1867" t="s">
        <v>915</v>
      </c>
      <c r="B1867" t="s">
        <v>374</v>
      </c>
      <c r="C1867" t="s">
        <v>916</v>
      </c>
      <c r="D1867" t="s">
        <v>977</v>
      </c>
      <c r="E1867" t="s">
        <v>978</v>
      </c>
      <c r="F1867" s="13">
        <v>44795.504328703704</v>
      </c>
      <c r="G1867" t="s">
        <v>641</v>
      </c>
      <c r="H1867" t="s">
        <v>642</v>
      </c>
      <c r="I1867" s="13">
        <v>44795.504328703704</v>
      </c>
      <c r="K1867" t="s">
        <v>412</v>
      </c>
      <c r="M1867" s="13">
        <v>44135</v>
      </c>
      <c r="R1867">
        <v>0</v>
      </c>
      <c r="S1867" t="s">
        <v>380</v>
      </c>
      <c r="T1867" t="s">
        <v>57</v>
      </c>
      <c r="V1867" t="s">
        <v>381</v>
      </c>
      <c r="W1867" t="s">
        <v>979</v>
      </c>
      <c r="X1867" t="s">
        <v>979</v>
      </c>
      <c r="AC1867" s="13">
        <v>44135</v>
      </c>
      <c r="AD1867" s="13">
        <v>44135</v>
      </c>
      <c r="AI1867">
        <v>-660</v>
      </c>
      <c r="AN1867" t="s">
        <v>31</v>
      </c>
      <c r="AO1867">
        <v>0</v>
      </c>
      <c r="AS1867" t="s">
        <v>385</v>
      </c>
      <c r="AX1867" t="s">
        <v>57</v>
      </c>
      <c r="AY1867" t="s">
        <v>386</v>
      </c>
      <c r="AZ1867" t="s">
        <v>745</v>
      </c>
      <c r="BF1867">
        <v>0</v>
      </c>
      <c r="BK1867" t="s">
        <v>31</v>
      </c>
      <c r="BS1867" t="s">
        <v>412</v>
      </c>
      <c r="CI1867" t="s">
        <v>388</v>
      </c>
      <c r="CJ1867" s="14">
        <v>45015</v>
      </c>
      <c r="CK1867">
        <v>1</v>
      </c>
    </row>
    <row r="1868" spans="1:89">
      <c r="A1868" t="s">
        <v>915</v>
      </c>
      <c r="B1868" t="s">
        <v>374</v>
      </c>
      <c r="C1868" t="s">
        <v>916</v>
      </c>
      <c r="D1868" t="s">
        <v>980</v>
      </c>
      <c r="E1868" t="s">
        <v>981</v>
      </c>
      <c r="F1868" s="13">
        <v>44795.504305555558</v>
      </c>
      <c r="G1868" t="s">
        <v>641</v>
      </c>
      <c r="H1868" t="s">
        <v>642</v>
      </c>
      <c r="I1868" s="13">
        <v>44795.504317129627</v>
      </c>
      <c r="K1868" t="s">
        <v>412</v>
      </c>
      <c r="M1868" s="13">
        <v>44135</v>
      </c>
      <c r="R1868">
        <v>0</v>
      </c>
      <c r="S1868" t="s">
        <v>380</v>
      </c>
      <c r="T1868" t="s">
        <v>57</v>
      </c>
      <c r="V1868" t="s">
        <v>381</v>
      </c>
      <c r="W1868" t="s">
        <v>979</v>
      </c>
      <c r="X1868" t="s">
        <v>979</v>
      </c>
      <c r="AC1868" s="13">
        <v>44135</v>
      </c>
      <c r="AD1868" s="13">
        <v>44135</v>
      </c>
      <c r="AI1868">
        <v>-660</v>
      </c>
      <c r="AN1868" t="s">
        <v>31</v>
      </c>
      <c r="AO1868">
        <v>0</v>
      </c>
      <c r="AS1868" t="s">
        <v>385</v>
      </c>
      <c r="AX1868" t="s">
        <v>57</v>
      </c>
      <c r="AY1868" t="s">
        <v>386</v>
      </c>
      <c r="AZ1868" t="s">
        <v>721</v>
      </c>
      <c r="BF1868">
        <v>0</v>
      </c>
      <c r="BK1868" t="s">
        <v>31</v>
      </c>
      <c r="BS1868" t="s">
        <v>412</v>
      </c>
      <c r="CI1868" t="s">
        <v>388</v>
      </c>
      <c r="CJ1868" s="14">
        <v>45015</v>
      </c>
      <c r="CK1868">
        <v>1</v>
      </c>
    </row>
    <row r="1869" spans="1:89">
      <c r="A1869" t="s">
        <v>895</v>
      </c>
      <c r="B1869" t="s">
        <v>374</v>
      </c>
      <c r="C1869" t="s">
        <v>896</v>
      </c>
      <c r="D1869" t="s">
        <v>982</v>
      </c>
      <c r="E1869" t="s">
        <v>983</v>
      </c>
      <c r="F1869" s="13">
        <v>44795.504282407404</v>
      </c>
      <c r="G1869" t="s">
        <v>641</v>
      </c>
      <c r="H1869" t="s">
        <v>642</v>
      </c>
      <c r="I1869" s="13">
        <v>44795.504293981481</v>
      </c>
      <c r="K1869" t="s">
        <v>412</v>
      </c>
      <c r="M1869" s="13">
        <v>44586</v>
      </c>
      <c r="R1869">
        <v>0</v>
      </c>
      <c r="S1869" t="s">
        <v>380</v>
      </c>
      <c r="T1869" t="s">
        <v>57</v>
      </c>
      <c r="V1869" t="s">
        <v>381</v>
      </c>
      <c r="W1869" t="s">
        <v>931</v>
      </c>
      <c r="X1869" t="s">
        <v>931</v>
      </c>
      <c r="AC1869" s="13">
        <v>44586</v>
      </c>
      <c r="AD1869" s="13">
        <v>44586</v>
      </c>
      <c r="AI1869">
        <v>-209</v>
      </c>
      <c r="AN1869" t="s">
        <v>31</v>
      </c>
      <c r="AO1869">
        <v>0</v>
      </c>
      <c r="AS1869" t="s">
        <v>385</v>
      </c>
      <c r="AX1869" t="s">
        <v>57</v>
      </c>
      <c r="AY1869" t="s">
        <v>386</v>
      </c>
      <c r="AZ1869" t="s">
        <v>721</v>
      </c>
      <c r="BF1869">
        <v>0</v>
      </c>
      <c r="BK1869" t="s">
        <v>31</v>
      </c>
      <c r="BS1869" t="s">
        <v>412</v>
      </c>
      <c r="CI1869" t="s">
        <v>388</v>
      </c>
      <c r="CJ1869" s="14">
        <v>45015</v>
      </c>
      <c r="CK1869">
        <v>1</v>
      </c>
    </row>
    <row r="1870" spans="1:89">
      <c r="A1870" t="s">
        <v>915</v>
      </c>
      <c r="B1870" t="s">
        <v>374</v>
      </c>
      <c r="C1870" t="s">
        <v>916</v>
      </c>
      <c r="D1870" t="s">
        <v>984</v>
      </c>
      <c r="E1870" t="s">
        <v>985</v>
      </c>
      <c r="F1870" s="13">
        <v>44795.504270833335</v>
      </c>
      <c r="G1870" t="s">
        <v>641</v>
      </c>
      <c r="H1870" t="s">
        <v>642</v>
      </c>
      <c r="I1870" s="13">
        <v>44795.504270833335</v>
      </c>
      <c r="K1870" t="s">
        <v>412</v>
      </c>
      <c r="M1870" s="13">
        <v>44638</v>
      </c>
      <c r="R1870">
        <v>0</v>
      </c>
      <c r="S1870" t="s">
        <v>380</v>
      </c>
      <c r="T1870" t="s">
        <v>57</v>
      </c>
      <c r="V1870" t="s">
        <v>381</v>
      </c>
      <c r="W1870" t="s">
        <v>921</v>
      </c>
      <c r="X1870" t="s">
        <v>921</v>
      </c>
      <c r="AC1870" s="13">
        <v>44638</v>
      </c>
      <c r="AD1870" s="13">
        <v>44638</v>
      </c>
      <c r="AI1870">
        <v>-157</v>
      </c>
      <c r="AN1870" t="s">
        <v>31</v>
      </c>
      <c r="AO1870">
        <v>0</v>
      </c>
      <c r="AS1870" t="s">
        <v>648</v>
      </c>
      <c r="AX1870" t="s">
        <v>57</v>
      </c>
      <c r="AY1870" t="s">
        <v>386</v>
      </c>
      <c r="AZ1870" t="s">
        <v>745</v>
      </c>
      <c r="BF1870">
        <v>0</v>
      </c>
      <c r="BK1870" t="s">
        <v>31</v>
      </c>
      <c r="BS1870" t="s">
        <v>412</v>
      </c>
      <c r="CI1870" t="s">
        <v>388</v>
      </c>
      <c r="CJ1870" s="14">
        <v>45015</v>
      </c>
      <c r="CK1870">
        <v>1</v>
      </c>
    </row>
    <row r="1871" spans="1:89">
      <c r="A1871" t="s">
        <v>915</v>
      </c>
      <c r="B1871" t="s">
        <v>374</v>
      </c>
      <c r="C1871" t="s">
        <v>916</v>
      </c>
      <c r="D1871" t="s">
        <v>986</v>
      </c>
      <c r="E1871" t="s">
        <v>987</v>
      </c>
      <c r="F1871" s="13">
        <v>44795.504247685189</v>
      </c>
      <c r="G1871" t="s">
        <v>641</v>
      </c>
      <c r="H1871" t="s">
        <v>642</v>
      </c>
      <c r="I1871" s="13">
        <v>44795.504259259258</v>
      </c>
      <c r="K1871" t="s">
        <v>412</v>
      </c>
      <c r="M1871" s="13">
        <v>44638</v>
      </c>
      <c r="R1871">
        <v>0</v>
      </c>
      <c r="S1871" t="s">
        <v>380</v>
      </c>
      <c r="T1871" t="s">
        <v>57</v>
      </c>
      <c r="V1871" t="s">
        <v>381</v>
      </c>
      <c r="W1871" t="s">
        <v>921</v>
      </c>
      <c r="X1871" t="s">
        <v>921</v>
      </c>
      <c r="AC1871" s="13">
        <v>44638</v>
      </c>
      <c r="AD1871" s="13">
        <v>44638</v>
      </c>
      <c r="AI1871">
        <v>-157</v>
      </c>
      <c r="AN1871" t="s">
        <v>31</v>
      </c>
      <c r="AO1871">
        <v>0</v>
      </c>
      <c r="AS1871" t="s">
        <v>526</v>
      </c>
      <c r="AX1871" t="s">
        <v>57</v>
      </c>
      <c r="AY1871" t="s">
        <v>386</v>
      </c>
      <c r="AZ1871" t="s">
        <v>721</v>
      </c>
      <c r="BF1871">
        <v>0</v>
      </c>
      <c r="BK1871" t="s">
        <v>31</v>
      </c>
      <c r="BS1871" t="s">
        <v>412</v>
      </c>
      <c r="CI1871" t="s">
        <v>388</v>
      </c>
      <c r="CJ1871" s="14">
        <v>45015</v>
      </c>
      <c r="CK1871">
        <v>1</v>
      </c>
    </row>
    <row r="1872" spans="1:89">
      <c r="A1872" t="s">
        <v>915</v>
      </c>
      <c r="B1872" t="s">
        <v>374</v>
      </c>
      <c r="C1872" t="s">
        <v>916</v>
      </c>
      <c r="D1872" t="s">
        <v>988</v>
      </c>
      <c r="E1872" t="s">
        <v>989</v>
      </c>
      <c r="F1872" s="13">
        <v>44795.504224537035</v>
      </c>
      <c r="G1872" t="s">
        <v>641</v>
      </c>
      <c r="H1872" t="s">
        <v>642</v>
      </c>
      <c r="I1872" s="13">
        <v>44795.504236111112</v>
      </c>
      <c r="K1872" t="s">
        <v>412</v>
      </c>
      <c r="M1872" s="13">
        <v>44610</v>
      </c>
      <c r="R1872">
        <v>0</v>
      </c>
      <c r="S1872" t="s">
        <v>380</v>
      </c>
      <c r="T1872" t="s">
        <v>57</v>
      </c>
      <c r="V1872" t="s">
        <v>381</v>
      </c>
      <c r="W1872" t="s">
        <v>921</v>
      </c>
      <c r="X1872" t="s">
        <v>921</v>
      </c>
      <c r="AC1872" s="13">
        <v>44610</v>
      </c>
      <c r="AD1872" s="13">
        <v>44610</v>
      </c>
      <c r="AI1872">
        <v>-185</v>
      </c>
      <c r="AN1872" t="s">
        <v>31</v>
      </c>
      <c r="AO1872">
        <v>0</v>
      </c>
      <c r="AS1872" t="s">
        <v>385</v>
      </c>
      <c r="AX1872" t="s">
        <v>57</v>
      </c>
      <c r="AY1872" t="s">
        <v>386</v>
      </c>
      <c r="AZ1872" t="s">
        <v>745</v>
      </c>
      <c r="BF1872">
        <v>0</v>
      </c>
      <c r="BK1872" t="s">
        <v>31</v>
      </c>
      <c r="BS1872" t="s">
        <v>412</v>
      </c>
      <c r="CI1872" t="s">
        <v>388</v>
      </c>
      <c r="CJ1872" s="14">
        <v>45015</v>
      </c>
      <c r="CK1872">
        <v>1</v>
      </c>
    </row>
    <row r="1873" spans="1:89">
      <c r="A1873" t="s">
        <v>915</v>
      </c>
      <c r="B1873" t="s">
        <v>374</v>
      </c>
      <c r="C1873" t="s">
        <v>916</v>
      </c>
      <c r="D1873" t="s">
        <v>990</v>
      </c>
      <c r="E1873" t="s">
        <v>991</v>
      </c>
      <c r="F1873" s="13">
        <v>44795.504212962966</v>
      </c>
      <c r="G1873" t="s">
        <v>641</v>
      </c>
      <c r="H1873" t="s">
        <v>642</v>
      </c>
      <c r="I1873" s="13">
        <v>44795.504212962966</v>
      </c>
      <c r="K1873" t="s">
        <v>412</v>
      </c>
      <c r="M1873" s="13">
        <v>44610</v>
      </c>
      <c r="R1873">
        <v>0</v>
      </c>
      <c r="S1873" t="s">
        <v>380</v>
      </c>
      <c r="T1873" t="s">
        <v>57</v>
      </c>
      <c r="V1873" t="s">
        <v>381</v>
      </c>
      <c r="W1873" t="s">
        <v>921</v>
      </c>
      <c r="X1873" t="s">
        <v>921</v>
      </c>
      <c r="AC1873" s="13">
        <v>44610</v>
      </c>
      <c r="AD1873" s="13">
        <v>44610</v>
      </c>
      <c r="AI1873">
        <v>-185</v>
      </c>
      <c r="AN1873" t="s">
        <v>31</v>
      </c>
      <c r="AO1873">
        <v>0</v>
      </c>
      <c r="AS1873" t="s">
        <v>385</v>
      </c>
      <c r="AX1873" t="s">
        <v>57</v>
      </c>
      <c r="AY1873" t="s">
        <v>386</v>
      </c>
      <c r="AZ1873" t="s">
        <v>721</v>
      </c>
      <c r="BF1873">
        <v>0</v>
      </c>
      <c r="BK1873" t="s">
        <v>31</v>
      </c>
      <c r="BS1873" t="s">
        <v>412</v>
      </c>
      <c r="CI1873" t="s">
        <v>388</v>
      </c>
      <c r="CJ1873" s="14">
        <v>45015</v>
      </c>
      <c r="CK1873">
        <v>1</v>
      </c>
    </row>
    <row r="1874" spans="1:89">
      <c r="A1874" t="s">
        <v>915</v>
      </c>
      <c r="B1874" t="s">
        <v>374</v>
      </c>
      <c r="C1874" t="s">
        <v>916</v>
      </c>
      <c r="D1874" t="s">
        <v>992</v>
      </c>
      <c r="E1874" t="s">
        <v>993</v>
      </c>
      <c r="F1874" s="13">
        <v>44795.504189814812</v>
      </c>
      <c r="G1874" t="s">
        <v>641</v>
      </c>
      <c r="H1874" t="s">
        <v>642</v>
      </c>
      <c r="I1874" s="13">
        <v>44795.504201388889</v>
      </c>
      <c r="K1874" t="s">
        <v>412</v>
      </c>
      <c r="M1874" s="13">
        <v>44638</v>
      </c>
      <c r="R1874">
        <v>0</v>
      </c>
      <c r="S1874" t="s">
        <v>380</v>
      </c>
      <c r="T1874" t="s">
        <v>57</v>
      </c>
      <c r="V1874" t="s">
        <v>381</v>
      </c>
      <c r="W1874" t="s">
        <v>921</v>
      </c>
      <c r="X1874" t="s">
        <v>921</v>
      </c>
      <c r="AC1874" s="13">
        <v>44638</v>
      </c>
      <c r="AD1874" s="13">
        <v>44638</v>
      </c>
      <c r="AI1874">
        <v>-157</v>
      </c>
      <c r="AN1874" t="s">
        <v>31</v>
      </c>
      <c r="AO1874">
        <v>0</v>
      </c>
      <c r="AS1874" t="s">
        <v>385</v>
      </c>
      <c r="AX1874" t="s">
        <v>57</v>
      </c>
      <c r="AY1874" t="s">
        <v>386</v>
      </c>
      <c r="AZ1874" t="s">
        <v>976</v>
      </c>
      <c r="BF1874">
        <v>0</v>
      </c>
      <c r="BK1874" t="s">
        <v>31</v>
      </c>
      <c r="BS1874" t="s">
        <v>412</v>
      </c>
      <c r="CI1874" t="s">
        <v>388</v>
      </c>
      <c r="CJ1874" s="14">
        <v>45015</v>
      </c>
      <c r="CK1874">
        <v>1</v>
      </c>
    </row>
    <row r="1875" spans="1:89">
      <c r="A1875" t="s">
        <v>915</v>
      </c>
      <c r="B1875" t="s">
        <v>374</v>
      </c>
      <c r="C1875" t="s">
        <v>916</v>
      </c>
      <c r="D1875" t="s">
        <v>994</v>
      </c>
      <c r="E1875" t="s">
        <v>995</v>
      </c>
      <c r="F1875" s="13">
        <v>44795.504166666666</v>
      </c>
      <c r="G1875" t="s">
        <v>641</v>
      </c>
      <c r="H1875" t="s">
        <v>642</v>
      </c>
      <c r="I1875" s="13">
        <v>44795.504178240742</v>
      </c>
      <c r="K1875" t="s">
        <v>412</v>
      </c>
      <c r="M1875" s="13">
        <v>44638</v>
      </c>
      <c r="R1875">
        <v>0</v>
      </c>
      <c r="S1875" t="s">
        <v>380</v>
      </c>
      <c r="T1875" t="s">
        <v>57</v>
      </c>
      <c r="V1875" t="s">
        <v>381</v>
      </c>
      <c r="W1875" t="s">
        <v>921</v>
      </c>
      <c r="X1875" t="s">
        <v>921</v>
      </c>
      <c r="AC1875" s="13">
        <v>44638</v>
      </c>
      <c r="AD1875" s="13">
        <v>44638</v>
      </c>
      <c r="AI1875">
        <v>-157</v>
      </c>
      <c r="AN1875" t="s">
        <v>31</v>
      </c>
      <c r="AO1875">
        <v>0</v>
      </c>
      <c r="AS1875" t="s">
        <v>385</v>
      </c>
      <c r="AX1875" t="s">
        <v>57</v>
      </c>
      <c r="AY1875" t="s">
        <v>386</v>
      </c>
      <c r="AZ1875" t="s">
        <v>745</v>
      </c>
      <c r="BF1875">
        <v>0</v>
      </c>
      <c r="BK1875" t="s">
        <v>31</v>
      </c>
      <c r="BS1875" t="s">
        <v>412</v>
      </c>
      <c r="CI1875" t="s">
        <v>388</v>
      </c>
      <c r="CJ1875" s="14">
        <v>45015</v>
      </c>
      <c r="CK1875">
        <v>1</v>
      </c>
    </row>
    <row r="1876" spans="1:89">
      <c r="A1876" t="s">
        <v>915</v>
      </c>
      <c r="B1876" t="s">
        <v>374</v>
      </c>
      <c r="C1876" t="s">
        <v>916</v>
      </c>
      <c r="D1876" t="s">
        <v>996</v>
      </c>
      <c r="E1876" t="s">
        <v>997</v>
      </c>
      <c r="F1876" s="13">
        <v>44795.504143518519</v>
      </c>
      <c r="G1876" t="s">
        <v>641</v>
      </c>
      <c r="H1876" t="s">
        <v>642</v>
      </c>
      <c r="I1876" s="13">
        <v>44795.504155092596</v>
      </c>
      <c r="K1876" t="s">
        <v>412</v>
      </c>
      <c r="M1876" s="13">
        <v>44638</v>
      </c>
      <c r="R1876">
        <v>0</v>
      </c>
      <c r="S1876" t="s">
        <v>416</v>
      </c>
      <c r="T1876" t="s">
        <v>57</v>
      </c>
      <c r="V1876" t="s">
        <v>381</v>
      </c>
      <c r="W1876" t="s">
        <v>998</v>
      </c>
      <c r="X1876" t="s">
        <v>998</v>
      </c>
      <c r="AC1876" s="13">
        <v>44638</v>
      </c>
      <c r="AD1876" s="13">
        <v>44638</v>
      </c>
      <c r="AI1876">
        <v>-157</v>
      </c>
      <c r="AN1876" t="s">
        <v>31</v>
      </c>
      <c r="AO1876">
        <v>0</v>
      </c>
      <c r="AS1876" t="s">
        <v>385</v>
      </c>
      <c r="AX1876" t="s">
        <v>57</v>
      </c>
      <c r="AY1876" t="s">
        <v>386</v>
      </c>
      <c r="AZ1876" t="s">
        <v>721</v>
      </c>
      <c r="BF1876">
        <v>0</v>
      </c>
      <c r="BK1876" t="s">
        <v>31</v>
      </c>
      <c r="BS1876" t="s">
        <v>412</v>
      </c>
      <c r="CI1876" t="s">
        <v>388</v>
      </c>
      <c r="CJ1876" s="14">
        <v>45015</v>
      </c>
      <c r="CK1876">
        <v>1</v>
      </c>
    </row>
    <row r="1877" spans="1:89">
      <c r="A1877" t="s">
        <v>883</v>
      </c>
      <c r="B1877" t="s">
        <v>374</v>
      </c>
      <c r="C1877" t="s">
        <v>473</v>
      </c>
      <c r="D1877" t="s">
        <v>999</v>
      </c>
      <c r="E1877" t="s">
        <v>1000</v>
      </c>
      <c r="F1877" s="13">
        <v>44795.504120370373</v>
      </c>
      <c r="G1877" t="s">
        <v>641</v>
      </c>
      <c r="H1877" t="s">
        <v>642</v>
      </c>
      <c r="I1877" s="13">
        <v>44795.504131944443</v>
      </c>
      <c r="K1877" t="s">
        <v>412</v>
      </c>
      <c r="M1877" s="13">
        <v>44651</v>
      </c>
      <c r="R1877">
        <v>0</v>
      </c>
      <c r="S1877" t="s">
        <v>380</v>
      </c>
      <c r="T1877" t="s">
        <v>57</v>
      </c>
      <c r="V1877" t="s">
        <v>381</v>
      </c>
      <c r="W1877" t="s">
        <v>1001</v>
      </c>
      <c r="X1877" t="s">
        <v>1001</v>
      </c>
      <c r="AC1877" s="13">
        <v>44651</v>
      </c>
      <c r="AD1877" s="13">
        <v>44651</v>
      </c>
      <c r="AI1877">
        <v>-144</v>
      </c>
      <c r="AN1877" t="s">
        <v>31</v>
      </c>
      <c r="AO1877">
        <v>0</v>
      </c>
      <c r="AS1877" t="s">
        <v>392</v>
      </c>
      <c r="AX1877" t="s">
        <v>57</v>
      </c>
      <c r="AY1877" t="s">
        <v>386</v>
      </c>
      <c r="AZ1877" t="s">
        <v>721</v>
      </c>
      <c r="BF1877">
        <v>0</v>
      </c>
      <c r="BK1877" t="s">
        <v>31</v>
      </c>
      <c r="BS1877" t="s">
        <v>412</v>
      </c>
      <c r="CI1877" t="s">
        <v>388</v>
      </c>
      <c r="CJ1877" s="14">
        <v>45015</v>
      </c>
      <c r="CK1877">
        <v>1</v>
      </c>
    </row>
    <row r="1878" spans="1:89">
      <c r="A1878" t="s">
        <v>714</v>
      </c>
      <c r="B1878" t="s">
        <v>374</v>
      </c>
      <c r="C1878" t="s">
        <v>715</v>
      </c>
      <c r="D1878" t="s">
        <v>1002</v>
      </c>
      <c r="E1878" t="s">
        <v>1003</v>
      </c>
      <c r="F1878" s="13">
        <v>44795.504108796296</v>
      </c>
      <c r="G1878" t="s">
        <v>641</v>
      </c>
      <c r="H1878" t="s">
        <v>642</v>
      </c>
      <c r="I1878" s="13">
        <v>44795.504120370373</v>
      </c>
      <c r="K1878" t="s">
        <v>412</v>
      </c>
      <c r="M1878" s="13">
        <v>44635</v>
      </c>
      <c r="R1878">
        <v>0</v>
      </c>
      <c r="S1878" t="s">
        <v>380</v>
      </c>
      <c r="T1878" t="s">
        <v>57</v>
      </c>
      <c r="V1878" t="s">
        <v>381</v>
      </c>
      <c r="W1878" t="s">
        <v>1004</v>
      </c>
      <c r="X1878" t="s">
        <v>1004</v>
      </c>
      <c r="AC1878" s="13">
        <v>44635</v>
      </c>
      <c r="AD1878" s="13">
        <v>44635</v>
      </c>
      <c r="AI1878">
        <v>-160</v>
      </c>
      <c r="AN1878" t="s">
        <v>31</v>
      </c>
      <c r="AO1878">
        <v>0</v>
      </c>
      <c r="AS1878" t="s">
        <v>730</v>
      </c>
      <c r="AX1878" t="s">
        <v>57</v>
      </c>
      <c r="AY1878" t="s">
        <v>386</v>
      </c>
      <c r="AZ1878" t="s">
        <v>745</v>
      </c>
      <c r="BF1878">
        <v>0</v>
      </c>
      <c r="BK1878" t="s">
        <v>31</v>
      </c>
      <c r="BS1878" t="s">
        <v>412</v>
      </c>
      <c r="CI1878" t="s">
        <v>388</v>
      </c>
      <c r="CJ1878" s="14">
        <v>45015</v>
      </c>
      <c r="CK1878">
        <v>1</v>
      </c>
    </row>
    <row r="1879" spans="1:89">
      <c r="A1879" t="s">
        <v>714</v>
      </c>
      <c r="B1879" t="s">
        <v>374</v>
      </c>
      <c r="C1879" t="s">
        <v>715</v>
      </c>
      <c r="D1879" t="s">
        <v>1005</v>
      </c>
      <c r="E1879" t="s">
        <v>1006</v>
      </c>
      <c r="F1879" s="13">
        <v>44795.50408564815</v>
      </c>
      <c r="G1879" t="s">
        <v>641</v>
      </c>
      <c r="H1879" t="s">
        <v>642</v>
      </c>
      <c r="I1879" s="13">
        <v>44795.50409722222</v>
      </c>
      <c r="K1879" t="s">
        <v>412</v>
      </c>
      <c r="M1879" s="13">
        <v>44635</v>
      </c>
      <c r="R1879">
        <v>0</v>
      </c>
      <c r="S1879" t="s">
        <v>380</v>
      </c>
      <c r="T1879" t="s">
        <v>57</v>
      </c>
      <c r="V1879" t="s">
        <v>381</v>
      </c>
      <c r="W1879" t="s">
        <v>1004</v>
      </c>
      <c r="X1879" t="s">
        <v>1004</v>
      </c>
      <c r="AC1879" s="13">
        <v>44635</v>
      </c>
      <c r="AD1879" s="13">
        <v>44635</v>
      </c>
      <c r="AI1879">
        <v>-160</v>
      </c>
      <c r="AN1879" t="s">
        <v>31</v>
      </c>
      <c r="AO1879">
        <v>0</v>
      </c>
      <c r="AS1879" t="s">
        <v>730</v>
      </c>
      <c r="AX1879" t="s">
        <v>57</v>
      </c>
      <c r="AY1879" t="s">
        <v>386</v>
      </c>
      <c r="AZ1879" t="s">
        <v>721</v>
      </c>
      <c r="BF1879">
        <v>0</v>
      </c>
      <c r="BK1879" t="s">
        <v>31</v>
      </c>
      <c r="BS1879" t="s">
        <v>412</v>
      </c>
      <c r="CI1879" t="s">
        <v>388</v>
      </c>
      <c r="CJ1879" s="14">
        <v>45015</v>
      </c>
      <c r="CK1879">
        <v>1</v>
      </c>
    </row>
    <row r="1880" spans="1:89">
      <c r="A1880" t="s">
        <v>714</v>
      </c>
      <c r="B1880" t="s">
        <v>374</v>
      </c>
      <c r="C1880" t="s">
        <v>715</v>
      </c>
      <c r="D1880" t="s">
        <v>1007</v>
      </c>
      <c r="E1880" t="s">
        <v>1008</v>
      </c>
      <c r="F1880" s="13">
        <v>44795.504062499997</v>
      </c>
      <c r="G1880" t="s">
        <v>641</v>
      </c>
      <c r="H1880" t="s">
        <v>642</v>
      </c>
      <c r="I1880" s="13">
        <v>44795.504074074073</v>
      </c>
      <c r="K1880" t="s">
        <v>412</v>
      </c>
      <c r="M1880" s="13">
        <v>44666</v>
      </c>
      <c r="R1880">
        <v>0</v>
      </c>
      <c r="S1880" t="s">
        <v>380</v>
      </c>
      <c r="T1880" t="s">
        <v>57</v>
      </c>
      <c r="V1880" t="s">
        <v>381</v>
      </c>
      <c r="W1880" t="s">
        <v>1004</v>
      </c>
      <c r="X1880" t="s">
        <v>1004</v>
      </c>
      <c r="AC1880" s="13">
        <v>44666</v>
      </c>
      <c r="AD1880" s="13">
        <v>44666</v>
      </c>
      <c r="AI1880">
        <v>-129</v>
      </c>
      <c r="AN1880" t="s">
        <v>31</v>
      </c>
      <c r="AO1880">
        <v>0</v>
      </c>
      <c r="AS1880" t="s">
        <v>730</v>
      </c>
      <c r="AX1880" t="s">
        <v>57</v>
      </c>
      <c r="AY1880" t="s">
        <v>386</v>
      </c>
      <c r="AZ1880" t="s">
        <v>745</v>
      </c>
      <c r="BF1880">
        <v>0</v>
      </c>
      <c r="BK1880" t="s">
        <v>31</v>
      </c>
      <c r="BS1880" t="s">
        <v>412</v>
      </c>
      <c r="CI1880" t="s">
        <v>388</v>
      </c>
      <c r="CJ1880" s="14">
        <v>45015</v>
      </c>
      <c r="CK1880">
        <v>1</v>
      </c>
    </row>
    <row r="1881" spans="1:89">
      <c r="A1881" t="s">
        <v>714</v>
      </c>
      <c r="B1881" t="s">
        <v>374</v>
      </c>
      <c r="C1881" t="s">
        <v>715</v>
      </c>
      <c r="D1881" t="s">
        <v>1009</v>
      </c>
      <c r="E1881" t="s">
        <v>1010</v>
      </c>
      <c r="F1881" s="13">
        <v>44795.50403935185</v>
      </c>
      <c r="G1881" t="s">
        <v>641</v>
      </c>
      <c r="H1881" t="s">
        <v>642</v>
      </c>
      <c r="I1881" s="13">
        <v>44795.504050925927</v>
      </c>
      <c r="K1881" t="s">
        <v>412</v>
      </c>
      <c r="M1881" s="13">
        <v>44666</v>
      </c>
      <c r="R1881">
        <v>0</v>
      </c>
      <c r="S1881" t="s">
        <v>380</v>
      </c>
      <c r="T1881" t="s">
        <v>57</v>
      </c>
      <c r="V1881" t="s">
        <v>381</v>
      </c>
      <c r="W1881" t="s">
        <v>1004</v>
      </c>
      <c r="X1881" t="s">
        <v>1004</v>
      </c>
      <c r="AC1881" s="13">
        <v>44666</v>
      </c>
      <c r="AD1881" s="13">
        <v>44666</v>
      </c>
      <c r="AI1881">
        <v>-129</v>
      </c>
      <c r="AN1881" t="s">
        <v>31</v>
      </c>
      <c r="AO1881">
        <v>0</v>
      </c>
      <c r="AS1881" t="s">
        <v>730</v>
      </c>
      <c r="AX1881" t="s">
        <v>57</v>
      </c>
      <c r="AY1881" t="s">
        <v>386</v>
      </c>
      <c r="AZ1881" t="s">
        <v>721</v>
      </c>
      <c r="BF1881">
        <v>0</v>
      </c>
      <c r="BK1881" t="s">
        <v>31</v>
      </c>
      <c r="BS1881" t="s">
        <v>412</v>
      </c>
      <c r="CI1881" t="s">
        <v>388</v>
      </c>
      <c r="CJ1881" s="14">
        <v>45015</v>
      </c>
      <c r="CK1881">
        <v>1</v>
      </c>
    </row>
    <row r="1882" spans="1:89">
      <c r="A1882" t="s">
        <v>714</v>
      </c>
      <c r="B1882" t="s">
        <v>374</v>
      </c>
      <c r="C1882" t="s">
        <v>715</v>
      </c>
      <c r="D1882" t="s">
        <v>1011</v>
      </c>
      <c r="E1882" t="s">
        <v>1012</v>
      </c>
      <c r="F1882" s="13">
        <v>44795.504016203704</v>
      </c>
      <c r="G1882" t="s">
        <v>641</v>
      </c>
      <c r="H1882" t="s">
        <v>642</v>
      </c>
      <c r="I1882" s="13">
        <v>44795.504027777781</v>
      </c>
      <c r="K1882" t="s">
        <v>412</v>
      </c>
      <c r="M1882" s="13">
        <v>44666</v>
      </c>
      <c r="R1882">
        <v>0</v>
      </c>
      <c r="S1882" t="s">
        <v>380</v>
      </c>
      <c r="T1882" t="s">
        <v>57</v>
      </c>
      <c r="V1882" t="s">
        <v>381</v>
      </c>
      <c r="W1882" t="s">
        <v>1004</v>
      </c>
      <c r="X1882" t="s">
        <v>1004</v>
      </c>
      <c r="AC1882" s="13">
        <v>44666</v>
      </c>
      <c r="AD1882" s="13">
        <v>44666</v>
      </c>
      <c r="AI1882">
        <v>-129</v>
      </c>
      <c r="AN1882" t="s">
        <v>31</v>
      </c>
      <c r="AO1882">
        <v>0</v>
      </c>
      <c r="AS1882" t="s">
        <v>730</v>
      </c>
      <c r="AX1882" t="s">
        <v>57</v>
      </c>
      <c r="AY1882" t="s">
        <v>386</v>
      </c>
      <c r="AZ1882" t="s">
        <v>721</v>
      </c>
      <c r="BF1882">
        <v>0</v>
      </c>
      <c r="BK1882" t="s">
        <v>31</v>
      </c>
      <c r="BS1882" t="s">
        <v>412</v>
      </c>
      <c r="CI1882" t="s">
        <v>388</v>
      </c>
      <c r="CJ1882" s="14">
        <v>45015</v>
      </c>
      <c r="CK1882">
        <v>1</v>
      </c>
    </row>
    <row r="1883" spans="1:89">
      <c r="A1883" t="s">
        <v>714</v>
      </c>
      <c r="B1883" t="s">
        <v>374</v>
      </c>
      <c r="C1883" t="s">
        <v>715</v>
      </c>
      <c r="D1883" t="s">
        <v>1013</v>
      </c>
      <c r="E1883" t="s">
        <v>1014</v>
      </c>
      <c r="F1883" s="13">
        <v>44795.503993055558</v>
      </c>
      <c r="G1883" t="s">
        <v>641</v>
      </c>
      <c r="H1883" t="s">
        <v>642</v>
      </c>
      <c r="I1883" s="13">
        <v>44795.504004629627</v>
      </c>
      <c r="K1883" t="s">
        <v>412</v>
      </c>
      <c r="M1883" s="13">
        <v>44635</v>
      </c>
      <c r="R1883">
        <v>0</v>
      </c>
      <c r="S1883" t="s">
        <v>380</v>
      </c>
      <c r="T1883" t="s">
        <v>57</v>
      </c>
      <c r="V1883" t="s">
        <v>381</v>
      </c>
      <c r="W1883" t="s">
        <v>1004</v>
      </c>
      <c r="X1883" t="s">
        <v>1004</v>
      </c>
      <c r="AC1883" s="13">
        <v>44635</v>
      </c>
      <c r="AD1883" s="13">
        <v>44635</v>
      </c>
      <c r="AI1883">
        <v>-160</v>
      </c>
      <c r="AN1883" t="s">
        <v>31</v>
      </c>
      <c r="AO1883">
        <v>0</v>
      </c>
      <c r="AS1883" t="s">
        <v>730</v>
      </c>
      <c r="AX1883" t="s">
        <v>57</v>
      </c>
      <c r="AY1883" t="s">
        <v>386</v>
      </c>
      <c r="AZ1883" t="s">
        <v>745</v>
      </c>
      <c r="BF1883">
        <v>0</v>
      </c>
      <c r="BK1883" t="s">
        <v>31</v>
      </c>
      <c r="BS1883" t="s">
        <v>412</v>
      </c>
      <c r="CI1883" t="s">
        <v>388</v>
      </c>
      <c r="CJ1883" s="14">
        <v>45015</v>
      </c>
      <c r="CK1883">
        <v>1</v>
      </c>
    </row>
    <row r="1884" spans="1:89">
      <c r="A1884" t="s">
        <v>714</v>
      </c>
      <c r="B1884" t="s">
        <v>374</v>
      </c>
      <c r="C1884" t="s">
        <v>715</v>
      </c>
      <c r="D1884" t="s">
        <v>1015</v>
      </c>
      <c r="E1884" t="s">
        <v>1016</v>
      </c>
      <c r="F1884" s="13">
        <v>44795.503969907404</v>
      </c>
      <c r="G1884" t="s">
        <v>641</v>
      </c>
      <c r="H1884" t="s">
        <v>642</v>
      </c>
      <c r="I1884" s="13">
        <v>44795.503981481481</v>
      </c>
      <c r="K1884" t="s">
        <v>412</v>
      </c>
      <c r="M1884" s="13">
        <v>44696</v>
      </c>
      <c r="R1884">
        <v>0</v>
      </c>
      <c r="S1884" t="s">
        <v>380</v>
      </c>
      <c r="T1884" t="s">
        <v>57</v>
      </c>
      <c r="V1884" t="s">
        <v>381</v>
      </c>
      <c r="W1884" t="s">
        <v>1004</v>
      </c>
      <c r="X1884" t="s">
        <v>1004</v>
      </c>
      <c r="AC1884" s="13">
        <v>44696</v>
      </c>
      <c r="AD1884" s="13">
        <v>44696</v>
      </c>
      <c r="AI1884">
        <v>-99</v>
      </c>
      <c r="AN1884" t="s">
        <v>31</v>
      </c>
      <c r="AO1884">
        <v>0</v>
      </c>
      <c r="AS1884" t="s">
        <v>730</v>
      </c>
      <c r="AX1884" t="s">
        <v>57</v>
      </c>
      <c r="AY1884" t="s">
        <v>386</v>
      </c>
      <c r="AZ1884" t="s">
        <v>721</v>
      </c>
      <c r="BF1884">
        <v>0</v>
      </c>
      <c r="BK1884" t="s">
        <v>31</v>
      </c>
      <c r="BS1884" t="s">
        <v>412</v>
      </c>
      <c r="CI1884" t="s">
        <v>388</v>
      </c>
      <c r="CJ1884" s="14">
        <v>45015</v>
      </c>
      <c r="CK1884">
        <v>1</v>
      </c>
    </row>
    <row r="1885" spans="1:89">
      <c r="A1885" t="s">
        <v>714</v>
      </c>
      <c r="B1885" t="s">
        <v>374</v>
      </c>
      <c r="C1885" t="s">
        <v>715</v>
      </c>
      <c r="D1885" t="s">
        <v>1017</v>
      </c>
      <c r="E1885" t="s">
        <v>1018</v>
      </c>
      <c r="F1885" s="13">
        <v>44795.503946759258</v>
      </c>
      <c r="G1885" t="s">
        <v>641</v>
      </c>
      <c r="H1885" t="s">
        <v>642</v>
      </c>
      <c r="I1885" s="13">
        <v>44795.503958333335</v>
      </c>
      <c r="K1885" t="s">
        <v>412</v>
      </c>
      <c r="M1885" s="13">
        <v>44788</v>
      </c>
      <c r="R1885">
        <v>0</v>
      </c>
      <c r="S1885" t="s">
        <v>380</v>
      </c>
      <c r="T1885" t="s">
        <v>57</v>
      </c>
      <c r="V1885" t="s">
        <v>381</v>
      </c>
      <c r="W1885" t="s">
        <v>1019</v>
      </c>
      <c r="X1885" t="s">
        <v>1019</v>
      </c>
      <c r="AC1885" s="13">
        <v>44788</v>
      </c>
      <c r="AD1885" s="13">
        <v>44788</v>
      </c>
      <c r="AI1885">
        <v>-7</v>
      </c>
      <c r="AN1885" t="s">
        <v>31</v>
      </c>
      <c r="AO1885">
        <v>0</v>
      </c>
      <c r="AS1885" t="s">
        <v>744</v>
      </c>
      <c r="AX1885" t="s">
        <v>57</v>
      </c>
      <c r="AY1885" t="s">
        <v>386</v>
      </c>
      <c r="AZ1885" t="s">
        <v>721</v>
      </c>
      <c r="BF1885">
        <v>0</v>
      </c>
      <c r="BK1885" t="s">
        <v>31</v>
      </c>
      <c r="BS1885" t="s">
        <v>412</v>
      </c>
      <c r="CI1885" t="s">
        <v>388</v>
      </c>
      <c r="CJ1885" s="14">
        <v>45015</v>
      </c>
      <c r="CK1885">
        <v>1</v>
      </c>
    </row>
    <row r="1886" spans="1:89">
      <c r="A1886" t="s">
        <v>895</v>
      </c>
      <c r="B1886" t="s">
        <v>374</v>
      </c>
      <c r="C1886" t="s">
        <v>896</v>
      </c>
      <c r="D1886" t="s">
        <v>1020</v>
      </c>
      <c r="E1886" t="s">
        <v>1021</v>
      </c>
      <c r="F1886" s="13">
        <v>44795.503923611112</v>
      </c>
      <c r="G1886" t="s">
        <v>641</v>
      </c>
      <c r="H1886" t="s">
        <v>642</v>
      </c>
      <c r="I1886" s="13">
        <v>44795.503935185188</v>
      </c>
      <c r="K1886" t="s">
        <v>412</v>
      </c>
      <c r="M1886" s="13">
        <v>44666</v>
      </c>
      <c r="R1886">
        <v>0</v>
      </c>
      <c r="S1886" t="s">
        <v>380</v>
      </c>
      <c r="T1886" t="s">
        <v>57</v>
      </c>
      <c r="V1886" t="s">
        <v>381</v>
      </c>
      <c r="W1886" t="s">
        <v>924</v>
      </c>
      <c r="X1886" t="s">
        <v>924</v>
      </c>
      <c r="AC1886" s="13">
        <v>44666</v>
      </c>
      <c r="AD1886" s="13">
        <v>44666</v>
      </c>
      <c r="AI1886">
        <v>-129</v>
      </c>
      <c r="AN1886" t="s">
        <v>31</v>
      </c>
      <c r="AO1886">
        <v>0</v>
      </c>
      <c r="AS1886" t="s">
        <v>707</v>
      </c>
      <c r="AX1886" t="s">
        <v>57</v>
      </c>
      <c r="AY1886" t="s">
        <v>386</v>
      </c>
      <c r="AZ1886" t="s">
        <v>745</v>
      </c>
      <c r="BF1886">
        <v>0</v>
      </c>
      <c r="BK1886" t="s">
        <v>31</v>
      </c>
      <c r="BS1886" t="s">
        <v>412</v>
      </c>
      <c r="CI1886" t="s">
        <v>388</v>
      </c>
      <c r="CJ1886" s="14">
        <v>45015</v>
      </c>
      <c r="CK1886">
        <v>1</v>
      </c>
    </row>
    <row r="1887" spans="1:89">
      <c r="A1887" t="s">
        <v>895</v>
      </c>
      <c r="B1887" t="s">
        <v>374</v>
      </c>
      <c r="C1887" t="s">
        <v>896</v>
      </c>
      <c r="D1887" t="s">
        <v>1022</v>
      </c>
      <c r="E1887" t="s">
        <v>1023</v>
      </c>
      <c r="F1887" s="13">
        <v>44795.503900462965</v>
      </c>
      <c r="G1887" t="s">
        <v>641</v>
      </c>
      <c r="H1887" t="s">
        <v>642</v>
      </c>
      <c r="I1887" s="13">
        <v>44795.503912037035</v>
      </c>
      <c r="K1887" t="s">
        <v>412</v>
      </c>
      <c r="M1887" s="13">
        <v>44666</v>
      </c>
      <c r="R1887">
        <v>0</v>
      </c>
      <c r="S1887" t="s">
        <v>380</v>
      </c>
      <c r="T1887" t="s">
        <v>57</v>
      </c>
      <c r="V1887" t="s">
        <v>381</v>
      </c>
      <c r="W1887" t="s">
        <v>924</v>
      </c>
      <c r="X1887" t="s">
        <v>924</v>
      </c>
      <c r="AC1887" s="13">
        <v>44666</v>
      </c>
      <c r="AD1887" s="13">
        <v>44666</v>
      </c>
      <c r="AI1887">
        <v>-129</v>
      </c>
      <c r="AN1887" t="s">
        <v>31</v>
      </c>
      <c r="AO1887">
        <v>0</v>
      </c>
      <c r="AS1887" t="s">
        <v>385</v>
      </c>
      <c r="AX1887" t="s">
        <v>57</v>
      </c>
      <c r="AY1887" t="s">
        <v>386</v>
      </c>
      <c r="AZ1887" t="s">
        <v>721</v>
      </c>
      <c r="BF1887">
        <v>0</v>
      </c>
      <c r="BK1887" t="s">
        <v>31</v>
      </c>
      <c r="BS1887" t="s">
        <v>412</v>
      </c>
      <c r="CI1887" t="s">
        <v>388</v>
      </c>
      <c r="CJ1887" s="14">
        <v>45015</v>
      </c>
      <c r="CK1887">
        <v>1</v>
      </c>
    </row>
    <row r="1888" spans="1:89">
      <c r="A1888" t="s">
        <v>895</v>
      </c>
      <c r="B1888" t="s">
        <v>374</v>
      </c>
      <c r="C1888" t="s">
        <v>896</v>
      </c>
      <c r="D1888" t="s">
        <v>1024</v>
      </c>
      <c r="E1888" t="s">
        <v>1025</v>
      </c>
      <c r="F1888" s="13">
        <v>44795.503865740742</v>
      </c>
      <c r="G1888" t="s">
        <v>641</v>
      </c>
      <c r="H1888" t="s">
        <v>642</v>
      </c>
      <c r="I1888" s="13">
        <v>44795.503888888888</v>
      </c>
      <c r="K1888" t="s">
        <v>412</v>
      </c>
      <c r="M1888" s="13">
        <v>44666</v>
      </c>
      <c r="R1888">
        <v>0</v>
      </c>
      <c r="S1888" t="s">
        <v>380</v>
      </c>
      <c r="T1888" t="s">
        <v>57</v>
      </c>
      <c r="V1888" t="s">
        <v>381</v>
      </c>
      <c r="W1888" t="s">
        <v>924</v>
      </c>
      <c r="X1888" t="s">
        <v>924</v>
      </c>
      <c r="AC1888" s="13">
        <v>44666</v>
      </c>
      <c r="AD1888" s="13">
        <v>44666</v>
      </c>
      <c r="AI1888">
        <v>-129</v>
      </c>
      <c r="AN1888" t="s">
        <v>31</v>
      </c>
      <c r="AO1888">
        <v>0</v>
      </c>
      <c r="AS1888" t="s">
        <v>648</v>
      </c>
      <c r="AX1888" t="s">
        <v>57</v>
      </c>
      <c r="AY1888" t="s">
        <v>386</v>
      </c>
      <c r="AZ1888" t="s">
        <v>721</v>
      </c>
      <c r="BF1888">
        <v>0</v>
      </c>
      <c r="BK1888" t="s">
        <v>31</v>
      </c>
      <c r="BS1888" t="s">
        <v>412</v>
      </c>
      <c r="CI1888" t="s">
        <v>388</v>
      </c>
      <c r="CJ1888" s="14">
        <v>45015</v>
      </c>
      <c r="CK1888">
        <v>1</v>
      </c>
    </row>
    <row r="1889" spans="1:89">
      <c r="A1889" t="s">
        <v>895</v>
      </c>
      <c r="B1889" t="s">
        <v>374</v>
      </c>
      <c r="C1889" t="s">
        <v>896</v>
      </c>
      <c r="D1889" t="s">
        <v>1026</v>
      </c>
      <c r="E1889" t="s">
        <v>1027</v>
      </c>
      <c r="F1889" s="13">
        <v>44795.503842592596</v>
      </c>
      <c r="G1889" t="s">
        <v>641</v>
      </c>
      <c r="H1889" t="s">
        <v>642</v>
      </c>
      <c r="I1889" s="13">
        <v>44795.503854166665</v>
      </c>
      <c r="K1889" t="s">
        <v>412</v>
      </c>
      <c r="M1889" s="13">
        <v>44666</v>
      </c>
      <c r="R1889">
        <v>0</v>
      </c>
      <c r="S1889" t="s">
        <v>380</v>
      </c>
      <c r="T1889" t="s">
        <v>57</v>
      </c>
      <c r="V1889" t="s">
        <v>381</v>
      </c>
      <c r="W1889" t="s">
        <v>924</v>
      </c>
      <c r="X1889" t="s">
        <v>924</v>
      </c>
      <c r="AC1889" s="13">
        <v>44666</v>
      </c>
      <c r="AD1889" s="13">
        <v>44666</v>
      </c>
      <c r="AI1889">
        <v>-129</v>
      </c>
      <c r="AN1889" t="s">
        <v>31</v>
      </c>
      <c r="AO1889">
        <v>0</v>
      </c>
      <c r="AS1889" t="s">
        <v>385</v>
      </c>
      <c r="AX1889" t="s">
        <v>57</v>
      </c>
      <c r="AY1889" t="s">
        <v>386</v>
      </c>
      <c r="AZ1889" t="s">
        <v>721</v>
      </c>
      <c r="BF1889">
        <v>0</v>
      </c>
      <c r="BK1889" t="s">
        <v>31</v>
      </c>
      <c r="BS1889" t="s">
        <v>412</v>
      </c>
      <c r="CI1889" t="s">
        <v>388</v>
      </c>
      <c r="CJ1889" s="14">
        <v>45015</v>
      </c>
      <c r="CK1889">
        <v>1</v>
      </c>
    </row>
    <row r="1890" spans="1:89">
      <c r="A1890" t="s">
        <v>883</v>
      </c>
      <c r="B1890" t="s">
        <v>374</v>
      </c>
      <c r="C1890" t="s">
        <v>473</v>
      </c>
      <c r="D1890" t="s">
        <v>1028</v>
      </c>
      <c r="E1890" t="s">
        <v>1029</v>
      </c>
      <c r="F1890" s="13">
        <v>44795.503819444442</v>
      </c>
      <c r="G1890" t="s">
        <v>641</v>
      </c>
      <c r="H1890" t="s">
        <v>642</v>
      </c>
      <c r="I1890" s="13">
        <v>44795.503831018519</v>
      </c>
      <c r="K1890" t="s">
        <v>412</v>
      </c>
      <c r="M1890" s="13">
        <v>44635</v>
      </c>
      <c r="R1890">
        <v>0</v>
      </c>
      <c r="S1890" t="s">
        <v>380</v>
      </c>
      <c r="T1890" t="s">
        <v>57</v>
      </c>
      <c r="V1890" t="s">
        <v>381</v>
      </c>
      <c r="W1890" t="s">
        <v>1030</v>
      </c>
      <c r="X1890" t="s">
        <v>1030</v>
      </c>
      <c r="AC1890" s="13">
        <v>44635</v>
      </c>
      <c r="AD1890" s="13">
        <v>44635</v>
      </c>
      <c r="AI1890">
        <v>-160</v>
      </c>
      <c r="AN1890" t="s">
        <v>31</v>
      </c>
      <c r="AO1890">
        <v>0</v>
      </c>
      <c r="AS1890" t="s">
        <v>385</v>
      </c>
      <c r="AX1890" t="s">
        <v>57</v>
      </c>
      <c r="AY1890" t="s">
        <v>386</v>
      </c>
      <c r="AZ1890" t="s">
        <v>721</v>
      </c>
      <c r="BF1890">
        <v>0</v>
      </c>
      <c r="BK1890" t="s">
        <v>31</v>
      </c>
      <c r="BS1890" t="s">
        <v>412</v>
      </c>
      <c r="CI1890" t="s">
        <v>388</v>
      </c>
      <c r="CJ1890" s="14">
        <v>45015</v>
      </c>
      <c r="CK1890">
        <v>1</v>
      </c>
    </row>
    <row r="1891" spans="1:89">
      <c r="A1891" t="s">
        <v>883</v>
      </c>
      <c r="B1891" t="s">
        <v>374</v>
      </c>
      <c r="C1891" t="s">
        <v>473</v>
      </c>
      <c r="D1891" t="s">
        <v>1031</v>
      </c>
      <c r="E1891" t="s">
        <v>1032</v>
      </c>
      <c r="F1891" s="13">
        <v>44795.503796296296</v>
      </c>
      <c r="G1891" t="s">
        <v>641</v>
      </c>
      <c r="H1891" t="s">
        <v>642</v>
      </c>
      <c r="I1891" s="13">
        <v>44795.503807870373</v>
      </c>
      <c r="K1891" t="s">
        <v>412</v>
      </c>
      <c r="M1891" s="13">
        <v>44635</v>
      </c>
      <c r="R1891">
        <v>0</v>
      </c>
      <c r="S1891" t="s">
        <v>380</v>
      </c>
      <c r="T1891" t="s">
        <v>57</v>
      </c>
      <c r="V1891" t="s">
        <v>381</v>
      </c>
      <c r="W1891" t="s">
        <v>1033</v>
      </c>
      <c r="X1891" t="s">
        <v>1033</v>
      </c>
      <c r="AC1891" s="13">
        <v>44635</v>
      </c>
      <c r="AD1891" s="13">
        <v>44635</v>
      </c>
      <c r="AI1891">
        <v>-160</v>
      </c>
      <c r="AN1891" t="s">
        <v>31</v>
      </c>
      <c r="AO1891">
        <v>0</v>
      </c>
      <c r="AS1891" t="s">
        <v>385</v>
      </c>
      <c r="AX1891" t="s">
        <v>57</v>
      </c>
      <c r="AY1891" t="s">
        <v>386</v>
      </c>
      <c r="AZ1891" t="s">
        <v>721</v>
      </c>
      <c r="BF1891">
        <v>0</v>
      </c>
      <c r="BK1891" t="s">
        <v>31</v>
      </c>
      <c r="BS1891" t="s">
        <v>412</v>
      </c>
      <c r="CI1891" t="s">
        <v>388</v>
      </c>
      <c r="CJ1891" s="14">
        <v>45015</v>
      </c>
      <c r="CK1891">
        <v>1</v>
      </c>
    </row>
    <row r="1892" spans="1:89">
      <c r="A1892" t="s">
        <v>883</v>
      </c>
      <c r="B1892" t="s">
        <v>374</v>
      </c>
      <c r="C1892" t="s">
        <v>473</v>
      </c>
      <c r="D1892" t="s">
        <v>1034</v>
      </c>
      <c r="E1892" t="s">
        <v>1035</v>
      </c>
      <c r="F1892" s="13">
        <v>44795.50377314815</v>
      </c>
      <c r="G1892" t="s">
        <v>641</v>
      </c>
      <c r="H1892" t="s">
        <v>642</v>
      </c>
      <c r="I1892" s="13">
        <v>44795.503784722219</v>
      </c>
      <c r="K1892" t="s">
        <v>412</v>
      </c>
      <c r="M1892" s="13">
        <v>44635</v>
      </c>
      <c r="R1892">
        <v>0</v>
      </c>
      <c r="S1892" t="s">
        <v>380</v>
      </c>
      <c r="T1892" t="s">
        <v>57</v>
      </c>
      <c r="V1892" t="s">
        <v>381</v>
      </c>
      <c r="W1892" t="s">
        <v>1033</v>
      </c>
      <c r="X1892" t="s">
        <v>1033</v>
      </c>
      <c r="AC1892" s="13">
        <v>44635</v>
      </c>
      <c r="AD1892" s="13">
        <v>44635</v>
      </c>
      <c r="AI1892">
        <v>-160</v>
      </c>
      <c r="AN1892" t="s">
        <v>31</v>
      </c>
      <c r="AO1892">
        <v>0</v>
      </c>
      <c r="AS1892" t="s">
        <v>385</v>
      </c>
      <c r="AX1892" t="s">
        <v>57</v>
      </c>
      <c r="AY1892" t="s">
        <v>386</v>
      </c>
      <c r="AZ1892" t="s">
        <v>721</v>
      </c>
      <c r="BF1892">
        <v>0</v>
      </c>
      <c r="BK1892" t="s">
        <v>31</v>
      </c>
      <c r="BS1892" t="s">
        <v>412</v>
      </c>
      <c r="CI1892" t="s">
        <v>388</v>
      </c>
      <c r="CJ1892" s="14">
        <v>45015</v>
      </c>
      <c r="CK1892">
        <v>1</v>
      </c>
    </row>
    <row r="1893" spans="1:89">
      <c r="A1893" t="s">
        <v>883</v>
      </c>
      <c r="B1893" t="s">
        <v>374</v>
      </c>
      <c r="C1893" t="s">
        <v>473</v>
      </c>
      <c r="D1893" t="s">
        <v>1036</v>
      </c>
      <c r="E1893" t="s">
        <v>1035</v>
      </c>
      <c r="F1893" s="13">
        <v>44795.503750000003</v>
      </c>
      <c r="G1893" t="s">
        <v>641</v>
      </c>
      <c r="H1893" t="s">
        <v>642</v>
      </c>
      <c r="I1893" s="13">
        <v>44795.503761574073</v>
      </c>
      <c r="K1893" t="s">
        <v>412</v>
      </c>
      <c r="M1893" s="13">
        <v>44635</v>
      </c>
      <c r="R1893">
        <v>0</v>
      </c>
      <c r="S1893" t="s">
        <v>380</v>
      </c>
      <c r="T1893" t="s">
        <v>57</v>
      </c>
      <c r="V1893" t="s">
        <v>381</v>
      </c>
      <c r="W1893" t="s">
        <v>1033</v>
      </c>
      <c r="X1893" t="s">
        <v>1033</v>
      </c>
      <c r="AC1893" s="13">
        <v>44635</v>
      </c>
      <c r="AD1893" s="13">
        <v>44635</v>
      </c>
      <c r="AI1893">
        <v>-160</v>
      </c>
      <c r="AN1893" t="s">
        <v>31</v>
      </c>
      <c r="AO1893">
        <v>0</v>
      </c>
      <c r="AS1893" t="s">
        <v>385</v>
      </c>
      <c r="AX1893" t="s">
        <v>57</v>
      </c>
      <c r="AY1893" t="s">
        <v>386</v>
      </c>
      <c r="AZ1893" t="s">
        <v>721</v>
      </c>
      <c r="BF1893">
        <v>0</v>
      </c>
      <c r="BK1893" t="s">
        <v>31</v>
      </c>
      <c r="BS1893" t="s">
        <v>412</v>
      </c>
      <c r="CI1893" t="s">
        <v>388</v>
      </c>
      <c r="CJ1893" s="14">
        <v>45015</v>
      </c>
      <c r="CK1893">
        <v>1</v>
      </c>
    </row>
    <row r="1894" spans="1:89">
      <c r="A1894" t="s">
        <v>883</v>
      </c>
      <c r="B1894" t="s">
        <v>374</v>
      </c>
      <c r="C1894" t="s">
        <v>473</v>
      </c>
      <c r="D1894" t="s">
        <v>1037</v>
      </c>
      <c r="E1894" t="s">
        <v>1038</v>
      </c>
      <c r="F1894" s="13">
        <v>44795.50372685185</v>
      </c>
      <c r="G1894" t="s">
        <v>641</v>
      </c>
      <c r="H1894" t="s">
        <v>642</v>
      </c>
      <c r="I1894" s="13">
        <v>44795.503738425927</v>
      </c>
      <c r="K1894" t="s">
        <v>412</v>
      </c>
      <c r="M1894" s="13">
        <v>44607</v>
      </c>
      <c r="R1894">
        <v>0</v>
      </c>
      <c r="S1894" t="s">
        <v>380</v>
      </c>
      <c r="T1894" t="s">
        <v>57</v>
      </c>
      <c r="V1894" t="s">
        <v>381</v>
      </c>
      <c r="W1894" t="s">
        <v>886</v>
      </c>
      <c r="X1894" t="s">
        <v>886</v>
      </c>
      <c r="AC1894" s="13">
        <v>44607</v>
      </c>
      <c r="AD1894" s="13">
        <v>44607</v>
      </c>
      <c r="AI1894">
        <v>-188</v>
      </c>
      <c r="AN1894" t="s">
        <v>31</v>
      </c>
      <c r="AO1894">
        <v>0</v>
      </c>
      <c r="AS1894" t="s">
        <v>385</v>
      </c>
      <c r="AX1894" t="s">
        <v>57</v>
      </c>
      <c r="AY1894" t="s">
        <v>386</v>
      </c>
      <c r="AZ1894" t="s">
        <v>721</v>
      </c>
      <c r="BF1894">
        <v>0</v>
      </c>
      <c r="BK1894" t="s">
        <v>31</v>
      </c>
      <c r="BS1894" t="s">
        <v>412</v>
      </c>
      <c r="CI1894" t="s">
        <v>388</v>
      </c>
      <c r="CJ1894" s="14">
        <v>45015</v>
      </c>
      <c r="CK1894">
        <v>1</v>
      </c>
    </row>
    <row r="1895" spans="1:89">
      <c r="A1895" t="s">
        <v>883</v>
      </c>
      <c r="B1895" t="s">
        <v>374</v>
      </c>
      <c r="C1895" t="s">
        <v>473</v>
      </c>
      <c r="D1895" t="s">
        <v>1039</v>
      </c>
      <c r="E1895" t="s">
        <v>1040</v>
      </c>
      <c r="F1895" s="13">
        <v>44795.503703703704</v>
      </c>
      <c r="G1895" t="s">
        <v>641</v>
      </c>
      <c r="H1895" t="s">
        <v>642</v>
      </c>
      <c r="I1895" s="13">
        <v>44795.50371527778</v>
      </c>
      <c r="K1895" t="s">
        <v>412</v>
      </c>
      <c r="M1895" s="13">
        <v>44607</v>
      </c>
      <c r="R1895">
        <v>0</v>
      </c>
      <c r="S1895" t="s">
        <v>380</v>
      </c>
      <c r="T1895" t="s">
        <v>57</v>
      </c>
      <c r="V1895" t="s">
        <v>381</v>
      </c>
      <c r="W1895" t="s">
        <v>886</v>
      </c>
      <c r="X1895" t="s">
        <v>886</v>
      </c>
      <c r="AC1895" s="13">
        <v>44607</v>
      </c>
      <c r="AD1895" s="13">
        <v>44607</v>
      </c>
      <c r="AI1895">
        <v>-188</v>
      </c>
      <c r="AN1895" t="s">
        <v>31</v>
      </c>
      <c r="AO1895">
        <v>0</v>
      </c>
      <c r="AS1895" t="s">
        <v>385</v>
      </c>
      <c r="AX1895" t="s">
        <v>57</v>
      </c>
      <c r="AY1895" t="s">
        <v>386</v>
      </c>
      <c r="AZ1895" t="s">
        <v>721</v>
      </c>
      <c r="BF1895">
        <v>0</v>
      </c>
      <c r="BK1895" t="s">
        <v>31</v>
      </c>
      <c r="BS1895" t="s">
        <v>412</v>
      </c>
      <c r="CI1895" t="s">
        <v>388</v>
      </c>
      <c r="CJ1895" s="14">
        <v>45015</v>
      </c>
      <c r="CK1895">
        <v>1</v>
      </c>
    </row>
    <row r="1896" spans="1:89">
      <c r="A1896" t="s">
        <v>883</v>
      </c>
      <c r="B1896" t="s">
        <v>374</v>
      </c>
      <c r="C1896" t="s">
        <v>473</v>
      </c>
      <c r="D1896" t="s">
        <v>1041</v>
      </c>
      <c r="E1896" t="s">
        <v>1042</v>
      </c>
      <c r="F1896" s="13">
        <v>44795.503680555557</v>
      </c>
      <c r="G1896" t="s">
        <v>641</v>
      </c>
      <c r="H1896" t="s">
        <v>642</v>
      </c>
      <c r="I1896" s="13">
        <v>44795.503692129627</v>
      </c>
      <c r="K1896" t="s">
        <v>412</v>
      </c>
      <c r="M1896" s="13">
        <v>44607</v>
      </c>
      <c r="R1896">
        <v>0</v>
      </c>
      <c r="S1896" t="s">
        <v>380</v>
      </c>
      <c r="T1896" t="s">
        <v>57</v>
      </c>
      <c r="V1896" t="s">
        <v>381</v>
      </c>
      <c r="W1896" t="s">
        <v>886</v>
      </c>
      <c r="X1896" t="s">
        <v>886</v>
      </c>
      <c r="AC1896" s="13">
        <v>44607</v>
      </c>
      <c r="AD1896" s="13">
        <v>44607</v>
      </c>
      <c r="AI1896">
        <v>-188</v>
      </c>
      <c r="AN1896" t="s">
        <v>31</v>
      </c>
      <c r="AO1896">
        <v>0</v>
      </c>
      <c r="AS1896" t="s">
        <v>385</v>
      </c>
      <c r="AX1896" t="s">
        <v>57</v>
      </c>
      <c r="AY1896" t="s">
        <v>386</v>
      </c>
      <c r="AZ1896" t="s">
        <v>721</v>
      </c>
      <c r="BF1896">
        <v>0</v>
      </c>
      <c r="BK1896" t="s">
        <v>31</v>
      </c>
      <c r="BS1896" t="s">
        <v>412</v>
      </c>
      <c r="CI1896" t="s">
        <v>388</v>
      </c>
      <c r="CJ1896" s="14">
        <v>45015</v>
      </c>
      <c r="CK1896">
        <v>1</v>
      </c>
    </row>
    <row r="1897" spans="1:89">
      <c r="A1897" t="s">
        <v>883</v>
      </c>
      <c r="B1897" t="s">
        <v>374</v>
      </c>
      <c r="C1897" t="s">
        <v>473</v>
      </c>
      <c r="D1897" t="s">
        <v>1043</v>
      </c>
      <c r="E1897" t="s">
        <v>1040</v>
      </c>
      <c r="F1897" s="13">
        <v>44795.503657407404</v>
      </c>
      <c r="G1897" t="s">
        <v>641</v>
      </c>
      <c r="H1897" t="s">
        <v>642</v>
      </c>
      <c r="I1897" s="13">
        <v>44795.503668981481</v>
      </c>
      <c r="K1897" t="s">
        <v>412</v>
      </c>
      <c r="M1897" s="13">
        <v>44607</v>
      </c>
      <c r="R1897">
        <v>0</v>
      </c>
      <c r="S1897" t="s">
        <v>380</v>
      </c>
      <c r="T1897" t="s">
        <v>57</v>
      </c>
      <c r="V1897" t="s">
        <v>381</v>
      </c>
      <c r="W1897" t="s">
        <v>886</v>
      </c>
      <c r="X1897" t="s">
        <v>886</v>
      </c>
      <c r="AC1897" s="13">
        <v>44607</v>
      </c>
      <c r="AD1897" s="13">
        <v>44607</v>
      </c>
      <c r="AI1897">
        <v>-188</v>
      </c>
      <c r="AN1897" t="s">
        <v>31</v>
      </c>
      <c r="AO1897">
        <v>0</v>
      </c>
      <c r="AS1897" t="s">
        <v>385</v>
      </c>
      <c r="AX1897" t="s">
        <v>57</v>
      </c>
      <c r="AY1897" t="s">
        <v>386</v>
      </c>
      <c r="AZ1897" t="s">
        <v>721</v>
      </c>
      <c r="BF1897">
        <v>0</v>
      </c>
      <c r="BK1897" t="s">
        <v>31</v>
      </c>
      <c r="BS1897" t="s">
        <v>412</v>
      </c>
      <c r="CI1897" t="s">
        <v>388</v>
      </c>
      <c r="CJ1897" s="14">
        <v>45015</v>
      </c>
      <c r="CK1897">
        <v>1</v>
      </c>
    </row>
    <row r="1898" spans="1:89">
      <c r="A1898" t="s">
        <v>895</v>
      </c>
      <c r="B1898" t="s">
        <v>374</v>
      </c>
      <c r="C1898" t="s">
        <v>896</v>
      </c>
      <c r="D1898" t="s">
        <v>1044</v>
      </c>
      <c r="E1898" t="s">
        <v>1045</v>
      </c>
      <c r="F1898" s="13">
        <v>44795.503634259258</v>
      </c>
      <c r="G1898" t="s">
        <v>641</v>
      </c>
      <c r="H1898" t="s">
        <v>642</v>
      </c>
      <c r="I1898" s="13">
        <v>44795.503645833334</v>
      </c>
      <c r="K1898" t="s">
        <v>412</v>
      </c>
      <c r="M1898" s="13">
        <v>44696</v>
      </c>
      <c r="R1898">
        <v>0</v>
      </c>
      <c r="S1898" t="s">
        <v>416</v>
      </c>
      <c r="T1898" t="s">
        <v>57</v>
      </c>
      <c r="V1898" t="s">
        <v>381</v>
      </c>
      <c r="W1898" t="s">
        <v>899</v>
      </c>
      <c r="X1898" t="s">
        <v>899</v>
      </c>
      <c r="AC1898" s="13">
        <v>44696</v>
      </c>
      <c r="AD1898" s="13">
        <v>44696</v>
      </c>
      <c r="AI1898">
        <v>-99</v>
      </c>
      <c r="AN1898" t="s">
        <v>31</v>
      </c>
      <c r="AO1898">
        <v>0</v>
      </c>
      <c r="AS1898" t="s">
        <v>385</v>
      </c>
      <c r="AX1898" t="s">
        <v>57</v>
      </c>
      <c r="AY1898" t="s">
        <v>386</v>
      </c>
      <c r="AZ1898" t="s">
        <v>721</v>
      </c>
      <c r="BF1898">
        <v>0</v>
      </c>
      <c r="BK1898" t="s">
        <v>31</v>
      </c>
      <c r="BS1898" t="s">
        <v>412</v>
      </c>
      <c r="CI1898" t="s">
        <v>388</v>
      </c>
      <c r="CJ1898" s="14">
        <v>45015</v>
      </c>
      <c r="CK1898">
        <v>1</v>
      </c>
    </row>
    <row r="1899" spans="1:89">
      <c r="A1899" t="s">
        <v>895</v>
      </c>
      <c r="B1899" t="s">
        <v>374</v>
      </c>
      <c r="C1899" t="s">
        <v>896</v>
      </c>
      <c r="D1899" t="s">
        <v>1046</v>
      </c>
      <c r="E1899" t="s">
        <v>1047</v>
      </c>
      <c r="F1899" s="13">
        <v>44795.503611111111</v>
      </c>
      <c r="G1899" t="s">
        <v>641</v>
      </c>
      <c r="H1899" t="s">
        <v>642</v>
      </c>
      <c r="I1899" s="13">
        <v>44795.503622685188</v>
      </c>
      <c r="K1899" t="s">
        <v>412</v>
      </c>
      <c r="M1899" s="13">
        <v>44696</v>
      </c>
      <c r="R1899">
        <v>0</v>
      </c>
      <c r="S1899" t="s">
        <v>380</v>
      </c>
      <c r="T1899" t="s">
        <v>57</v>
      </c>
      <c r="V1899" t="s">
        <v>381</v>
      </c>
      <c r="W1899" t="s">
        <v>899</v>
      </c>
      <c r="X1899" t="s">
        <v>899</v>
      </c>
      <c r="AC1899" s="13">
        <v>44696</v>
      </c>
      <c r="AD1899" s="13">
        <v>44696</v>
      </c>
      <c r="AI1899">
        <v>-99</v>
      </c>
      <c r="AN1899" t="s">
        <v>31</v>
      </c>
      <c r="AO1899">
        <v>0</v>
      </c>
      <c r="AS1899" t="s">
        <v>385</v>
      </c>
      <c r="AX1899" t="s">
        <v>57</v>
      </c>
      <c r="AY1899" t="s">
        <v>386</v>
      </c>
      <c r="AZ1899" t="s">
        <v>745</v>
      </c>
      <c r="BF1899">
        <v>0</v>
      </c>
      <c r="BK1899" t="s">
        <v>31</v>
      </c>
      <c r="BS1899" t="s">
        <v>412</v>
      </c>
      <c r="CI1899" t="s">
        <v>388</v>
      </c>
      <c r="CJ1899" s="14">
        <v>45015</v>
      </c>
      <c r="CK1899">
        <v>1</v>
      </c>
    </row>
    <row r="1900" spans="1:89">
      <c r="A1900" t="s">
        <v>895</v>
      </c>
      <c r="B1900" t="s">
        <v>374</v>
      </c>
      <c r="C1900" t="s">
        <v>896</v>
      </c>
      <c r="D1900" t="s">
        <v>1048</v>
      </c>
      <c r="E1900" t="s">
        <v>1049</v>
      </c>
      <c r="F1900" s="13">
        <v>44795.503587962965</v>
      </c>
      <c r="G1900" t="s">
        <v>641</v>
      </c>
      <c r="H1900" t="s">
        <v>642</v>
      </c>
      <c r="I1900" s="13">
        <v>44795.503599537034</v>
      </c>
      <c r="K1900" t="s">
        <v>412</v>
      </c>
      <c r="M1900" s="13">
        <v>44607</v>
      </c>
      <c r="R1900">
        <v>0</v>
      </c>
      <c r="S1900" t="s">
        <v>416</v>
      </c>
      <c r="T1900" t="s">
        <v>57</v>
      </c>
      <c r="V1900" t="s">
        <v>381</v>
      </c>
      <c r="W1900" t="s">
        <v>899</v>
      </c>
      <c r="X1900" t="s">
        <v>899</v>
      </c>
      <c r="AC1900" s="13">
        <v>44607</v>
      </c>
      <c r="AD1900" s="13">
        <v>44607</v>
      </c>
      <c r="AI1900">
        <v>-188</v>
      </c>
      <c r="AN1900" t="s">
        <v>31</v>
      </c>
      <c r="AO1900">
        <v>0</v>
      </c>
      <c r="AS1900" t="s">
        <v>385</v>
      </c>
      <c r="AX1900" t="s">
        <v>57</v>
      </c>
      <c r="AY1900" t="s">
        <v>386</v>
      </c>
      <c r="AZ1900" t="s">
        <v>721</v>
      </c>
      <c r="BF1900">
        <v>0</v>
      </c>
      <c r="BK1900" t="s">
        <v>31</v>
      </c>
      <c r="BS1900" t="s">
        <v>412</v>
      </c>
      <c r="CI1900" t="s">
        <v>388</v>
      </c>
      <c r="CJ1900" s="14">
        <v>45015</v>
      </c>
      <c r="CK1900">
        <v>1</v>
      </c>
    </row>
    <row r="1901" spans="1:89">
      <c r="A1901" t="s">
        <v>895</v>
      </c>
      <c r="B1901" t="s">
        <v>374</v>
      </c>
      <c r="C1901" t="s">
        <v>896</v>
      </c>
      <c r="D1901" t="s">
        <v>1050</v>
      </c>
      <c r="E1901" t="s">
        <v>1051</v>
      </c>
      <c r="F1901" s="13">
        <v>44795.503564814811</v>
      </c>
      <c r="G1901" t="s">
        <v>641</v>
      </c>
      <c r="H1901" t="s">
        <v>642</v>
      </c>
      <c r="I1901" s="13">
        <v>44795.503576388888</v>
      </c>
      <c r="K1901" t="s">
        <v>412</v>
      </c>
      <c r="M1901" s="13">
        <v>44607</v>
      </c>
      <c r="R1901">
        <v>0</v>
      </c>
      <c r="S1901" t="s">
        <v>416</v>
      </c>
      <c r="T1901" t="s">
        <v>57</v>
      </c>
      <c r="V1901" t="s">
        <v>381</v>
      </c>
      <c r="W1901" t="s">
        <v>899</v>
      </c>
      <c r="X1901" t="s">
        <v>899</v>
      </c>
      <c r="AC1901" s="13">
        <v>44607</v>
      </c>
      <c r="AD1901" s="13">
        <v>44607</v>
      </c>
      <c r="AI1901">
        <v>-188</v>
      </c>
      <c r="AN1901" t="s">
        <v>31</v>
      </c>
      <c r="AO1901">
        <v>0</v>
      </c>
      <c r="AS1901" t="s">
        <v>385</v>
      </c>
      <c r="AX1901" t="s">
        <v>57</v>
      </c>
      <c r="AY1901" t="s">
        <v>386</v>
      </c>
      <c r="AZ1901" t="s">
        <v>721</v>
      </c>
      <c r="BF1901">
        <v>0</v>
      </c>
      <c r="BK1901" t="s">
        <v>31</v>
      </c>
      <c r="BS1901" t="s">
        <v>412</v>
      </c>
      <c r="CI1901" t="s">
        <v>388</v>
      </c>
      <c r="CJ1901" s="14">
        <v>45015</v>
      </c>
      <c r="CK1901">
        <v>1</v>
      </c>
    </row>
    <row r="1902" spans="1:89">
      <c r="A1902" t="s">
        <v>895</v>
      </c>
      <c r="B1902" t="s">
        <v>374</v>
      </c>
      <c r="C1902" t="s">
        <v>896</v>
      </c>
      <c r="D1902" t="s">
        <v>1052</v>
      </c>
      <c r="E1902" t="s">
        <v>1053</v>
      </c>
      <c r="F1902" s="13">
        <v>44795.503541666665</v>
      </c>
      <c r="G1902" t="s">
        <v>641</v>
      </c>
      <c r="H1902" t="s">
        <v>642</v>
      </c>
      <c r="I1902" s="13">
        <v>44795.503553240742</v>
      </c>
      <c r="K1902" t="s">
        <v>412</v>
      </c>
      <c r="M1902" s="13">
        <v>44607</v>
      </c>
      <c r="R1902">
        <v>0</v>
      </c>
      <c r="S1902" t="s">
        <v>416</v>
      </c>
      <c r="T1902" t="s">
        <v>57</v>
      </c>
      <c r="V1902" t="s">
        <v>381</v>
      </c>
      <c r="W1902" t="s">
        <v>899</v>
      </c>
      <c r="X1902" t="s">
        <v>899</v>
      </c>
      <c r="AC1902" s="13">
        <v>44607</v>
      </c>
      <c r="AD1902" s="13">
        <v>44607</v>
      </c>
      <c r="AI1902">
        <v>-188</v>
      </c>
      <c r="AN1902" t="s">
        <v>31</v>
      </c>
      <c r="AO1902">
        <v>0</v>
      </c>
      <c r="AS1902" t="s">
        <v>385</v>
      </c>
      <c r="AX1902" t="s">
        <v>57</v>
      </c>
      <c r="AY1902" t="s">
        <v>386</v>
      </c>
      <c r="AZ1902" t="s">
        <v>721</v>
      </c>
      <c r="BF1902">
        <v>0</v>
      </c>
      <c r="BK1902" t="s">
        <v>31</v>
      </c>
      <c r="BS1902" t="s">
        <v>412</v>
      </c>
      <c r="CI1902" t="s">
        <v>388</v>
      </c>
      <c r="CJ1902" s="14">
        <v>45015</v>
      </c>
      <c r="CK1902">
        <v>1</v>
      </c>
    </row>
    <row r="1903" spans="1:89">
      <c r="A1903" t="s">
        <v>902</v>
      </c>
      <c r="B1903" t="s">
        <v>374</v>
      </c>
      <c r="C1903" t="s">
        <v>903</v>
      </c>
      <c r="D1903" t="s">
        <v>1054</v>
      </c>
      <c r="E1903" t="s">
        <v>1055</v>
      </c>
      <c r="F1903" s="13">
        <v>44795.503518518519</v>
      </c>
      <c r="G1903" t="s">
        <v>641</v>
      </c>
      <c r="H1903" t="s">
        <v>642</v>
      </c>
      <c r="I1903" s="13">
        <v>44795.503530092596</v>
      </c>
      <c r="K1903" t="s">
        <v>412</v>
      </c>
      <c r="M1903" s="13">
        <v>44635</v>
      </c>
      <c r="R1903">
        <v>0</v>
      </c>
      <c r="S1903" t="s">
        <v>380</v>
      </c>
      <c r="T1903" t="s">
        <v>57</v>
      </c>
      <c r="V1903" t="s">
        <v>381</v>
      </c>
      <c r="W1903" t="s">
        <v>1056</v>
      </c>
      <c r="X1903" t="s">
        <v>1056</v>
      </c>
      <c r="AC1903" s="13">
        <v>44635</v>
      </c>
      <c r="AD1903" s="13">
        <v>44635</v>
      </c>
      <c r="AI1903">
        <v>-160</v>
      </c>
      <c r="AN1903" t="s">
        <v>31</v>
      </c>
      <c r="AO1903">
        <v>0</v>
      </c>
      <c r="AS1903" t="s">
        <v>385</v>
      </c>
      <c r="AX1903" t="s">
        <v>57</v>
      </c>
      <c r="AY1903" t="s">
        <v>386</v>
      </c>
      <c r="AZ1903" t="s">
        <v>721</v>
      </c>
      <c r="BF1903">
        <v>0</v>
      </c>
      <c r="BK1903" t="s">
        <v>31</v>
      </c>
      <c r="BS1903" t="s">
        <v>412</v>
      </c>
      <c r="CI1903" t="s">
        <v>388</v>
      </c>
      <c r="CJ1903" s="14">
        <v>45015</v>
      </c>
      <c r="CK1903">
        <v>1</v>
      </c>
    </row>
    <row r="1904" spans="1:89">
      <c r="A1904" t="s">
        <v>902</v>
      </c>
      <c r="B1904" t="s">
        <v>374</v>
      </c>
      <c r="C1904" t="s">
        <v>903</v>
      </c>
      <c r="D1904" t="s">
        <v>1057</v>
      </c>
      <c r="E1904" t="s">
        <v>1058</v>
      </c>
      <c r="F1904" s="13">
        <v>44795.503495370373</v>
      </c>
      <c r="G1904" t="s">
        <v>641</v>
      </c>
      <c r="H1904" t="s">
        <v>642</v>
      </c>
      <c r="I1904" s="13">
        <v>44795.503506944442</v>
      </c>
      <c r="K1904" t="s">
        <v>412</v>
      </c>
      <c r="M1904" s="13">
        <v>44681</v>
      </c>
      <c r="R1904">
        <v>0</v>
      </c>
      <c r="S1904" t="s">
        <v>380</v>
      </c>
      <c r="T1904" t="s">
        <v>57</v>
      </c>
      <c r="V1904" t="s">
        <v>381</v>
      </c>
      <c r="W1904" t="s">
        <v>1059</v>
      </c>
      <c r="X1904" t="s">
        <v>1059</v>
      </c>
      <c r="AC1904" s="13">
        <v>44681</v>
      </c>
      <c r="AD1904" s="13">
        <v>44681</v>
      </c>
      <c r="AI1904">
        <v>-114</v>
      </c>
      <c r="AN1904" t="s">
        <v>31</v>
      </c>
      <c r="AO1904">
        <v>0</v>
      </c>
      <c r="AS1904" t="s">
        <v>385</v>
      </c>
      <c r="AX1904" t="s">
        <v>57</v>
      </c>
      <c r="AY1904" t="s">
        <v>386</v>
      </c>
      <c r="AZ1904" t="s">
        <v>745</v>
      </c>
      <c r="BF1904">
        <v>0</v>
      </c>
      <c r="BK1904" t="s">
        <v>31</v>
      </c>
      <c r="BS1904" t="s">
        <v>412</v>
      </c>
      <c r="CI1904" t="s">
        <v>388</v>
      </c>
      <c r="CJ1904" s="14">
        <v>45015</v>
      </c>
      <c r="CK1904">
        <v>1</v>
      </c>
    </row>
    <row r="1905" spans="1:89">
      <c r="A1905" t="s">
        <v>902</v>
      </c>
      <c r="B1905" t="s">
        <v>374</v>
      </c>
      <c r="C1905" t="s">
        <v>903</v>
      </c>
      <c r="D1905" t="s">
        <v>1060</v>
      </c>
      <c r="E1905" t="s">
        <v>1061</v>
      </c>
      <c r="F1905" s="13">
        <v>44795.503483796296</v>
      </c>
      <c r="G1905" t="s">
        <v>641</v>
      </c>
      <c r="H1905" t="s">
        <v>642</v>
      </c>
      <c r="I1905" s="13">
        <v>44795.503495370373</v>
      </c>
      <c r="K1905" t="s">
        <v>412</v>
      </c>
      <c r="M1905" s="13">
        <v>44620</v>
      </c>
      <c r="R1905">
        <v>0</v>
      </c>
      <c r="S1905" t="s">
        <v>380</v>
      </c>
      <c r="T1905" t="s">
        <v>57</v>
      </c>
      <c r="V1905" t="s">
        <v>381</v>
      </c>
      <c r="W1905" t="s">
        <v>1059</v>
      </c>
      <c r="X1905" t="s">
        <v>1059</v>
      </c>
      <c r="AC1905" s="13">
        <v>44620</v>
      </c>
      <c r="AD1905" s="13">
        <v>44620</v>
      </c>
      <c r="AI1905">
        <v>-175</v>
      </c>
      <c r="AN1905" t="s">
        <v>31</v>
      </c>
      <c r="AO1905">
        <v>0</v>
      </c>
      <c r="AS1905" t="s">
        <v>385</v>
      </c>
      <c r="AX1905" t="s">
        <v>57</v>
      </c>
      <c r="AY1905" t="s">
        <v>386</v>
      </c>
      <c r="AZ1905" t="s">
        <v>721</v>
      </c>
      <c r="BF1905">
        <v>0</v>
      </c>
      <c r="BK1905" t="s">
        <v>31</v>
      </c>
      <c r="BS1905" t="s">
        <v>412</v>
      </c>
      <c r="CI1905" t="s">
        <v>388</v>
      </c>
      <c r="CJ1905" s="14">
        <v>45015</v>
      </c>
      <c r="CK1905">
        <v>1</v>
      </c>
    </row>
    <row r="1906" spans="1:89">
      <c r="A1906" t="s">
        <v>1062</v>
      </c>
      <c r="B1906" t="s">
        <v>374</v>
      </c>
      <c r="C1906" t="s">
        <v>1063</v>
      </c>
      <c r="D1906" t="s">
        <v>1064</v>
      </c>
      <c r="E1906" t="s">
        <v>1065</v>
      </c>
      <c r="F1906" s="13">
        <v>44795.503460648149</v>
      </c>
      <c r="G1906" t="s">
        <v>641</v>
      </c>
      <c r="H1906" t="s">
        <v>642</v>
      </c>
      <c r="I1906" s="13">
        <v>44795.503472222219</v>
      </c>
      <c r="K1906" t="s">
        <v>412</v>
      </c>
      <c r="M1906" s="13">
        <v>44607</v>
      </c>
      <c r="R1906">
        <v>0</v>
      </c>
      <c r="S1906" t="s">
        <v>380</v>
      </c>
      <c r="T1906" t="s">
        <v>57</v>
      </c>
      <c r="V1906" t="s">
        <v>381</v>
      </c>
      <c r="W1906" t="s">
        <v>1066</v>
      </c>
      <c r="X1906" t="s">
        <v>1066</v>
      </c>
      <c r="AC1906" s="13">
        <v>44607</v>
      </c>
      <c r="AD1906" s="13">
        <v>44607</v>
      </c>
      <c r="AI1906">
        <v>-188</v>
      </c>
      <c r="AN1906" t="s">
        <v>31</v>
      </c>
      <c r="AO1906">
        <v>0</v>
      </c>
      <c r="AS1906" t="s">
        <v>730</v>
      </c>
      <c r="AX1906" t="s">
        <v>57</v>
      </c>
      <c r="AY1906" t="s">
        <v>386</v>
      </c>
      <c r="AZ1906" t="s">
        <v>721</v>
      </c>
      <c r="BF1906">
        <v>0</v>
      </c>
      <c r="BK1906" t="s">
        <v>31</v>
      </c>
      <c r="BS1906" t="s">
        <v>412</v>
      </c>
      <c r="CI1906" t="s">
        <v>388</v>
      </c>
      <c r="CJ1906" s="14">
        <v>45015</v>
      </c>
      <c r="CK1906">
        <v>1</v>
      </c>
    </row>
    <row r="1907" spans="1:89">
      <c r="A1907" t="s">
        <v>883</v>
      </c>
      <c r="B1907" t="s">
        <v>374</v>
      </c>
      <c r="C1907" t="s">
        <v>473</v>
      </c>
      <c r="D1907" t="s">
        <v>1067</v>
      </c>
      <c r="E1907" t="s">
        <v>1068</v>
      </c>
      <c r="F1907" s="13">
        <v>44795.503437500003</v>
      </c>
      <c r="G1907" t="s">
        <v>641</v>
      </c>
      <c r="H1907" t="s">
        <v>642</v>
      </c>
      <c r="I1907" s="13">
        <v>44795.503449074073</v>
      </c>
      <c r="K1907" t="s">
        <v>412</v>
      </c>
      <c r="M1907" s="13">
        <v>44645</v>
      </c>
      <c r="R1907">
        <v>0</v>
      </c>
      <c r="S1907" t="s">
        <v>380</v>
      </c>
      <c r="T1907" t="s">
        <v>57</v>
      </c>
      <c r="V1907" t="s">
        <v>381</v>
      </c>
      <c r="W1907" t="s">
        <v>1069</v>
      </c>
      <c r="X1907" t="s">
        <v>1069</v>
      </c>
      <c r="AC1907" s="13">
        <v>44645</v>
      </c>
      <c r="AD1907" s="13">
        <v>44645</v>
      </c>
      <c r="AI1907">
        <v>-150</v>
      </c>
      <c r="AN1907" t="s">
        <v>31</v>
      </c>
      <c r="AO1907">
        <v>0</v>
      </c>
      <c r="AS1907" t="s">
        <v>385</v>
      </c>
      <c r="AX1907" t="s">
        <v>57</v>
      </c>
      <c r="AY1907" t="s">
        <v>386</v>
      </c>
      <c r="AZ1907" t="s">
        <v>721</v>
      </c>
      <c r="BF1907">
        <v>0</v>
      </c>
      <c r="BK1907" t="s">
        <v>31</v>
      </c>
      <c r="BS1907" t="s">
        <v>412</v>
      </c>
      <c r="CI1907" t="s">
        <v>388</v>
      </c>
      <c r="CJ1907" s="14">
        <v>45015</v>
      </c>
      <c r="CK1907">
        <v>1</v>
      </c>
    </row>
    <row r="1908" spans="1:89">
      <c r="A1908" t="s">
        <v>883</v>
      </c>
      <c r="B1908" t="s">
        <v>374</v>
      </c>
      <c r="C1908" t="s">
        <v>473</v>
      </c>
      <c r="D1908" t="s">
        <v>1070</v>
      </c>
      <c r="E1908" t="s">
        <v>1071</v>
      </c>
      <c r="F1908" s="13">
        <v>44795.50341435185</v>
      </c>
      <c r="G1908" t="s">
        <v>641</v>
      </c>
      <c r="H1908" t="s">
        <v>642</v>
      </c>
      <c r="I1908" s="13">
        <v>44795.503425925926</v>
      </c>
      <c r="K1908" t="s">
        <v>412</v>
      </c>
      <c r="M1908" s="13">
        <v>44671</v>
      </c>
      <c r="R1908">
        <v>0</v>
      </c>
      <c r="S1908" t="s">
        <v>416</v>
      </c>
      <c r="T1908" t="s">
        <v>57</v>
      </c>
      <c r="V1908" t="s">
        <v>381</v>
      </c>
      <c r="W1908" t="s">
        <v>1069</v>
      </c>
      <c r="X1908" t="s">
        <v>1069</v>
      </c>
      <c r="AC1908" s="13">
        <v>44671</v>
      </c>
      <c r="AD1908" s="13">
        <v>44671</v>
      </c>
      <c r="AI1908">
        <v>-124</v>
      </c>
      <c r="AN1908" t="s">
        <v>31</v>
      </c>
      <c r="AO1908">
        <v>0</v>
      </c>
      <c r="AS1908" t="s">
        <v>385</v>
      </c>
      <c r="AX1908" t="s">
        <v>57</v>
      </c>
      <c r="AY1908" t="s">
        <v>386</v>
      </c>
      <c r="AZ1908" t="s">
        <v>721</v>
      </c>
      <c r="BF1908">
        <v>0</v>
      </c>
      <c r="BK1908" t="s">
        <v>31</v>
      </c>
      <c r="BS1908" t="s">
        <v>412</v>
      </c>
      <c r="CI1908" t="s">
        <v>388</v>
      </c>
      <c r="CJ1908" s="14">
        <v>45015</v>
      </c>
      <c r="CK1908">
        <v>1</v>
      </c>
    </row>
    <row r="1909" spans="1:89">
      <c r="A1909" t="s">
        <v>895</v>
      </c>
      <c r="B1909" t="s">
        <v>374</v>
      </c>
      <c r="C1909" t="s">
        <v>896</v>
      </c>
      <c r="D1909" t="s">
        <v>1072</v>
      </c>
      <c r="E1909" t="s">
        <v>1073</v>
      </c>
      <c r="F1909" s="13">
        <v>44795.503391203703</v>
      </c>
      <c r="G1909" t="s">
        <v>641</v>
      </c>
      <c r="H1909" t="s">
        <v>642</v>
      </c>
      <c r="I1909" s="13">
        <v>44795.50340277778</v>
      </c>
      <c r="K1909" t="s">
        <v>412</v>
      </c>
      <c r="M1909" s="13">
        <v>44609</v>
      </c>
      <c r="R1909">
        <v>0</v>
      </c>
      <c r="S1909" t="s">
        <v>380</v>
      </c>
      <c r="T1909" t="s">
        <v>57</v>
      </c>
      <c r="V1909" t="s">
        <v>381</v>
      </c>
      <c r="W1909" t="s">
        <v>855</v>
      </c>
      <c r="X1909" t="s">
        <v>855</v>
      </c>
      <c r="AC1909" s="13">
        <v>44609</v>
      </c>
      <c r="AD1909" s="13">
        <v>44609</v>
      </c>
      <c r="AI1909">
        <v>-186</v>
      </c>
      <c r="AN1909" t="s">
        <v>31</v>
      </c>
      <c r="AO1909">
        <v>0</v>
      </c>
      <c r="AS1909" t="s">
        <v>385</v>
      </c>
      <c r="AX1909" t="s">
        <v>57</v>
      </c>
      <c r="AY1909" t="s">
        <v>386</v>
      </c>
      <c r="AZ1909" t="s">
        <v>721</v>
      </c>
      <c r="BF1909">
        <v>0</v>
      </c>
      <c r="BK1909" t="s">
        <v>31</v>
      </c>
      <c r="BS1909" t="s">
        <v>412</v>
      </c>
      <c r="CI1909" t="s">
        <v>388</v>
      </c>
      <c r="CJ1909" s="14">
        <v>45015</v>
      </c>
      <c r="CK1909">
        <v>1</v>
      </c>
    </row>
    <row r="1910" spans="1:89">
      <c r="A1910" t="s">
        <v>902</v>
      </c>
      <c r="B1910" t="s">
        <v>374</v>
      </c>
      <c r="C1910" t="s">
        <v>903</v>
      </c>
      <c r="D1910" t="s">
        <v>1074</v>
      </c>
      <c r="E1910" t="s">
        <v>1075</v>
      </c>
      <c r="F1910" s="13">
        <v>44795.503368055557</v>
      </c>
      <c r="G1910" t="s">
        <v>641</v>
      </c>
      <c r="H1910" t="s">
        <v>642</v>
      </c>
      <c r="I1910" s="13">
        <v>44795.503379629627</v>
      </c>
      <c r="K1910" t="s">
        <v>412</v>
      </c>
      <c r="M1910" s="13">
        <v>44635</v>
      </c>
      <c r="R1910">
        <v>0</v>
      </c>
      <c r="S1910" t="s">
        <v>380</v>
      </c>
      <c r="T1910" t="s">
        <v>57</v>
      </c>
      <c r="V1910" t="s">
        <v>381</v>
      </c>
      <c r="W1910" t="s">
        <v>1076</v>
      </c>
      <c r="X1910" t="s">
        <v>1076</v>
      </c>
      <c r="AC1910" s="13">
        <v>44635</v>
      </c>
      <c r="AD1910" s="13">
        <v>44635</v>
      </c>
      <c r="AI1910">
        <v>-160</v>
      </c>
      <c r="AN1910" t="s">
        <v>31</v>
      </c>
      <c r="AO1910">
        <v>0</v>
      </c>
      <c r="AS1910" t="s">
        <v>385</v>
      </c>
      <c r="AX1910" t="s">
        <v>57</v>
      </c>
      <c r="AY1910" t="s">
        <v>386</v>
      </c>
      <c r="AZ1910" t="s">
        <v>721</v>
      </c>
      <c r="BF1910">
        <v>0</v>
      </c>
      <c r="BK1910" t="s">
        <v>31</v>
      </c>
      <c r="BS1910" t="s">
        <v>412</v>
      </c>
      <c r="CI1910" t="s">
        <v>388</v>
      </c>
      <c r="CJ1910" s="14">
        <v>45015</v>
      </c>
      <c r="CK1910">
        <v>1</v>
      </c>
    </row>
    <row r="1911" spans="1:89">
      <c r="A1911" t="s">
        <v>902</v>
      </c>
      <c r="B1911" t="s">
        <v>374</v>
      </c>
      <c r="C1911" t="s">
        <v>903</v>
      </c>
      <c r="D1911" t="s">
        <v>1077</v>
      </c>
      <c r="E1911" t="s">
        <v>1078</v>
      </c>
      <c r="F1911" s="13">
        <v>44795.50335648148</v>
      </c>
      <c r="G1911" t="s">
        <v>641</v>
      </c>
      <c r="H1911" t="s">
        <v>642</v>
      </c>
      <c r="I1911" s="13">
        <v>44795.503368055557</v>
      </c>
      <c r="K1911" t="s">
        <v>412</v>
      </c>
      <c r="M1911" s="13">
        <v>44607</v>
      </c>
      <c r="R1911">
        <v>0</v>
      </c>
      <c r="S1911" t="s">
        <v>380</v>
      </c>
      <c r="T1911" t="s">
        <v>57</v>
      </c>
      <c r="V1911" t="s">
        <v>381</v>
      </c>
      <c r="W1911" t="s">
        <v>938</v>
      </c>
      <c r="X1911" t="s">
        <v>938</v>
      </c>
      <c r="AC1911" s="13">
        <v>44607</v>
      </c>
      <c r="AD1911" s="13">
        <v>44607</v>
      </c>
      <c r="AI1911">
        <v>-188</v>
      </c>
      <c r="AN1911" t="s">
        <v>31</v>
      </c>
      <c r="AO1911">
        <v>0</v>
      </c>
      <c r="AS1911" t="s">
        <v>385</v>
      </c>
      <c r="AX1911" t="s">
        <v>57</v>
      </c>
      <c r="AY1911" t="s">
        <v>386</v>
      </c>
      <c r="AZ1911" t="s">
        <v>721</v>
      </c>
      <c r="BF1911">
        <v>0</v>
      </c>
      <c r="BK1911" t="s">
        <v>31</v>
      </c>
      <c r="BS1911" t="s">
        <v>412</v>
      </c>
      <c r="CI1911" t="s">
        <v>388</v>
      </c>
      <c r="CJ1911" s="14">
        <v>45015</v>
      </c>
      <c r="CK1911">
        <v>1</v>
      </c>
    </row>
    <row r="1912" spans="1:89">
      <c r="A1912" t="s">
        <v>1062</v>
      </c>
      <c r="B1912" t="s">
        <v>374</v>
      </c>
      <c r="C1912" t="s">
        <v>1063</v>
      </c>
      <c r="D1912" t="s">
        <v>1079</v>
      </c>
      <c r="E1912" t="s">
        <v>1080</v>
      </c>
      <c r="F1912" s="13">
        <v>44795.503333333334</v>
      </c>
      <c r="G1912" t="s">
        <v>641</v>
      </c>
      <c r="H1912" t="s">
        <v>642</v>
      </c>
      <c r="I1912" s="13">
        <v>44795.503344907411</v>
      </c>
      <c r="K1912" t="s">
        <v>412</v>
      </c>
      <c r="M1912" s="13">
        <v>44609</v>
      </c>
      <c r="R1912">
        <v>0</v>
      </c>
      <c r="S1912" t="s">
        <v>416</v>
      </c>
      <c r="T1912" t="s">
        <v>57</v>
      </c>
      <c r="V1912" t="s">
        <v>381</v>
      </c>
      <c r="W1912" t="s">
        <v>1081</v>
      </c>
      <c r="X1912" t="s">
        <v>1081</v>
      </c>
      <c r="AC1912" s="13">
        <v>44609</v>
      </c>
      <c r="AD1912" s="13">
        <v>44609</v>
      </c>
      <c r="AI1912">
        <v>-186</v>
      </c>
      <c r="AN1912" t="s">
        <v>31</v>
      </c>
      <c r="AO1912">
        <v>0</v>
      </c>
      <c r="AS1912" t="s">
        <v>385</v>
      </c>
      <c r="AX1912" t="s">
        <v>57</v>
      </c>
      <c r="AY1912" t="s">
        <v>386</v>
      </c>
      <c r="AZ1912" t="s">
        <v>721</v>
      </c>
      <c r="BF1912">
        <v>0</v>
      </c>
      <c r="BK1912" t="s">
        <v>31</v>
      </c>
      <c r="BS1912" t="s">
        <v>412</v>
      </c>
      <c r="CI1912" t="s">
        <v>388</v>
      </c>
      <c r="CJ1912" s="14">
        <v>45015</v>
      </c>
      <c r="CK1912">
        <v>1</v>
      </c>
    </row>
    <row r="1913" spans="1:89">
      <c r="A1913" t="s">
        <v>1082</v>
      </c>
      <c r="B1913" t="s">
        <v>374</v>
      </c>
      <c r="C1913" t="s">
        <v>1083</v>
      </c>
      <c r="D1913" t="s">
        <v>1084</v>
      </c>
      <c r="E1913" t="s">
        <v>1085</v>
      </c>
      <c r="F1913" s="13">
        <v>44795.503310185188</v>
      </c>
      <c r="G1913" t="s">
        <v>641</v>
      </c>
      <c r="H1913" t="s">
        <v>642</v>
      </c>
      <c r="I1913" s="13">
        <v>44795.503321759257</v>
      </c>
      <c r="K1913" t="s">
        <v>412</v>
      </c>
      <c r="M1913" s="13">
        <v>44666</v>
      </c>
      <c r="R1913">
        <v>0</v>
      </c>
      <c r="S1913" t="s">
        <v>380</v>
      </c>
      <c r="T1913" t="s">
        <v>57</v>
      </c>
      <c r="V1913" t="s">
        <v>381</v>
      </c>
      <c r="W1913" t="s">
        <v>1086</v>
      </c>
      <c r="X1913" t="s">
        <v>1086</v>
      </c>
      <c r="AC1913" s="13">
        <v>44666</v>
      </c>
      <c r="AD1913" s="13">
        <v>44666</v>
      </c>
      <c r="AI1913">
        <v>-129</v>
      </c>
      <c r="AN1913" t="s">
        <v>31</v>
      </c>
      <c r="AO1913">
        <v>0</v>
      </c>
      <c r="AS1913" t="s">
        <v>461</v>
      </c>
      <c r="AX1913" t="s">
        <v>57</v>
      </c>
      <c r="AY1913" t="s">
        <v>386</v>
      </c>
      <c r="AZ1913" t="s">
        <v>721</v>
      </c>
      <c r="BF1913">
        <v>0</v>
      </c>
      <c r="BK1913" t="s">
        <v>31</v>
      </c>
      <c r="BS1913" t="s">
        <v>412</v>
      </c>
      <c r="CI1913" t="s">
        <v>388</v>
      </c>
      <c r="CJ1913" s="14">
        <v>45015</v>
      </c>
      <c r="CK1913">
        <v>1</v>
      </c>
    </row>
    <row r="1914" spans="1:89">
      <c r="A1914" t="s">
        <v>849</v>
      </c>
      <c r="B1914" t="s">
        <v>374</v>
      </c>
      <c r="C1914" t="s">
        <v>850</v>
      </c>
      <c r="D1914" t="s">
        <v>1087</v>
      </c>
      <c r="E1914" t="s">
        <v>1088</v>
      </c>
      <c r="F1914" s="13">
        <v>44795.503287037034</v>
      </c>
      <c r="G1914" t="s">
        <v>641</v>
      </c>
      <c r="H1914" t="s">
        <v>642</v>
      </c>
      <c r="I1914" s="13">
        <v>44795.503298611111</v>
      </c>
      <c r="K1914" t="s">
        <v>412</v>
      </c>
      <c r="M1914" s="13">
        <v>44701</v>
      </c>
      <c r="R1914">
        <v>0</v>
      </c>
      <c r="S1914" t="s">
        <v>380</v>
      </c>
      <c r="T1914" t="s">
        <v>57</v>
      </c>
      <c r="V1914" t="s">
        <v>381</v>
      </c>
      <c r="W1914" t="s">
        <v>858</v>
      </c>
      <c r="X1914" t="s">
        <v>858</v>
      </c>
      <c r="AC1914" s="13">
        <v>44701</v>
      </c>
      <c r="AD1914" s="13">
        <v>44701</v>
      </c>
      <c r="AI1914">
        <v>-94</v>
      </c>
      <c r="AN1914" t="s">
        <v>31</v>
      </c>
      <c r="AO1914">
        <v>0</v>
      </c>
      <c r="AS1914" t="s">
        <v>385</v>
      </c>
      <c r="AX1914" t="s">
        <v>31</v>
      </c>
      <c r="AY1914" t="s">
        <v>442</v>
      </c>
      <c r="AZ1914" t="s">
        <v>1089</v>
      </c>
      <c r="BF1914">
        <v>0</v>
      </c>
      <c r="BK1914" t="s">
        <v>31</v>
      </c>
      <c r="BS1914" t="s">
        <v>412</v>
      </c>
      <c r="CI1914" t="s">
        <v>388</v>
      </c>
      <c r="CJ1914" s="14">
        <v>45015</v>
      </c>
      <c r="CK1914">
        <v>1</v>
      </c>
    </row>
    <row r="1915" spans="1:89">
      <c r="A1915" t="s">
        <v>849</v>
      </c>
      <c r="B1915" t="s">
        <v>374</v>
      </c>
      <c r="C1915" t="s">
        <v>850</v>
      </c>
      <c r="D1915" t="s">
        <v>1090</v>
      </c>
      <c r="E1915" t="s">
        <v>1091</v>
      </c>
      <c r="F1915" s="13">
        <v>44795.503263888888</v>
      </c>
      <c r="G1915" t="s">
        <v>641</v>
      </c>
      <c r="H1915" t="s">
        <v>642</v>
      </c>
      <c r="I1915" s="13">
        <v>44795.503275462965</v>
      </c>
      <c r="K1915" t="s">
        <v>412</v>
      </c>
      <c r="M1915" s="13">
        <v>44635</v>
      </c>
      <c r="R1915">
        <v>0</v>
      </c>
      <c r="S1915" t="s">
        <v>380</v>
      </c>
      <c r="T1915" t="s">
        <v>57</v>
      </c>
      <c r="V1915" t="s">
        <v>381</v>
      </c>
      <c r="W1915" t="s">
        <v>1092</v>
      </c>
      <c r="X1915" t="s">
        <v>1092</v>
      </c>
      <c r="AC1915" s="13">
        <v>44635</v>
      </c>
      <c r="AD1915" s="13">
        <v>44635</v>
      </c>
      <c r="AI1915">
        <v>-160</v>
      </c>
      <c r="AN1915" t="s">
        <v>31</v>
      </c>
      <c r="AO1915">
        <v>0</v>
      </c>
      <c r="AS1915" t="s">
        <v>648</v>
      </c>
      <c r="AX1915" t="s">
        <v>31</v>
      </c>
      <c r="AY1915" t="s">
        <v>442</v>
      </c>
      <c r="AZ1915" t="s">
        <v>1093</v>
      </c>
      <c r="BF1915">
        <v>0</v>
      </c>
      <c r="BK1915" t="s">
        <v>31</v>
      </c>
      <c r="BS1915" t="s">
        <v>412</v>
      </c>
      <c r="CI1915" t="s">
        <v>388</v>
      </c>
      <c r="CJ1915" s="14">
        <v>45015</v>
      </c>
      <c r="CK1915">
        <v>1</v>
      </c>
    </row>
    <row r="1916" spans="1:89">
      <c r="A1916" t="s">
        <v>849</v>
      </c>
      <c r="B1916" t="s">
        <v>374</v>
      </c>
      <c r="C1916" t="s">
        <v>850</v>
      </c>
      <c r="D1916" t="s">
        <v>1094</v>
      </c>
      <c r="E1916" t="s">
        <v>1095</v>
      </c>
      <c r="F1916" s="13">
        <v>44795.503252314818</v>
      </c>
      <c r="G1916" t="s">
        <v>641</v>
      </c>
      <c r="H1916" t="s">
        <v>642</v>
      </c>
      <c r="I1916" s="13">
        <v>44795.503252314818</v>
      </c>
      <c r="K1916" t="s">
        <v>412</v>
      </c>
      <c r="M1916" s="13">
        <v>44666</v>
      </c>
      <c r="R1916">
        <v>0</v>
      </c>
      <c r="S1916" t="s">
        <v>380</v>
      </c>
      <c r="T1916" t="s">
        <v>57</v>
      </c>
      <c r="V1916" t="s">
        <v>381</v>
      </c>
      <c r="W1916" t="s">
        <v>1092</v>
      </c>
      <c r="X1916" t="s">
        <v>1092</v>
      </c>
      <c r="AC1916" s="13">
        <v>44666</v>
      </c>
      <c r="AD1916" s="13">
        <v>44666</v>
      </c>
      <c r="AI1916">
        <v>-129</v>
      </c>
      <c r="AN1916" t="s">
        <v>31</v>
      </c>
      <c r="AO1916">
        <v>0</v>
      </c>
      <c r="AS1916" t="s">
        <v>385</v>
      </c>
      <c r="AX1916" t="s">
        <v>31</v>
      </c>
      <c r="AY1916" t="s">
        <v>442</v>
      </c>
      <c r="AZ1916" t="s">
        <v>1093</v>
      </c>
      <c r="BF1916">
        <v>0</v>
      </c>
      <c r="BK1916" t="s">
        <v>31</v>
      </c>
      <c r="BS1916" t="s">
        <v>412</v>
      </c>
      <c r="CI1916" t="s">
        <v>388</v>
      </c>
      <c r="CJ1916" s="14">
        <v>45015</v>
      </c>
      <c r="CK1916">
        <v>1</v>
      </c>
    </row>
    <row r="1917" spans="1:89">
      <c r="A1917" t="s">
        <v>849</v>
      </c>
      <c r="B1917" t="s">
        <v>374</v>
      </c>
      <c r="C1917" t="s">
        <v>850</v>
      </c>
      <c r="D1917" t="s">
        <v>1096</v>
      </c>
      <c r="E1917" t="s">
        <v>1097</v>
      </c>
      <c r="F1917" s="13">
        <v>44795.503229166665</v>
      </c>
      <c r="G1917" t="s">
        <v>641</v>
      </c>
      <c r="H1917" t="s">
        <v>642</v>
      </c>
      <c r="I1917" s="13">
        <v>44795.503240740742</v>
      </c>
      <c r="K1917" t="s">
        <v>412</v>
      </c>
      <c r="M1917" s="13">
        <v>44651</v>
      </c>
      <c r="R1917">
        <v>0</v>
      </c>
      <c r="S1917" t="s">
        <v>380</v>
      </c>
      <c r="T1917" t="s">
        <v>57</v>
      </c>
      <c r="V1917" t="s">
        <v>381</v>
      </c>
      <c r="W1917" t="s">
        <v>858</v>
      </c>
      <c r="X1917" t="s">
        <v>858</v>
      </c>
      <c r="AC1917" s="13">
        <v>44651</v>
      </c>
      <c r="AD1917" s="13">
        <v>44651</v>
      </c>
      <c r="AI1917">
        <v>-144</v>
      </c>
      <c r="AN1917" t="s">
        <v>31</v>
      </c>
      <c r="AO1917">
        <v>0</v>
      </c>
      <c r="AS1917" t="s">
        <v>385</v>
      </c>
      <c r="AX1917" t="s">
        <v>31</v>
      </c>
      <c r="AY1917" t="s">
        <v>442</v>
      </c>
      <c r="AZ1917" t="s">
        <v>1098</v>
      </c>
      <c r="BF1917">
        <v>0</v>
      </c>
      <c r="BK1917" t="s">
        <v>31</v>
      </c>
      <c r="BS1917" t="s">
        <v>412</v>
      </c>
      <c r="CI1917" t="s">
        <v>388</v>
      </c>
      <c r="CJ1917" s="14">
        <v>45015</v>
      </c>
      <c r="CK1917">
        <v>1</v>
      </c>
    </row>
    <row r="1918" spans="1:89">
      <c r="A1918" t="s">
        <v>849</v>
      </c>
      <c r="B1918" t="s">
        <v>374</v>
      </c>
      <c r="C1918" t="s">
        <v>850</v>
      </c>
      <c r="D1918" t="s">
        <v>1099</v>
      </c>
      <c r="E1918" t="s">
        <v>1100</v>
      </c>
      <c r="F1918" s="13">
        <v>44795.503206018519</v>
      </c>
      <c r="G1918" t="s">
        <v>641</v>
      </c>
      <c r="H1918" t="s">
        <v>642</v>
      </c>
      <c r="I1918" s="13">
        <v>44795.503217592595</v>
      </c>
      <c r="K1918" t="s">
        <v>412</v>
      </c>
      <c r="M1918" s="13">
        <v>44651</v>
      </c>
      <c r="R1918">
        <v>0</v>
      </c>
      <c r="S1918" t="s">
        <v>380</v>
      </c>
      <c r="T1918" t="s">
        <v>57</v>
      </c>
      <c r="V1918" t="s">
        <v>381</v>
      </c>
      <c r="W1918" t="s">
        <v>1101</v>
      </c>
      <c r="X1918" t="s">
        <v>1101</v>
      </c>
      <c r="AC1918" s="13">
        <v>44651</v>
      </c>
      <c r="AD1918" s="13">
        <v>44651</v>
      </c>
      <c r="AI1918">
        <v>-144</v>
      </c>
      <c r="AN1918" t="s">
        <v>31</v>
      </c>
      <c r="AO1918">
        <v>0</v>
      </c>
      <c r="AS1918" t="s">
        <v>385</v>
      </c>
      <c r="AX1918" t="s">
        <v>31</v>
      </c>
      <c r="AY1918" t="s">
        <v>442</v>
      </c>
      <c r="AZ1918" t="s">
        <v>1102</v>
      </c>
      <c r="BF1918">
        <v>0</v>
      </c>
      <c r="BK1918" t="s">
        <v>31</v>
      </c>
      <c r="BS1918" t="s">
        <v>412</v>
      </c>
      <c r="CI1918" t="s">
        <v>388</v>
      </c>
      <c r="CJ1918" s="14">
        <v>45015</v>
      </c>
      <c r="CK1918">
        <v>1</v>
      </c>
    </row>
    <row r="1919" spans="1:89">
      <c r="A1919" t="s">
        <v>859</v>
      </c>
      <c r="B1919" t="s">
        <v>374</v>
      </c>
      <c r="C1919" t="s">
        <v>860</v>
      </c>
      <c r="D1919" t="s">
        <v>1103</v>
      </c>
      <c r="E1919" t="s">
        <v>1104</v>
      </c>
      <c r="F1919" s="13">
        <v>44795.503182870372</v>
      </c>
      <c r="G1919" t="s">
        <v>641</v>
      </c>
      <c r="H1919" t="s">
        <v>642</v>
      </c>
      <c r="I1919" s="13">
        <v>44795.503194444442</v>
      </c>
      <c r="K1919" t="s">
        <v>412</v>
      </c>
      <c r="M1919" s="13">
        <v>44591</v>
      </c>
      <c r="R1919">
        <v>0</v>
      </c>
      <c r="S1919" t="s">
        <v>380</v>
      </c>
      <c r="T1919" t="s">
        <v>57</v>
      </c>
      <c r="V1919" t="s">
        <v>381</v>
      </c>
      <c r="W1919" t="s">
        <v>1105</v>
      </c>
      <c r="X1919" t="s">
        <v>1105</v>
      </c>
      <c r="AC1919" s="13">
        <v>44592</v>
      </c>
      <c r="AD1919" s="13">
        <v>44592</v>
      </c>
      <c r="AI1919">
        <v>-204</v>
      </c>
      <c r="AN1919" t="s">
        <v>31</v>
      </c>
      <c r="AO1919">
        <v>0</v>
      </c>
      <c r="AS1919" t="s">
        <v>385</v>
      </c>
      <c r="AX1919" t="s">
        <v>31</v>
      </c>
      <c r="AY1919" t="s">
        <v>442</v>
      </c>
      <c r="AZ1919" t="s">
        <v>1106</v>
      </c>
      <c r="BF1919">
        <v>0</v>
      </c>
      <c r="BK1919" t="s">
        <v>31</v>
      </c>
      <c r="BS1919" t="s">
        <v>412</v>
      </c>
      <c r="CI1919" t="s">
        <v>388</v>
      </c>
      <c r="CJ1919" s="14">
        <v>45015</v>
      </c>
      <c r="CK1919">
        <v>1</v>
      </c>
    </row>
    <row r="1920" spans="1:89">
      <c r="A1920" t="s">
        <v>859</v>
      </c>
      <c r="B1920" t="s">
        <v>374</v>
      </c>
      <c r="C1920" t="s">
        <v>860</v>
      </c>
      <c r="D1920" t="s">
        <v>1107</v>
      </c>
      <c r="E1920" t="s">
        <v>1108</v>
      </c>
      <c r="F1920" s="13">
        <v>44795.503159722219</v>
      </c>
      <c r="G1920" t="s">
        <v>641</v>
      </c>
      <c r="H1920" t="s">
        <v>642</v>
      </c>
      <c r="I1920" s="13">
        <v>44795.503171296295</v>
      </c>
      <c r="K1920" t="s">
        <v>412</v>
      </c>
      <c r="M1920" s="13">
        <v>44591</v>
      </c>
      <c r="R1920">
        <v>0</v>
      </c>
      <c r="S1920" t="s">
        <v>380</v>
      </c>
      <c r="T1920" t="s">
        <v>57</v>
      </c>
      <c r="V1920" t="s">
        <v>381</v>
      </c>
      <c r="W1920" t="s">
        <v>1105</v>
      </c>
      <c r="X1920" t="s">
        <v>1105</v>
      </c>
      <c r="AC1920" s="13">
        <v>44592</v>
      </c>
      <c r="AD1920" s="13">
        <v>44592</v>
      </c>
      <c r="AI1920">
        <v>-204</v>
      </c>
      <c r="AN1920" t="s">
        <v>31</v>
      </c>
      <c r="AO1920">
        <v>0</v>
      </c>
      <c r="AS1920" t="s">
        <v>385</v>
      </c>
      <c r="AX1920" t="s">
        <v>31</v>
      </c>
      <c r="AY1920" t="s">
        <v>442</v>
      </c>
      <c r="AZ1920" t="s">
        <v>1109</v>
      </c>
      <c r="BF1920">
        <v>0</v>
      </c>
      <c r="BK1920" t="s">
        <v>31</v>
      </c>
      <c r="BS1920" t="s">
        <v>412</v>
      </c>
      <c r="CI1920" t="s">
        <v>388</v>
      </c>
      <c r="CJ1920" s="14">
        <v>45015</v>
      </c>
      <c r="CK1920">
        <v>1</v>
      </c>
    </row>
    <row r="1921" spans="1:89">
      <c r="A1921" t="s">
        <v>859</v>
      </c>
      <c r="B1921" t="s">
        <v>374</v>
      </c>
      <c r="C1921" t="s">
        <v>860</v>
      </c>
      <c r="D1921" t="s">
        <v>1110</v>
      </c>
      <c r="E1921" t="s">
        <v>1111</v>
      </c>
      <c r="F1921" s="13">
        <v>44795.503136574072</v>
      </c>
      <c r="G1921" t="s">
        <v>641</v>
      </c>
      <c r="H1921" t="s">
        <v>642</v>
      </c>
      <c r="I1921" s="13">
        <v>44795.503148148149</v>
      </c>
      <c r="K1921" t="s">
        <v>412</v>
      </c>
      <c r="M1921" s="13">
        <v>44591</v>
      </c>
      <c r="R1921">
        <v>0</v>
      </c>
      <c r="S1921" t="s">
        <v>380</v>
      </c>
      <c r="T1921" t="s">
        <v>57</v>
      </c>
      <c r="V1921" t="s">
        <v>381</v>
      </c>
      <c r="W1921" t="s">
        <v>1105</v>
      </c>
      <c r="X1921" t="s">
        <v>1105</v>
      </c>
      <c r="AC1921" s="13">
        <v>44592</v>
      </c>
      <c r="AD1921" s="13">
        <v>44592</v>
      </c>
      <c r="AI1921">
        <v>-204</v>
      </c>
      <c r="AN1921" t="s">
        <v>31</v>
      </c>
      <c r="AO1921">
        <v>0</v>
      </c>
      <c r="AS1921" t="s">
        <v>385</v>
      </c>
      <c r="AX1921" t="s">
        <v>31</v>
      </c>
      <c r="AY1921" t="s">
        <v>442</v>
      </c>
      <c r="AZ1921" t="s">
        <v>1112</v>
      </c>
      <c r="BF1921">
        <v>0</v>
      </c>
      <c r="BK1921" t="s">
        <v>31</v>
      </c>
      <c r="BS1921" t="s">
        <v>412</v>
      </c>
      <c r="CI1921" t="s">
        <v>388</v>
      </c>
      <c r="CJ1921" s="14">
        <v>45015</v>
      </c>
      <c r="CK1921">
        <v>1</v>
      </c>
    </row>
    <row r="1922" spans="1:89">
      <c r="A1922" t="s">
        <v>859</v>
      </c>
      <c r="B1922" t="s">
        <v>374</v>
      </c>
      <c r="C1922" t="s">
        <v>860</v>
      </c>
      <c r="D1922" t="s">
        <v>1113</v>
      </c>
      <c r="E1922" t="s">
        <v>1114</v>
      </c>
      <c r="F1922" s="13">
        <v>44795.503113425926</v>
      </c>
      <c r="G1922" t="s">
        <v>641</v>
      </c>
      <c r="H1922" t="s">
        <v>642</v>
      </c>
      <c r="I1922" s="13">
        <v>44795.503125000003</v>
      </c>
      <c r="K1922" t="s">
        <v>412</v>
      </c>
      <c r="M1922" s="13">
        <v>44545</v>
      </c>
      <c r="R1922">
        <v>0</v>
      </c>
      <c r="S1922" t="s">
        <v>380</v>
      </c>
      <c r="T1922" t="s">
        <v>57</v>
      </c>
      <c r="V1922" t="s">
        <v>381</v>
      </c>
      <c r="W1922" t="s">
        <v>1115</v>
      </c>
      <c r="X1922" t="s">
        <v>1115</v>
      </c>
      <c r="AC1922" s="13">
        <v>44545</v>
      </c>
      <c r="AD1922" s="13">
        <v>44545</v>
      </c>
      <c r="AI1922">
        <v>-250</v>
      </c>
      <c r="AN1922" t="s">
        <v>31</v>
      </c>
      <c r="AO1922">
        <v>0</v>
      </c>
      <c r="AS1922" t="s">
        <v>385</v>
      </c>
      <c r="AX1922" t="s">
        <v>31</v>
      </c>
      <c r="AY1922" t="s">
        <v>442</v>
      </c>
      <c r="AZ1922" t="s">
        <v>1116</v>
      </c>
      <c r="BF1922">
        <v>0</v>
      </c>
      <c r="BK1922" t="s">
        <v>31</v>
      </c>
      <c r="BS1922" t="s">
        <v>412</v>
      </c>
      <c r="CI1922" t="s">
        <v>388</v>
      </c>
      <c r="CJ1922" s="14">
        <v>45015</v>
      </c>
      <c r="CK1922">
        <v>1</v>
      </c>
    </row>
    <row r="1923" spans="1:89">
      <c r="A1923" t="s">
        <v>867</v>
      </c>
      <c r="B1923" t="s">
        <v>374</v>
      </c>
      <c r="C1923" t="s">
        <v>607</v>
      </c>
      <c r="D1923" t="s">
        <v>1117</v>
      </c>
      <c r="E1923" t="s">
        <v>857</v>
      </c>
      <c r="F1923" s="13">
        <v>44795.50309027778</v>
      </c>
      <c r="G1923" t="s">
        <v>641</v>
      </c>
      <c r="H1923" t="s">
        <v>642</v>
      </c>
      <c r="I1923" s="13">
        <v>44795.503101851849</v>
      </c>
      <c r="K1923" t="s">
        <v>412</v>
      </c>
      <c r="M1923" s="13">
        <v>44469</v>
      </c>
      <c r="R1923">
        <v>0</v>
      </c>
      <c r="S1923" t="s">
        <v>380</v>
      </c>
      <c r="T1923" t="s">
        <v>57</v>
      </c>
      <c r="V1923" t="s">
        <v>381</v>
      </c>
      <c r="W1923" t="s">
        <v>863</v>
      </c>
      <c r="X1923" t="s">
        <v>863</v>
      </c>
      <c r="AC1923" s="13">
        <v>44469</v>
      </c>
      <c r="AD1923" s="13">
        <v>44469</v>
      </c>
      <c r="AI1923">
        <v>-326</v>
      </c>
      <c r="AN1923" t="s">
        <v>31</v>
      </c>
      <c r="AO1923">
        <v>0</v>
      </c>
      <c r="AS1923" t="s">
        <v>385</v>
      </c>
      <c r="AX1923" t="s">
        <v>31</v>
      </c>
      <c r="AY1923" t="s">
        <v>442</v>
      </c>
      <c r="AZ1923" t="s">
        <v>1118</v>
      </c>
      <c r="BF1923">
        <v>0</v>
      </c>
      <c r="BK1923" t="s">
        <v>31</v>
      </c>
      <c r="BS1923" t="s">
        <v>412</v>
      </c>
      <c r="CI1923" t="s">
        <v>388</v>
      </c>
      <c r="CJ1923" s="14">
        <v>45015</v>
      </c>
      <c r="CK1923">
        <v>1</v>
      </c>
    </row>
    <row r="1924" spans="1:89">
      <c r="A1924" t="s">
        <v>867</v>
      </c>
      <c r="B1924" t="s">
        <v>374</v>
      </c>
      <c r="C1924" t="s">
        <v>607</v>
      </c>
      <c r="D1924" t="s">
        <v>1119</v>
      </c>
      <c r="E1924" t="s">
        <v>862</v>
      </c>
      <c r="F1924" s="13">
        <v>44795.503032407411</v>
      </c>
      <c r="G1924" t="s">
        <v>641</v>
      </c>
      <c r="H1924" t="s">
        <v>642</v>
      </c>
      <c r="I1924" s="13">
        <v>44795.503055555557</v>
      </c>
      <c r="K1924" t="s">
        <v>412</v>
      </c>
      <c r="M1924" s="13">
        <v>44469</v>
      </c>
      <c r="R1924">
        <v>0</v>
      </c>
      <c r="S1924" t="s">
        <v>380</v>
      </c>
      <c r="T1924" t="s">
        <v>57</v>
      </c>
      <c r="V1924" t="s">
        <v>381</v>
      </c>
      <c r="W1924" t="s">
        <v>863</v>
      </c>
      <c r="X1924" t="s">
        <v>863</v>
      </c>
      <c r="AC1924" s="13">
        <v>44469</v>
      </c>
      <c r="AD1924" s="13">
        <v>44469</v>
      </c>
      <c r="AI1924">
        <v>-326</v>
      </c>
      <c r="AN1924" t="s">
        <v>31</v>
      </c>
      <c r="AO1924">
        <v>0</v>
      </c>
      <c r="AS1924" t="s">
        <v>385</v>
      </c>
      <c r="AX1924" t="s">
        <v>31</v>
      </c>
      <c r="AY1924" t="s">
        <v>442</v>
      </c>
      <c r="AZ1924" t="s">
        <v>1120</v>
      </c>
      <c r="BF1924">
        <v>0</v>
      </c>
      <c r="BK1924" t="s">
        <v>31</v>
      </c>
      <c r="BS1924" t="s">
        <v>412</v>
      </c>
      <c r="CI1924" t="s">
        <v>388</v>
      </c>
      <c r="CJ1924" s="14">
        <v>45015</v>
      </c>
      <c r="CK1924">
        <v>1</v>
      </c>
    </row>
    <row r="1925" spans="1:89">
      <c r="A1925" t="s">
        <v>1121</v>
      </c>
      <c r="B1925" t="s">
        <v>374</v>
      </c>
      <c r="C1925" t="s">
        <v>1122</v>
      </c>
      <c r="D1925" t="s">
        <v>1123</v>
      </c>
      <c r="E1925" t="s">
        <v>1124</v>
      </c>
      <c r="F1925" s="13">
        <v>44790.677453703705</v>
      </c>
      <c r="G1925" t="s">
        <v>1125</v>
      </c>
      <c r="H1925" t="s">
        <v>1126</v>
      </c>
      <c r="I1925" s="13">
        <v>44790.677916666667</v>
      </c>
      <c r="K1925" t="s">
        <v>412</v>
      </c>
      <c r="R1925">
        <v>0</v>
      </c>
      <c r="S1925" t="s">
        <v>380</v>
      </c>
      <c r="T1925" t="s">
        <v>57</v>
      </c>
      <c r="V1925" t="s">
        <v>381</v>
      </c>
      <c r="W1925" t="s">
        <v>1127</v>
      </c>
      <c r="X1925" t="s">
        <v>1127</v>
      </c>
      <c r="AI1925">
        <v>23</v>
      </c>
      <c r="AL1925" t="s">
        <v>1128</v>
      </c>
      <c r="AN1925" t="s">
        <v>31</v>
      </c>
      <c r="AO1925">
        <v>0</v>
      </c>
      <c r="AZ1925" t="s">
        <v>1129</v>
      </c>
      <c r="BF1925">
        <v>0</v>
      </c>
      <c r="BK1925" t="s">
        <v>31</v>
      </c>
      <c r="BS1925" t="s">
        <v>412</v>
      </c>
      <c r="BT1925" t="s">
        <v>412</v>
      </c>
      <c r="CI1925" t="s">
        <v>388</v>
      </c>
      <c r="CJ1925" s="14">
        <v>45015</v>
      </c>
      <c r="CK1925">
        <v>1</v>
      </c>
    </row>
    <row r="1926" spans="1:89">
      <c r="A1926" t="s">
        <v>1130</v>
      </c>
      <c r="B1926" t="s">
        <v>374</v>
      </c>
      <c r="C1926" t="s">
        <v>1131</v>
      </c>
      <c r="D1926" t="s">
        <v>1132</v>
      </c>
      <c r="E1926" t="s">
        <v>406</v>
      </c>
      <c r="F1926" s="13">
        <v>44784.473414351851</v>
      </c>
      <c r="G1926" t="s">
        <v>1133</v>
      </c>
      <c r="H1926" t="s">
        <v>1134</v>
      </c>
      <c r="I1926" s="13">
        <v>44784.476620370369</v>
      </c>
      <c r="K1926" t="s">
        <v>379</v>
      </c>
      <c r="M1926" s="13">
        <v>44784</v>
      </c>
      <c r="R1926">
        <v>100</v>
      </c>
      <c r="S1926" t="s">
        <v>380</v>
      </c>
      <c r="T1926" t="s">
        <v>31</v>
      </c>
      <c r="V1926" t="s">
        <v>381</v>
      </c>
      <c r="W1926" t="s">
        <v>406</v>
      </c>
      <c r="X1926" t="s">
        <v>406</v>
      </c>
      <c r="AC1926" s="13">
        <v>44784</v>
      </c>
      <c r="AD1926" s="13">
        <v>44784</v>
      </c>
      <c r="AF1926" t="s">
        <v>382</v>
      </c>
      <c r="AG1926" t="s">
        <v>406</v>
      </c>
      <c r="AI1926">
        <v>0</v>
      </c>
      <c r="AL1926" t="s">
        <v>1135</v>
      </c>
      <c r="AN1926" t="s">
        <v>31</v>
      </c>
      <c r="AO1926">
        <v>0</v>
      </c>
      <c r="AS1926" t="s">
        <v>526</v>
      </c>
      <c r="AX1926" t="s">
        <v>57</v>
      </c>
      <c r="AY1926" t="s">
        <v>386</v>
      </c>
      <c r="AZ1926" t="s">
        <v>406</v>
      </c>
      <c r="BF1926">
        <v>0</v>
      </c>
      <c r="BK1926" t="s">
        <v>31</v>
      </c>
      <c r="BS1926" t="s">
        <v>379</v>
      </c>
      <c r="BT1926" t="s">
        <v>379</v>
      </c>
      <c r="CI1926" t="s">
        <v>388</v>
      </c>
      <c r="CJ1926" s="14">
        <v>45015</v>
      </c>
      <c r="CK1926">
        <v>1</v>
      </c>
    </row>
    <row r="1927" spans="1:89">
      <c r="A1927" t="s">
        <v>1136</v>
      </c>
      <c r="B1927" t="s">
        <v>374</v>
      </c>
      <c r="C1927" t="s">
        <v>1137</v>
      </c>
      <c r="D1927" t="s">
        <v>1138</v>
      </c>
      <c r="E1927" t="s">
        <v>438</v>
      </c>
      <c r="F1927" s="13">
        <v>44783.450891203705</v>
      </c>
      <c r="G1927" t="s">
        <v>1139</v>
      </c>
      <c r="H1927" t="s">
        <v>1140</v>
      </c>
      <c r="I1927" s="13">
        <v>44785.595879629633</v>
      </c>
      <c r="K1927" t="s">
        <v>379</v>
      </c>
      <c r="M1927" s="13">
        <v>44813</v>
      </c>
      <c r="R1927">
        <v>100</v>
      </c>
      <c r="S1927" t="s">
        <v>380</v>
      </c>
      <c r="V1927" t="s">
        <v>381</v>
      </c>
      <c r="W1927" t="s">
        <v>1141</v>
      </c>
      <c r="X1927" t="s">
        <v>1141</v>
      </c>
      <c r="AF1927" t="s">
        <v>382</v>
      </c>
      <c r="AG1927" t="s">
        <v>1142</v>
      </c>
      <c r="AI1927">
        <v>30</v>
      </c>
      <c r="AL1927" t="s">
        <v>1143</v>
      </c>
      <c r="AN1927" t="s">
        <v>31</v>
      </c>
      <c r="AO1927">
        <v>0</v>
      </c>
      <c r="AS1927" t="s">
        <v>385</v>
      </c>
      <c r="AX1927" t="s">
        <v>57</v>
      </c>
      <c r="AY1927" t="s">
        <v>386</v>
      </c>
      <c r="AZ1927" t="s">
        <v>438</v>
      </c>
      <c r="BF1927">
        <v>0</v>
      </c>
      <c r="BK1927" t="s">
        <v>31</v>
      </c>
      <c r="BS1927" t="s">
        <v>379</v>
      </c>
      <c r="BT1927" t="s">
        <v>379</v>
      </c>
      <c r="CI1927" t="s">
        <v>388</v>
      </c>
      <c r="CJ1927" s="14">
        <v>45015</v>
      </c>
      <c r="CK1927">
        <v>1</v>
      </c>
    </row>
    <row r="1928" spans="1:89">
      <c r="A1928" t="s">
        <v>404</v>
      </c>
      <c r="B1928" t="s">
        <v>374</v>
      </c>
      <c r="C1928" t="s">
        <v>375</v>
      </c>
      <c r="D1928" t="s">
        <v>1144</v>
      </c>
      <c r="E1928" t="s">
        <v>1145</v>
      </c>
      <c r="F1928" s="13">
        <v>44748.352326388886</v>
      </c>
      <c r="G1928" t="s">
        <v>1146</v>
      </c>
      <c r="H1928" t="s">
        <v>1147</v>
      </c>
      <c r="I1928" s="13">
        <v>45012.044421296298</v>
      </c>
      <c r="K1928" t="s">
        <v>415</v>
      </c>
      <c r="M1928" s="13">
        <v>44771</v>
      </c>
      <c r="R1928">
        <v>0</v>
      </c>
      <c r="S1928" t="s">
        <v>380</v>
      </c>
      <c r="T1928" t="s">
        <v>57</v>
      </c>
      <c r="V1928" t="s">
        <v>478</v>
      </c>
      <c r="W1928" t="s">
        <v>1145</v>
      </c>
      <c r="X1928" t="s">
        <v>1145</v>
      </c>
      <c r="AF1928" t="s">
        <v>451</v>
      </c>
      <c r="AI1928">
        <v>-241</v>
      </c>
      <c r="AL1928" t="s">
        <v>1148</v>
      </c>
      <c r="AN1928" t="s">
        <v>31</v>
      </c>
      <c r="AO1928">
        <v>0</v>
      </c>
      <c r="AY1928" t="s">
        <v>442</v>
      </c>
      <c r="AZ1928" t="s">
        <v>1149</v>
      </c>
      <c r="BE1928" t="s">
        <v>1150</v>
      </c>
      <c r="BF1928">
        <v>0</v>
      </c>
      <c r="BK1928" t="s">
        <v>31</v>
      </c>
      <c r="BS1928" t="s">
        <v>419</v>
      </c>
      <c r="BT1928" t="s">
        <v>419</v>
      </c>
      <c r="CI1928" t="s">
        <v>388</v>
      </c>
      <c r="CJ1928" s="14">
        <v>45015</v>
      </c>
      <c r="CK1928">
        <v>1</v>
      </c>
    </row>
    <row r="1929" spans="1:89">
      <c r="A1929" t="s">
        <v>1151</v>
      </c>
      <c r="B1929" t="s">
        <v>374</v>
      </c>
      <c r="C1929" t="s">
        <v>1152</v>
      </c>
      <c r="D1929" t="s">
        <v>1153</v>
      </c>
      <c r="E1929" t="s">
        <v>1154</v>
      </c>
      <c r="F1929" s="13">
        <v>44715.646168981482</v>
      </c>
      <c r="G1929" t="s">
        <v>1155</v>
      </c>
      <c r="H1929" t="s">
        <v>1156</v>
      </c>
      <c r="I1929" s="13">
        <v>44715.646585648145</v>
      </c>
      <c r="K1929" t="s">
        <v>412</v>
      </c>
      <c r="R1929">
        <v>0</v>
      </c>
      <c r="S1929" t="s">
        <v>380</v>
      </c>
      <c r="T1929" t="s">
        <v>57</v>
      </c>
      <c r="V1929" t="s">
        <v>381</v>
      </c>
      <c r="W1929" t="s">
        <v>1157</v>
      </c>
      <c r="X1929" t="s">
        <v>1157</v>
      </c>
      <c r="AI1929">
        <v>58</v>
      </c>
      <c r="AL1929" t="s">
        <v>1158</v>
      </c>
      <c r="AN1929" t="s">
        <v>31</v>
      </c>
      <c r="AO1929">
        <v>0</v>
      </c>
      <c r="AZ1929" t="s">
        <v>1159</v>
      </c>
      <c r="BF1929">
        <v>0</v>
      </c>
      <c r="BK1929" t="s">
        <v>31</v>
      </c>
      <c r="BS1929" t="s">
        <v>412</v>
      </c>
      <c r="BT1929" t="s">
        <v>412</v>
      </c>
      <c r="CI1929" t="s">
        <v>388</v>
      </c>
      <c r="CJ1929" s="14">
        <v>45015</v>
      </c>
      <c r="CK1929">
        <v>1</v>
      </c>
    </row>
    <row r="1930" spans="1:89">
      <c r="A1930" t="s">
        <v>1151</v>
      </c>
      <c r="B1930" t="s">
        <v>374</v>
      </c>
      <c r="C1930" t="s">
        <v>1152</v>
      </c>
      <c r="D1930" t="s">
        <v>1160</v>
      </c>
      <c r="E1930" t="s">
        <v>1161</v>
      </c>
      <c r="F1930" s="13">
        <v>44715.63622685185</v>
      </c>
      <c r="G1930" t="s">
        <v>1155</v>
      </c>
      <c r="H1930" t="s">
        <v>1156</v>
      </c>
      <c r="I1930" s="13">
        <v>44715.638981481483</v>
      </c>
      <c r="K1930" t="s">
        <v>412</v>
      </c>
      <c r="R1930">
        <v>0</v>
      </c>
      <c r="S1930" t="s">
        <v>380</v>
      </c>
      <c r="T1930" t="s">
        <v>57</v>
      </c>
      <c r="V1930" t="s">
        <v>381</v>
      </c>
      <c r="W1930" t="s">
        <v>1162</v>
      </c>
      <c r="X1930" t="s">
        <v>1162</v>
      </c>
      <c r="AI1930">
        <v>58</v>
      </c>
      <c r="AL1930" t="s">
        <v>1163</v>
      </c>
      <c r="AN1930" t="s">
        <v>31</v>
      </c>
      <c r="AO1930">
        <v>0</v>
      </c>
      <c r="AZ1930" t="s">
        <v>1164</v>
      </c>
      <c r="BF1930">
        <v>0</v>
      </c>
      <c r="BK1930" t="s">
        <v>31</v>
      </c>
      <c r="BS1930" t="s">
        <v>412</v>
      </c>
      <c r="BT1930" t="s">
        <v>412</v>
      </c>
      <c r="CI1930" t="s">
        <v>388</v>
      </c>
      <c r="CJ1930" s="14">
        <v>45015</v>
      </c>
      <c r="CK1930">
        <v>1</v>
      </c>
    </row>
    <row r="1931" spans="1:89">
      <c r="A1931" t="s">
        <v>404</v>
      </c>
      <c r="B1931" t="s">
        <v>374</v>
      </c>
      <c r="C1931" t="s">
        <v>375</v>
      </c>
      <c r="D1931" t="s">
        <v>1165</v>
      </c>
      <c r="E1931" t="s">
        <v>406</v>
      </c>
      <c r="F1931" s="13">
        <v>44713.519189814811</v>
      </c>
      <c r="G1931" t="s">
        <v>407</v>
      </c>
      <c r="H1931" t="s">
        <v>408</v>
      </c>
      <c r="I1931" s="13">
        <v>45012.619733796295</v>
      </c>
      <c r="K1931" t="s">
        <v>379</v>
      </c>
      <c r="L1931" t="s">
        <v>570</v>
      </c>
      <c r="M1931" s="13">
        <v>44755</v>
      </c>
      <c r="O1931" s="13">
        <v>45012</v>
      </c>
      <c r="R1931">
        <v>100</v>
      </c>
      <c r="S1931" t="s">
        <v>416</v>
      </c>
      <c r="T1931" t="s">
        <v>57</v>
      </c>
      <c r="V1931" t="s">
        <v>478</v>
      </c>
      <c r="W1931" t="s">
        <v>406</v>
      </c>
      <c r="X1931" t="s">
        <v>406</v>
      </c>
      <c r="AF1931" t="s">
        <v>451</v>
      </c>
      <c r="AI1931">
        <v>4</v>
      </c>
      <c r="AL1931" t="s">
        <v>1166</v>
      </c>
      <c r="AN1931" t="s">
        <v>31</v>
      </c>
      <c r="AO1931">
        <v>0</v>
      </c>
      <c r="AZ1931" t="s">
        <v>406</v>
      </c>
      <c r="BF1931">
        <v>0</v>
      </c>
      <c r="BK1931" t="s">
        <v>31</v>
      </c>
      <c r="BS1931" t="s">
        <v>419</v>
      </c>
      <c r="BT1931" t="s">
        <v>412</v>
      </c>
      <c r="CI1931" t="s">
        <v>388</v>
      </c>
      <c r="CJ1931" s="14">
        <v>45015</v>
      </c>
      <c r="CK1931">
        <v>1</v>
      </c>
    </row>
    <row r="1932" spans="1:89">
      <c r="A1932" t="s">
        <v>404</v>
      </c>
      <c r="B1932" t="s">
        <v>374</v>
      </c>
      <c r="C1932" t="s">
        <v>375</v>
      </c>
      <c r="D1932" t="s">
        <v>1167</v>
      </c>
      <c r="E1932" t="s">
        <v>1168</v>
      </c>
      <c r="F1932" s="13">
        <v>44706.526238425926</v>
      </c>
      <c r="G1932" t="s">
        <v>407</v>
      </c>
      <c r="H1932" t="s">
        <v>408</v>
      </c>
      <c r="I1932" s="13">
        <v>45012.044409722221</v>
      </c>
      <c r="K1932" t="s">
        <v>415</v>
      </c>
      <c r="M1932" s="13">
        <v>44741</v>
      </c>
      <c r="R1932">
        <v>0</v>
      </c>
      <c r="S1932" t="s">
        <v>380</v>
      </c>
      <c r="T1932" t="s">
        <v>57</v>
      </c>
      <c r="V1932" t="s">
        <v>478</v>
      </c>
      <c r="W1932" t="s">
        <v>1169</v>
      </c>
      <c r="X1932" t="s">
        <v>1169</v>
      </c>
      <c r="AF1932" t="s">
        <v>451</v>
      </c>
      <c r="AG1932" t="s">
        <v>406</v>
      </c>
      <c r="AI1932">
        <v>-271</v>
      </c>
      <c r="AJ1932" s="13">
        <v>44926</v>
      </c>
      <c r="AL1932" t="s">
        <v>1170</v>
      </c>
      <c r="AN1932" t="s">
        <v>31</v>
      </c>
      <c r="AO1932">
        <v>0</v>
      </c>
      <c r="AR1932" t="s">
        <v>574</v>
      </c>
      <c r="AS1932" t="s">
        <v>385</v>
      </c>
      <c r="AX1932" t="s">
        <v>31</v>
      </c>
      <c r="AZ1932" t="s">
        <v>1168</v>
      </c>
      <c r="BF1932">
        <v>0</v>
      </c>
      <c r="BK1932" t="s">
        <v>31</v>
      </c>
      <c r="BS1932" t="s">
        <v>419</v>
      </c>
      <c r="BT1932" t="s">
        <v>419</v>
      </c>
      <c r="CI1932" t="s">
        <v>388</v>
      </c>
      <c r="CJ1932" s="14">
        <v>45015</v>
      </c>
      <c r="CK1932">
        <v>1</v>
      </c>
    </row>
    <row r="1933" spans="1:89">
      <c r="A1933" t="s">
        <v>404</v>
      </c>
      <c r="B1933" t="s">
        <v>374</v>
      </c>
      <c r="C1933" t="s">
        <v>375</v>
      </c>
      <c r="D1933" t="s">
        <v>1171</v>
      </c>
      <c r="E1933" t="s">
        <v>406</v>
      </c>
      <c r="F1933" s="13">
        <v>44699.435590277775</v>
      </c>
      <c r="G1933" t="s">
        <v>407</v>
      </c>
      <c r="H1933" t="s">
        <v>408</v>
      </c>
      <c r="I1933" s="13">
        <v>45012.044409722221</v>
      </c>
      <c r="K1933" t="s">
        <v>415</v>
      </c>
      <c r="M1933" s="13">
        <v>44742</v>
      </c>
      <c r="R1933">
        <v>100</v>
      </c>
      <c r="S1933" t="s">
        <v>380</v>
      </c>
      <c r="T1933" t="s">
        <v>57</v>
      </c>
      <c r="V1933" t="s">
        <v>478</v>
      </c>
      <c r="W1933" t="s">
        <v>603</v>
      </c>
      <c r="X1933" t="s">
        <v>603</v>
      </c>
      <c r="AF1933" t="s">
        <v>382</v>
      </c>
      <c r="AG1933" t="s">
        <v>406</v>
      </c>
      <c r="AI1933">
        <v>-270</v>
      </c>
      <c r="AL1933" t="s">
        <v>1172</v>
      </c>
      <c r="AN1933" t="s">
        <v>31</v>
      </c>
      <c r="AO1933">
        <v>0</v>
      </c>
      <c r="AZ1933" t="s">
        <v>406</v>
      </c>
      <c r="BF1933">
        <v>0</v>
      </c>
      <c r="BK1933" t="s">
        <v>31</v>
      </c>
      <c r="BS1933" t="s">
        <v>419</v>
      </c>
      <c r="BT1933" t="s">
        <v>419</v>
      </c>
      <c r="CI1933" t="s">
        <v>388</v>
      </c>
      <c r="CJ1933" s="14">
        <v>45015</v>
      </c>
      <c r="CK1933">
        <v>1</v>
      </c>
    </row>
    <row r="1934" spans="1:89">
      <c r="A1934" t="s">
        <v>637</v>
      </c>
      <c r="B1934" t="s">
        <v>374</v>
      </c>
      <c r="C1934" t="s">
        <v>638</v>
      </c>
      <c r="D1934" t="s">
        <v>1173</v>
      </c>
      <c r="E1934" t="s">
        <v>640</v>
      </c>
      <c r="F1934" s="13">
        <v>44696.931226851855</v>
      </c>
      <c r="G1934" t="s">
        <v>641</v>
      </c>
      <c r="H1934" t="s">
        <v>642</v>
      </c>
      <c r="I1934" s="13">
        <v>44833.703101851854</v>
      </c>
      <c r="K1934" t="s">
        <v>412</v>
      </c>
      <c r="M1934" s="13">
        <v>44742</v>
      </c>
      <c r="R1934">
        <v>0</v>
      </c>
      <c r="S1934" t="s">
        <v>380</v>
      </c>
      <c r="T1934" t="s">
        <v>57</v>
      </c>
      <c r="V1934" t="s">
        <v>381</v>
      </c>
      <c r="W1934" t="s">
        <v>643</v>
      </c>
      <c r="X1934" t="s">
        <v>643</v>
      </c>
      <c r="AC1934" s="13">
        <v>44834</v>
      </c>
      <c r="AD1934" s="13">
        <v>44834</v>
      </c>
      <c r="AI1934">
        <v>46</v>
      </c>
      <c r="AN1934" t="s">
        <v>31</v>
      </c>
      <c r="AO1934">
        <v>0</v>
      </c>
      <c r="AS1934" t="s">
        <v>538</v>
      </c>
      <c r="AX1934" t="s">
        <v>57</v>
      </c>
      <c r="AY1934" t="s">
        <v>442</v>
      </c>
      <c r="AZ1934" t="s">
        <v>644</v>
      </c>
      <c r="BF1934">
        <v>0</v>
      </c>
      <c r="BK1934" t="s">
        <v>31</v>
      </c>
      <c r="BS1934" t="s">
        <v>412</v>
      </c>
      <c r="CI1934" t="s">
        <v>388</v>
      </c>
      <c r="CJ1934" s="14">
        <v>45015</v>
      </c>
      <c r="CK1934">
        <v>1</v>
      </c>
    </row>
    <row r="1935" spans="1:89">
      <c r="A1935" t="s">
        <v>637</v>
      </c>
      <c r="B1935" t="s">
        <v>374</v>
      </c>
      <c r="C1935" t="s">
        <v>638</v>
      </c>
      <c r="D1935" t="s">
        <v>1174</v>
      </c>
      <c r="E1935" t="s">
        <v>646</v>
      </c>
      <c r="F1935" s="13">
        <v>44696.931215277778</v>
      </c>
      <c r="G1935" t="s">
        <v>641</v>
      </c>
      <c r="H1935" t="s">
        <v>642</v>
      </c>
      <c r="I1935" s="13">
        <v>44833.703101851854</v>
      </c>
      <c r="K1935" t="s">
        <v>412</v>
      </c>
      <c r="M1935" s="13">
        <v>44620</v>
      </c>
      <c r="R1935">
        <v>0</v>
      </c>
      <c r="S1935" t="s">
        <v>416</v>
      </c>
      <c r="T1935" t="s">
        <v>57</v>
      </c>
      <c r="V1935" t="s">
        <v>381</v>
      </c>
      <c r="W1935" t="s">
        <v>647</v>
      </c>
      <c r="X1935" t="s">
        <v>647</v>
      </c>
      <c r="AC1935" s="13">
        <v>44711</v>
      </c>
      <c r="AD1935" s="13">
        <v>44711</v>
      </c>
      <c r="AI1935">
        <v>-76</v>
      </c>
      <c r="AN1935" t="s">
        <v>31</v>
      </c>
      <c r="AO1935">
        <v>0</v>
      </c>
      <c r="AS1935" t="s">
        <v>648</v>
      </c>
      <c r="AX1935" t="s">
        <v>31</v>
      </c>
      <c r="AY1935" t="s">
        <v>386</v>
      </c>
      <c r="AZ1935" t="s">
        <v>649</v>
      </c>
      <c r="BF1935">
        <v>0</v>
      </c>
      <c r="BK1935" t="s">
        <v>31</v>
      </c>
      <c r="BS1935" t="s">
        <v>412</v>
      </c>
      <c r="CI1935" t="s">
        <v>388</v>
      </c>
      <c r="CJ1935" s="14">
        <v>45015</v>
      </c>
      <c r="CK1935">
        <v>1</v>
      </c>
    </row>
    <row r="1936" spans="1:89">
      <c r="A1936" t="s">
        <v>637</v>
      </c>
      <c r="B1936" t="s">
        <v>374</v>
      </c>
      <c r="C1936" t="s">
        <v>638</v>
      </c>
      <c r="D1936" t="s">
        <v>1175</v>
      </c>
      <c r="E1936" t="s">
        <v>651</v>
      </c>
      <c r="F1936" s="13">
        <v>44696.931203703702</v>
      </c>
      <c r="G1936" t="s">
        <v>641</v>
      </c>
      <c r="H1936" t="s">
        <v>642</v>
      </c>
      <c r="I1936" s="13">
        <v>44833.703101851854</v>
      </c>
      <c r="K1936" t="s">
        <v>412</v>
      </c>
      <c r="M1936" s="13">
        <v>44620</v>
      </c>
      <c r="R1936">
        <v>0</v>
      </c>
      <c r="S1936" t="s">
        <v>416</v>
      </c>
      <c r="T1936" t="s">
        <v>57</v>
      </c>
      <c r="V1936" t="s">
        <v>381</v>
      </c>
      <c r="W1936" t="s">
        <v>647</v>
      </c>
      <c r="X1936" t="s">
        <v>647</v>
      </c>
      <c r="AC1936" s="13">
        <v>44711</v>
      </c>
      <c r="AD1936" s="13">
        <v>44711</v>
      </c>
      <c r="AI1936">
        <v>-76</v>
      </c>
      <c r="AN1936" t="s">
        <v>31</v>
      </c>
      <c r="AO1936">
        <v>0</v>
      </c>
      <c r="AS1936" t="s">
        <v>392</v>
      </c>
      <c r="AX1936" t="s">
        <v>31</v>
      </c>
      <c r="AY1936" t="s">
        <v>386</v>
      </c>
      <c r="AZ1936" t="s">
        <v>652</v>
      </c>
      <c r="BF1936">
        <v>0</v>
      </c>
      <c r="BK1936" t="s">
        <v>31</v>
      </c>
      <c r="BS1936" t="s">
        <v>412</v>
      </c>
      <c r="CI1936" t="s">
        <v>388</v>
      </c>
      <c r="CJ1936" s="14">
        <v>45015</v>
      </c>
      <c r="CK1936">
        <v>1</v>
      </c>
    </row>
    <row r="1937" spans="1:89">
      <c r="A1937" t="s">
        <v>637</v>
      </c>
      <c r="B1937" t="s">
        <v>374</v>
      </c>
      <c r="C1937" t="s">
        <v>638</v>
      </c>
      <c r="D1937" t="s">
        <v>1176</v>
      </c>
      <c r="E1937" t="s">
        <v>654</v>
      </c>
      <c r="F1937" s="13">
        <v>44696.931192129632</v>
      </c>
      <c r="G1937" t="s">
        <v>641</v>
      </c>
      <c r="H1937" t="s">
        <v>642</v>
      </c>
      <c r="I1937" s="13">
        <v>44833.703101851854</v>
      </c>
      <c r="K1937" t="s">
        <v>412</v>
      </c>
      <c r="M1937" s="13">
        <v>44620</v>
      </c>
      <c r="R1937">
        <v>0</v>
      </c>
      <c r="S1937" t="s">
        <v>380</v>
      </c>
      <c r="T1937" t="s">
        <v>57</v>
      </c>
      <c r="V1937" t="s">
        <v>381</v>
      </c>
      <c r="W1937" t="s">
        <v>647</v>
      </c>
      <c r="X1937" t="s">
        <v>647</v>
      </c>
      <c r="AC1937" s="13">
        <v>44711</v>
      </c>
      <c r="AD1937" s="13">
        <v>44711</v>
      </c>
      <c r="AI1937">
        <v>-76</v>
      </c>
      <c r="AN1937" t="s">
        <v>31</v>
      </c>
      <c r="AO1937">
        <v>0</v>
      </c>
      <c r="AS1937" t="s">
        <v>385</v>
      </c>
      <c r="AX1937" t="s">
        <v>31</v>
      </c>
      <c r="AY1937" t="s">
        <v>442</v>
      </c>
      <c r="AZ1937" t="s">
        <v>655</v>
      </c>
      <c r="BF1937">
        <v>0</v>
      </c>
      <c r="BK1937" t="s">
        <v>31</v>
      </c>
      <c r="BS1937" t="s">
        <v>412</v>
      </c>
      <c r="CI1937" t="s">
        <v>388</v>
      </c>
      <c r="CJ1937" s="14">
        <v>45015</v>
      </c>
      <c r="CK1937">
        <v>1</v>
      </c>
    </row>
    <row r="1938" spans="1:89">
      <c r="A1938" t="s">
        <v>637</v>
      </c>
      <c r="B1938" t="s">
        <v>374</v>
      </c>
      <c r="C1938" t="s">
        <v>638</v>
      </c>
      <c r="D1938" t="s">
        <v>1177</v>
      </c>
      <c r="E1938" t="s">
        <v>657</v>
      </c>
      <c r="F1938" s="13">
        <v>44696.931180555555</v>
      </c>
      <c r="G1938" t="s">
        <v>641</v>
      </c>
      <c r="H1938" t="s">
        <v>642</v>
      </c>
      <c r="I1938" s="13">
        <v>44833.703101851854</v>
      </c>
      <c r="K1938" t="s">
        <v>412</v>
      </c>
      <c r="M1938" s="13">
        <v>44620</v>
      </c>
      <c r="R1938">
        <v>0</v>
      </c>
      <c r="S1938" t="s">
        <v>380</v>
      </c>
      <c r="T1938" t="s">
        <v>57</v>
      </c>
      <c r="V1938" t="s">
        <v>381</v>
      </c>
      <c r="W1938" t="s">
        <v>647</v>
      </c>
      <c r="X1938" t="s">
        <v>647</v>
      </c>
      <c r="AC1938" s="13">
        <v>44711</v>
      </c>
      <c r="AD1938" s="13">
        <v>44711</v>
      </c>
      <c r="AI1938">
        <v>-76</v>
      </c>
      <c r="AN1938" t="s">
        <v>31</v>
      </c>
      <c r="AO1938">
        <v>0</v>
      </c>
      <c r="AS1938" t="s">
        <v>385</v>
      </c>
      <c r="AX1938" t="s">
        <v>31</v>
      </c>
      <c r="AY1938" t="s">
        <v>442</v>
      </c>
      <c r="AZ1938" t="s">
        <v>658</v>
      </c>
      <c r="BF1938">
        <v>0</v>
      </c>
      <c r="BK1938" t="s">
        <v>31</v>
      </c>
      <c r="BS1938" t="s">
        <v>412</v>
      </c>
      <c r="CI1938" t="s">
        <v>388</v>
      </c>
      <c r="CJ1938" s="14">
        <v>45015</v>
      </c>
      <c r="CK1938">
        <v>1</v>
      </c>
    </row>
    <row r="1939" spans="1:89">
      <c r="A1939" t="s">
        <v>637</v>
      </c>
      <c r="B1939" t="s">
        <v>374</v>
      </c>
      <c r="C1939" t="s">
        <v>638</v>
      </c>
      <c r="D1939" t="s">
        <v>1178</v>
      </c>
      <c r="E1939" t="s">
        <v>660</v>
      </c>
      <c r="F1939" s="13">
        <v>44696.931168981479</v>
      </c>
      <c r="G1939" t="s">
        <v>641</v>
      </c>
      <c r="H1939" t="s">
        <v>642</v>
      </c>
      <c r="I1939" s="13">
        <v>44833.703101851854</v>
      </c>
      <c r="K1939" t="s">
        <v>412</v>
      </c>
      <c r="M1939" s="13">
        <v>44620</v>
      </c>
      <c r="R1939">
        <v>0</v>
      </c>
      <c r="S1939" t="s">
        <v>380</v>
      </c>
      <c r="T1939" t="s">
        <v>57</v>
      </c>
      <c r="V1939" t="s">
        <v>381</v>
      </c>
      <c r="W1939" t="s">
        <v>647</v>
      </c>
      <c r="X1939" t="s">
        <v>647</v>
      </c>
      <c r="AC1939" s="13">
        <v>44711</v>
      </c>
      <c r="AD1939" s="13">
        <v>44711</v>
      </c>
      <c r="AI1939">
        <v>-76</v>
      </c>
      <c r="AN1939" t="s">
        <v>31</v>
      </c>
      <c r="AO1939">
        <v>0</v>
      </c>
      <c r="AS1939" t="s">
        <v>526</v>
      </c>
      <c r="AX1939" t="s">
        <v>31</v>
      </c>
      <c r="AY1939" t="s">
        <v>442</v>
      </c>
      <c r="AZ1939" t="s">
        <v>661</v>
      </c>
      <c r="BF1939">
        <v>0</v>
      </c>
      <c r="BK1939" t="s">
        <v>31</v>
      </c>
      <c r="BS1939" t="s">
        <v>412</v>
      </c>
      <c r="CI1939" t="s">
        <v>388</v>
      </c>
      <c r="CJ1939" s="14">
        <v>45015</v>
      </c>
      <c r="CK1939">
        <v>1</v>
      </c>
    </row>
    <row r="1940" spans="1:89">
      <c r="A1940" t="s">
        <v>637</v>
      </c>
      <c r="B1940" t="s">
        <v>374</v>
      </c>
      <c r="C1940" t="s">
        <v>638</v>
      </c>
      <c r="D1940" t="s">
        <v>1179</v>
      </c>
      <c r="E1940" t="s">
        <v>663</v>
      </c>
      <c r="F1940" s="13">
        <v>44696.931157407409</v>
      </c>
      <c r="G1940" t="s">
        <v>641</v>
      </c>
      <c r="H1940" t="s">
        <v>642</v>
      </c>
      <c r="I1940" s="13">
        <v>44833.703101851854</v>
      </c>
      <c r="K1940" t="s">
        <v>412</v>
      </c>
      <c r="M1940" s="13">
        <v>44620</v>
      </c>
      <c r="R1940">
        <v>0</v>
      </c>
      <c r="S1940" t="s">
        <v>380</v>
      </c>
      <c r="T1940" t="s">
        <v>57</v>
      </c>
      <c r="V1940" t="s">
        <v>381</v>
      </c>
      <c r="W1940" t="s">
        <v>647</v>
      </c>
      <c r="X1940" t="s">
        <v>647</v>
      </c>
      <c r="AC1940" s="13">
        <v>44711</v>
      </c>
      <c r="AD1940" s="13">
        <v>44711</v>
      </c>
      <c r="AI1940">
        <v>-76</v>
      </c>
      <c r="AN1940" t="s">
        <v>31</v>
      </c>
      <c r="AO1940">
        <v>0</v>
      </c>
      <c r="AS1940" t="s">
        <v>648</v>
      </c>
      <c r="AX1940" t="s">
        <v>31</v>
      </c>
      <c r="AY1940" t="s">
        <v>442</v>
      </c>
      <c r="AZ1940" t="s">
        <v>648</v>
      </c>
      <c r="BF1940">
        <v>0</v>
      </c>
      <c r="BK1940" t="s">
        <v>31</v>
      </c>
      <c r="BS1940" t="s">
        <v>412</v>
      </c>
      <c r="CI1940" t="s">
        <v>388</v>
      </c>
      <c r="CJ1940" s="14">
        <v>45015</v>
      </c>
      <c r="CK1940">
        <v>1</v>
      </c>
    </row>
    <row r="1941" spans="1:89">
      <c r="A1941" t="s">
        <v>637</v>
      </c>
      <c r="B1941" t="s">
        <v>374</v>
      </c>
      <c r="C1941" t="s">
        <v>638</v>
      </c>
      <c r="D1941" t="s">
        <v>1180</v>
      </c>
      <c r="E1941" t="s">
        <v>665</v>
      </c>
      <c r="F1941" s="13">
        <v>44696.931145833332</v>
      </c>
      <c r="G1941" t="s">
        <v>641</v>
      </c>
      <c r="H1941" t="s">
        <v>642</v>
      </c>
      <c r="I1941" s="13">
        <v>44833.703101851854</v>
      </c>
      <c r="K1941" t="s">
        <v>412</v>
      </c>
      <c r="M1941" s="13">
        <v>44620</v>
      </c>
      <c r="R1941">
        <v>0</v>
      </c>
      <c r="S1941" t="s">
        <v>380</v>
      </c>
      <c r="T1941" t="s">
        <v>57</v>
      </c>
      <c r="V1941" t="s">
        <v>381</v>
      </c>
      <c r="W1941" t="s">
        <v>647</v>
      </c>
      <c r="X1941" t="s">
        <v>647</v>
      </c>
      <c r="AC1941" s="13">
        <v>44711</v>
      </c>
      <c r="AD1941" s="13">
        <v>44711</v>
      </c>
      <c r="AI1941">
        <v>-76</v>
      </c>
      <c r="AN1941" t="s">
        <v>31</v>
      </c>
      <c r="AO1941">
        <v>0</v>
      </c>
      <c r="AS1941" t="s">
        <v>385</v>
      </c>
      <c r="AX1941" t="s">
        <v>31</v>
      </c>
      <c r="AY1941" t="s">
        <v>442</v>
      </c>
      <c r="AZ1941" t="s">
        <v>666</v>
      </c>
      <c r="BF1941">
        <v>0</v>
      </c>
      <c r="BK1941" t="s">
        <v>31</v>
      </c>
      <c r="BS1941" t="s">
        <v>412</v>
      </c>
      <c r="CI1941" t="s">
        <v>388</v>
      </c>
      <c r="CJ1941" s="14">
        <v>45015</v>
      </c>
      <c r="CK1941">
        <v>1</v>
      </c>
    </row>
    <row r="1942" spans="1:89">
      <c r="A1942" t="s">
        <v>1181</v>
      </c>
      <c r="B1942" t="s">
        <v>374</v>
      </c>
      <c r="C1942" t="s">
        <v>1182</v>
      </c>
      <c r="D1942" t="s">
        <v>1183</v>
      </c>
      <c r="E1942" t="s">
        <v>668</v>
      </c>
      <c r="F1942" s="13">
        <v>44696.931134259263</v>
      </c>
      <c r="G1942" t="s">
        <v>641</v>
      </c>
      <c r="H1942" t="s">
        <v>642</v>
      </c>
      <c r="I1942" s="13">
        <v>44833.703101851854</v>
      </c>
      <c r="K1942" t="s">
        <v>412</v>
      </c>
      <c r="M1942" s="13">
        <v>44620</v>
      </c>
      <c r="R1942">
        <v>0</v>
      </c>
      <c r="S1942" t="s">
        <v>380</v>
      </c>
      <c r="T1942" t="s">
        <v>57</v>
      </c>
      <c r="V1942" t="s">
        <v>381</v>
      </c>
      <c r="W1942" t="s">
        <v>647</v>
      </c>
      <c r="X1942" t="s">
        <v>647</v>
      </c>
      <c r="AC1942" s="13">
        <v>44711</v>
      </c>
      <c r="AD1942" s="13">
        <v>44711</v>
      </c>
      <c r="AI1942">
        <v>-76</v>
      </c>
      <c r="AN1942" t="s">
        <v>31</v>
      </c>
      <c r="AO1942">
        <v>0</v>
      </c>
      <c r="AS1942" t="s">
        <v>648</v>
      </c>
      <c r="AX1942" t="s">
        <v>31</v>
      </c>
      <c r="AY1942" t="s">
        <v>442</v>
      </c>
      <c r="AZ1942" t="s">
        <v>669</v>
      </c>
      <c r="BF1942">
        <v>0</v>
      </c>
      <c r="BK1942" t="s">
        <v>31</v>
      </c>
      <c r="BS1942" t="s">
        <v>412</v>
      </c>
      <c r="CI1942" t="s">
        <v>388</v>
      </c>
      <c r="CJ1942" s="14">
        <v>45015</v>
      </c>
      <c r="CK1942">
        <v>1</v>
      </c>
    </row>
    <row r="1943" spans="1:89">
      <c r="A1943" t="s">
        <v>1181</v>
      </c>
      <c r="B1943" t="s">
        <v>374</v>
      </c>
      <c r="C1943" t="s">
        <v>1182</v>
      </c>
      <c r="D1943" t="s">
        <v>1184</v>
      </c>
      <c r="E1943" t="s">
        <v>671</v>
      </c>
      <c r="F1943" s="13">
        <v>44696.931087962963</v>
      </c>
      <c r="G1943" t="s">
        <v>641</v>
      </c>
      <c r="H1943" t="s">
        <v>642</v>
      </c>
      <c r="I1943" s="13">
        <v>44833.703101851854</v>
      </c>
      <c r="K1943" t="s">
        <v>412</v>
      </c>
      <c r="M1943" s="13">
        <v>44620</v>
      </c>
      <c r="R1943">
        <v>0</v>
      </c>
      <c r="S1943" t="s">
        <v>380</v>
      </c>
      <c r="T1943" t="s">
        <v>57</v>
      </c>
      <c r="V1943" t="s">
        <v>381</v>
      </c>
      <c r="W1943" t="s">
        <v>647</v>
      </c>
      <c r="X1943" t="s">
        <v>647</v>
      </c>
      <c r="AC1943" s="13">
        <v>44711</v>
      </c>
      <c r="AD1943" s="13">
        <v>44711</v>
      </c>
      <c r="AI1943">
        <v>-76</v>
      </c>
      <c r="AN1943" t="s">
        <v>31</v>
      </c>
      <c r="AO1943">
        <v>0</v>
      </c>
      <c r="AS1943" t="s">
        <v>538</v>
      </c>
      <c r="AX1943" t="s">
        <v>31</v>
      </c>
      <c r="AY1943" t="s">
        <v>442</v>
      </c>
      <c r="AZ1943" t="s">
        <v>672</v>
      </c>
      <c r="BF1943">
        <v>0</v>
      </c>
      <c r="BK1943" t="s">
        <v>31</v>
      </c>
      <c r="BS1943" t="s">
        <v>412</v>
      </c>
      <c r="CI1943" t="s">
        <v>388</v>
      </c>
      <c r="CJ1943" s="14">
        <v>45015</v>
      </c>
      <c r="CK1943">
        <v>1</v>
      </c>
    </row>
    <row r="1944" spans="1:89">
      <c r="A1944" t="s">
        <v>1185</v>
      </c>
      <c r="B1944" t="s">
        <v>374</v>
      </c>
      <c r="C1944" t="s">
        <v>1186</v>
      </c>
      <c r="D1944" t="s">
        <v>1187</v>
      </c>
      <c r="E1944" t="s">
        <v>1188</v>
      </c>
      <c r="F1944" s="13">
        <v>44694.775405092594</v>
      </c>
      <c r="G1944" t="s">
        <v>1189</v>
      </c>
      <c r="H1944" t="s">
        <v>1190</v>
      </c>
      <c r="I1944" s="13">
        <v>44694.775439814817</v>
      </c>
      <c r="K1944" t="s">
        <v>412</v>
      </c>
      <c r="R1944">
        <v>0</v>
      </c>
      <c r="S1944" t="s">
        <v>380</v>
      </c>
      <c r="V1944" t="s">
        <v>381</v>
      </c>
      <c r="W1944" t="s">
        <v>1191</v>
      </c>
      <c r="X1944" t="s">
        <v>1191</v>
      </c>
      <c r="AI1944">
        <v>0</v>
      </c>
      <c r="AL1944" t="s">
        <v>1192</v>
      </c>
      <c r="AN1944" t="s">
        <v>31</v>
      </c>
      <c r="AO1944">
        <v>0</v>
      </c>
      <c r="AZ1944" t="s">
        <v>1193</v>
      </c>
      <c r="BF1944">
        <v>0</v>
      </c>
      <c r="BK1944" t="s">
        <v>31</v>
      </c>
      <c r="BS1944" t="s">
        <v>412</v>
      </c>
      <c r="BT1944" t="s">
        <v>412</v>
      </c>
      <c r="CI1944" t="s">
        <v>388</v>
      </c>
      <c r="CJ1944" s="14">
        <v>45015</v>
      </c>
      <c r="CK1944">
        <v>1</v>
      </c>
    </row>
    <row r="1945" spans="1:89">
      <c r="A1945" t="s">
        <v>1185</v>
      </c>
      <c r="B1945" t="s">
        <v>374</v>
      </c>
      <c r="C1945" t="s">
        <v>1186</v>
      </c>
      <c r="D1945" t="s">
        <v>1194</v>
      </c>
      <c r="E1945" t="s">
        <v>1188</v>
      </c>
      <c r="F1945" s="13">
        <v>44694.736921296295</v>
      </c>
      <c r="G1945" t="s">
        <v>1189</v>
      </c>
      <c r="H1945" t="s">
        <v>1190</v>
      </c>
      <c r="I1945" s="13">
        <v>44694.736944444441</v>
      </c>
      <c r="K1945" t="s">
        <v>412</v>
      </c>
      <c r="R1945">
        <v>0</v>
      </c>
      <c r="S1945" t="s">
        <v>380</v>
      </c>
      <c r="V1945" t="s">
        <v>381</v>
      </c>
      <c r="W1945" t="s">
        <v>1191</v>
      </c>
      <c r="X1945" t="s">
        <v>1191</v>
      </c>
      <c r="AI1945">
        <v>109</v>
      </c>
      <c r="AL1945" t="s">
        <v>1192</v>
      </c>
      <c r="AN1945" t="s">
        <v>31</v>
      </c>
      <c r="AO1945">
        <v>0</v>
      </c>
      <c r="AZ1945" t="s">
        <v>1195</v>
      </c>
      <c r="BF1945">
        <v>0</v>
      </c>
      <c r="BK1945" t="s">
        <v>31</v>
      </c>
      <c r="BS1945" t="s">
        <v>412</v>
      </c>
      <c r="BT1945" t="s">
        <v>412</v>
      </c>
      <c r="CI1945" t="s">
        <v>388</v>
      </c>
      <c r="CJ1945" s="14">
        <v>45015</v>
      </c>
      <c r="CK1945">
        <v>1</v>
      </c>
    </row>
    <row r="1946" spans="1:89">
      <c r="A1946" t="s">
        <v>1196</v>
      </c>
      <c r="B1946" t="s">
        <v>374</v>
      </c>
      <c r="C1946" t="s">
        <v>1182</v>
      </c>
      <c r="D1946" t="s">
        <v>1197</v>
      </c>
      <c r="E1946" t="s">
        <v>1198</v>
      </c>
      <c r="F1946" s="13">
        <v>44694.566168981481</v>
      </c>
      <c r="G1946" t="s">
        <v>1125</v>
      </c>
      <c r="H1946" t="s">
        <v>1126</v>
      </c>
      <c r="I1946" s="13">
        <v>45012.044398148151</v>
      </c>
      <c r="K1946" t="s">
        <v>415</v>
      </c>
      <c r="M1946" s="13">
        <v>44740</v>
      </c>
      <c r="R1946">
        <v>100</v>
      </c>
      <c r="S1946" t="s">
        <v>380</v>
      </c>
      <c r="T1946" t="s">
        <v>57</v>
      </c>
      <c r="V1946" t="s">
        <v>478</v>
      </c>
      <c r="W1946" t="s">
        <v>1126</v>
      </c>
      <c r="X1946" t="s">
        <v>1126</v>
      </c>
      <c r="AF1946" t="s">
        <v>382</v>
      </c>
      <c r="AG1946" t="s">
        <v>1199</v>
      </c>
      <c r="AI1946">
        <v>-272</v>
      </c>
      <c r="AL1946" t="s">
        <v>1200</v>
      </c>
      <c r="AN1946" t="s">
        <v>57</v>
      </c>
      <c r="AO1946">
        <v>0</v>
      </c>
      <c r="AS1946" t="s">
        <v>385</v>
      </c>
      <c r="AX1946" t="s">
        <v>57</v>
      </c>
      <c r="AY1946" t="s">
        <v>442</v>
      </c>
      <c r="AZ1946" t="s">
        <v>745</v>
      </c>
      <c r="BF1946">
        <v>0</v>
      </c>
      <c r="BK1946" t="s">
        <v>31</v>
      </c>
      <c r="BS1946" t="s">
        <v>1201</v>
      </c>
      <c r="BT1946" t="s">
        <v>1202</v>
      </c>
      <c r="CI1946" t="s">
        <v>388</v>
      </c>
      <c r="CJ1946" s="14">
        <v>45015</v>
      </c>
      <c r="CK1946">
        <v>1</v>
      </c>
    </row>
    <row r="1947" spans="1:89">
      <c r="A1947" t="s">
        <v>1196</v>
      </c>
      <c r="B1947" t="s">
        <v>374</v>
      </c>
      <c r="C1947" t="s">
        <v>1182</v>
      </c>
      <c r="D1947" t="s">
        <v>1203</v>
      </c>
      <c r="E1947" t="s">
        <v>1204</v>
      </c>
      <c r="F1947" s="13">
        <v>44694.551689814813</v>
      </c>
      <c r="G1947" t="s">
        <v>1125</v>
      </c>
      <c r="H1947" t="s">
        <v>1126</v>
      </c>
      <c r="I1947" s="13">
        <v>44694.673750000002</v>
      </c>
      <c r="K1947" t="s">
        <v>379</v>
      </c>
      <c r="M1947" s="13">
        <v>44770</v>
      </c>
      <c r="R1947">
        <v>100</v>
      </c>
      <c r="S1947" t="s">
        <v>416</v>
      </c>
      <c r="T1947" t="s">
        <v>57</v>
      </c>
      <c r="V1947" t="s">
        <v>381</v>
      </c>
      <c r="W1947" t="s">
        <v>1205</v>
      </c>
      <c r="X1947" t="s">
        <v>1205</v>
      </c>
      <c r="AF1947" t="s">
        <v>382</v>
      </c>
      <c r="AG1947" t="s">
        <v>1206</v>
      </c>
      <c r="AI1947">
        <v>76</v>
      </c>
      <c r="AL1947" t="s">
        <v>1200</v>
      </c>
      <c r="AM1947">
        <v>1</v>
      </c>
      <c r="AN1947" t="s">
        <v>31</v>
      </c>
      <c r="AO1947">
        <v>0</v>
      </c>
      <c r="AS1947" t="s">
        <v>385</v>
      </c>
      <c r="AX1947" t="s">
        <v>57</v>
      </c>
      <c r="AY1947" t="s">
        <v>442</v>
      </c>
      <c r="AZ1947" t="s">
        <v>1204</v>
      </c>
      <c r="BF1947">
        <v>0</v>
      </c>
      <c r="BK1947" t="s">
        <v>31</v>
      </c>
      <c r="BS1947" t="s">
        <v>379</v>
      </c>
      <c r="BT1947" t="s">
        <v>379</v>
      </c>
      <c r="CI1947" t="s">
        <v>388</v>
      </c>
      <c r="CJ1947" s="14">
        <v>45015</v>
      </c>
      <c r="CK1947">
        <v>1</v>
      </c>
    </row>
    <row r="1948" spans="1:89">
      <c r="A1948" t="s">
        <v>673</v>
      </c>
      <c r="B1948" t="s">
        <v>374</v>
      </c>
      <c r="C1948" t="s">
        <v>674</v>
      </c>
      <c r="D1948" t="s">
        <v>1207</v>
      </c>
      <c r="E1948" t="s">
        <v>406</v>
      </c>
      <c r="F1948" s="13">
        <v>44694.483888888892</v>
      </c>
      <c r="G1948" t="s">
        <v>1208</v>
      </c>
      <c r="H1948" t="s">
        <v>1209</v>
      </c>
      <c r="I1948" s="13">
        <v>44694.56821759259</v>
      </c>
      <c r="K1948" t="s">
        <v>379</v>
      </c>
      <c r="M1948" s="13">
        <v>44784</v>
      </c>
      <c r="R1948">
        <v>100</v>
      </c>
      <c r="S1948" t="s">
        <v>380</v>
      </c>
      <c r="T1948" t="s">
        <v>57</v>
      </c>
      <c r="V1948" t="s">
        <v>381</v>
      </c>
      <c r="W1948" t="s">
        <v>1210</v>
      </c>
      <c r="X1948" t="s">
        <v>1210</v>
      </c>
      <c r="AB1948" t="s">
        <v>57</v>
      </c>
      <c r="AC1948" s="13">
        <v>44809</v>
      </c>
      <c r="AD1948" s="13">
        <v>44788</v>
      </c>
      <c r="AF1948" t="s">
        <v>382</v>
      </c>
      <c r="AG1948" t="s">
        <v>406</v>
      </c>
      <c r="AI1948">
        <v>90</v>
      </c>
      <c r="AL1948" t="s">
        <v>1211</v>
      </c>
      <c r="AN1948" t="s">
        <v>57</v>
      </c>
      <c r="AO1948">
        <v>0</v>
      </c>
      <c r="AS1948" t="s">
        <v>461</v>
      </c>
      <c r="AX1948" t="s">
        <v>57</v>
      </c>
      <c r="AY1948" t="s">
        <v>386</v>
      </c>
      <c r="AZ1948" t="s">
        <v>1212</v>
      </c>
      <c r="BC1948" t="s">
        <v>480</v>
      </c>
      <c r="BD1948" t="s">
        <v>406</v>
      </c>
      <c r="BF1948">
        <v>0</v>
      </c>
      <c r="BK1948" t="s">
        <v>31</v>
      </c>
      <c r="BS1948" t="s">
        <v>379</v>
      </c>
      <c r="BT1948" t="s">
        <v>379</v>
      </c>
      <c r="CC1948" t="s">
        <v>1213</v>
      </c>
      <c r="CI1948" t="s">
        <v>388</v>
      </c>
      <c r="CJ1948" s="14">
        <v>45015</v>
      </c>
      <c r="CK1948">
        <v>1</v>
      </c>
    </row>
    <row r="1949" spans="1:89">
      <c r="A1949" t="s">
        <v>673</v>
      </c>
      <c r="B1949" t="s">
        <v>374</v>
      </c>
      <c r="C1949" t="s">
        <v>674</v>
      </c>
      <c r="D1949" t="s">
        <v>1214</v>
      </c>
      <c r="E1949" t="s">
        <v>406</v>
      </c>
      <c r="F1949" s="13">
        <v>44694.477835648147</v>
      </c>
      <c r="G1949" t="s">
        <v>1208</v>
      </c>
      <c r="H1949" t="s">
        <v>1209</v>
      </c>
      <c r="I1949" s="13">
        <v>44694.495983796296</v>
      </c>
      <c r="K1949" t="s">
        <v>379</v>
      </c>
      <c r="M1949" s="13">
        <v>44784</v>
      </c>
      <c r="R1949">
        <v>100</v>
      </c>
      <c r="S1949" t="s">
        <v>416</v>
      </c>
      <c r="T1949" t="s">
        <v>31</v>
      </c>
      <c r="V1949" t="s">
        <v>381</v>
      </c>
      <c r="W1949" t="s">
        <v>1209</v>
      </c>
      <c r="X1949" t="s">
        <v>1209</v>
      </c>
      <c r="AF1949" t="s">
        <v>382</v>
      </c>
      <c r="AG1949" t="s">
        <v>406</v>
      </c>
      <c r="AI1949">
        <v>90</v>
      </c>
      <c r="AL1949" t="s">
        <v>1211</v>
      </c>
      <c r="AM1949">
        <v>1</v>
      </c>
      <c r="AN1949" t="s">
        <v>31</v>
      </c>
      <c r="AO1949">
        <v>0</v>
      </c>
      <c r="AS1949" t="s">
        <v>522</v>
      </c>
      <c r="AX1949" t="s">
        <v>31</v>
      </c>
      <c r="AY1949" t="s">
        <v>442</v>
      </c>
      <c r="AZ1949" t="s">
        <v>1215</v>
      </c>
      <c r="BF1949">
        <v>0</v>
      </c>
      <c r="BK1949" t="s">
        <v>31</v>
      </c>
      <c r="BS1949" t="s">
        <v>379</v>
      </c>
      <c r="BT1949" t="s">
        <v>379</v>
      </c>
      <c r="CI1949" t="s">
        <v>388</v>
      </c>
      <c r="CJ1949" s="14">
        <v>45015</v>
      </c>
      <c r="CK1949">
        <v>1</v>
      </c>
    </row>
    <row r="1950" spans="1:89">
      <c r="A1950" t="s">
        <v>673</v>
      </c>
      <c r="B1950" t="s">
        <v>374</v>
      </c>
      <c r="C1950" t="s">
        <v>674</v>
      </c>
      <c r="D1950" t="s">
        <v>1216</v>
      </c>
      <c r="E1950" t="s">
        <v>406</v>
      </c>
      <c r="F1950" s="13">
        <v>44694.476412037038</v>
      </c>
      <c r="G1950" t="s">
        <v>1208</v>
      </c>
      <c r="H1950" t="s">
        <v>1209</v>
      </c>
      <c r="I1950" s="13">
        <v>44694.569525462961</v>
      </c>
      <c r="K1950" t="s">
        <v>379</v>
      </c>
      <c r="M1950" s="13">
        <v>44819</v>
      </c>
      <c r="R1950">
        <v>100</v>
      </c>
      <c r="S1950" t="s">
        <v>380</v>
      </c>
      <c r="T1950" t="s">
        <v>57</v>
      </c>
      <c r="V1950" t="s">
        <v>381</v>
      </c>
      <c r="W1950" t="s">
        <v>1209</v>
      </c>
      <c r="X1950" t="s">
        <v>1209</v>
      </c>
      <c r="AF1950" t="s">
        <v>382</v>
      </c>
      <c r="AG1950" t="s">
        <v>406</v>
      </c>
      <c r="AI1950">
        <v>125</v>
      </c>
      <c r="AL1950" t="s">
        <v>1211</v>
      </c>
      <c r="AN1950" t="s">
        <v>31</v>
      </c>
      <c r="AO1950">
        <v>0</v>
      </c>
      <c r="AS1950" t="s">
        <v>385</v>
      </c>
      <c r="AX1950" t="s">
        <v>31</v>
      </c>
      <c r="AY1950" t="s">
        <v>442</v>
      </c>
      <c r="AZ1950" t="s">
        <v>1217</v>
      </c>
      <c r="BF1950">
        <v>0</v>
      </c>
      <c r="BK1950" t="s">
        <v>31</v>
      </c>
      <c r="BS1950" t="s">
        <v>379</v>
      </c>
      <c r="BT1950" t="s">
        <v>379</v>
      </c>
      <c r="CI1950" t="s">
        <v>388</v>
      </c>
      <c r="CJ1950" s="14">
        <v>45015</v>
      </c>
      <c r="CK1950">
        <v>1</v>
      </c>
    </row>
    <row r="1951" spans="1:89">
      <c r="A1951" t="s">
        <v>1218</v>
      </c>
      <c r="B1951" t="s">
        <v>374</v>
      </c>
      <c r="C1951" t="s">
        <v>1219</v>
      </c>
      <c r="D1951" t="s">
        <v>1220</v>
      </c>
      <c r="E1951" t="s">
        <v>406</v>
      </c>
      <c r="F1951" s="13">
        <v>44694.440717592595</v>
      </c>
      <c r="G1951" t="s">
        <v>1208</v>
      </c>
      <c r="H1951" t="s">
        <v>1209</v>
      </c>
      <c r="I1951" s="13">
        <v>44694.451631944445</v>
      </c>
      <c r="K1951" t="s">
        <v>379</v>
      </c>
      <c r="M1951" s="13">
        <v>44917</v>
      </c>
      <c r="R1951">
        <v>100</v>
      </c>
      <c r="S1951" t="s">
        <v>380</v>
      </c>
      <c r="T1951" t="s">
        <v>57</v>
      </c>
      <c r="V1951" t="s">
        <v>381</v>
      </c>
      <c r="W1951" t="s">
        <v>1209</v>
      </c>
      <c r="X1951" t="s">
        <v>1209</v>
      </c>
      <c r="AF1951" t="s">
        <v>382</v>
      </c>
      <c r="AG1951" t="s">
        <v>406</v>
      </c>
      <c r="AI1951">
        <v>223</v>
      </c>
      <c r="AL1951" t="s">
        <v>1221</v>
      </c>
      <c r="AN1951" t="s">
        <v>31</v>
      </c>
      <c r="AO1951">
        <v>0</v>
      </c>
      <c r="AS1951" t="s">
        <v>522</v>
      </c>
      <c r="AX1951" t="s">
        <v>57</v>
      </c>
      <c r="AY1951" t="s">
        <v>386</v>
      </c>
      <c r="AZ1951" t="s">
        <v>1222</v>
      </c>
      <c r="BF1951">
        <v>0</v>
      </c>
      <c r="BK1951" t="s">
        <v>31</v>
      </c>
      <c r="BS1951" t="s">
        <v>379</v>
      </c>
      <c r="BT1951" t="s">
        <v>379</v>
      </c>
      <c r="CI1951" t="s">
        <v>388</v>
      </c>
      <c r="CJ1951" s="14">
        <v>45015</v>
      </c>
      <c r="CK1951">
        <v>1</v>
      </c>
    </row>
    <row r="1952" spans="1:89">
      <c r="A1952" t="s">
        <v>1218</v>
      </c>
      <c r="B1952" t="s">
        <v>374</v>
      </c>
      <c r="C1952" t="s">
        <v>1219</v>
      </c>
      <c r="D1952" t="s">
        <v>1223</v>
      </c>
      <c r="E1952" t="s">
        <v>406</v>
      </c>
      <c r="F1952" s="13">
        <v>44694.423657407409</v>
      </c>
      <c r="G1952" t="s">
        <v>1208</v>
      </c>
      <c r="H1952" t="s">
        <v>1209</v>
      </c>
      <c r="I1952" s="13">
        <v>44694.445833333331</v>
      </c>
      <c r="K1952" t="s">
        <v>379</v>
      </c>
      <c r="M1952" s="13">
        <v>44784</v>
      </c>
      <c r="R1952">
        <v>100</v>
      </c>
      <c r="S1952" t="s">
        <v>416</v>
      </c>
      <c r="T1952" t="s">
        <v>57</v>
      </c>
      <c r="V1952" t="s">
        <v>381</v>
      </c>
      <c r="W1952" t="s">
        <v>1209</v>
      </c>
      <c r="X1952" t="s">
        <v>1209</v>
      </c>
      <c r="AF1952" t="s">
        <v>382</v>
      </c>
      <c r="AG1952" t="s">
        <v>406</v>
      </c>
      <c r="AI1952">
        <v>90</v>
      </c>
      <c r="AL1952" t="s">
        <v>1221</v>
      </c>
      <c r="AM1952">
        <v>1</v>
      </c>
      <c r="AN1952" t="s">
        <v>31</v>
      </c>
      <c r="AO1952">
        <v>0</v>
      </c>
      <c r="AS1952" t="s">
        <v>526</v>
      </c>
      <c r="AX1952" t="s">
        <v>31</v>
      </c>
      <c r="AY1952" t="s">
        <v>386</v>
      </c>
      <c r="AZ1952" t="s">
        <v>1215</v>
      </c>
      <c r="BF1952">
        <v>0</v>
      </c>
      <c r="BK1952" t="s">
        <v>31</v>
      </c>
      <c r="BS1952" t="s">
        <v>379</v>
      </c>
      <c r="BT1952" t="s">
        <v>379</v>
      </c>
      <c r="CI1952" t="s">
        <v>388</v>
      </c>
      <c r="CJ1952" s="14">
        <v>45015</v>
      </c>
      <c r="CK1952">
        <v>1</v>
      </c>
    </row>
    <row r="1953" spans="1:89">
      <c r="A1953" t="s">
        <v>1224</v>
      </c>
      <c r="B1953" t="s">
        <v>374</v>
      </c>
      <c r="C1953" t="s">
        <v>1225</v>
      </c>
      <c r="D1953" t="s">
        <v>1226</v>
      </c>
      <c r="E1953" t="s">
        <v>1227</v>
      </c>
      <c r="F1953" s="13">
        <v>44693.673796296294</v>
      </c>
      <c r="G1953" t="s">
        <v>1228</v>
      </c>
      <c r="H1953" t="s">
        <v>1229</v>
      </c>
      <c r="I1953" s="13">
        <v>44694.511446759258</v>
      </c>
      <c r="K1953" t="s">
        <v>379</v>
      </c>
      <c r="M1953" s="13">
        <v>44784</v>
      </c>
      <c r="R1953">
        <v>100</v>
      </c>
      <c r="S1953" t="s">
        <v>380</v>
      </c>
      <c r="T1953" t="s">
        <v>57</v>
      </c>
      <c r="V1953" t="s">
        <v>381</v>
      </c>
      <c r="W1953" t="s">
        <v>1230</v>
      </c>
      <c r="X1953" t="s">
        <v>1230</v>
      </c>
      <c r="AB1953" t="s">
        <v>57</v>
      </c>
      <c r="AF1953" t="s">
        <v>382</v>
      </c>
      <c r="AG1953" t="s">
        <v>383</v>
      </c>
      <c r="AI1953">
        <v>91</v>
      </c>
      <c r="AL1953" t="s">
        <v>1231</v>
      </c>
      <c r="AN1953" t="s">
        <v>57</v>
      </c>
      <c r="AO1953">
        <v>0</v>
      </c>
      <c r="AS1953" t="s">
        <v>526</v>
      </c>
      <c r="AX1953" t="s">
        <v>57</v>
      </c>
      <c r="AY1953" t="s">
        <v>386</v>
      </c>
      <c r="AZ1953" t="s">
        <v>1232</v>
      </c>
      <c r="BC1953" t="s">
        <v>480</v>
      </c>
      <c r="BD1953" t="s">
        <v>1233</v>
      </c>
      <c r="BF1953">
        <v>0</v>
      </c>
      <c r="BK1953" t="s">
        <v>31</v>
      </c>
      <c r="BS1953" t="s">
        <v>379</v>
      </c>
      <c r="BT1953" t="s">
        <v>379</v>
      </c>
      <c r="CC1953" t="s">
        <v>1234</v>
      </c>
      <c r="CI1953" t="s">
        <v>388</v>
      </c>
      <c r="CJ1953" s="14">
        <v>45015</v>
      </c>
      <c r="CK1953">
        <v>1</v>
      </c>
    </row>
    <row r="1954" spans="1:89">
      <c r="A1954" t="s">
        <v>1235</v>
      </c>
      <c r="B1954" t="s">
        <v>374</v>
      </c>
      <c r="C1954" t="s">
        <v>1236</v>
      </c>
      <c r="D1954" t="s">
        <v>1237</v>
      </c>
      <c r="E1954" t="s">
        <v>1238</v>
      </c>
      <c r="F1954" s="13">
        <v>44693.670543981483</v>
      </c>
      <c r="G1954" t="s">
        <v>1239</v>
      </c>
      <c r="H1954" t="s">
        <v>1240</v>
      </c>
      <c r="I1954" s="13">
        <v>44694.509363425925</v>
      </c>
      <c r="K1954" t="s">
        <v>379</v>
      </c>
      <c r="M1954" s="13">
        <v>44960</v>
      </c>
      <c r="R1954">
        <v>100</v>
      </c>
      <c r="S1954" t="s">
        <v>380</v>
      </c>
      <c r="T1954" t="s">
        <v>57</v>
      </c>
      <c r="V1954" t="s">
        <v>381</v>
      </c>
      <c r="W1954" t="s">
        <v>1240</v>
      </c>
      <c r="X1954" t="s">
        <v>1240</v>
      </c>
      <c r="AB1954" t="s">
        <v>57</v>
      </c>
      <c r="AF1954" t="s">
        <v>382</v>
      </c>
      <c r="AG1954" t="s">
        <v>1241</v>
      </c>
      <c r="AI1954">
        <v>267</v>
      </c>
      <c r="AL1954" t="s">
        <v>1242</v>
      </c>
      <c r="AN1954" t="s">
        <v>31</v>
      </c>
      <c r="AO1954">
        <v>0</v>
      </c>
      <c r="AS1954" t="s">
        <v>385</v>
      </c>
      <c r="AX1954" t="s">
        <v>31</v>
      </c>
      <c r="AY1954" t="s">
        <v>386</v>
      </c>
      <c r="AZ1954" t="s">
        <v>1243</v>
      </c>
      <c r="BC1954" t="s">
        <v>480</v>
      </c>
      <c r="BD1954" t="s">
        <v>1244</v>
      </c>
      <c r="BF1954">
        <v>0</v>
      </c>
      <c r="BK1954" t="s">
        <v>31</v>
      </c>
      <c r="BS1954" t="s">
        <v>379</v>
      </c>
      <c r="BT1954" t="s">
        <v>379</v>
      </c>
      <c r="CC1954" t="s">
        <v>1245</v>
      </c>
      <c r="CI1954" t="s">
        <v>388</v>
      </c>
      <c r="CJ1954" s="14">
        <v>45015</v>
      </c>
      <c r="CK1954">
        <v>1</v>
      </c>
    </row>
    <row r="1955" spans="1:89">
      <c r="A1955" t="s">
        <v>1224</v>
      </c>
      <c r="B1955" t="s">
        <v>374</v>
      </c>
      <c r="C1955" t="s">
        <v>1225</v>
      </c>
      <c r="D1955" t="s">
        <v>1246</v>
      </c>
      <c r="E1955" t="s">
        <v>1247</v>
      </c>
      <c r="F1955" s="13">
        <v>44693.657916666663</v>
      </c>
      <c r="G1955" t="s">
        <v>1228</v>
      </c>
      <c r="H1955" t="s">
        <v>1229</v>
      </c>
      <c r="I1955" s="13">
        <v>44693.689259259256</v>
      </c>
      <c r="K1955" t="s">
        <v>379</v>
      </c>
      <c r="M1955" s="13">
        <v>44781</v>
      </c>
      <c r="R1955">
        <v>100</v>
      </c>
      <c r="S1955" t="s">
        <v>416</v>
      </c>
      <c r="T1955" t="s">
        <v>57</v>
      </c>
      <c r="V1955" t="s">
        <v>381</v>
      </c>
      <c r="W1955" t="s">
        <v>1240</v>
      </c>
      <c r="X1955" t="s">
        <v>1240</v>
      </c>
      <c r="AF1955" t="s">
        <v>382</v>
      </c>
      <c r="AG1955" t="s">
        <v>1248</v>
      </c>
      <c r="AI1955">
        <v>88</v>
      </c>
      <c r="AL1955" t="s">
        <v>1231</v>
      </c>
      <c r="AM1955">
        <v>1</v>
      </c>
      <c r="AN1955" t="s">
        <v>31</v>
      </c>
      <c r="AO1955">
        <v>0</v>
      </c>
      <c r="AS1955" t="s">
        <v>526</v>
      </c>
      <c r="AX1955" t="s">
        <v>31</v>
      </c>
      <c r="AY1955" t="s">
        <v>386</v>
      </c>
      <c r="AZ1955" t="s">
        <v>1249</v>
      </c>
      <c r="BF1955">
        <v>0</v>
      </c>
      <c r="BK1955" t="s">
        <v>31</v>
      </c>
      <c r="BS1955" t="s">
        <v>379</v>
      </c>
      <c r="BT1955" t="s">
        <v>379</v>
      </c>
      <c r="CI1955" t="s">
        <v>388</v>
      </c>
      <c r="CJ1955" s="14">
        <v>45015</v>
      </c>
      <c r="CK1955">
        <v>1</v>
      </c>
    </row>
    <row r="1956" spans="1:89">
      <c r="A1956" t="s">
        <v>1235</v>
      </c>
      <c r="B1956" t="s">
        <v>374</v>
      </c>
      <c r="C1956" t="s">
        <v>1236</v>
      </c>
      <c r="D1956" t="s">
        <v>1250</v>
      </c>
      <c r="E1956" t="s">
        <v>1251</v>
      </c>
      <c r="F1956" s="13">
        <v>44693.657442129632</v>
      </c>
      <c r="G1956" t="s">
        <v>1239</v>
      </c>
      <c r="H1956" t="s">
        <v>1240</v>
      </c>
      <c r="I1956" s="13">
        <v>44693.687673611108</v>
      </c>
      <c r="K1956" t="s">
        <v>379</v>
      </c>
      <c r="M1956" s="13">
        <v>44776</v>
      </c>
      <c r="R1956">
        <v>100</v>
      </c>
      <c r="S1956" t="s">
        <v>416</v>
      </c>
      <c r="T1956" t="s">
        <v>57</v>
      </c>
      <c r="V1956" t="s">
        <v>381</v>
      </c>
      <c r="W1956" t="s">
        <v>1240</v>
      </c>
      <c r="X1956" t="s">
        <v>1240</v>
      </c>
      <c r="AF1956" t="s">
        <v>382</v>
      </c>
      <c r="AG1956" t="s">
        <v>1252</v>
      </c>
      <c r="AI1956">
        <v>83</v>
      </c>
      <c r="AL1956" t="s">
        <v>1242</v>
      </c>
      <c r="AM1956">
        <v>1</v>
      </c>
      <c r="AN1956" t="s">
        <v>31</v>
      </c>
      <c r="AO1956">
        <v>0</v>
      </c>
      <c r="AS1956" t="s">
        <v>461</v>
      </c>
      <c r="AX1956" t="s">
        <v>31</v>
      </c>
      <c r="AY1956" t="s">
        <v>386</v>
      </c>
      <c r="AZ1956" t="s">
        <v>1253</v>
      </c>
      <c r="BF1956">
        <v>0</v>
      </c>
      <c r="BK1956" t="s">
        <v>31</v>
      </c>
      <c r="BS1956" t="s">
        <v>379</v>
      </c>
      <c r="BT1956" t="s">
        <v>379</v>
      </c>
      <c r="CI1956" t="s">
        <v>388</v>
      </c>
      <c r="CJ1956" s="14">
        <v>45015</v>
      </c>
      <c r="CK1956">
        <v>1</v>
      </c>
    </row>
    <row r="1957" spans="1:89">
      <c r="A1957" t="s">
        <v>1235</v>
      </c>
      <c r="B1957" t="s">
        <v>374</v>
      </c>
      <c r="C1957" t="s">
        <v>1236</v>
      </c>
      <c r="D1957" t="s">
        <v>1254</v>
      </c>
      <c r="E1957" t="s">
        <v>1255</v>
      </c>
      <c r="F1957" s="13">
        <v>44693.653969907406</v>
      </c>
      <c r="G1957" t="s">
        <v>1239</v>
      </c>
      <c r="H1957" t="s">
        <v>1240</v>
      </c>
      <c r="I1957" s="13">
        <v>44694.491446759261</v>
      </c>
      <c r="K1957" t="s">
        <v>379</v>
      </c>
      <c r="M1957" s="13">
        <v>44778</v>
      </c>
      <c r="R1957">
        <v>100</v>
      </c>
      <c r="S1957" t="s">
        <v>380</v>
      </c>
      <c r="T1957" t="s">
        <v>57</v>
      </c>
      <c r="V1957" t="s">
        <v>381</v>
      </c>
      <c r="W1957" t="s">
        <v>1240</v>
      </c>
      <c r="X1957" t="s">
        <v>1240</v>
      </c>
      <c r="AF1957" t="s">
        <v>382</v>
      </c>
      <c r="AG1957" t="s">
        <v>1256</v>
      </c>
      <c r="AI1957">
        <v>85</v>
      </c>
      <c r="AL1957" t="s">
        <v>1242</v>
      </c>
      <c r="AN1957" t="s">
        <v>31</v>
      </c>
      <c r="AO1957">
        <v>0</v>
      </c>
      <c r="AS1957" t="s">
        <v>648</v>
      </c>
      <c r="AX1957" t="s">
        <v>31</v>
      </c>
      <c r="AY1957" t="s">
        <v>386</v>
      </c>
      <c r="AZ1957" t="s">
        <v>1257</v>
      </c>
      <c r="BF1957">
        <v>0</v>
      </c>
      <c r="BK1957" t="s">
        <v>31</v>
      </c>
      <c r="BS1957" t="s">
        <v>379</v>
      </c>
      <c r="BT1957" t="s">
        <v>379</v>
      </c>
      <c r="CI1957" t="s">
        <v>388</v>
      </c>
      <c r="CJ1957" s="14">
        <v>45015</v>
      </c>
      <c r="CK1957">
        <v>1</v>
      </c>
    </row>
    <row r="1958" spans="1:89">
      <c r="A1958" t="s">
        <v>1224</v>
      </c>
      <c r="B1958" t="s">
        <v>374</v>
      </c>
      <c r="C1958" t="s">
        <v>1225</v>
      </c>
      <c r="D1958" t="s">
        <v>1258</v>
      </c>
      <c r="E1958" t="s">
        <v>1259</v>
      </c>
      <c r="F1958" s="13">
        <v>44693.653599537036</v>
      </c>
      <c r="G1958" t="s">
        <v>1228</v>
      </c>
      <c r="H1958" t="s">
        <v>1229</v>
      </c>
      <c r="I1958" s="13">
        <v>44694.492048611108</v>
      </c>
      <c r="K1958" t="s">
        <v>379</v>
      </c>
      <c r="M1958" s="13">
        <v>44784</v>
      </c>
      <c r="R1958">
        <v>100</v>
      </c>
      <c r="S1958" t="s">
        <v>380</v>
      </c>
      <c r="T1958" t="s">
        <v>57</v>
      </c>
      <c r="V1958" t="s">
        <v>381</v>
      </c>
      <c r="W1958" t="s">
        <v>1240</v>
      </c>
      <c r="X1958" t="s">
        <v>1240</v>
      </c>
      <c r="AF1958" t="s">
        <v>382</v>
      </c>
      <c r="AG1958" t="s">
        <v>1260</v>
      </c>
      <c r="AI1958">
        <v>91</v>
      </c>
      <c r="AJ1958" s="13">
        <v>44785</v>
      </c>
      <c r="AL1958" t="s">
        <v>1231</v>
      </c>
      <c r="AN1958" t="s">
        <v>31</v>
      </c>
      <c r="AO1958">
        <v>0</v>
      </c>
      <c r="AS1958" t="s">
        <v>385</v>
      </c>
      <c r="AX1958" t="s">
        <v>31</v>
      </c>
      <c r="AY1958" t="s">
        <v>386</v>
      </c>
      <c r="AZ1958" t="s">
        <v>1261</v>
      </c>
      <c r="BF1958">
        <v>0</v>
      </c>
      <c r="BK1958" t="s">
        <v>31</v>
      </c>
      <c r="BS1958" t="s">
        <v>379</v>
      </c>
      <c r="BT1958" t="s">
        <v>379</v>
      </c>
      <c r="CI1958" t="s">
        <v>388</v>
      </c>
      <c r="CJ1958" s="14">
        <v>45015</v>
      </c>
      <c r="CK1958">
        <v>1</v>
      </c>
    </row>
    <row r="1959" spans="1:89">
      <c r="A1959" t="s">
        <v>454</v>
      </c>
      <c r="B1959" t="s">
        <v>374</v>
      </c>
      <c r="C1959" t="s">
        <v>455</v>
      </c>
      <c r="D1959" t="s">
        <v>1262</v>
      </c>
      <c r="E1959" t="s">
        <v>1263</v>
      </c>
      <c r="F1959" s="13">
        <v>44693.577951388892</v>
      </c>
      <c r="G1959" t="s">
        <v>1264</v>
      </c>
      <c r="H1959" t="s">
        <v>1265</v>
      </c>
      <c r="I1959" s="13">
        <v>44693.579050925924</v>
      </c>
      <c r="K1959" t="s">
        <v>412</v>
      </c>
      <c r="R1959">
        <v>0</v>
      </c>
      <c r="S1959" t="s">
        <v>380</v>
      </c>
      <c r="T1959" t="s">
        <v>57</v>
      </c>
      <c r="V1959" t="s">
        <v>381</v>
      </c>
      <c r="W1959" t="s">
        <v>1266</v>
      </c>
      <c r="X1959" t="s">
        <v>1266</v>
      </c>
      <c r="AI1959">
        <v>49</v>
      </c>
      <c r="AL1959" t="s">
        <v>1267</v>
      </c>
      <c r="AN1959" t="s">
        <v>31</v>
      </c>
      <c r="AO1959">
        <v>0</v>
      </c>
      <c r="AS1959" t="s">
        <v>385</v>
      </c>
      <c r="AX1959" t="s">
        <v>57</v>
      </c>
      <c r="AY1959" t="s">
        <v>386</v>
      </c>
      <c r="AZ1959" t="s">
        <v>1268</v>
      </c>
      <c r="BE1959" t="s">
        <v>1269</v>
      </c>
      <c r="BF1959">
        <v>0</v>
      </c>
      <c r="BK1959" t="s">
        <v>31</v>
      </c>
      <c r="BS1959" t="s">
        <v>412</v>
      </c>
      <c r="BT1959" t="s">
        <v>412</v>
      </c>
      <c r="CI1959" t="s">
        <v>388</v>
      </c>
      <c r="CJ1959" s="14">
        <v>45015</v>
      </c>
      <c r="CK1959">
        <v>1</v>
      </c>
    </row>
    <row r="1960" spans="1:89">
      <c r="A1960" t="s">
        <v>404</v>
      </c>
      <c r="B1960" t="s">
        <v>374</v>
      </c>
      <c r="C1960" t="s">
        <v>375</v>
      </c>
      <c r="D1960" t="s">
        <v>1270</v>
      </c>
      <c r="E1960" t="s">
        <v>406</v>
      </c>
      <c r="F1960" s="13">
        <v>44693.576689814814</v>
      </c>
      <c r="G1960" t="s">
        <v>1271</v>
      </c>
      <c r="H1960" t="s">
        <v>1272</v>
      </c>
      <c r="I1960" s="13">
        <v>44693.605671296296</v>
      </c>
      <c r="K1960" t="s">
        <v>379</v>
      </c>
      <c r="M1960" s="13">
        <v>44699</v>
      </c>
      <c r="R1960">
        <v>100</v>
      </c>
      <c r="S1960" t="s">
        <v>380</v>
      </c>
      <c r="T1960" t="s">
        <v>57</v>
      </c>
      <c r="V1960" t="s">
        <v>381</v>
      </c>
      <c r="W1960" t="s">
        <v>1273</v>
      </c>
      <c r="X1960" t="s">
        <v>1273</v>
      </c>
      <c r="AF1960" t="s">
        <v>382</v>
      </c>
      <c r="AG1960" t="s">
        <v>406</v>
      </c>
      <c r="AI1960">
        <v>6</v>
      </c>
      <c r="AL1960" t="s">
        <v>1274</v>
      </c>
      <c r="AN1960" t="s">
        <v>31</v>
      </c>
      <c r="AO1960">
        <v>0</v>
      </c>
      <c r="AS1960" t="s">
        <v>526</v>
      </c>
      <c r="AX1960" t="s">
        <v>31</v>
      </c>
      <c r="AY1960" t="s">
        <v>442</v>
      </c>
      <c r="AZ1960" t="s">
        <v>1275</v>
      </c>
      <c r="BF1960">
        <v>0</v>
      </c>
      <c r="BK1960" t="s">
        <v>31</v>
      </c>
      <c r="BS1960" t="s">
        <v>379</v>
      </c>
      <c r="BT1960" t="s">
        <v>379</v>
      </c>
      <c r="CI1960" t="s">
        <v>388</v>
      </c>
      <c r="CJ1960" s="14">
        <v>45015</v>
      </c>
      <c r="CK1960">
        <v>1</v>
      </c>
    </row>
    <row r="1961" spans="1:89">
      <c r="A1961" t="s">
        <v>454</v>
      </c>
      <c r="B1961" t="s">
        <v>374</v>
      </c>
      <c r="C1961" t="s">
        <v>455</v>
      </c>
      <c r="D1961" t="s">
        <v>1276</v>
      </c>
      <c r="E1961" t="s">
        <v>1277</v>
      </c>
      <c r="F1961" s="13">
        <v>44693.576423611114</v>
      </c>
      <c r="G1961" t="s">
        <v>1264</v>
      </c>
      <c r="H1961" t="s">
        <v>1265</v>
      </c>
      <c r="I1961" s="13">
        <v>44693.57707175926</v>
      </c>
      <c r="K1961" t="s">
        <v>412</v>
      </c>
      <c r="R1961">
        <v>0</v>
      </c>
      <c r="S1961" t="s">
        <v>380</v>
      </c>
      <c r="T1961" t="s">
        <v>57</v>
      </c>
      <c r="V1961" t="s">
        <v>381</v>
      </c>
      <c r="W1961" t="s">
        <v>1266</v>
      </c>
      <c r="X1961" t="s">
        <v>1266</v>
      </c>
      <c r="AI1961">
        <v>49</v>
      </c>
      <c r="AL1961" t="s">
        <v>1267</v>
      </c>
      <c r="AN1961" t="s">
        <v>31</v>
      </c>
      <c r="AO1961">
        <v>0</v>
      </c>
      <c r="AS1961" t="s">
        <v>385</v>
      </c>
      <c r="AX1961" t="s">
        <v>57</v>
      </c>
      <c r="AY1961" t="s">
        <v>386</v>
      </c>
      <c r="AZ1961" t="s">
        <v>1278</v>
      </c>
      <c r="BE1961" t="s">
        <v>1279</v>
      </c>
      <c r="BF1961">
        <v>0</v>
      </c>
      <c r="BK1961" t="s">
        <v>31</v>
      </c>
      <c r="BS1961" t="s">
        <v>412</v>
      </c>
      <c r="BT1961" t="s">
        <v>412</v>
      </c>
      <c r="CI1961" t="s">
        <v>388</v>
      </c>
      <c r="CJ1961" s="14">
        <v>45015</v>
      </c>
      <c r="CK1961">
        <v>1</v>
      </c>
    </row>
    <row r="1962" spans="1:89">
      <c r="A1962" t="s">
        <v>454</v>
      </c>
      <c r="B1962" t="s">
        <v>374</v>
      </c>
      <c r="C1962" t="s">
        <v>455</v>
      </c>
      <c r="D1962" t="s">
        <v>1280</v>
      </c>
      <c r="E1962" t="s">
        <v>1281</v>
      </c>
      <c r="F1962" s="13">
        <v>44693.575023148151</v>
      </c>
      <c r="G1962" t="s">
        <v>1264</v>
      </c>
      <c r="H1962" t="s">
        <v>1265</v>
      </c>
      <c r="I1962" s="13">
        <v>44693.575509259259</v>
      </c>
      <c r="K1962" t="s">
        <v>412</v>
      </c>
      <c r="R1962">
        <v>0</v>
      </c>
      <c r="S1962" t="s">
        <v>380</v>
      </c>
      <c r="T1962" t="s">
        <v>57</v>
      </c>
      <c r="V1962" t="s">
        <v>381</v>
      </c>
      <c r="W1962" t="s">
        <v>1266</v>
      </c>
      <c r="X1962" t="s">
        <v>1266</v>
      </c>
      <c r="AI1962">
        <v>49</v>
      </c>
      <c r="AL1962" t="s">
        <v>1267</v>
      </c>
      <c r="AN1962" t="s">
        <v>31</v>
      </c>
      <c r="AO1962">
        <v>0</v>
      </c>
      <c r="AS1962" t="s">
        <v>385</v>
      </c>
      <c r="AX1962" t="s">
        <v>57</v>
      </c>
      <c r="AY1962" t="s">
        <v>386</v>
      </c>
      <c r="AZ1962" t="s">
        <v>1282</v>
      </c>
      <c r="BF1962">
        <v>0</v>
      </c>
      <c r="BK1962" t="s">
        <v>31</v>
      </c>
      <c r="BS1962" t="s">
        <v>412</v>
      </c>
      <c r="BT1962" t="s">
        <v>412</v>
      </c>
      <c r="CI1962" t="s">
        <v>388</v>
      </c>
      <c r="CJ1962" s="14">
        <v>45015</v>
      </c>
      <c r="CK1962">
        <v>1</v>
      </c>
    </row>
    <row r="1963" spans="1:89">
      <c r="A1963" t="s">
        <v>454</v>
      </c>
      <c r="B1963" t="s">
        <v>374</v>
      </c>
      <c r="C1963" t="s">
        <v>455</v>
      </c>
      <c r="D1963" t="s">
        <v>1283</v>
      </c>
      <c r="E1963" t="s">
        <v>1284</v>
      </c>
      <c r="F1963" s="13">
        <v>44693.573182870372</v>
      </c>
      <c r="G1963" t="s">
        <v>1264</v>
      </c>
      <c r="H1963" t="s">
        <v>1265</v>
      </c>
      <c r="I1963" s="13">
        <v>44693.573958333334</v>
      </c>
      <c r="K1963" t="s">
        <v>412</v>
      </c>
      <c r="R1963">
        <v>0</v>
      </c>
      <c r="S1963" t="s">
        <v>380</v>
      </c>
      <c r="T1963" t="s">
        <v>57</v>
      </c>
      <c r="V1963" t="s">
        <v>381</v>
      </c>
      <c r="W1963" t="s">
        <v>1266</v>
      </c>
      <c r="X1963" t="s">
        <v>1266</v>
      </c>
      <c r="AI1963">
        <v>49</v>
      </c>
      <c r="AL1963" t="s">
        <v>1267</v>
      </c>
      <c r="AN1963" t="s">
        <v>31</v>
      </c>
      <c r="AO1963">
        <v>0</v>
      </c>
      <c r="AS1963" t="s">
        <v>385</v>
      </c>
      <c r="AX1963" t="s">
        <v>57</v>
      </c>
      <c r="AY1963" t="s">
        <v>386</v>
      </c>
      <c r="AZ1963" t="s">
        <v>1285</v>
      </c>
      <c r="BE1963" t="s">
        <v>1286</v>
      </c>
      <c r="BF1963">
        <v>0</v>
      </c>
      <c r="BK1963" t="s">
        <v>31</v>
      </c>
      <c r="BS1963" t="s">
        <v>412</v>
      </c>
      <c r="BT1963" t="s">
        <v>412</v>
      </c>
      <c r="CI1963" t="s">
        <v>388</v>
      </c>
      <c r="CJ1963" s="14">
        <v>45015</v>
      </c>
      <c r="CK1963">
        <v>1</v>
      </c>
    </row>
    <row r="1964" spans="1:89">
      <c r="A1964" t="s">
        <v>404</v>
      </c>
      <c r="B1964" t="s">
        <v>374</v>
      </c>
      <c r="C1964" t="s">
        <v>375</v>
      </c>
      <c r="D1964" t="s">
        <v>1287</v>
      </c>
      <c r="E1964" t="s">
        <v>406</v>
      </c>
      <c r="F1964" s="13">
        <v>44693.571053240739</v>
      </c>
      <c r="G1964" t="s">
        <v>1271</v>
      </c>
      <c r="H1964" t="s">
        <v>1272</v>
      </c>
      <c r="I1964" s="13">
        <v>44693.574317129627</v>
      </c>
      <c r="K1964" t="s">
        <v>379</v>
      </c>
      <c r="M1964" s="13">
        <v>44705</v>
      </c>
      <c r="R1964">
        <v>100</v>
      </c>
      <c r="S1964" t="s">
        <v>380</v>
      </c>
      <c r="T1964" t="s">
        <v>57</v>
      </c>
      <c r="V1964" t="s">
        <v>381</v>
      </c>
      <c r="W1964" t="s">
        <v>1273</v>
      </c>
      <c r="X1964" t="s">
        <v>1273</v>
      </c>
      <c r="AF1964" t="s">
        <v>382</v>
      </c>
      <c r="AG1964" t="s">
        <v>1288</v>
      </c>
      <c r="AI1964">
        <v>12</v>
      </c>
      <c r="AL1964" t="s">
        <v>1274</v>
      </c>
      <c r="AN1964" t="s">
        <v>31</v>
      </c>
      <c r="AO1964">
        <v>0</v>
      </c>
      <c r="AS1964" t="s">
        <v>522</v>
      </c>
      <c r="AX1964" t="s">
        <v>31</v>
      </c>
      <c r="AY1964" t="s">
        <v>442</v>
      </c>
      <c r="AZ1964" t="s">
        <v>1275</v>
      </c>
      <c r="BF1964">
        <v>0</v>
      </c>
      <c r="BK1964" t="s">
        <v>31</v>
      </c>
      <c r="BS1964" t="s">
        <v>379</v>
      </c>
      <c r="BT1964" t="s">
        <v>379</v>
      </c>
      <c r="CI1964" t="s">
        <v>388</v>
      </c>
      <c r="CJ1964" s="14">
        <v>45015</v>
      </c>
      <c r="CK1964">
        <v>1</v>
      </c>
    </row>
    <row r="1965" spans="1:89">
      <c r="A1965" t="s">
        <v>454</v>
      </c>
      <c r="B1965" t="s">
        <v>374</v>
      </c>
      <c r="C1965" t="s">
        <v>455</v>
      </c>
      <c r="D1965" t="s">
        <v>1289</v>
      </c>
      <c r="E1965" t="s">
        <v>1290</v>
      </c>
      <c r="F1965" s="13">
        <v>44693.570914351854</v>
      </c>
      <c r="G1965" t="s">
        <v>1264</v>
      </c>
      <c r="H1965" t="s">
        <v>1265</v>
      </c>
      <c r="I1965" s="13">
        <v>44693.572187500002</v>
      </c>
      <c r="K1965" t="s">
        <v>412</v>
      </c>
      <c r="R1965">
        <v>0</v>
      </c>
      <c r="S1965" t="s">
        <v>380</v>
      </c>
      <c r="T1965" t="s">
        <v>57</v>
      </c>
      <c r="V1965" t="s">
        <v>381</v>
      </c>
      <c r="W1965" t="s">
        <v>1291</v>
      </c>
      <c r="X1965" t="s">
        <v>1291</v>
      </c>
      <c r="AI1965">
        <v>49</v>
      </c>
      <c r="AL1965" t="s">
        <v>1267</v>
      </c>
      <c r="AN1965" t="s">
        <v>31</v>
      </c>
      <c r="AO1965">
        <v>0</v>
      </c>
      <c r="AS1965" t="s">
        <v>385</v>
      </c>
      <c r="AX1965" t="s">
        <v>57</v>
      </c>
      <c r="AY1965" t="s">
        <v>386</v>
      </c>
      <c r="AZ1965" t="s">
        <v>1292</v>
      </c>
      <c r="BE1965" t="s">
        <v>1293</v>
      </c>
      <c r="BF1965">
        <v>0</v>
      </c>
      <c r="BK1965" t="s">
        <v>31</v>
      </c>
      <c r="BS1965" t="s">
        <v>412</v>
      </c>
      <c r="BT1965" t="s">
        <v>412</v>
      </c>
      <c r="CI1965" t="s">
        <v>388</v>
      </c>
      <c r="CJ1965" s="14">
        <v>45015</v>
      </c>
      <c r="CK1965">
        <v>1</v>
      </c>
    </row>
    <row r="1966" spans="1:89">
      <c r="A1966" t="s">
        <v>404</v>
      </c>
      <c r="B1966" t="s">
        <v>374</v>
      </c>
      <c r="C1966" t="s">
        <v>375</v>
      </c>
      <c r="D1966" t="s">
        <v>1294</v>
      </c>
      <c r="E1966" t="s">
        <v>406</v>
      </c>
      <c r="F1966" s="13">
        <v>44693.569675925923</v>
      </c>
      <c r="G1966" t="s">
        <v>1271</v>
      </c>
      <c r="H1966" t="s">
        <v>1272</v>
      </c>
      <c r="I1966" s="13">
        <v>44693.604756944442</v>
      </c>
      <c r="K1966" t="s">
        <v>379</v>
      </c>
      <c r="M1966" s="13">
        <v>44708</v>
      </c>
      <c r="R1966">
        <v>100</v>
      </c>
      <c r="S1966" t="s">
        <v>416</v>
      </c>
      <c r="T1966" t="s">
        <v>57</v>
      </c>
      <c r="V1966" t="s">
        <v>381</v>
      </c>
      <c r="W1966" t="s">
        <v>1273</v>
      </c>
      <c r="X1966" t="s">
        <v>1273</v>
      </c>
      <c r="AF1966" t="s">
        <v>382</v>
      </c>
      <c r="AG1966" t="s">
        <v>406</v>
      </c>
      <c r="AI1966">
        <v>15</v>
      </c>
      <c r="AL1966" t="s">
        <v>1274</v>
      </c>
      <c r="AM1966">
        <v>1</v>
      </c>
      <c r="AN1966" t="s">
        <v>31</v>
      </c>
      <c r="AO1966">
        <v>0</v>
      </c>
      <c r="AS1966" t="s">
        <v>522</v>
      </c>
      <c r="AX1966" t="s">
        <v>31</v>
      </c>
      <c r="AY1966" t="s">
        <v>442</v>
      </c>
      <c r="AZ1966" t="s">
        <v>1295</v>
      </c>
      <c r="BF1966">
        <v>0</v>
      </c>
      <c r="BK1966" t="s">
        <v>31</v>
      </c>
      <c r="BS1966" t="s">
        <v>379</v>
      </c>
      <c r="BT1966" t="s">
        <v>379</v>
      </c>
      <c r="CI1966" t="s">
        <v>388</v>
      </c>
      <c r="CJ1966" s="14">
        <v>45015</v>
      </c>
      <c r="CK1966">
        <v>1</v>
      </c>
    </row>
    <row r="1967" spans="1:89">
      <c r="A1967" t="s">
        <v>454</v>
      </c>
      <c r="B1967" t="s">
        <v>374</v>
      </c>
      <c r="C1967" t="s">
        <v>455</v>
      </c>
      <c r="D1967" t="s">
        <v>1296</v>
      </c>
      <c r="E1967" t="s">
        <v>1297</v>
      </c>
      <c r="F1967" s="13">
        <v>44693.568078703705</v>
      </c>
      <c r="G1967" t="s">
        <v>1264</v>
      </c>
      <c r="H1967" t="s">
        <v>1265</v>
      </c>
      <c r="I1967" s="13">
        <v>44693.568877314814</v>
      </c>
      <c r="K1967" t="s">
        <v>412</v>
      </c>
      <c r="R1967">
        <v>0</v>
      </c>
      <c r="S1967" t="s">
        <v>380</v>
      </c>
      <c r="T1967" t="s">
        <v>57</v>
      </c>
      <c r="V1967" t="s">
        <v>381</v>
      </c>
      <c r="W1967" t="s">
        <v>1266</v>
      </c>
      <c r="X1967" t="s">
        <v>1266</v>
      </c>
      <c r="AI1967">
        <v>48</v>
      </c>
      <c r="AL1967" t="s">
        <v>1267</v>
      </c>
      <c r="AN1967" t="s">
        <v>31</v>
      </c>
      <c r="AO1967">
        <v>0</v>
      </c>
      <c r="AS1967" t="s">
        <v>385</v>
      </c>
      <c r="AX1967" t="s">
        <v>57</v>
      </c>
      <c r="AY1967" t="s">
        <v>386</v>
      </c>
      <c r="AZ1967" t="s">
        <v>1298</v>
      </c>
      <c r="BE1967" t="s">
        <v>1299</v>
      </c>
      <c r="BF1967">
        <v>0</v>
      </c>
      <c r="BK1967" t="s">
        <v>31</v>
      </c>
      <c r="BS1967" t="s">
        <v>412</v>
      </c>
      <c r="BT1967" t="s">
        <v>412</v>
      </c>
      <c r="CI1967" t="s">
        <v>388</v>
      </c>
      <c r="CJ1967" s="14">
        <v>45015</v>
      </c>
      <c r="CK1967">
        <v>1</v>
      </c>
    </row>
    <row r="1968" spans="1:89">
      <c r="A1968" t="s">
        <v>687</v>
      </c>
      <c r="B1968" t="s">
        <v>374</v>
      </c>
      <c r="C1968" t="s">
        <v>688</v>
      </c>
      <c r="D1968" t="s">
        <v>1300</v>
      </c>
      <c r="E1968" t="s">
        <v>406</v>
      </c>
      <c r="F1968" s="13">
        <v>44693.566018518519</v>
      </c>
      <c r="G1968" t="s">
        <v>1208</v>
      </c>
      <c r="H1968" t="s">
        <v>1209</v>
      </c>
      <c r="I1968" s="13">
        <v>45012.044398148151</v>
      </c>
      <c r="K1968" t="s">
        <v>415</v>
      </c>
      <c r="M1968" s="13">
        <v>44693</v>
      </c>
      <c r="R1968">
        <v>0</v>
      </c>
      <c r="S1968" t="s">
        <v>380</v>
      </c>
      <c r="T1968" t="s">
        <v>57</v>
      </c>
      <c r="V1968" t="s">
        <v>478</v>
      </c>
      <c r="W1968" t="s">
        <v>1209</v>
      </c>
      <c r="X1968" t="s">
        <v>1209</v>
      </c>
      <c r="Y1968" t="s">
        <v>480</v>
      </c>
      <c r="AF1968" t="s">
        <v>1301</v>
      </c>
      <c r="AG1968" t="s">
        <v>406</v>
      </c>
      <c r="AI1968">
        <v>-319</v>
      </c>
      <c r="AJ1968" s="13">
        <v>44713</v>
      </c>
      <c r="AK1968" t="s">
        <v>480</v>
      </c>
      <c r="AL1968" t="s">
        <v>1302</v>
      </c>
      <c r="AN1968" t="s">
        <v>31</v>
      </c>
      <c r="AO1968">
        <v>0</v>
      </c>
      <c r="AS1968" t="s">
        <v>385</v>
      </c>
      <c r="AX1968" t="s">
        <v>31</v>
      </c>
      <c r="AY1968" t="s">
        <v>442</v>
      </c>
      <c r="AZ1968" t="s">
        <v>406</v>
      </c>
      <c r="BF1968">
        <v>1</v>
      </c>
      <c r="BK1968" t="s">
        <v>57</v>
      </c>
      <c r="BR1968" s="13">
        <v>44713</v>
      </c>
      <c r="BS1968" t="s">
        <v>419</v>
      </c>
      <c r="BT1968" t="s">
        <v>419</v>
      </c>
      <c r="BZ1968" s="13">
        <v>44693</v>
      </c>
      <c r="CI1968" t="s">
        <v>388</v>
      </c>
      <c r="CJ1968" s="14">
        <v>45015</v>
      </c>
      <c r="CK1968">
        <v>1</v>
      </c>
    </row>
    <row r="1969" spans="1:89">
      <c r="A1969" t="s">
        <v>404</v>
      </c>
      <c r="B1969" t="s">
        <v>374</v>
      </c>
      <c r="C1969" t="s">
        <v>375</v>
      </c>
      <c r="D1969" t="s">
        <v>1303</v>
      </c>
      <c r="E1969" t="s">
        <v>406</v>
      </c>
      <c r="F1969" s="13">
        <v>44693.555104166669</v>
      </c>
      <c r="G1969" t="s">
        <v>1271</v>
      </c>
      <c r="H1969" t="s">
        <v>1272</v>
      </c>
      <c r="I1969" s="13">
        <v>44693.565937500003</v>
      </c>
      <c r="K1969" t="s">
        <v>379</v>
      </c>
      <c r="M1969" s="13">
        <v>44701</v>
      </c>
      <c r="R1969">
        <v>100</v>
      </c>
      <c r="S1969" t="s">
        <v>380</v>
      </c>
      <c r="T1969" t="s">
        <v>57</v>
      </c>
      <c r="V1969" t="s">
        <v>381</v>
      </c>
      <c r="W1969" t="s">
        <v>1304</v>
      </c>
      <c r="X1969" t="s">
        <v>1304</v>
      </c>
      <c r="AF1969" t="s">
        <v>382</v>
      </c>
      <c r="AG1969" t="s">
        <v>406</v>
      </c>
      <c r="AI1969">
        <v>8</v>
      </c>
      <c r="AL1969" t="s">
        <v>1305</v>
      </c>
      <c r="AN1969" t="s">
        <v>31</v>
      </c>
      <c r="AO1969">
        <v>0</v>
      </c>
      <c r="AS1969" t="s">
        <v>526</v>
      </c>
      <c r="AX1969" t="s">
        <v>31</v>
      </c>
      <c r="AY1969" t="s">
        <v>442</v>
      </c>
      <c r="AZ1969" t="s">
        <v>1306</v>
      </c>
      <c r="BF1969">
        <v>0</v>
      </c>
      <c r="BK1969" t="s">
        <v>31</v>
      </c>
      <c r="BS1969" t="s">
        <v>379</v>
      </c>
      <c r="BT1969" t="s">
        <v>379</v>
      </c>
      <c r="CI1969" t="s">
        <v>388</v>
      </c>
      <c r="CJ1969" s="14">
        <v>45015</v>
      </c>
      <c r="CK1969">
        <v>1</v>
      </c>
    </row>
    <row r="1970" spans="1:89">
      <c r="A1970" t="s">
        <v>404</v>
      </c>
      <c r="B1970" t="s">
        <v>374</v>
      </c>
      <c r="C1970" t="s">
        <v>375</v>
      </c>
      <c r="D1970" t="s">
        <v>1307</v>
      </c>
      <c r="E1970" t="s">
        <v>406</v>
      </c>
      <c r="F1970" s="13">
        <v>44693.545011574075</v>
      </c>
      <c r="G1970" t="s">
        <v>1271</v>
      </c>
      <c r="H1970" t="s">
        <v>1272</v>
      </c>
      <c r="I1970" s="13">
        <v>44693.561782407407</v>
      </c>
      <c r="K1970" t="s">
        <v>379</v>
      </c>
      <c r="M1970" s="13">
        <v>44728</v>
      </c>
      <c r="R1970">
        <v>100</v>
      </c>
      <c r="S1970" t="s">
        <v>416</v>
      </c>
      <c r="T1970" t="s">
        <v>57</v>
      </c>
      <c r="V1970" t="s">
        <v>381</v>
      </c>
      <c r="W1970" t="s">
        <v>1304</v>
      </c>
      <c r="X1970" t="s">
        <v>1304</v>
      </c>
      <c r="AF1970" t="s">
        <v>382</v>
      </c>
      <c r="AG1970" t="s">
        <v>406</v>
      </c>
      <c r="AI1970">
        <v>35</v>
      </c>
      <c r="AL1970" t="s">
        <v>1305</v>
      </c>
      <c r="AM1970">
        <v>1</v>
      </c>
      <c r="AN1970" t="s">
        <v>31</v>
      </c>
      <c r="AO1970">
        <v>0</v>
      </c>
      <c r="AS1970" t="s">
        <v>526</v>
      </c>
      <c r="AX1970" t="s">
        <v>57</v>
      </c>
      <c r="AY1970" t="s">
        <v>442</v>
      </c>
      <c r="AZ1970" t="s">
        <v>1308</v>
      </c>
      <c r="BF1970">
        <v>0</v>
      </c>
      <c r="BK1970" t="s">
        <v>31</v>
      </c>
      <c r="BS1970" t="s">
        <v>379</v>
      </c>
      <c r="BT1970" t="s">
        <v>379</v>
      </c>
      <c r="CI1970" t="s">
        <v>388</v>
      </c>
      <c r="CJ1970" s="14">
        <v>45015</v>
      </c>
      <c r="CK1970">
        <v>1</v>
      </c>
    </row>
    <row r="1971" spans="1:89">
      <c r="A1971" t="s">
        <v>454</v>
      </c>
      <c r="B1971" t="s">
        <v>374</v>
      </c>
      <c r="C1971" t="s">
        <v>455</v>
      </c>
      <c r="D1971" t="s">
        <v>1309</v>
      </c>
      <c r="E1971" t="s">
        <v>1310</v>
      </c>
      <c r="F1971" s="13">
        <v>44693.536585648151</v>
      </c>
      <c r="G1971" t="s">
        <v>1264</v>
      </c>
      <c r="H1971" t="s">
        <v>1265</v>
      </c>
      <c r="I1971" s="13">
        <v>44693.540289351855</v>
      </c>
      <c r="K1971" t="s">
        <v>379</v>
      </c>
      <c r="M1971" s="13">
        <v>44693</v>
      </c>
      <c r="R1971">
        <v>100</v>
      </c>
      <c r="S1971" t="s">
        <v>380</v>
      </c>
      <c r="T1971" t="s">
        <v>57</v>
      </c>
      <c r="V1971" t="s">
        <v>381</v>
      </c>
      <c r="W1971" t="s">
        <v>1266</v>
      </c>
      <c r="X1971" t="s">
        <v>1266</v>
      </c>
      <c r="AF1971" t="s">
        <v>382</v>
      </c>
      <c r="AG1971" t="s">
        <v>1311</v>
      </c>
      <c r="AI1971">
        <v>0</v>
      </c>
      <c r="AL1971" t="s">
        <v>1312</v>
      </c>
      <c r="AN1971" t="s">
        <v>31</v>
      </c>
      <c r="AO1971">
        <v>0</v>
      </c>
      <c r="AS1971" t="s">
        <v>385</v>
      </c>
      <c r="AX1971" t="s">
        <v>57</v>
      </c>
      <c r="AY1971" t="s">
        <v>386</v>
      </c>
      <c r="AZ1971" t="s">
        <v>1313</v>
      </c>
      <c r="BE1971" t="s">
        <v>1313</v>
      </c>
      <c r="BF1971">
        <v>0</v>
      </c>
      <c r="BK1971" t="s">
        <v>31</v>
      </c>
      <c r="BS1971" t="s">
        <v>379</v>
      </c>
      <c r="BT1971" t="s">
        <v>379</v>
      </c>
      <c r="CI1971" t="s">
        <v>388</v>
      </c>
      <c r="CJ1971" s="14">
        <v>45015</v>
      </c>
      <c r="CK1971">
        <v>1</v>
      </c>
    </row>
    <row r="1972" spans="1:89">
      <c r="A1972" t="s">
        <v>404</v>
      </c>
      <c r="B1972" t="s">
        <v>374</v>
      </c>
      <c r="C1972" t="s">
        <v>375</v>
      </c>
      <c r="D1972" t="s">
        <v>1314</v>
      </c>
      <c r="E1972" t="s">
        <v>406</v>
      </c>
      <c r="F1972" s="13">
        <v>44693.52</v>
      </c>
      <c r="G1972" t="s">
        <v>1271</v>
      </c>
      <c r="H1972" t="s">
        <v>1272</v>
      </c>
      <c r="I1972" s="13">
        <v>44693.539166666669</v>
      </c>
      <c r="K1972" t="s">
        <v>379</v>
      </c>
      <c r="M1972" s="13">
        <v>44701</v>
      </c>
      <c r="R1972">
        <v>100</v>
      </c>
      <c r="S1972" t="s">
        <v>380</v>
      </c>
      <c r="T1972" t="s">
        <v>57</v>
      </c>
      <c r="V1972" t="s">
        <v>381</v>
      </c>
      <c r="W1972" t="s">
        <v>1272</v>
      </c>
      <c r="X1972" t="s">
        <v>1272</v>
      </c>
      <c r="AF1972" t="s">
        <v>382</v>
      </c>
      <c r="AG1972" t="s">
        <v>406</v>
      </c>
      <c r="AI1972">
        <v>8</v>
      </c>
      <c r="AK1972" t="s">
        <v>480</v>
      </c>
      <c r="AL1972" t="s">
        <v>1315</v>
      </c>
      <c r="AN1972" t="s">
        <v>31</v>
      </c>
      <c r="AO1972">
        <v>0</v>
      </c>
      <c r="AS1972" t="s">
        <v>526</v>
      </c>
      <c r="AX1972" t="s">
        <v>31</v>
      </c>
      <c r="AY1972" t="s">
        <v>442</v>
      </c>
      <c r="AZ1972" t="s">
        <v>1316</v>
      </c>
      <c r="BF1972">
        <v>0</v>
      </c>
      <c r="BK1972" t="s">
        <v>31</v>
      </c>
      <c r="BS1972" t="s">
        <v>379</v>
      </c>
      <c r="BT1972" t="s">
        <v>379</v>
      </c>
      <c r="CI1972" t="s">
        <v>388</v>
      </c>
      <c r="CJ1972" s="14">
        <v>45015</v>
      </c>
      <c r="CK1972">
        <v>1</v>
      </c>
    </row>
    <row r="1973" spans="1:89">
      <c r="A1973" t="s">
        <v>1317</v>
      </c>
      <c r="B1973" t="s">
        <v>374</v>
      </c>
      <c r="C1973" t="s">
        <v>1318</v>
      </c>
      <c r="D1973" t="s">
        <v>1319</v>
      </c>
      <c r="E1973" t="s">
        <v>1320</v>
      </c>
      <c r="F1973" s="13">
        <v>44693.49050925926</v>
      </c>
      <c r="G1973" t="s">
        <v>1321</v>
      </c>
      <c r="H1973" t="s">
        <v>1322</v>
      </c>
      <c r="I1973" s="13">
        <v>45012.044398148151</v>
      </c>
      <c r="K1973" t="s">
        <v>415</v>
      </c>
      <c r="M1973" s="13">
        <v>44693</v>
      </c>
      <c r="R1973">
        <v>100</v>
      </c>
      <c r="S1973" t="s">
        <v>380</v>
      </c>
      <c r="T1973" t="s">
        <v>57</v>
      </c>
      <c r="V1973" t="s">
        <v>478</v>
      </c>
      <c r="W1973" t="s">
        <v>1323</v>
      </c>
      <c r="X1973" t="s">
        <v>1323</v>
      </c>
      <c r="AB1973" t="s">
        <v>57</v>
      </c>
      <c r="AF1973" t="s">
        <v>382</v>
      </c>
      <c r="AG1973" t="s">
        <v>1324</v>
      </c>
      <c r="AI1973">
        <v>-319</v>
      </c>
      <c r="AL1973" t="s">
        <v>1325</v>
      </c>
      <c r="AN1973" t="s">
        <v>57</v>
      </c>
      <c r="AO1973">
        <v>0</v>
      </c>
      <c r="AS1973" t="s">
        <v>385</v>
      </c>
      <c r="AX1973" t="s">
        <v>57</v>
      </c>
      <c r="AY1973" t="s">
        <v>442</v>
      </c>
      <c r="AZ1973" t="s">
        <v>1326</v>
      </c>
      <c r="BF1973">
        <v>0</v>
      </c>
      <c r="BK1973" t="s">
        <v>31</v>
      </c>
      <c r="BS1973" t="s">
        <v>1327</v>
      </c>
      <c r="BT1973" t="s">
        <v>1328</v>
      </c>
      <c r="CC1973" t="s">
        <v>1329</v>
      </c>
      <c r="CI1973" t="s">
        <v>388</v>
      </c>
      <c r="CJ1973" s="14">
        <v>45015</v>
      </c>
      <c r="CK1973">
        <v>1</v>
      </c>
    </row>
    <row r="1974" spans="1:89">
      <c r="A1974" t="s">
        <v>1330</v>
      </c>
      <c r="B1974" t="s">
        <v>374</v>
      </c>
      <c r="C1974" t="s">
        <v>1331</v>
      </c>
      <c r="D1974" t="s">
        <v>1332</v>
      </c>
      <c r="E1974" t="s">
        <v>574</v>
      </c>
      <c r="F1974" s="13">
        <v>44693.430046296293</v>
      </c>
      <c r="G1974" t="s">
        <v>1125</v>
      </c>
      <c r="H1974" t="s">
        <v>1126</v>
      </c>
      <c r="I1974" s="13">
        <v>44694.532569444447</v>
      </c>
      <c r="K1974" t="s">
        <v>379</v>
      </c>
      <c r="M1974" s="13">
        <v>44894</v>
      </c>
      <c r="R1974">
        <v>100</v>
      </c>
      <c r="S1974" t="s">
        <v>380</v>
      </c>
      <c r="T1974" t="s">
        <v>57</v>
      </c>
      <c r="V1974" t="s">
        <v>381</v>
      </c>
      <c r="W1974" t="s">
        <v>1126</v>
      </c>
      <c r="X1974" t="s">
        <v>1126</v>
      </c>
      <c r="AF1974" t="s">
        <v>382</v>
      </c>
      <c r="AG1974" t="s">
        <v>1333</v>
      </c>
      <c r="AI1974">
        <v>200</v>
      </c>
      <c r="AL1974" t="s">
        <v>1334</v>
      </c>
      <c r="AN1974" t="s">
        <v>31</v>
      </c>
      <c r="AO1974">
        <v>0</v>
      </c>
      <c r="AS1974" t="s">
        <v>392</v>
      </c>
      <c r="AX1974" t="s">
        <v>57</v>
      </c>
      <c r="AY1974" t="s">
        <v>442</v>
      </c>
      <c r="AZ1974" t="s">
        <v>574</v>
      </c>
      <c r="BF1974">
        <v>0</v>
      </c>
      <c r="BK1974" t="s">
        <v>31</v>
      </c>
      <c r="BS1974" t="s">
        <v>379</v>
      </c>
      <c r="BT1974" t="s">
        <v>379</v>
      </c>
      <c r="CI1974" t="s">
        <v>388</v>
      </c>
      <c r="CJ1974" s="14">
        <v>45015</v>
      </c>
      <c r="CK1974">
        <v>1</v>
      </c>
    </row>
    <row r="1975" spans="1:89">
      <c r="A1975" t="s">
        <v>1330</v>
      </c>
      <c r="B1975" t="s">
        <v>374</v>
      </c>
      <c r="C1975" t="s">
        <v>1331</v>
      </c>
      <c r="D1975" t="s">
        <v>1335</v>
      </c>
      <c r="E1975" t="s">
        <v>1336</v>
      </c>
      <c r="F1975" s="13">
        <v>44693.396770833337</v>
      </c>
      <c r="G1975" t="s">
        <v>1125</v>
      </c>
      <c r="H1975" t="s">
        <v>1126</v>
      </c>
      <c r="I1975" s="13">
        <v>44694.529664351852</v>
      </c>
      <c r="K1975" t="s">
        <v>379</v>
      </c>
      <c r="M1975" s="13">
        <v>44764</v>
      </c>
      <c r="R1975">
        <v>100</v>
      </c>
      <c r="S1975" t="s">
        <v>416</v>
      </c>
      <c r="T1975" t="s">
        <v>57</v>
      </c>
      <c r="V1975" t="s">
        <v>381</v>
      </c>
      <c r="W1975" t="s">
        <v>1126</v>
      </c>
      <c r="X1975" t="s">
        <v>1126</v>
      </c>
      <c r="AF1975" t="s">
        <v>382</v>
      </c>
      <c r="AG1975" t="s">
        <v>1337</v>
      </c>
      <c r="AI1975">
        <v>71</v>
      </c>
      <c r="AL1975" t="s">
        <v>1334</v>
      </c>
      <c r="AM1975">
        <v>1</v>
      </c>
      <c r="AN1975" t="s">
        <v>31</v>
      </c>
      <c r="AO1975">
        <v>0</v>
      </c>
      <c r="AS1975" t="s">
        <v>392</v>
      </c>
      <c r="AX1975" t="s">
        <v>31</v>
      </c>
      <c r="AY1975" t="s">
        <v>442</v>
      </c>
      <c r="AZ1975" t="s">
        <v>1336</v>
      </c>
      <c r="BF1975">
        <v>0</v>
      </c>
      <c r="BK1975" t="s">
        <v>31</v>
      </c>
      <c r="BS1975" t="s">
        <v>379</v>
      </c>
      <c r="BT1975" t="s">
        <v>379</v>
      </c>
      <c r="CI1975" t="s">
        <v>388</v>
      </c>
      <c r="CJ1975" s="14">
        <v>45015</v>
      </c>
      <c r="CK1975">
        <v>1</v>
      </c>
    </row>
    <row r="1976" spans="1:89">
      <c r="A1976" t="s">
        <v>687</v>
      </c>
      <c r="B1976" t="s">
        <v>374</v>
      </c>
      <c r="C1976" t="s">
        <v>688</v>
      </c>
      <c r="D1976" t="s">
        <v>1338</v>
      </c>
      <c r="E1976" t="s">
        <v>1339</v>
      </c>
      <c r="F1976" s="13">
        <v>44692.656400462962</v>
      </c>
      <c r="G1976" t="s">
        <v>1340</v>
      </c>
      <c r="H1976" t="s">
        <v>1341</v>
      </c>
      <c r="I1976" s="13">
        <v>45012.04414351852</v>
      </c>
      <c r="K1976" t="s">
        <v>415</v>
      </c>
      <c r="M1976" s="13">
        <v>44753</v>
      </c>
      <c r="R1976">
        <v>30</v>
      </c>
      <c r="S1976" t="s">
        <v>416</v>
      </c>
      <c r="T1976" t="s">
        <v>57</v>
      </c>
      <c r="V1976" t="s">
        <v>478</v>
      </c>
      <c r="W1976" t="s">
        <v>1341</v>
      </c>
      <c r="X1976" t="s">
        <v>1341</v>
      </c>
      <c r="Y1976" t="s">
        <v>480</v>
      </c>
      <c r="AF1976" t="s">
        <v>1301</v>
      </c>
      <c r="AG1976" t="s">
        <v>1342</v>
      </c>
      <c r="AI1976">
        <v>-259</v>
      </c>
      <c r="AL1976" t="s">
        <v>1343</v>
      </c>
      <c r="AN1976" t="s">
        <v>31</v>
      </c>
      <c r="AO1976">
        <v>0</v>
      </c>
      <c r="AS1976" t="s">
        <v>385</v>
      </c>
      <c r="AT1976" t="s">
        <v>31</v>
      </c>
      <c r="AX1976" t="s">
        <v>57</v>
      </c>
      <c r="AY1976" t="s">
        <v>442</v>
      </c>
      <c r="AZ1976" t="s">
        <v>1339</v>
      </c>
      <c r="BF1976">
        <v>0</v>
      </c>
      <c r="BK1976" t="s">
        <v>31</v>
      </c>
      <c r="BS1976" t="s">
        <v>484</v>
      </c>
      <c r="BT1976" t="s">
        <v>484</v>
      </c>
      <c r="CI1976" t="s">
        <v>388</v>
      </c>
      <c r="CJ1976" s="14">
        <v>45015</v>
      </c>
      <c r="CK1976">
        <v>1</v>
      </c>
    </row>
    <row r="1977" spans="1:89">
      <c r="A1977" t="s">
        <v>1344</v>
      </c>
      <c r="B1977" t="s">
        <v>374</v>
      </c>
      <c r="C1977" t="s">
        <v>1345</v>
      </c>
      <c r="D1977" t="s">
        <v>1346</v>
      </c>
      <c r="E1977" t="s">
        <v>1347</v>
      </c>
      <c r="F1977" s="13">
        <v>44692.634479166663</v>
      </c>
      <c r="G1977" t="s">
        <v>1228</v>
      </c>
      <c r="H1977" t="s">
        <v>1229</v>
      </c>
      <c r="I1977" s="13">
        <v>44692.695879629631</v>
      </c>
      <c r="K1977" t="s">
        <v>379</v>
      </c>
      <c r="M1977" s="13">
        <v>44875</v>
      </c>
      <c r="R1977">
        <v>100</v>
      </c>
      <c r="S1977" t="s">
        <v>380</v>
      </c>
      <c r="T1977" t="s">
        <v>57</v>
      </c>
      <c r="V1977" t="s">
        <v>381</v>
      </c>
      <c r="W1977" t="s">
        <v>1240</v>
      </c>
      <c r="X1977" t="s">
        <v>1240</v>
      </c>
      <c r="AF1977" t="s">
        <v>382</v>
      </c>
      <c r="AG1977" t="s">
        <v>1260</v>
      </c>
      <c r="AI1977">
        <v>183</v>
      </c>
      <c r="AL1977" t="s">
        <v>1348</v>
      </c>
      <c r="AN1977" t="s">
        <v>31</v>
      </c>
      <c r="AO1977">
        <v>0</v>
      </c>
      <c r="AS1977" t="s">
        <v>385</v>
      </c>
      <c r="AX1977" t="s">
        <v>57</v>
      </c>
      <c r="AY1977" t="s">
        <v>386</v>
      </c>
      <c r="AZ1977" t="s">
        <v>1349</v>
      </c>
      <c r="BF1977">
        <v>0</v>
      </c>
      <c r="BK1977" t="s">
        <v>31</v>
      </c>
      <c r="BS1977" t="s">
        <v>379</v>
      </c>
      <c r="BT1977" t="s">
        <v>379</v>
      </c>
      <c r="CI1977" t="s">
        <v>388</v>
      </c>
      <c r="CJ1977" s="14">
        <v>45015</v>
      </c>
      <c r="CK1977">
        <v>1</v>
      </c>
    </row>
    <row r="1978" spans="1:89">
      <c r="A1978" t="s">
        <v>1235</v>
      </c>
      <c r="B1978" t="s">
        <v>374</v>
      </c>
      <c r="C1978" t="s">
        <v>1236</v>
      </c>
      <c r="D1978" t="s">
        <v>1350</v>
      </c>
      <c r="E1978" t="s">
        <v>1351</v>
      </c>
      <c r="F1978" s="13">
        <v>44692.630972222221</v>
      </c>
      <c r="G1978" t="s">
        <v>1239</v>
      </c>
      <c r="H1978" t="s">
        <v>1240</v>
      </c>
      <c r="I1978" s="13">
        <v>44692.695011574076</v>
      </c>
      <c r="K1978" t="s">
        <v>379</v>
      </c>
      <c r="M1978" s="13">
        <v>44972</v>
      </c>
      <c r="R1978">
        <v>100</v>
      </c>
      <c r="S1978" t="s">
        <v>380</v>
      </c>
      <c r="T1978" t="s">
        <v>57</v>
      </c>
      <c r="V1978" t="s">
        <v>381</v>
      </c>
      <c r="W1978" t="s">
        <v>1240</v>
      </c>
      <c r="X1978" t="s">
        <v>1240</v>
      </c>
      <c r="AF1978" t="s">
        <v>382</v>
      </c>
      <c r="AG1978" t="s">
        <v>1352</v>
      </c>
      <c r="AI1978">
        <v>280</v>
      </c>
      <c r="AL1978" t="s">
        <v>1353</v>
      </c>
      <c r="AN1978" t="s">
        <v>31</v>
      </c>
      <c r="AO1978">
        <v>0</v>
      </c>
      <c r="AS1978" t="s">
        <v>392</v>
      </c>
      <c r="AX1978" t="s">
        <v>31</v>
      </c>
      <c r="AY1978" t="s">
        <v>386</v>
      </c>
      <c r="AZ1978" t="s">
        <v>1354</v>
      </c>
      <c r="BF1978">
        <v>0</v>
      </c>
      <c r="BK1978" t="s">
        <v>31</v>
      </c>
      <c r="BS1978" t="s">
        <v>379</v>
      </c>
      <c r="BT1978" t="s">
        <v>379</v>
      </c>
      <c r="CI1978" t="s">
        <v>388</v>
      </c>
      <c r="CJ1978" s="14">
        <v>45015</v>
      </c>
      <c r="CK1978">
        <v>1</v>
      </c>
    </row>
    <row r="1979" spans="1:89">
      <c r="A1979" t="s">
        <v>1355</v>
      </c>
      <c r="B1979" t="s">
        <v>374</v>
      </c>
      <c r="C1979" t="s">
        <v>1356</v>
      </c>
      <c r="D1979" t="s">
        <v>1357</v>
      </c>
      <c r="E1979" t="s">
        <v>1358</v>
      </c>
      <c r="F1979" s="13">
        <v>44692.626203703701</v>
      </c>
      <c r="G1979" t="s">
        <v>1340</v>
      </c>
      <c r="H1979" t="s">
        <v>1341</v>
      </c>
      <c r="I1979" s="13">
        <v>44692.632835648146</v>
      </c>
      <c r="K1979" t="s">
        <v>379</v>
      </c>
      <c r="M1979" s="13">
        <v>44712</v>
      </c>
      <c r="R1979">
        <v>100</v>
      </c>
      <c r="S1979" t="s">
        <v>380</v>
      </c>
      <c r="T1979" t="s">
        <v>57</v>
      </c>
      <c r="V1979" t="s">
        <v>381</v>
      </c>
      <c r="W1979" t="s">
        <v>1359</v>
      </c>
      <c r="X1979" t="s">
        <v>1359</v>
      </c>
      <c r="AF1979" t="s">
        <v>382</v>
      </c>
      <c r="AG1979" t="s">
        <v>1360</v>
      </c>
      <c r="AI1979">
        <v>20</v>
      </c>
      <c r="AL1979" t="s">
        <v>1361</v>
      </c>
      <c r="AN1979" t="s">
        <v>31</v>
      </c>
      <c r="AO1979">
        <v>0</v>
      </c>
      <c r="AS1979" t="s">
        <v>461</v>
      </c>
      <c r="AX1979" t="s">
        <v>31</v>
      </c>
      <c r="AY1979" t="s">
        <v>442</v>
      </c>
      <c r="AZ1979" t="s">
        <v>1358</v>
      </c>
      <c r="BF1979">
        <v>0</v>
      </c>
      <c r="BK1979" t="s">
        <v>31</v>
      </c>
      <c r="BS1979" t="s">
        <v>379</v>
      </c>
      <c r="BT1979" t="s">
        <v>379</v>
      </c>
      <c r="CI1979" t="s">
        <v>388</v>
      </c>
      <c r="CJ1979" s="14">
        <v>45015</v>
      </c>
      <c r="CK1979">
        <v>1</v>
      </c>
    </row>
    <row r="1980" spans="1:89">
      <c r="A1980" t="s">
        <v>1344</v>
      </c>
      <c r="B1980" t="s">
        <v>374</v>
      </c>
      <c r="C1980" t="s">
        <v>1345</v>
      </c>
      <c r="D1980" t="s">
        <v>1362</v>
      </c>
      <c r="E1980" t="s">
        <v>1363</v>
      </c>
      <c r="F1980" s="13">
        <v>44692.602453703701</v>
      </c>
      <c r="G1980" t="s">
        <v>1228</v>
      </c>
      <c r="H1980" t="s">
        <v>1229</v>
      </c>
      <c r="I1980" s="13">
        <v>44692.655706018515</v>
      </c>
      <c r="K1980" t="s">
        <v>379</v>
      </c>
      <c r="M1980" s="13">
        <v>44783</v>
      </c>
      <c r="R1980">
        <v>100</v>
      </c>
      <c r="S1980" t="s">
        <v>416</v>
      </c>
      <c r="T1980" t="s">
        <v>57</v>
      </c>
      <c r="V1980" t="s">
        <v>381</v>
      </c>
      <c r="W1980" t="s">
        <v>1240</v>
      </c>
      <c r="X1980" t="s">
        <v>1240</v>
      </c>
      <c r="AF1980" t="s">
        <v>382</v>
      </c>
      <c r="AG1980" t="s">
        <v>1260</v>
      </c>
      <c r="AI1980">
        <v>91</v>
      </c>
      <c r="AL1980" t="s">
        <v>1348</v>
      </c>
      <c r="AM1980">
        <v>1</v>
      </c>
      <c r="AN1980" t="s">
        <v>31</v>
      </c>
      <c r="AO1980">
        <v>0</v>
      </c>
      <c r="AS1980" t="s">
        <v>707</v>
      </c>
      <c r="AX1980" t="s">
        <v>31</v>
      </c>
      <c r="AY1980" t="s">
        <v>386</v>
      </c>
      <c r="AZ1980" t="s">
        <v>1249</v>
      </c>
      <c r="BE1980" t="s">
        <v>1364</v>
      </c>
      <c r="BF1980">
        <v>0</v>
      </c>
      <c r="BK1980" t="s">
        <v>31</v>
      </c>
      <c r="BS1980" t="s">
        <v>379</v>
      </c>
      <c r="BT1980" t="s">
        <v>379</v>
      </c>
      <c r="CI1980" t="s">
        <v>388</v>
      </c>
      <c r="CJ1980" s="14">
        <v>45015</v>
      </c>
      <c r="CK1980">
        <v>1</v>
      </c>
    </row>
    <row r="1981" spans="1:89">
      <c r="A1981" t="s">
        <v>1235</v>
      </c>
      <c r="B1981" t="s">
        <v>374</v>
      </c>
      <c r="C1981" t="s">
        <v>1236</v>
      </c>
      <c r="D1981" t="s">
        <v>1365</v>
      </c>
      <c r="E1981" t="s">
        <v>1366</v>
      </c>
      <c r="F1981" s="13">
        <v>44692.529699074075</v>
      </c>
      <c r="G1981" t="s">
        <v>1239</v>
      </c>
      <c r="H1981" t="s">
        <v>1240</v>
      </c>
      <c r="I1981" s="13">
        <v>44692.664722222224</v>
      </c>
      <c r="K1981" t="s">
        <v>379</v>
      </c>
      <c r="M1981" s="13">
        <v>44775</v>
      </c>
      <c r="R1981">
        <v>100</v>
      </c>
      <c r="S1981" t="s">
        <v>416</v>
      </c>
      <c r="T1981" t="s">
        <v>57</v>
      </c>
      <c r="V1981" t="s">
        <v>381</v>
      </c>
      <c r="W1981" t="s">
        <v>1367</v>
      </c>
      <c r="X1981" t="s">
        <v>1367</v>
      </c>
      <c r="AF1981" t="s">
        <v>382</v>
      </c>
      <c r="AG1981" t="s">
        <v>1241</v>
      </c>
      <c r="AI1981">
        <v>83</v>
      </c>
      <c r="AL1981" t="s">
        <v>1353</v>
      </c>
      <c r="AM1981">
        <v>1</v>
      </c>
      <c r="AN1981" t="s">
        <v>31</v>
      </c>
      <c r="AO1981">
        <v>0</v>
      </c>
      <c r="AS1981" t="s">
        <v>648</v>
      </c>
      <c r="AX1981" t="s">
        <v>31</v>
      </c>
      <c r="AY1981" t="s">
        <v>386</v>
      </c>
      <c r="AZ1981" t="s">
        <v>1368</v>
      </c>
      <c r="BF1981">
        <v>0</v>
      </c>
      <c r="BK1981" t="s">
        <v>31</v>
      </c>
      <c r="BS1981" t="s">
        <v>379</v>
      </c>
      <c r="BT1981" t="s">
        <v>379</v>
      </c>
      <c r="CI1981" t="s">
        <v>388</v>
      </c>
      <c r="CJ1981" s="14">
        <v>45015</v>
      </c>
      <c r="CK1981">
        <v>1</v>
      </c>
    </row>
    <row r="1982" spans="1:89">
      <c r="A1982" t="s">
        <v>1344</v>
      </c>
      <c r="B1982" t="s">
        <v>374</v>
      </c>
      <c r="C1982" t="s">
        <v>1345</v>
      </c>
      <c r="D1982" t="s">
        <v>1369</v>
      </c>
      <c r="E1982" t="s">
        <v>1370</v>
      </c>
      <c r="F1982" s="13">
        <v>44692.48064814815</v>
      </c>
      <c r="G1982" t="s">
        <v>1228</v>
      </c>
      <c r="H1982" t="s">
        <v>1229</v>
      </c>
      <c r="I1982" s="13">
        <v>45012.044398148151</v>
      </c>
      <c r="K1982" t="s">
        <v>415</v>
      </c>
      <c r="M1982" s="13">
        <v>44783</v>
      </c>
      <c r="R1982">
        <v>0</v>
      </c>
      <c r="S1982" t="s">
        <v>380</v>
      </c>
      <c r="T1982" t="s">
        <v>57</v>
      </c>
      <c r="V1982" t="s">
        <v>478</v>
      </c>
      <c r="W1982" t="s">
        <v>1240</v>
      </c>
      <c r="X1982" t="s">
        <v>1240</v>
      </c>
      <c r="AF1982" t="s">
        <v>451</v>
      </c>
      <c r="AI1982">
        <v>-229</v>
      </c>
      <c r="AL1982" t="s">
        <v>1371</v>
      </c>
      <c r="AN1982" t="s">
        <v>31</v>
      </c>
      <c r="AO1982">
        <v>0</v>
      </c>
      <c r="AS1982" t="s">
        <v>707</v>
      </c>
      <c r="AX1982" t="s">
        <v>31</v>
      </c>
      <c r="AY1982" t="s">
        <v>386</v>
      </c>
      <c r="AZ1982" t="s">
        <v>1249</v>
      </c>
      <c r="BF1982">
        <v>0</v>
      </c>
      <c r="BK1982" t="s">
        <v>31</v>
      </c>
      <c r="BS1982" t="s">
        <v>419</v>
      </c>
      <c r="BT1982" t="s">
        <v>419</v>
      </c>
      <c r="CI1982" t="s">
        <v>388</v>
      </c>
      <c r="CJ1982" s="14">
        <v>45015</v>
      </c>
      <c r="CK1982">
        <v>1</v>
      </c>
    </row>
    <row r="1983" spans="1:89">
      <c r="A1983" t="s">
        <v>1317</v>
      </c>
      <c r="B1983" t="s">
        <v>374</v>
      </c>
      <c r="C1983" t="s">
        <v>1318</v>
      </c>
      <c r="D1983" t="s">
        <v>1372</v>
      </c>
      <c r="E1983" t="s">
        <v>1373</v>
      </c>
      <c r="F1983" s="13">
        <v>44691.751469907409</v>
      </c>
      <c r="G1983" t="s">
        <v>1321</v>
      </c>
      <c r="H1983" t="s">
        <v>1322</v>
      </c>
      <c r="I1983" s="13">
        <v>45012.044386574074</v>
      </c>
      <c r="K1983" t="s">
        <v>415</v>
      </c>
      <c r="M1983" s="13">
        <v>44781</v>
      </c>
      <c r="R1983">
        <v>100</v>
      </c>
      <c r="S1983" t="s">
        <v>380</v>
      </c>
      <c r="T1983" t="s">
        <v>57</v>
      </c>
      <c r="V1983" t="s">
        <v>478</v>
      </c>
      <c r="W1983" t="s">
        <v>1323</v>
      </c>
      <c r="X1983" t="s">
        <v>1323</v>
      </c>
      <c r="AB1983" t="s">
        <v>57</v>
      </c>
      <c r="AF1983" t="s">
        <v>382</v>
      </c>
      <c r="AG1983" t="s">
        <v>1206</v>
      </c>
      <c r="AI1983">
        <v>-231</v>
      </c>
      <c r="AL1983" t="s">
        <v>1325</v>
      </c>
      <c r="AN1983" t="s">
        <v>57</v>
      </c>
      <c r="AO1983">
        <v>0</v>
      </c>
      <c r="AS1983" t="s">
        <v>385</v>
      </c>
      <c r="AX1983" t="s">
        <v>57</v>
      </c>
      <c r="AY1983" t="s">
        <v>442</v>
      </c>
      <c r="AZ1983" t="s">
        <v>1374</v>
      </c>
      <c r="BF1983">
        <v>0</v>
      </c>
      <c r="BK1983" t="s">
        <v>31</v>
      </c>
      <c r="BS1983" t="s">
        <v>1327</v>
      </c>
      <c r="BT1983" t="s">
        <v>1328</v>
      </c>
      <c r="CC1983" t="s">
        <v>1375</v>
      </c>
      <c r="CI1983" t="s">
        <v>388</v>
      </c>
      <c r="CJ1983" s="14">
        <v>45015</v>
      </c>
      <c r="CK1983">
        <v>1</v>
      </c>
    </row>
    <row r="1984" spans="1:89">
      <c r="A1984" t="s">
        <v>1317</v>
      </c>
      <c r="B1984" t="s">
        <v>374</v>
      </c>
      <c r="C1984" t="s">
        <v>1318</v>
      </c>
      <c r="D1984" t="s">
        <v>1376</v>
      </c>
      <c r="E1984" t="s">
        <v>1377</v>
      </c>
      <c r="F1984" s="13">
        <v>44691.730983796297</v>
      </c>
      <c r="G1984" t="s">
        <v>1321</v>
      </c>
      <c r="H1984" t="s">
        <v>1322</v>
      </c>
      <c r="I1984" s="13">
        <v>44833.703101851854</v>
      </c>
      <c r="K1984" t="s">
        <v>379</v>
      </c>
      <c r="M1984" s="13">
        <v>44781</v>
      </c>
      <c r="R1984">
        <v>100</v>
      </c>
      <c r="S1984" t="s">
        <v>416</v>
      </c>
      <c r="T1984" t="s">
        <v>57</v>
      </c>
      <c r="V1984" t="s">
        <v>381</v>
      </c>
      <c r="W1984" t="s">
        <v>1323</v>
      </c>
      <c r="X1984" t="s">
        <v>1323</v>
      </c>
      <c r="AF1984" t="s">
        <v>382</v>
      </c>
      <c r="AG1984" t="s">
        <v>1324</v>
      </c>
      <c r="AI1984">
        <v>90</v>
      </c>
      <c r="AL1984" t="s">
        <v>1325</v>
      </c>
      <c r="AM1984">
        <v>1</v>
      </c>
      <c r="AN1984" t="s">
        <v>31</v>
      </c>
      <c r="AO1984">
        <v>0</v>
      </c>
      <c r="AS1984" t="s">
        <v>385</v>
      </c>
      <c r="AX1984" t="s">
        <v>31</v>
      </c>
      <c r="AY1984" t="s">
        <v>442</v>
      </c>
      <c r="AZ1984" t="s">
        <v>1378</v>
      </c>
      <c r="BF1984">
        <v>0</v>
      </c>
      <c r="BK1984" t="s">
        <v>31</v>
      </c>
      <c r="BS1984" t="s">
        <v>379</v>
      </c>
      <c r="BT1984" t="s">
        <v>379</v>
      </c>
      <c r="CI1984" t="s">
        <v>388</v>
      </c>
      <c r="CJ1984" s="14">
        <v>45015</v>
      </c>
      <c r="CK1984">
        <v>1</v>
      </c>
    </row>
    <row r="1985" spans="1:89">
      <c r="A1985" t="s">
        <v>1317</v>
      </c>
      <c r="B1985" t="s">
        <v>374</v>
      </c>
      <c r="C1985" t="s">
        <v>1318</v>
      </c>
      <c r="D1985" t="s">
        <v>1379</v>
      </c>
      <c r="E1985" t="s">
        <v>1373</v>
      </c>
      <c r="F1985" s="13">
        <v>44691.728912037041</v>
      </c>
      <c r="G1985" t="s">
        <v>1321</v>
      </c>
      <c r="H1985" t="s">
        <v>1322</v>
      </c>
      <c r="I1985" s="13">
        <v>44833.703101851854</v>
      </c>
      <c r="K1985" t="s">
        <v>379</v>
      </c>
      <c r="M1985" s="13">
        <v>44781</v>
      </c>
      <c r="R1985">
        <v>100</v>
      </c>
      <c r="S1985" t="s">
        <v>416</v>
      </c>
      <c r="T1985" t="s">
        <v>57</v>
      </c>
      <c r="V1985" t="s">
        <v>381</v>
      </c>
      <c r="W1985" t="s">
        <v>1323</v>
      </c>
      <c r="X1985" t="s">
        <v>1323</v>
      </c>
      <c r="AF1985" t="s">
        <v>382</v>
      </c>
      <c r="AG1985" t="s">
        <v>1380</v>
      </c>
      <c r="AI1985">
        <v>90</v>
      </c>
      <c r="AL1985" t="s">
        <v>1325</v>
      </c>
      <c r="AM1985">
        <v>1</v>
      </c>
      <c r="AN1985" t="s">
        <v>31</v>
      </c>
      <c r="AO1985">
        <v>0</v>
      </c>
      <c r="AS1985" t="s">
        <v>385</v>
      </c>
      <c r="AX1985" t="s">
        <v>31</v>
      </c>
      <c r="AY1985" t="s">
        <v>442</v>
      </c>
      <c r="AZ1985" t="s">
        <v>1374</v>
      </c>
      <c r="BF1985">
        <v>0</v>
      </c>
      <c r="BK1985" t="s">
        <v>31</v>
      </c>
      <c r="BS1985" t="s">
        <v>379</v>
      </c>
      <c r="BT1985" t="s">
        <v>379</v>
      </c>
      <c r="CI1985" t="s">
        <v>388</v>
      </c>
      <c r="CJ1985" s="14">
        <v>45015</v>
      </c>
      <c r="CK1985">
        <v>1</v>
      </c>
    </row>
    <row r="1986" spans="1:89">
      <c r="A1986" t="s">
        <v>404</v>
      </c>
      <c r="B1986" t="s">
        <v>374</v>
      </c>
      <c r="C1986" t="s">
        <v>375</v>
      </c>
      <c r="D1986" t="s">
        <v>1381</v>
      </c>
      <c r="E1986" t="s">
        <v>595</v>
      </c>
      <c r="F1986" s="13">
        <v>44691.657569444447</v>
      </c>
      <c r="G1986" t="s">
        <v>407</v>
      </c>
      <c r="H1986" t="s">
        <v>408</v>
      </c>
      <c r="I1986" s="13">
        <v>44692.456782407404</v>
      </c>
      <c r="K1986" t="s">
        <v>379</v>
      </c>
      <c r="M1986" s="13">
        <v>44774</v>
      </c>
      <c r="R1986">
        <v>100</v>
      </c>
      <c r="S1986" t="s">
        <v>380</v>
      </c>
      <c r="T1986" t="s">
        <v>57</v>
      </c>
      <c r="V1986" t="s">
        <v>381</v>
      </c>
      <c r="W1986" t="s">
        <v>686</v>
      </c>
      <c r="X1986" t="s">
        <v>686</v>
      </c>
      <c r="AC1986" s="13">
        <v>44833</v>
      </c>
      <c r="AD1986" s="13">
        <v>44776</v>
      </c>
      <c r="AF1986" t="s">
        <v>382</v>
      </c>
      <c r="AG1986" t="s">
        <v>406</v>
      </c>
      <c r="AI1986">
        <v>83</v>
      </c>
      <c r="AK1986" t="s">
        <v>480</v>
      </c>
      <c r="AL1986" t="s">
        <v>1382</v>
      </c>
      <c r="AN1986" t="s">
        <v>31</v>
      </c>
      <c r="AO1986">
        <v>0</v>
      </c>
      <c r="AS1986" t="s">
        <v>526</v>
      </c>
      <c r="AX1986" t="s">
        <v>57</v>
      </c>
      <c r="AY1986" t="s">
        <v>442</v>
      </c>
      <c r="AZ1986" t="s">
        <v>406</v>
      </c>
      <c r="BF1986">
        <v>0</v>
      </c>
      <c r="BK1986" t="s">
        <v>31</v>
      </c>
      <c r="BS1986" t="s">
        <v>379</v>
      </c>
      <c r="BT1986" t="s">
        <v>379</v>
      </c>
      <c r="CI1986" t="s">
        <v>388</v>
      </c>
      <c r="CJ1986" s="14">
        <v>45015</v>
      </c>
      <c r="CK1986">
        <v>1</v>
      </c>
    </row>
    <row r="1987" spans="1:89">
      <c r="A1987" t="s">
        <v>1383</v>
      </c>
      <c r="B1987" t="s">
        <v>374</v>
      </c>
      <c r="C1987" t="s">
        <v>1384</v>
      </c>
      <c r="D1987" t="s">
        <v>1385</v>
      </c>
      <c r="E1987" t="s">
        <v>1386</v>
      </c>
      <c r="F1987" s="13">
        <v>44691.624212962961</v>
      </c>
      <c r="G1987" t="s">
        <v>1321</v>
      </c>
      <c r="H1987" t="s">
        <v>1322</v>
      </c>
      <c r="I1987" s="13">
        <v>44833.703101851854</v>
      </c>
      <c r="K1987" t="s">
        <v>379</v>
      </c>
      <c r="M1987" s="13">
        <v>44873</v>
      </c>
      <c r="R1987">
        <v>100</v>
      </c>
      <c r="S1987" t="s">
        <v>380</v>
      </c>
      <c r="T1987" t="s">
        <v>57</v>
      </c>
      <c r="V1987" t="s">
        <v>381</v>
      </c>
      <c r="W1987" t="s">
        <v>1323</v>
      </c>
      <c r="X1987" t="s">
        <v>1323</v>
      </c>
      <c r="AF1987" t="s">
        <v>382</v>
      </c>
      <c r="AG1987" t="s">
        <v>1387</v>
      </c>
      <c r="AI1987">
        <v>180</v>
      </c>
      <c r="AL1987" t="s">
        <v>1388</v>
      </c>
      <c r="AN1987" t="s">
        <v>31</v>
      </c>
      <c r="AO1987">
        <v>0</v>
      </c>
      <c r="AS1987" t="s">
        <v>744</v>
      </c>
      <c r="AX1987" t="s">
        <v>57</v>
      </c>
      <c r="AY1987" t="s">
        <v>442</v>
      </c>
      <c r="AZ1987" t="s">
        <v>1389</v>
      </c>
      <c r="BF1987">
        <v>0</v>
      </c>
      <c r="BK1987" t="s">
        <v>31</v>
      </c>
      <c r="BS1987" t="s">
        <v>379</v>
      </c>
      <c r="BT1987" t="s">
        <v>379</v>
      </c>
      <c r="CI1987" t="s">
        <v>388</v>
      </c>
      <c r="CJ1987" s="14">
        <v>45015</v>
      </c>
      <c r="CK1987">
        <v>1</v>
      </c>
    </row>
    <row r="1988" spans="1:89">
      <c r="A1988" t="s">
        <v>1383</v>
      </c>
      <c r="B1988" t="s">
        <v>374</v>
      </c>
      <c r="C1988" t="s">
        <v>1384</v>
      </c>
      <c r="D1988" t="s">
        <v>1390</v>
      </c>
      <c r="E1988" t="s">
        <v>1386</v>
      </c>
      <c r="F1988" s="13">
        <v>44691.60560185185</v>
      </c>
      <c r="G1988" t="s">
        <v>1321</v>
      </c>
      <c r="H1988" t="s">
        <v>1322</v>
      </c>
      <c r="I1988" s="13">
        <v>44833.703101851854</v>
      </c>
      <c r="K1988" t="s">
        <v>379</v>
      </c>
      <c r="M1988" s="13">
        <v>44781</v>
      </c>
      <c r="R1988">
        <v>100</v>
      </c>
      <c r="S1988" t="s">
        <v>416</v>
      </c>
      <c r="T1988" t="s">
        <v>57</v>
      </c>
      <c r="V1988" t="s">
        <v>381</v>
      </c>
      <c r="W1988" t="s">
        <v>1323</v>
      </c>
      <c r="X1988" t="s">
        <v>1323</v>
      </c>
      <c r="AF1988" t="s">
        <v>382</v>
      </c>
      <c r="AG1988" t="s">
        <v>382</v>
      </c>
      <c r="AI1988">
        <v>90</v>
      </c>
      <c r="AL1988" t="s">
        <v>1388</v>
      </c>
      <c r="AM1988">
        <v>1</v>
      </c>
      <c r="AN1988" t="s">
        <v>31</v>
      </c>
      <c r="AO1988">
        <v>0</v>
      </c>
      <c r="AS1988" t="s">
        <v>744</v>
      </c>
      <c r="AX1988" t="s">
        <v>31</v>
      </c>
      <c r="AY1988" t="s">
        <v>442</v>
      </c>
      <c r="AZ1988" t="s">
        <v>1389</v>
      </c>
      <c r="BF1988">
        <v>0</v>
      </c>
      <c r="BK1988" t="s">
        <v>31</v>
      </c>
      <c r="BS1988" t="s">
        <v>379</v>
      </c>
      <c r="BT1988" t="s">
        <v>379</v>
      </c>
      <c r="CI1988" t="s">
        <v>388</v>
      </c>
      <c r="CJ1988" s="14">
        <v>45015</v>
      </c>
      <c r="CK1988">
        <v>1</v>
      </c>
    </row>
    <row r="1989" spans="1:89">
      <c r="A1989" t="s">
        <v>404</v>
      </c>
      <c r="B1989" t="s">
        <v>374</v>
      </c>
      <c r="C1989" t="s">
        <v>375</v>
      </c>
      <c r="D1989" t="s">
        <v>1391</v>
      </c>
      <c r="E1989" t="s">
        <v>406</v>
      </c>
      <c r="F1989" s="13">
        <v>44691.5309375</v>
      </c>
      <c r="G1989" t="s">
        <v>407</v>
      </c>
      <c r="H1989" t="s">
        <v>408</v>
      </c>
      <c r="I1989" s="13">
        <v>45012.044386574074</v>
      </c>
      <c r="K1989" t="s">
        <v>415</v>
      </c>
      <c r="M1989" s="13">
        <v>44862</v>
      </c>
      <c r="R1989">
        <v>0</v>
      </c>
      <c r="S1989" t="s">
        <v>380</v>
      </c>
      <c r="T1989" t="s">
        <v>57</v>
      </c>
      <c r="V1989" t="s">
        <v>478</v>
      </c>
      <c r="W1989" t="s">
        <v>406</v>
      </c>
      <c r="X1989" t="s">
        <v>406</v>
      </c>
      <c r="Y1989" t="s">
        <v>480</v>
      </c>
      <c r="AB1989" t="s">
        <v>31</v>
      </c>
      <c r="AF1989" t="s">
        <v>1301</v>
      </c>
      <c r="AG1989" t="s">
        <v>406</v>
      </c>
      <c r="AI1989">
        <v>-150</v>
      </c>
      <c r="AJ1989" s="13">
        <v>44875</v>
      </c>
      <c r="AK1989" t="s">
        <v>480</v>
      </c>
      <c r="AL1989" t="s">
        <v>1392</v>
      </c>
      <c r="AN1989" t="s">
        <v>31</v>
      </c>
      <c r="AO1989">
        <v>0</v>
      </c>
      <c r="AS1989" t="s">
        <v>526</v>
      </c>
      <c r="AT1989" t="s">
        <v>31</v>
      </c>
      <c r="AX1989" t="s">
        <v>31</v>
      </c>
      <c r="AY1989" t="s">
        <v>386</v>
      </c>
      <c r="AZ1989" t="s">
        <v>406</v>
      </c>
      <c r="BC1989" t="s">
        <v>480</v>
      </c>
      <c r="BD1989" t="s">
        <v>406</v>
      </c>
      <c r="BE1989" t="s">
        <v>520</v>
      </c>
      <c r="BF1989">
        <v>1</v>
      </c>
      <c r="BK1989" t="s">
        <v>57</v>
      </c>
      <c r="BR1989" s="13">
        <v>44875</v>
      </c>
      <c r="BS1989" t="s">
        <v>484</v>
      </c>
      <c r="BT1989" t="s">
        <v>484</v>
      </c>
      <c r="BZ1989" s="13">
        <v>44714</v>
      </c>
      <c r="CI1989" t="s">
        <v>388</v>
      </c>
      <c r="CJ1989" s="14">
        <v>45015</v>
      </c>
      <c r="CK1989">
        <v>1</v>
      </c>
    </row>
    <row r="1990" spans="1:89">
      <c r="A1990" t="s">
        <v>404</v>
      </c>
      <c r="B1990" t="s">
        <v>374</v>
      </c>
      <c r="C1990" t="s">
        <v>375</v>
      </c>
      <c r="D1990" t="s">
        <v>1393</v>
      </c>
      <c r="E1990" t="s">
        <v>406</v>
      </c>
      <c r="F1990" s="13">
        <v>44691.514976851853</v>
      </c>
      <c r="G1990" t="s">
        <v>407</v>
      </c>
      <c r="H1990" t="s">
        <v>408</v>
      </c>
      <c r="I1990" s="13">
        <v>44691.563460648147</v>
      </c>
      <c r="K1990" t="s">
        <v>379</v>
      </c>
      <c r="M1990" s="13">
        <v>44781</v>
      </c>
      <c r="R1990">
        <v>100</v>
      </c>
      <c r="S1990" t="s">
        <v>416</v>
      </c>
      <c r="T1990" t="s">
        <v>57</v>
      </c>
      <c r="V1990" t="s">
        <v>381</v>
      </c>
      <c r="W1990" t="s">
        <v>406</v>
      </c>
      <c r="X1990" t="s">
        <v>406</v>
      </c>
      <c r="AF1990" t="s">
        <v>382</v>
      </c>
      <c r="AG1990" t="s">
        <v>406</v>
      </c>
      <c r="AI1990">
        <v>90</v>
      </c>
      <c r="AL1990" t="s">
        <v>1392</v>
      </c>
      <c r="AM1990">
        <v>1</v>
      </c>
      <c r="AN1990" t="s">
        <v>31</v>
      </c>
      <c r="AO1990">
        <v>0</v>
      </c>
      <c r="AS1990" t="s">
        <v>385</v>
      </c>
      <c r="AX1990" t="s">
        <v>57</v>
      </c>
      <c r="AY1990" t="s">
        <v>442</v>
      </c>
      <c r="AZ1990" t="s">
        <v>406</v>
      </c>
      <c r="BF1990">
        <v>0</v>
      </c>
      <c r="BK1990" t="s">
        <v>31</v>
      </c>
      <c r="BS1990" t="s">
        <v>379</v>
      </c>
      <c r="BT1990" t="s">
        <v>379</v>
      </c>
      <c r="CI1990" t="s">
        <v>388</v>
      </c>
      <c r="CJ1990" s="14">
        <v>45015</v>
      </c>
      <c r="CK1990">
        <v>1</v>
      </c>
    </row>
    <row r="1991" spans="1:89">
      <c r="A1991" t="s">
        <v>1383</v>
      </c>
      <c r="B1991" t="s">
        <v>374</v>
      </c>
      <c r="C1991" t="s">
        <v>1384</v>
      </c>
      <c r="D1991" t="s">
        <v>1394</v>
      </c>
      <c r="E1991" t="s">
        <v>1395</v>
      </c>
      <c r="F1991" s="13">
        <v>44691.51122685185</v>
      </c>
      <c r="G1991" t="s">
        <v>1321</v>
      </c>
      <c r="H1991" t="s">
        <v>1322</v>
      </c>
      <c r="I1991" s="13">
        <v>44833.703101851854</v>
      </c>
      <c r="K1991" t="s">
        <v>379</v>
      </c>
      <c r="M1991" s="13">
        <v>44783</v>
      </c>
      <c r="R1991">
        <v>100</v>
      </c>
      <c r="S1991" t="s">
        <v>380</v>
      </c>
      <c r="T1991" t="s">
        <v>57</v>
      </c>
      <c r="V1991" t="s">
        <v>381</v>
      </c>
      <c r="W1991" t="s">
        <v>1323</v>
      </c>
      <c r="X1991" t="s">
        <v>1323</v>
      </c>
      <c r="Y1991" t="s">
        <v>480</v>
      </c>
      <c r="AF1991" t="s">
        <v>382</v>
      </c>
      <c r="AG1991" t="s">
        <v>382</v>
      </c>
      <c r="AI1991">
        <v>91</v>
      </c>
      <c r="AJ1991" s="13">
        <v>44798</v>
      </c>
      <c r="AK1991" t="s">
        <v>480</v>
      </c>
      <c r="AL1991" t="s">
        <v>1396</v>
      </c>
      <c r="AN1991" t="s">
        <v>31</v>
      </c>
      <c r="AO1991">
        <v>0</v>
      </c>
      <c r="AS1991" t="s">
        <v>744</v>
      </c>
      <c r="AX1991" t="s">
        <v>31</v>
      </c>
      <c r="AY1991" t="s">
        <v>442</v>
      </c>
      <c r="AZ1991" t="s">
        <v>1397</v>
      </c>
      <c r="BF1991">
        <v>1</v>
      </c>
      <c r="BK1991" t="s">
        <v>57</v>
      </c>
      <c r="BR1991" s="13">
        <v>44798</v>
      </c>
      <c r="BS1991" t="s">
        <v>379</v>
      </c>
      <c r="BT1991" t="s">
        <v>379</v>
      </c>
      <c r="BZ1991" s="13">
        <v>44692</v>
      </c>
      <c r="CI1991" t="s">
        <v>388</v>
      </c>
      <c r="CJ1991" s="14">
        <v>45015</v>
      </c>
      <c r="CK1991">
        <v>1</v>
      </c>
    </row>
    <row r="1992" spans="1:89">
      <c r="A1992" t="s">
        <v>1398</v>
      </c>
      <c r="B1992" t="s">
        <v>374</v>
      </c>
      <c r="C1992" t="s">
        <v>35</v>
      </c>
      <c r="D1992" t="s">
        <v>1399</v>
      </c>
      <c r="E1992" t="s">
        <v>1400</v>
      </c>
      <c r="F1992" s="13">
        <v>44691.51116898148</v>
      </c>
      <c r="G1992" t="s">
        <v>1228</v>
      </c>
      <c r="H1992" t="s">
        <v>1229</v>
      </c>
      <c r="I1992" s="13">
        <v>44691.688090277778</v>
      </c>
      <c r="K1992" t="s">
        <v>379</v>
      </c>
      <c r="M1992" s="13">
        <v>44706</v>
      </c>
      <c r="R1992">
        <v>100</v>
      </c>
      <c r="S1992" t="s">
        <v>380</v>
      </c>
      <c r="T1992" t="s">
        <v>57</v>
      </c>
      <c r="V1992" t="s">
        <v>381</v>
      </c>
      <c r="W1992" t="s">
        <v>1230</v>
      </c>
      <c r="X1992" t="s">
        <v>1230</v>
      </c>
      <c r="AF1992" t="s">
        <v>382</v>
      </c>
      <c r="AG1992" t="s">
        <v>1401</v>
      </c>
      <c r="AI1992">
        <v>15</v>
      </c>
      <c r="AK1992" t="s">
        <v>480</v>
      </c>
      <c r="AL1992" t="s">
        <v>1402</v>
      </c>
      <c r="AN1992" t="s">
        <v>31</v>
      </c>
      <c r="AO1992">
        <v>0</v>
      </c>
      <c r="AS1992" t="s">
        <v>526</v>
      </c>
      <c r="AX1992" t="s">
        <v>31</v>
      </c>
      <c r="AY1992" t="s">
        <v>386</v>
      </c>
      <c r="AZ1992" t="s">
        <v>1403</v>
      </c>
      <c r="BE1992" t="s">
        <v>1404</v>
      </c>
      <c r="BF1992">
        <v>0</v>
      </c>
      <c r="BK1992" t="s">
        <v>31</v>
      </c>
      <c r="BS1992" t="s">
        <v>379</v>
      </c>
      <c r="BT1992" t="s">
        <v>379</v>
      </c>
      <c r="CI1992" t="s">
        <v>388</v>
      </c>
      <c r="CJ1992" s="14">
        <v>45015</v>
      </c>
      <c r="CK1992">
        <v>1</v>
      </c>
    </row>
    <row r="1993" spans="1:89">
      <c r="A1993" t="s">
        <v>1235</v>
      </c>
      <c r="B1993" t="s">
        <v>374</v>
      </c>
      <c r="C1993" t="s">
        <v>1236</v>
      </c>
      <c r="D1993" t="s">
        <v>1405</v>
      </c>
      <c r="E1993" t="s">
        <v>1406</v>
      </c>
      <c r="F1993" s="13">
        <v>44691.508020833331</v>
      </c>
      <c r="G1993" t="s">
        <v>1239</v>
      </c>
      <c r="H1993" t="s">
        <v>1240</v>
      </c>
      <c r="I1993" s="13">
        <v>45012.044386574074</v>
      </c>
      <c r="K1993" t="s">
        <v>415</v>
      </c>
      <c r="M1993" s="13">
        <v>44712</v>
      </c>
      <c r="R1993">
        <v>0</v>
      </c>
      <c r="S1993" t="s">
        <v>380</v>
      </c>
      <c r="T1993" t="s">
        <v>57</v>
      </c>
      <c r="V1993" t="s">
        <v>478</v>
      </c>
      <c r="W1993" t="s">
        <v>1240</v>
      </c>
      <c r="X1993" t="s">
        <v>1240</v>
      </c>
      <c r="Y1993" t="s">
        <v>480</v>
      </c>
      <c r="AF1993" t="s">
        <v>1301</v>
      </c>
      <c r="AG1993" t="s">
        <v>1407</v>
      </c>
      <c r="AI1993">
        <v>-300</v>
      </c>
      <c r="AJ1993" s="13">
        <v>44713</v>
      </c>
      <c r="AK1993" t="s">
        <v>480</v>
      </c>
      <c r="AL1993" t="s">
        <v>1408</v>
      </c>
      <c r="AN1993" t="s">
        <v>31</v>
      </c>
      <c r="AO1993">
        <v>0</v>
      </c>
      <c r="AS1993" t="s">
        <v>648</v>
      </c>
      <c r="AX1993" t="s">
        <v>31</v>
      </c>
      <c r="AY1993" t="s">
        <v>386</v>
      </c>
      <c r="AZ1993" t="s">
        <v>1409</v>
      </c>
      <c r="BF1993">
        <v>1</v>
      </c>
      <c r="BK1993" t="s">
        <v>57</v>
      </c>
      <c r="BR1993" s="13">
        <v>44713</v>
      </c>
      <c r="BS1993" t="s">
        <v>419</v>
      </c>
      <c r="BT1993" t="s">
        <v>419</v>
      </c>
      <c r="BZ1993" s="13">
        <v>44691</v>
      </c>
      <c r="CI1993" t="s">
        <v>388</v>
      </c>
      <c r="CJ1993" s="14">
        <v>45015</v>
      </c>
      <c r="CK1993">
        <v>1</v>
      </c>
    </row>
    <row r="1994" spans="1:89">
      <c r="A1994" t="s">
        <v>1224</v>
      </c>
      <c r="B1994" t="s">
        <v>374</v>
      </c>
      <c r="C1994" t="s">
        <v>1225</v>
      </c>
      <c r="D1994" t="s">
        <v>1410</v>
      </c>
      <c r="E1994" t="s">
        <v>1411</v>
      </c>
      <c r="F1994" s="13">
        <v>44691.494120370371</v>
      </c>
      <c r="G1994" t="s">
        <v>1125</v>
      </c>
      <c r="H1994" t="s">
        <v>1126</v>
      </c>
      <c r="I1994" s="13">
        <v>44691.700300925928</v>
      </c>
      <c r="K1994" t="s">
        <v>379</v>
      </c>
      <c r="M1994" s="13">
        <v>44742</v>
      </c>
      <c r="R1994">
        <v>100</v>
      </c>
      <c r="S1994" t="s">
        <v>380</v>
      </c>
      <c r="T1994" t="s">
        <v>57</v>
      </c>
      <c r="V1994" t="s">
        <v>381</v>
      </c>
      <c r="W1994" t="s">
        <v>1205</v>
      </c>
      <c r="X1994" t="s">
        <v>1205</v>
      </c>
      <c r="AF1994" t="s">
        <v>382</v>
      </c>
      <c r="AG1994" t="s">
        <v>1412</v>
      </c>
      <c r="AI1994">
        <v>51</v>
      </c>
      <c r="AJ1994" s="13">
        <v>44773</v>
      </c>
      <c r="AK1994" t="s">
        <v>480</v>
      </c>
      <c r="AL1994" t="s">
        <v>1413</v>
      </c>
      <c r="AN1994" t="s">
        <v>31</v>
      </c>
      <c r="AO1994">
        <v>0</v>
      </c>
      <c r="AS1994" t="s">
        <v>385</v>
      </c>
      <c r="AX1994" t="s">
        <v>31</v>
      </c>
      <c r="AY1994" t="s">
        <v>386</v>
      </c>
      <c r="AZ1994" t="s">
        <v>1414</v>
      </c>
      <c r="BF1994">
        <v>0</v>
      </c>
      <c r="BK1994" t="s">
        <v>31</v>
      </c>
      <c r="BS1994" t="s">
        <v>379</v>
      </c>
      <c r="BT1994" t="s">
        <v>379</v>
      </c>
      <c r="CI1994" t="s">
        <v>388</v>
      </c>
      <c r="CJ1994" s="14">
        <v>45015</v>
      </c>
      <c r="CK1994">
        <v>1</v>
      </c>
    </row>
    <row r="1995" spans="1:89">
      <c r="A1995" t="s">
        <v>1415</v>
      </c>
      <c r="B1995" t="s">
        <v>374</v>
      </c>
      <c r="C1995" t="s">
        <v>1416</v>
      </c>
      <c r="D1995" t="s">
        <v>1417</v>
      </c>
      <c r="E1995" t="s">
        <v>574</v>
      </c>
      <c r="F1995" s="13">
        <v>44691.479548611111</v>
      </c>
      <c r="G1995" t="s">
        <v>1418</v>
      </c>
      <c r="H1995" t="s">
        <v>1419</v>
      </c>
      <c r="I1995" s="13">
        <v>45012.044374999998</v>
      </c>
      <c r="K1995" t="s">
        <v>415</v>
      </c>
      <c r="M1995" s="13">
        <v>44773</v>
      </c>
      <c r="R1995">
        <v>0</v>
      </c>
      <c r="S1995" t="s">
        <v>380</v>
      </c>
      <c r="T1995" t="s">
        <v>57</v>
      </c>
      <c r="V1995" t="s">
        <v>478</v>
      </c>
      <c r="W1995" t="s">
        <v>574</v>
      </c>
      <c r="X1995" t="s">
        <v>574</v>
      </c>
      <c r="AF1995" t="s">
        <v>451</v>
      </c>
      <c r="AI1995">
        <v>-239</v>
      </c>
      <c r="AL1995" t="s">
        <v>1420</v>
      </c>
      <c r="AN1995" t="s">
        <v>31</v>
      </c>
      <c r="AO1995">
        <v>0</v>
      </c>
      <c r="AS1995" t="s">
        <v>385</v>
      </c>
      <c r="AX1995" t="s">
        <v>31</v>
      </c>
      <c r="AY1995" t="s">
        <v>442</v>
      </c>
      <c r="AZ1995" t="s">
        <v>574</v>
      </c>
      <c r="BF1995">
        <v>0</v>
      </c>
      <c r="BK1995" t="s">
        <v>31</v>
      </c>
      <c r="BS1995" t="s">
        <v>419</v>
      </c>
      <c r="BT1995" t="s">
        <v>419</v>
      </c>
      <c r="CI1995" t="s">
        <v>388</v>
      </c>
      <c r="CJ1995" s="14">
        <v>45015</v>
      </c>
      <c r="CK1995">
        <v>1</v>
      </c>
    </row>
    <row r="1996" spans="1:89">
      <c r="A1996" t="s">
        <v>1421</v>
      </c>
      <c r="B1996" t="s">
        <v>374</v>
      </c>
      <c r="C1996" t="s">
        <v>1422</v>
      </c>
      <c r="D1996" t="s">
        <v>1423</v>
      </c>
      <c r="E1996" t="s">
        <v>1424</v>
      </c>
      <c r="F1996" s="13">
        <v>44685.547037037039</v>
      </c>
      <c r="G1996" t="s">
        <v>1155</v>
      </c>
      <c r="H1996" t="s">
        <v>1156</v>
      </c>
      <c r="I1996" s="13">
        <v>45012.044374999998</v>
      </c>
      <c r="K1996" t="s">
        <v>415</v>
      </c>
      <c r="M1996" s="13">
        <v>44712</v>
      </c>
      <c r="R1996">
        <v>0</v>
      </c>
      <c r="S1996" t="s">
        <v>380</v>
      </c>
      <c r="T1996" t="s">
        <v>57</v>
      </c>
      <c r="V1996" t="s">
        <v>478</v>
      </c>
      <c r="W1996" t="s">
        <v>1425</v>
      </c>
      <c r="X1996" t="s">
        <v>1425</v>
      </c>
      <c r="AF1996" t="s">
        <v>451</v>
      </c>
      <c r="AI1996">
        <v>-300</v>
      </c>
      <c r="AL1996" t="s">
        <v>1426</v>
      </c>
      <c r="AN1996" t="s">
        <v>31</v>
      </c>
      <c r="AO1996">
        <v>0</v>
      </c>
      <c r="AS1996" t="s">
        <v>385</v>
      </c>
      <c r="AX1996" t="s">
        <v>31</v>
      </c>
      <c r="AY1996" t="s">
        <v>386</v>
      </c>
      <c r="AZ1996" t="s">
        <v>1427</v>
      </c>
      <c r="BF1996">
        <v>0</v>
      </c>
      <c r="BK1996" t="s">
        <v>31</v>
      </c>
      <c r="BS1996" t="s">
        <v>419</v>
      </c>
      <c r="BT1996" t="s">
        <v>419</v>
      </c>
      <c r="CI1996" t="s">
        <v>388</v>
      </c>
      <c r="CJ1996" s="14">
        <v>45015</v>
      </c>
      <c r="CK1996">
        <v>1</v>
      </c>
    </row>
    <row r="1997" spans="1:89">
      <c r="A1997" t="s">
        <v>1421</v>
      </c>
      <c r="B1997" t="s">
        <v>374</v>
      </c>
      <c r="C1997" t="s">
        <v>1422</v>
      </c>
      <c r="D1997" t="s">
        <v>1428</v>
      </c>
      <c r="E1997" t="s">
        <v>1429</v>
      </c>
      <c r="F1997" s="13">
        <v>44684.737430555557</v>
      </c>
      <c r="G1997" t="s">
        <v>1155</v>
      </c>
      <c r="H1997" t="s">
        <v>1156</v>
      </c>
      <c r="I1997" s="13">
        <v>44684.748599537037</v>
      </c>
      <c r="K1997" t="s">
        <v>412</v>
      </c>
      <c r="R1997">
        <v>0</v>
      </c>
      <c r="S1997" t="s">
        <v>380</v>
      </c>
      <c r="T1997" t="s">
        <v>57</v>
      </c>
      <c r="V1997" t="s">
        <v>381</v>
      </c>
      <c r="W1997" t="s">
        <v>1425</v>
      </c>
      <c r="X1997" t="s">
        <v>1425</v>
      </c>
      <c r="AI1997">
        <v>87</v>
      </c>
      <c r="AL1997" t="s">
        <v>1430</v>
      </c>
      <c r="AN1997" t="s">
        <v>31</v>
      </c>
      <c r="AO1997">
        <v>0</v>
      </c>
      <c r="AS1997" t="s">
        <v>730</v>
      </c>
      <c r="AX1997" t="s">
        <v>31</v>
      </c>
      <c r="AY1997" t="s">
        <v>386</v>
      </c>
      <c r="AZ1997" t="s">
        <v>1431</v>
      </c>
      <c r="BF1997">
        <v>0</v>
      </c>
      <c r="BK1997" t="s">
        <v>31</v>
      </c>
      <c r="BS1997" t="s">
        <v>412</v>
      </c>
      <c r="BT1997" t="s">
        <v>412</v>
      </c>
      <c r="CI1997" t="s">
        <v>388</v>
      </c>
      <c r="CJ1997" s="14">
        <v>45015</v>
      </c>
      <c r="CK1997">
        <v>1</v>
      </c>
    </row>
    <row r="1998" spans="1:89">
      <c r="A1998" t="s">
        <v>1421</v>
      </c>
      <c r="B1998" t="s">
        <v>374</v>
      </c>
      <c r="C1998" t="s">
        <v>1422</v>
      </c>
      <c r="D1998" t="s">
        <v>1432</v>
      </c>
      <c r="E1998" t="s">
        <v>1433</v>
      </c>
      <c r="F1998" s="13">
        <v>44684.593078703707</v>
      </c>
      <c r="G1998" t="s">
        <v>1155</v>
      </c>
      <c r="H1998" t="s">
        <v>1156</v>
      </c>
      <c r="I1998" s="13">
        <v>44684.593622685185</v>
      </c>
      <c r="K1998" t="s">
        <v>412</v>
      </c>
      <c r="R1998">
        <v>0</v>
      </c>
      <c r="S1998" t="s">
        <v>416</v>
      </c>
      <c r="T1998" t="s">
        <v>57</v>
      </c>
      <c r="V1998" t="s">
        <v>381</v>
      </c>
      <c r="W1998" t="s">
        <v>1425</v>
      </c>
      <c r="X1998" t="s">
        <v>1425</v>
      </c>
      <c r="AI1998">
        <v>73</v>
      </c>
      <c r="AL1998" t="s">
        <v>1434</v>
      </c>
      <c r="AN1998" t="s">
        <v>31</v>
      </c>
      <c r="AO1998">
        <v>0</v>
      </c>
      <c r="AS1998" t="s">
        <v>385</v>
      </c>
      <c r="AX1998" t="s">
        <v>31</v>
      </c>
      <c r="AY1998" t="s">
        <v>386</v>
      </c>
      <c r="AZ1998" t="s">
        <v>1435</v>
      </c>
      <c r="BF1998">
        <v>0</v>
      </c>
      <c r="BK1998" t="s">
        <v>31</v>
      </c>
      <c r="BS1998" t="s">
        <v>412</v>
      </c>
      <c r="BT1998" t="s">
        <v>412</v>
      </c>
      <c r="CI1998" t="s">
        <v>388</v>
      </c>
      <c r="CJ1998" s="14">
        <v>45015</v>
      </c>
      <c r="CK1998">
        <v>1</v>
      </c>
    </row>
    <row r="1999" spans="1:89">
      <c r="A1999" t="s">
        <v>1421</v>
      </c>
      <c r="B1999" t="s">
        <v>374</v>
      </c>
      <c r="C1999" t="s">
        <v>1422</v>
      </c>
      <c r="D1999" t="s">
        <v>1436</v>
      </c>
      <c r="E1999" t="s">
        <v>1433</v>
      </c>
      <c r="F1999" s="13">
        <v>44684.567986111113</v>
      </c>
      <c r="G1999" t="s">
        <v>1155</v>
      </c>
      <c r="H1999" t="s">
        <v>1156</v>
      </c>
      <c r="I1999" s="13">
        <v>44684.56821759259</v>
      </c>
      <c r="K1999" t="s">
        <v>409</v>
      </c>
      <c r="R1999">
        <v>0</v>
      </c>
      <c r="S1999" t="s">
        <v>380</v>
      </c>
      <c r="V1999" t="s">
        <v>381</v>
      </c>
      <c r="W1999" t="s">
        <v>1425</v>
      </c>
      <c r="X1999" t="s">
        <v>1425</v>
      </c>
      <c r="AI1999">
        <v>73</v>
      </c>
      <c r="AL1999" t="s">
        <v>1434</v>
      </c>
      <c r="AN1999" t="s">
        <v>31</v>
      </c>
      <c r="AO1999">
        <v>0</v>
      </c>
      <c r="AZ1999" t="s">
        <v>1435</v>
      </c>
      <c r="BF1999">
        <v>0</v>
      </c>
      <c r="BK1999" t="s">
        <v>31</v>
      </c>
      <c r="BS1999" t="s">
        <v>409</v>
      </c>
      <c r="BT1999" t="s">
        <v>409</v>
      </c>
      <c r="CI1999" t="s">
        <v>388</v>
      </c>
      <c r="CJ1999" s="14">
        <v>45015</v>
      </c>
      <c r="CK1999">
        <v>1</v>
      </c>
    </row>
    <row r="2000" spans="1:89">
      <c r="A2000" t="s">
        <v>1421</v>
      </c>
      <c r="B2000" t="s">
        <v>374</v>
      </c>
      <c r="C2000" t="s">
        <v>1422</v>
      </c>
      <c r="D2000" t="s">
        <v>1437</v>
      </c>
      <c r="E2000" t="s">
        <v>1438</v>
      </c>
      <c r="F2000" s="13">
        <v>44684.562303240738</v>
      </c>
      <c r="G2000" t="s">
        <v>1155</v>
      </c>
      <c r="H2000" t="s">
        <v>1156</v>
      </c>
      <c r="I2000" s="13">
        <v>44685.549849537034</v>
      </c>
      <c r="K2000" t="s">
        <v>409</v>
      </c>
      <c r="R2000">
        <v>0</v>
      </c>
      <c r="S2000" t="s">
        <v>380</v>
      </c>
      <c r="V2000" t="s">
        <v>381</v>
      </c>
      <c r="W2000" t="s">
        <v>1425</v>
      </c>
      <c r="X2000" t="s">
        <v>1425</v>
      </c>
      <c r="AI2000">
        <v>58</v>
      </c>
      <c r="AL2000" t="s">
        <v>1434</v>
      </c>
      <c r="AN2000" t="s">
        <v>31</v>
      </c>
      <c r="AO2000">
        <v>0</v>
      </c>
      <c r="AZ2000" t="s">
        <v>1439</v>
      </c>
      <c r="BF2000">
        <v>0</v>
      </c>
      <c r="BK2000" t="s">
        <v>31</v>
      </c>
      <c r="BS2000" t="s">
        <v>409</v>
      </c>
      <c r="BT2000" t="s">
        <v>409</v>
      </c>
      <c r="CI2000" t="s">
        <v>388</v>
      </c>
      <c r="CJ2000" s="14">
        <v>45015</v>
      </c>
      <c r="CK2000">
        <v>1</v>
      </c>
    </row>
    <row r="2001" spans="1:89">
      <c r="A2001" t="s">
        <v>1421</v>
      </c>
      <c r="B2001" t="s">
        <v>374</v>
      </c>
      <c r="C2001" t="s">
        <v>1422</v>
      </c>
      <c r="D2001" t="s">
        <v>1440</v>
      </c>
      <c r="E2001" t="s">
        <v>1441</v>
      </c>
      <c r="F2001" s="13">
        <v>44684.561377314814</v>
      </c>
      <c r="G2001" t="s">
        <v>1155</v>
      </c>
      <c r="H2001" t="s">
        <v>1156</v>
      </c>
      <c r="I2001" s="13">
        <v>44685.55064814815</v>
      </c>
      <c r="K2001" t="s">
        <v>409</v>
      </c>
      <c r="R2001">
        <v>0</v>
      </c>
      <c r="S2001" t="s">
        <v>380</v>
      </c>
      <c r="V2001" t="s">
        <v>381</v>
      </c>
      <c r="W2001" t="s">
        <v>1425</v>
      </c>
      <c r="X2001" t="s">
        <v>1425</v>
      </c>
      <c r="AI2001">
        <v>58</v>
      </c>
      <c r="AL2001" t="s">
        <v>1434</v>
      </c>
      <c r="AN2001" t="s">
        <v>31</v>
      </c>
      <c r="AO2001">
        <v>0</v>
      </c>
      <c r="AZ2001" t="s">
        <v>648</v>
      </c>
      <c r="BF2001">
        <v>0</v>
      </c>
      <c r="BK2001" t="s">
        <v>31</v>
      </c>
      <c r="BS2001" t="s">
        <v>409</v>
      </c>
      <c r="BT2001" t="s">
        <v>409</v>
      </c>
      <c r="CI2001" t="s">
        <v>388</v>
      </c>
      <c r="CJ2001" s="14">
        <v>45015</v>
      </c>
      <c r="CK2001">
        <v>1</v>
      </c>
    </row>
    <row r="2002" spans="1:89">
      <c r="A2002" t="s">
        <v>1421</v>
      </c>
      <c r="B2002" t="s">
        <v>374</v>
      </c>
      <c r="C2002" t="s">
        <v>1422</v>
      </c>
      <c r="D2002" t="s">
        <v>1442</v>
      </c>
      <c r="E2002" t="s">
        <v>1443</v>
      </c>
      <c r="F2002" s="13">
        <v>44684.560428240744</v>
      </c>
      <c r="G2002" t="s">
        <v>1155</v>
      </c>
      <c r="H2002" t="s">
        <v>1156</v>
      </c>
      <c r="I2002" s="13">
        <v>44685.550300925926</v>
      </c>
      <c r="K2002" t="s">
        <v>409</v>
      </c>
      <c r="R2002">
        <v>0</v>
      </c>
      <c r="S2002" t="s">
        <v>380</v>
      </c>
      <c r="V2002" t="s">
        <v>381</v>
      </c>
      <c r="W2002" t="s">
        <v>1425</v>
      </c>
      <c r="X2002" t="s">
        <v>1425</v>
      </c>
      <c r="AI2002">
        <v>28</v>
      </c>
      <c r="AL2002" t="s">
        <v>1434</v>
      </c>
      <c r="AN2002" t="s">
        <v>31</v>
      </c>
      <c r="AO2002">
        <v>0</v>
      </c>
      <c r="AZ2002" t="s">
        <v>1444</v>
      </c>
      <c r="BF2002">
        <v>0</v>
      </c>
      <c r="BK2002" t="s">
        <v>31</v>
      </c>
      <c r="BS2002" t="s">
        <v>409</v>
      </c>
      <c r="BT2002" t="s">
        <v>409</v>
      </c>
      <c r="CI2002" t="s">
        <v>388</v>
      </c>
      <c r="CJ2002" s="14">
        <v>45015</v>
      </c>
      <c r="CK2002">
        <v>1</v>
      </c>
    </row>
    <row r="2003" spans="1:89">
      <c r="A2003" t="s">
        <v>1421</v>
      </c>
      <c r="B2003" t="s">
        <v>374</v>
      </c>
      <c r="C2003" t="s">
        <v>1422</v>
      </c>
      <c r="D2003" t="s">
        <v>1445</v>
      </c>
      <c r="E2003" t="s">
        <v>1433</v>
      </c>
      <c r="F2003" s="13">
        <v>44680.290821759256</v>
      </c>
      <c r="G2003" t="s">
        <v>1155</v>
      </c>
      <c r="H2003" t="s">
        <v>1156</v>
      </c>
      <c r="I2003" s="13">
        <v>45012.044374999998</v>
      </c>
      <c r="K2003" t="s">
        <v>415</v>
      </c>
      <c r="M2003" s="13">
        <v>44757</v>
      </c>
      <c r="R2003">
        <v>100</v>
      </c>
      <c r="S2003" t="s">
        <v>416</v>
      </c>
      <c r="T2003" t="s">
        <v>57</v>
      </c>
      <c r="V2003" t="s">
        <v>478</v>
      </c>
      <c r="W2003" t="s">
        <v>1425</v>
      </c>
      <c r="X2003" t="s">
        <v>1425</v>
      </c>
      <c r="AF2003" t="s">
        <v>451</v>
      </c>
      <c r="AG2003" t="s">
        <v>1446</v>
      </c>
      <c r="AI2003">
        <v>-255</v>
      </c>
      <c r="AL2003" t="s">
        <v>1447</v>
      </c>
      <c r="AN2003" t="s">
        <v>31</v>
      </c>
      <c r="AO2003">
        <v>0</v>
      </c>
      <c r="AS2003" t="s">
        <v>385</v>
      </c>
      <c r="AX2003" t="s">
        <v>31</v>
      </c>
      <c r="AY2003" t="s">
        <v>386</v>
      </c>
      <c r="AZ2003" t="s">
        <v>1435</v>
      </c>
      <c r="BF2003">
        <v>0</v>
      </c>
      <c r="BK2003" t="s">
        <v>31</v>
      </c>
      <c r="BS2003" t="s">
        <v>419</v>
      </c>
      <c r="BT2003" t="s">
        <v>419</v>
      </c>
      <c r="CI2003" t="s">
        <v>388</v>
      </c>
      <c r="CJ2003" s="14">
        <v>45015</v>
      </c>
      <c r="CK2003">
        <v>1</v>
      </c>
    </row>
    <row r="2004" spans="1:89">
      <c r="A2004" t="s">
        <v>1421</v>
      </c>
      <c r="B2004" t="s">
        <v>374</v>
      </c>
      <c r="C2004" t="s">
        <v>1422</v>
      </c>
      <c r="D2004" t="s">
        <v>1448</v>
      </c>
      <c r="E2004" t="s">
        <v>1449</v>
      </c>
      <c r="F2004" s="13">
        <v>44680.28979166667</v>
      </c>
      <c r="G2004" t="s">
        <v>1155</v>
      </c>
      <c r="H2004" t="s">
        <v>1156</v>
      </c>
      <c r="I2004" s="13">
        <v>45012.044363425928</v>
      </c>
      <c r="K2004" t="s">
        <v>415</v>
      </c>
      <c r="M2004" s="13">
        <v>44742</v>
      </c>
      <c r="R2004">
        <v>0</v>
      </c>
      <c r="S2004" t="s">
        <v>380</v>
      </c>
      <c r="T2004" t="s">
        <v>57</v>
      </c>
      <c r="V2004" t="s">
        <v>478</v>
      </c>
      <c r="W2004" t="s">
        <v>1425</v>
      </c>
      <c r="X2004" t="s">
        <v>1425</v>
      </c>
      <c r="AC2004" s="13">
        <v>44676</v>
      </c>
      <c r="AD2004" s="13">
        <v>44645</v>
      </c>
      <c r="AF2004" t="s">
        <v>451</v>
      </c>
      <c r="AI2004">
        <v>-270</v>
      </c>
      <c r="AL2004" t="s">
        <v>1447</v>
      </c>
      <c r="AN2004" t="s">
        <v>31</v>
      </c>
      <c r="AO2004">
        <v>0</v>
      </c>
      <c r="AS2004" t="s">
        <v>385</v>
      </c>
      <c r="AX2004" t="s">
        <v>31</v>
      </c>
      <c r="AY2004" t="s">
        <v>386</v>
      </c>
      <c r="AZ2004" t="s">
        <v>1439</v>
      </c>
      <c r="BF2004">
        <v>0</v>
      </c>
      <c r="BK2004" t="s">
        <v>31</v>
      </c>
      <c r="BS2004" t="s">
        <v>419</v>
      </c>
      <c r="BT2004" t="s">
        <v>419</v>
      </c>
      <c r="CI2004" t="s">
        <v>388</v>
      </c>
      <c r="CJ2004" s="14">
        <v>45015</v>
      </c>
      <c r="CK2004">
        <v>1</v>
      </c>
    </row>
    <row r="2005" spans="1:89">
      <c r="A2005" t="s">
        <v>1421</v>
      </c>
      <c r="B2005" t="s">
        <v>374</v>
      </c>
      <c r="C2005" t="s">
        <v>1422</v>
      </c>
      <c r="D2005" t="s">
        <v>1450</v>
      </c>
      <c r="E2005" t="s">
        <v>1451</v>
      </c>
      <c r="F2005" s="13">
        <v>44680.289074074077</v>
      </c>
      <c r="G2005" t="s">
        <v>1155</v>
      </c>
      <c r="H2005" t="s">
        <v>1156</v>
      </c>
      <c r="I2005" s="13">
        <v>45012.044363425928</v>
      </c>
      <c r="K2005" t="s">
        <v>415</v>
      </c>
      <c r="M2005" s="13">
        <v>44742</v>
      </c>
      <c r="R2005">
        <v>0</v>
      </c>
      <c r="S2005" t="s">
        <v>380</v>
      </c>
      <c r="T2005" t="s">
        <v>57</v>
      </c>
      <c r="V2005" t="s">
        <v>478</v>
      </c>
      <c r="W2005" t="s">
        <v>1425</v>
      </c>
      <c r="X2005" t="s">
        <v>1425</v>
      </c>
      <c r="AF2005" t="s">
        <v>451</v>
      </c>
      <c r="AI2005">
        <v>-270</v>
      </c>
      <c r="AL2005" t="s">
        <v>1447</v>
      </c>
      <c r="AN2005" t="s">
        <v>31</v>
      </c>
      <c r="AO2005">
        <v>0</v>
      </c>
      <c r="AS2005" t="s">
        <v>648</v>
      </c>
      <c r="AX2005" t="s">
        <v>31</v>
      </c>
      <c r="AY2005" t="s">
        <v>386</v>
      </c>
      <c r="AZ2005" t="s">
        <v>648</v>
      </c>
      <c r="BF2005">
        <v>0</v>
      </c>
      <c r="BK2005" t="s">
        <v>31</v>
      </c>
      <c r="BS2005" t="s">
        <v>419</v>
      </c>
      <c r="BT2005" t="s">
        <v>419</v>
      </c>
      <c r="CI2005" t="s">
        <v>388</v>
      </c>
      <c r="CJ2005" s="14">
        <v>45015</v>
      </c>
      <c r="CK2005">
        <v>1</v>
      </c>
    </row>
    <row r="2006" spans="1:89">
      <c r="A2006" t="s">
        <v>1421</v>
      </c>
      <c r="B2006" t="s">
        <v>374</v>
      </c>
      <c r="C2006" t="s">
        <v>1422</v>
      </c>
      <c r="D2006" t="s">
        <v>1452</v>
      </c>
      <c r="E2006" t="s">
        <v>1443</v>
      </c>
      <c r="F2006" s="13">
        <v>44680.288368055553</v>
      </c>
      <c r="G2006" t="s">
        <v>1155</v>
      </c>
      <c r="H2006" t="s">
        <v>1156</v>
      </c>
      <c r="I2006" s="13">
        <v>45012.044363425928</v>
      </c>
      <c r="K2006" t="s">
        <v>415</v>
      </c>
      <c r="M2006" s="13">
        <v>44712</v>
      </c>
      <c r="R2006">
        <v>0</v>
      </c>
      <c r="S2006" t="s">
        <v>380</v>
      </c>
      <c r="T2006" t="s">
        <v>57</v>
      </c>
      <c r="V2006" t="s">
        <v>478</v>
      </c>
      <c r="W2006" t="s">
        <v>1425</v>
      </c>
      <c r="X2006" t="s">
        <v>1425</v>
      </c>
      <c r="AF2006" t="s">
        <v>451</v>
      </c>
      <c r="AI2006">
        <v>-300</v>
      </c>
      <c r="AL2006" t="s">
        <v>1447</v>
      </c>
      <c r="AN2006" t="s">
        <v>31</v>
      </c>
      <c r="AO2006">
        <v>0</v>
      </c>
      <c r="AS2006" t="s">
        <v>385</v>
      </c>
      <c r="AX2006" t="s">
        <v>31</v>
      </c>
      <c r="AY2006" t="s">
        <v>386</v>
      </c>
      <c r="AZ2006" t="s">
        <v>1444</v>
      </c>
      <c r="BF2006">
        <v>0</v>
      </c>
      <c r="BK2006" t="s">
        <v>31</v>
      </c>
      <c r="BS2006" t="s">
        <v>419</v>
      </c>
      <c r="BT2006" t="s">
        <v>419</v>
      </c>
      <c r="CI2006" t="s">
        <v>388</v>
      </c>
      <c r="CJ2006" s="14">
        <v>45015</v>
      </c>
      <c r="CK2006">
        <v>1</v>
      </c>
    </row>
    <row r="2007" spans="1:89">
      <c r="A2007" t="s">
        <v>435</v>
      </c>
      <c r="B2007" t="s">
        <v>374</v>
      </c>
      <c r="C2007" t="s">
        <v>436</v>
      </c>
      <c r="D2007" t="s">
        <v>1453</v>
      </c>
      <c r="E2007" t="s">
        <v>1454</v>
      </c>
      <c r="F2007" s="13">
        <v>44665.52516203704</v>
      </c>
      <c r="G2007" t="s">
        <v>1139</v>
      </c>
      <c r="H2007" t="s">
        <v>1140</v>
      </c>
      <c r="I2007" s="13">
        <v>44665.534675925926</v>
      </c>
      <c r="K2007" t="s">
        <v>379</v>
      </c>
      <c r="M2007" s="13">
        <v>44712</v>
      </c>
      <c r="R2007">
        <v>100</v>
      </c>
      <c r="S2007" t="s">
        <v>380</v>
      </c>
      <c r="T2007" t="s">
        <v>57</v>
      </c>
      <c r="V2007" t="s">
        <v>381</v>
      </c>
      <c r="W2007" t="s">
        <v>1141</v>
      </c>
      <c r="X2007" t="s">
        <v>1141</v>
      </c>
      <c r="AC2007" s="13">
        <v>44742</v>
      </c>
      <c r="AD2007" s="13">
        <v>44712</v>
      </c>
      <c r="AF2007" t="s">
        <v>382</v>
      </c>
      <c r="AG2007" t="s">
        <v>1455</v>
      </c>
      <c r="AI2007">
        <v>47</v>
      </c>
      <c r="AL2007" t="s">
        <v>1456</v>
      </c>
      <c r="AN2007" t="s">
        <v>31</v>
      </c>
      <c r="AO2007">
        <v>0</v>
      </c>
      <c r="AS2007" t="s">
        <v>385</v>
      </c>
      <c r="AX2007" t="s">
        <v>57</v>
      </c>
      <c r="AY2007" t="s">
        <v>386</v>
      </c>
      <c r="AZ2007" t="s">
        <v>1457</v>
      </c>
      <c r="BE2007" t="s">
        <v>1458</v>
      </c>
      <c r="BF2007">
        <v>0</v>
      </c>
      <c r="BK2007" t="s">
        <v>31</v>
      </c>
      <c r="BS2007" t="s">
        <v>379</v>
      </c>
      <c r="BT2007" t="s">
        <v>379</v>
      </c>
      <c r="CI2007" t="s">
        <v>388</v>
      </c>
      <c r="CJ2007" s="14">
        <v>45015</v>
      </c>
      <c r="CK2007">
        <v>1</v>
      </c>
    </row>
    <row r="2008" spans="1:89">
      <c r="A2008" t="s">
        <v>1459</v>
      </c>
      <c r="B2008" t="s">
        <v>374</v>
      </c>
      <c r="C2008" t="s">
        <v>1460</v>
      </c>
      <c r="D2008" t="s">
        <v>1461</v>
      </c>
      <c r="E2008" t="s">
        <v>1462</v>
      </c>
      <c r="F2008" s="13">
        <v>44650.419722222221</v>
      </c>
      <c r="G2008" t="s">
        <v>1463</v>
      </c>
      <c r="H2008" t="s">
        <v>1464</v>
      </c>
      <c r="I2008" s="13">
        <v>45012.044351851851</v>
      </c>
      <c r="K2008" t="s">
        <v>415</v>
      </c>
      <c r="M2008" s="13">
        <v>44651</v>
      </c>
      <c r="R2008">
        <v>0</v>
      </c>
      <c r="S2008" t="s">
        <v>380</v>
      </c>
      <c r="T2008" t="s">
        <v>57</v>
      </c>
      <c r="V2008" t="s">
        <v>478</v>
      </c>
      <c r="W2008" t="s">
        <v>1465</v>
      </c>
      <c r="X2008" t="s">
        <v>1465</v>
      </c>
      <c r="Y2008" t="s">
        <v>480</v>
      </c>
      <c r="AF2008" t="s">
        <v>451</v>
      </c>
      <c r="AI2008">
        <v>-361</v>
      </c>
      <c r="AL2008" t="s">
        <v>1466</v>
      </c>
      <c r="AN2008" t="s">
        <v>31</v>
      </c>
      <c r="AO2008">
        <v>0</v>
      </c>
      <c r="AS2008" t="s">
        <v>881</v>
      </c>
      <c r="AT2008" t="s">
        <v>31</v>
      </c>
      <c r="AX2008" t="s">
        <v>57</v>
      </c>
      <c r="AY2008" t="s">
        <v>386</v>
      </c>
      <c r="AZ2008" t="s">
        <v>1467</v>
      </c>
      <c r="BF2008">
        <v>0</v>
      </c>
      <c r="BK2008" t="s">
        <v>31</v>
      </c>
      <c r="BS2008" t="s">
        <v>484</v>
      </c>
      <c r="BT2008" t="s">
        <v>484</v>
      </c>
      <c r="CI2008" t="s">
        <v>388</v>
      </c>
      <c r="CJ2008" s="14">
        <v>45015</v>
      </c>
      <c r="CK2008">
        <v>1</v>
      </c>
    </row>
    <row r="2009" spans="1:89">
      <c r="A2009" t="s">
        <v>1468</v>
      </c>
      <c r="B2009" t="s">
        <v>374</v>
      </c>
      <c r="C2009" t="s">
        <v>1469</v>
      </c>
      <c r="D2009" t="s">
        <v>1470</v>
      </c>
      <c r="E2009" t="s">
        <v>1471</v>
      </c>
      <c r="F2009" s="13">
        <v>44645.876875000002</v>
      </c>
      <c r="G2009" t="s">
        <v>1472</v>
      </c>
      <c r="H2009" t="s">
        <v>1473</v>
      </c>
      <c r="I2009" s="13">
        <v>45012.044351851851</v>
      </c>
      <c r="K2009" t="s">
        <v>415</v>
      </c>
      <c r="M2009" s="13">
        <v>44712</v>
      </c>
      <c r="R2009">
        <v>0</v>
      </c>
      <c r="S2009" t="s">
        <v>380</v>
      </c>
      <c r="T2009" t="s">
        <v>57</v>
      </c>
      <c r="V2009" t="s">
        <v>478</v>
      </c>
      <c r="W2009" t="s">
        <v>1474</v>
      </c>
      <c r="X2009" t="s">
        <v>1474</v>
      </c>
      <c r="AF2009" t="s">
        <v>451</v>
      </c>
      <c r="AI2009">
        <v>-300</v>
      </c>
      <c r="AL2009" t="s">
        <v>1475</v>
      </c>
      <c r="AN2009" t="s">
        <v>31</v>
      </c>
      <c r="AO2009">
        <v>0</v>
      </c>
      <c r="AS2009" t="s">
        <v>385</v>
      </c>
      <c r="AX2009" t="s">
        <v>31</v>
      </c>
      <c r="AY2009" t="s">
        <v>386</v>
      </c>
      <c r="AZ2009" t="s">
        <v>1476</v>
      </c>
      <c r="BF2009">
        <v>0</v>
      </c>
      <c r="BK2009" t="s">
        <v>31</v>
      </c>
      <c r="BS2009" t="s">
        <v>419</v>
      </c>
      <c r="BT2009" t="s">
        <v>419</v>
      </c>
      <c r="CI2009" t="s">
        <v>388</v>
      </c>
      <c r="CJ2009" s="14">
        <v>45015</v>
      </c>
      <c r="CK2009">
        <v>1</v>
      </c>
    </row>
    <row r="2010" spans="1:89">
      <c r="A2010" t="s">
        <v>1468</v>
      </c>
      <c r="B2010" t="s">
        <v>374</v>
      </c>
      <c r="C2010" t="s">
        <v>1469</v>
      </c>
      <c r="D2010" t="s">
        <v>1477</v>
      </c>
      <c r="E2010" t="s">
        <v>1478</v>
      </c>
      <c r="F2010" s="13">
        <v>44645.869328703702</v>
      </c>
      <c r="G2010" t="s">
        <v>1472</v>
      </c>
      <c r="H2010" t="s">
        <v>1473</v>
      </c>
      <c r="I2010" s="13">
        <v>44645.875</v>
      </c>
      <c r="K2010" t="s">
        <v>409</v>
      </c>
      <c r="R2010">
        <v>0</v>
      </c>
      <c r="S2010" t="s">
        <v>380</v>
      </c>
      <c r="T2010" t="s">
        <v>57</v>
      </c>
      <c r="V2010" t="s">
        <v>381</v>
      </c>
      <c r="W2010" t="s">
        <v>1474</v>
      </c>
      <c r="X2010" t="s">
        <v>1474</v>
      </c>
      <c r="AI2010">
        <v>67</v>
      </c>
      <c r="AL2010" t="s">
        <v>1475</v>
      </c>
      <c r="AN2010" t="s">
        <v>31</v>
      </c>
      <c r="AO2010">
        <v>0</v>
      </c>
      <c r="AS2010" t="s">
        <v>385</v>
      </c>
      <c r="AX2010" t="s">
        <v>31</v>
      </c>
      <c r="AY2010" t="s">
        <v>386</v>
      </c>
      <c r="AZ2010" t="s">
        <v>1476</v>
      </c>
      <c r="BF2010">
        <v>1</v>
      </c>
      <c r="BK2010" t="s">
        <v>31</v>
      </c>
      <c r="BS2010" t="s">
        <v>409</v>
      </c>
      <c r="BT2010" t="s">
        <v>409</v>
      </c>
      <c r="CI2010" t="s">
        <v>388</v>
      </c>
      <c r="CJ2010" s="14">
        <v>45015</v>
      </c>
      <c r="CK2010">
        <v>1</v>
      </c>
    </row>
    <row r="2011" spans="1:89">
      <c r="A2011" t="s">
        <v>1479</v>
      </c>
      <c r="B2011" t="s">
        <v>374</v>
      </c>
      <c r="C2011" t="s">
        <v>1480</v>
      </c>
      <c r="D2011" t="s">
        <v>1481</v>
      </c>
      <c r="E2011" t="s">
        <v>1482</v>
      </c>
      <c r="F2011" s="13">
        <v>44645.568483796298</v>
      </c>
      <c r="G2011" t="s">
        <v>1483</v>
      </c>
      <c r="H2011" t="s">
        <v>1484</v>
      </c>
      <c r="I2011" s="13">
        <v>45012.044351851851</v>
      </c>
      <c r="K2011" t="s">
        <v>415</v>
      </c>
      <c r="M2011" s="13">
        <v>44699</v>
      </c>
      <c r="R2011">
        <v>0</v>
      </c>
      <c r="S2011" t="s">
        <v>380</v>
      </c>
      <c r="T2011" t="s">
        <v>57</v>
      </c>
      <c r="V2011" t="s">
        <v>478</v>
      </c>
      <c r="W2011" t="s">
        <v>1485</v>
      </c>
      <c r="X2011" t="s">
        <v>1485</v>
      </c>
      <c r="AC2011" s="13">
        <v>44699</v>
      </c>
      <c r="AD2011" s="13">
        <v>44610</v>
      </c>
      <c r="AF2011" t="s">
        <v>451</v>
      </c>
      <c r="AI2011">
        <v>-313</v>
      </c>
      <c r="AL2011" t="s">
        <v>1486</v>
      </c>
      <c r="AN2011" t="s">
        <v>31</v>
      </c>
      <c r="AO2011">
        <v>0</v>
      </c>
      <c r="AS2011" t="s">
        <v>648</v>
      </c>
      <c r="AX2011" t="s">
        <v>31</v>
      </c>
      <c r="AY2011" t="s">
        <v>386</v>
      </c>
      <c r="AZ2011" t="s">
        <v>1487</v>
      </c>
      <c r="BF2011">
        <v>0</v>
      </c>
      <c r="BK2011" t="s">
        <v>31</v>
      </c>
      <c r="BS2011" t="s">
        <v>419</v>
      </c>
      <c r="BT2011" t="s">
        <v>419</v>
      </c>
      <c r="CI2011" t="s">
        <v>388</v>
      </c>
      <c r="CJ2011" s="14">
        <v>45015</v>
      </c>
      <c r="CK2011">
        <v>1</v>
      </c>
    </row>
    <row r="2012" spans="1:89">
      <c r="A2012" t="s">
        <v>1479</v>
      </c>
      <c r="B2012" t="s">
        <v>374</v>
      </c>
      <c r="C2012" t="s">
        <v>1480</v>
      </c>
      <c r="D2012" t="s">
        <v>1488</v>
      </c>
      <c r="E2012" t="s">
        <v>1489</v>
      </c>
      <c r="F2012" s="13">
        <v>44645.440960648149</v>
      </c>
      <c r="G2012" t="s">
        <v>1483</v>
      </c>
      <c r="H2012" t="s">
        <v>1484</v>
      </c>
      <c r="I2012" s="13">
        <v>45012.044340277775</v>
      </c>
      <c r="K2012" t="s">
        <v>415</v>
      </c>
      <c r="M2012" s="13">
        <v>44687</v>
      </c>
      <c r="R2012">
        <v>0</v>
      </c>
      <c r="S2012" t="s">
        <v>380</v>
      </c>
      <c r="T2012" t="s">
        <v>57</v>
      </c>
      <c r="V2012" t="s">
        <v>478</v>
      </c>
      <c r="W2012" t="s">
        <v>1490</v>
      </c>
      <c r="X2012" t="s">
        <v>1490</v>
      </c>
      <c r="AC2012" s="13">
        <v>44687</v>
      </c>
      <c r="AD2012" s="13">
        <v>44607</v>
      </c>
      <c r="AF2012" t="s">
        <v>451</v>
      </c>
      <c r="AI2012">
        <v>-325</v>
      </c>
      <c r="AL2012" t="s">
        <v>1491</v>
      </c>
      <c r="AN2012" t="s">
        <v>31</v>
      </c>
      <c r="AO2012">
        <v>0</v>
      </c>
      <c r="AS2012" t="s">
        <v>702</v>
      </c>
      <c r="AX2012" t="s">
        <v>31</v>
      </c>
      <c r="AY2012" t="s">
        <v>386</v>
      </c>
      <c r="AZ2012" t="s">
        <v>1492</v>
      </c>
      <c r="BF2012">
        <v>0</v>
      </c>
      <c r="BK2012" t="s">
        <v>31</v>
      </c>
      <c r="BS2012" t="s">
        <v>419</v>
      </c>
      <c r="BT2012" t="s">
        <v>419</v>
      </c>
      <c r="CI2012" t="s">
        <v>388</v>
      </c>
      <c r="CJ2012" s="14">
        <v>45015</v>
      </c>
      <c r="CK2012">
        <v>1</v>
      </c>
    </row>
    <row r="2013" spans="1:89">
      <c r="A2013" t="s">
        <v>1479</v>
      </c>
      <c r="B2013" t="s">
        <v>374</v>
      </c>
      <c r="C2013" t="s">
        <v>1480</v>
      </c>
      <c r="D2013" t="s">
        <v>1493</v>
      </c>
      <c r="E2013" t="s">
        <v>1494</v>
      </c>
      <c r="F2013" s="13">
        <v>44645.331284722219</v>
      </c>
      <c r="G2013" t="s">
        <v>1483</v>
      </c>
      <c r="H2013" t="s">
        <v>1484</v>
      </c>
      <c r="I2013" s="13">
        <v>45012.044340277775</v>
      </c>
      <c r="K2013" t="s">
        <v>415</v>
      </c>
      <c r="M2013" s="13">
        <v>44704</v>
      </c>
      <c r="R2013">
        <v>0</v>
      </c>
      <c r="S2013" t="s">
        <v>380</v>
      </c>
      <c r="T2013" t="s">
        <v>57</v>
      </c>
      <c r="V2013" t="s">
        <v>478</v>
      </c>
      <c r="W2013" t="s">
        <v>1485</v>
      </c>
      <c r="X2013" t="s">
        <v>1485</v>
      </c>
      <c r="AC2013" s="13">
        <v>44704</v>
      </c>
      <c r="AD2013" s="13">
        <v>44610</v>
      </c>
      <c r="AF2013" t="s">
        <v>451</v>
      </c>
      <c r="AI2013">
        <v>-308</v>
      </c>
      <c r="AL2013" t="s">
        <v>1495</v>
      </c>
      <c r="AN2013" t="s">
        <v>31</v>
      </c>
      <c r="AO2013">
        <v>0</v>
      </c>
      <c r="AS2013" t="s">
        <v>385</v>
      </c>
      <c r="AX2013" t="s">
        <v>31</v>
      </c>
      <c r="AY2013" t="s">
        <v>386</v>
      </c>
      <c r="AZ2013" t="s">
        <v>1496</v>
      </c>
      <c r="BF2013">
        <v>0</v>
      </c>
      <c r="BK2013" t="s">
        <v>31</v>
      </c>
      <c r="BS2013" t="s">
        <v>419</v>
      </c>
      <c r="BT2013" t="s">
        <v>419</v>
      </c>
      <c r="CI2013" t="s">
        <v>388</v>
      </c>
      <c r="CJ2013" s="14">
        <v>45015</v>
      </c>
      <c r="CK2013">
        <v>1</v>
      </c>
    </row>
    <row r="2014" spans="1:89">
      <c r="A2014" t="s">
        <v>1497</v>
      </c>
      <c r="B2014" t="s">
        <v>374</v>
      </c>
      <c r="C2014" t="s">
        <v>1498</v>
      </c>
      <c r="D2014" t="s">
        <v>1499</v>
      </c>
      <c r="E2014" t="s">
        <v>1500</v>
      </c>
      <c r="F2014" s="13">
        <v>44644.64980324074</v>
      </c>
      <c r="G2014" t="s">
        <v>1501</v>
      </c>
      <c r="H2014" t="s">
        <v>1502</v>
      </c>
      <c r="I2014" s="13">
        <v>45012.044340277775</v>
      </c>
      <c r="K2014" t="s">
        <v>415</v>
      </c>
      <c r="M2014" s="13">
        <v>44742</v>
      </c>
      <c r="R2014">
        <v>0</v>
      </c>
      <c r="S2014" t="s">
        <v>380</v>
      </c>
      <c r="T2014" t="s">
        <v>57</v>
      </c>
      <c r="V2014" t="s">
        <v>478</v>
      </c>
      <c r="W2014" t="s">
        <v>1503</v>
      </c>
      <c r="X2014" t="s">
        <v>1503</v>
      </c>
      <c r="AC2014" s="13">
        <v>44742</v>
      </c>
      <c r="AD2014" s="13">
        <v>44742</v>
      </c>
      <c r="AF2014" t="s">
        <v>451</v>
      </c>
      <c r="AI2014">
        <v>-270</v>
      </c>
      <c r="AL2014" t="s">
        <v>1504</v>
      </c>
      <c r="AN2014" t="s">
        <v>31</v>
      </c>
      <c r="AO2014">
        <v>0</v>
      </c>
      <c r="AS2014" t="s">
        <v>538</v>
      </c>
      <c r="AX2014" t="s">
        <v>57</v>
      </c>
      <c r="AY2014" t="s">
        <v>442</v>
      </c>
      <c r="AZ2014" t="s">
        <v>1505</v>
      </c>
      <c r="BF2014">
        <v>0</v>
      </c>
      <c r="BK2014" t="s">
        <v>31</v>
      </c>
      <c r="BS2014" t="s">
        <v>419</v>
      </c>
      <c r="BT2014" t="s">
        <v>419</v>
      </c>
      <c r="CI2014" t="s">
        <v>388</v>
      </c>
      <c r="CJ2014" s="14">
        <v>45015</v>
      </c>
      <c r="CK2014">
        <v>1</v>
      </c>
    </row>
    <row r="2015" spans="1:89">
      <c r="A2015" t="s">
        <v>1497</v>
      </c>
      <c r="B2015" t="s">
        <v>374</v>
      </c>
      <c r="C2015" t="s">
        <v>1498</v>
      </c>
      <c r="D2015" t="s">
        <v>1506</v>
      </c>
      <c r="E2015" t="s">
        <v>1507</v>
      </c>
      <c r="F2015" s="13">
        <v>44644.645532407405</v>
      </c>
      <c r="G2015" t="s">
        <v>1501</v>
      </c>
      <c r="H2015" t="s">
        <v>1502</v>
      </c>
      <c r="I2015" s="13">
        <v>45012.044340277775</v>
      </c>
      <c r="K2015" t="s">
        <v>415</v>
      </c>
      <c r="M2015" s="13">
        <v>44742</v>
      </c>
      <c r="R2015">
        <v>0</v>
      </c>
      <c r="S2015" t="s">
        <v>380</v>
      </c>
      <c r="T2015" t="s">
        <v>57</v>
      </c>
      <c r="V2015" t="s">
        <v>478</v>
      </c>
      <c r="W2015" t="s">
        <v>1503</v>
      </c>
      <c r="X2015" t="s">
        <v>1503</v>
      </c>
      <c r="AC2015" s="13">
        <v>44742</v>
      </c>
      <c r="AD2015" s="13">
        <v>44742</v>
      </c>
      <c r="AF2015" t="s">
        <v>451</v>
      </c>
      <c r="AI2015">
        <v>-270</v>
      </c>
      <c r="AL2015" t="s">
        <v>1504</v>
      </c>
      <c r="AN2015" t="s">
        <v>31</v>
      </c>
      <c r="AO2015">
        <v>0</v>
      </c>
      <c r="AS2015" t="s">
        <v>538</v>
      </c>
      <c r="AX2015" t="s">
        <v>57</v>
      </c>
      <c r="AY2015" t="s">
        <v>442</v>
      </c>
      <c r="AZ2015" t="s">
        <v>1508</v>
      </c>
      <c r="BF2015">
        <v>0</v>
      </c>
      <c r="BK2015" t="s">
        <v>31</v>
      </c>
      <c r="BS2015" t="s">
        <v>419</v>
      </c>
      <c r="BT2015" t="s">
        <v>419</v>
      </c>
      <c r="CI2015" t="s">
        <v>388</v>
      </c>
      <c r="CJ2015" s="14">
        <v>45015</v>
      </c>
      <c r="CK2015">
        <v>1</v>
      </c>
    </row>
    <row r="2016" spans="1:89">
      <c r="A2016" t="s">
        <v>1497</v>
      </c>
      <c r="B2016" t="s">
        <v>374</v>
      </c>
      <c r="C2016" t="s">
        <v>1498</v>
      </c>
      <c r="D2016" t="s">
        <v>1509</v>
      </c>
      <c r="E2016" t="s">
        <v>1510</v>
      </c>
      <c r="F2016" s="13">
        <v>44644.641585648147</v>
      </c>
      <c r="G2016" t="s">
        <v>1501</v>
      </c>
      <c r="H2016" t="s">
        <v>1502</v>
      </c>
      <c r="I2016" s="13">
        <v>45012.044328703705</v>
      </c>
      <c r="K2016" t="s">
        <v>415</v>
      </c>
      <c r="M2016" s="13">
        <v>44742</v>
      </c>
      <c r="R2016">
        <v>0</v>
      </c>
      <c r="S2016" t="s">
        <v>380</v>
      </c>
      <c r="T2016" t="s">
        <v>57</v>
      </c>
      <c r="V2016" t="s">
        <v>478</v>
      </c>
      <c r="W2016" t="s">
        <v>1503</v>
      </c>
      <c r="X2016" t="s">
        <v>1503</v>
      </c>
      <c r="AC2016" s="13">
        <v>44742</v>
      </c>
      <c r="AD2016" s="13">
        <v>44742</v>
      </c>
      <c r="AF2016" t="s">
        <v>451</v>
      </c>
      <c r="AI2016">
        <v>-270</v>
      </c>
      <c r="AL2016" t="s">
        <v>1504</v>
      </c>
      <c r="AN2016" t="s">
        <v>31</v>
      </c>
      <c r="AO2016">
        <v>0</v>
      </c>
      <c r="AS2016" t="s">
        <v>538</v>
      </c>
      <c r="AX2016" t="s">
        <v>57</v>
      </c>
      <c r="AY2016" t="s">
        <v>442</v>
      </c>
      <c r="AZ2016" t="s">
        <v>1511</v>
      </c>
      <c r="BF2016">
        <v>0</v>
      </c>
      <c r="BK2016" t="s">
        <v>31</v>
      </c>
      <c r="BS2016" t="s">
        <v>419</v>
      </c>
      <c r="BT2016" t="s">
        <v>419</v>
      </c>
      <c r="CI2016" t="s">
        <v>388</v>
      </c>
      <c r="CJ2016" s="14">
        <v>45015</v>
      </c>
      <c r="CK2016">
        <v>1</v>
      </c>
    </row>
    <row r="2017" spans="1:89">
      <c r="A2017" t="s">
        <v>1497</v>
      </c>
      <c r="B2017" t="s">
        <v>374</v>
      </c>
      <c r="C2017" t="s">
        <v>1498</v>
      </c>
      <c r="D2017" t="s">
        <v>1512</v>
      </c>
      <c r="E2017" t="s">
        <v>1513</v>
      </c>
      <c r="F2017" s="13">
        <v>44644.626018518517</v>
      </c>
      <c r="G2017" t="s">
        <v>1501</v>
      </c>
      <c r="H2017" t="s">
        <v>1502</v>
      </c>
      <c r="I2017" s="13">
        <v>45012.044328703705</v>
      </c>
      <c r="K2017" t="s">
        <v>415</v>
      </c>
      <c r="M2017" s="13">
        <v>44742</v>
      </c>
      <c r="R2017">
        <v>0</v>
      </c>
      <c r="S2017" t="s">
        <v>380</v>
      </c>
      <c r="T2017" t="s">
        <v>57</v>
      </c>
      <c r="V2017" t="s">
        <v>478</v>
      </c>
      <c r="W2017" t="s">
        <v>1503</v>
      </c>
      <c r="X2017" t="s">
        <v>1503</v>
      </c>
      <c r="AC2017" s="13">
        <v>44742</v>
      </c>
      <c r="AD2017" s="13">
        <v>44742</v>
      </c>
      <c r="AF2017" t="s">
        <v>451</v>
      </c>
      <c r="AI2017">
        <v>-270</v>
      </c>
      <c r="AL2017" t="s">
        <v>1504</v>
      </c>
      <c r="AN2017" t="s">
        <v>31</v>
      </c>
      <c r="AO2017">
        <v>0</v>
      </c>
      <c r="AS2017" t="s">
        <v>538</v>
      </c>
      <c r="AX2017" t="s">
        <v>57</v>
      </c>
      <c r="AY2017" t="s">
        <v>442</v>
      </c>
      <c r="AZ2017" t="s">
        <v>1514</v>
      </c>
      <c r="BF2017">
        <v>0</v>
      </c>
      <c r="BK2017" t="s">
        <v>31</v>
      </c>
      <c r="BS2017" t="s">
        <v>419</v>
      </c>
      <c r="BT2017" t="s">
        <v>419</v>
      </c>
      <c r="CI2017" t="s">
        <v>388</v>
      </c>
      <c r="CJ2017" s="14">
        <v>45015</v>
      </c>
      <c r="CK2017">
        <v>1</v>
      </c>
    </row>
    <row r="2018" spans="1:89">
      <c r="A2018" t="s">
        <v>1497</v>
      </c>
      <c r="B2018" t="s">
        <v>374</v>
      </c>
      <c r="C2018" t="s">
        <v>1498</v>
      </c>
      <c r="D2018" t="s">
        <v>1515</v>
      </c>
      <c r="E2018" t="s">
        <v>1516</v>
      </c>
      <c r="F2018" s="13">
        <v>44644.612858796296</v>
      </c>
      <c r="G2018" t="s">
        <v>1501</v>
      </c>
      <c r="H2018" t="s">
        <v>1502</v>
      </c>
      <c r="I2018" s="13">
        <v>45012.044328703705</v>
      </c>
      <c r="K2018" t="s">
        <v>415</v>
      </c>
      <c r="M2018" s="13">
        <v>44742</v>
      </c>
      <c r="R2018">
        <v>0</v>
      </c>
      <c r="S2018" t="s">
        <v>380</v>
      </c>
      <c r="T2018" t="s">
        <v>57</v>
      </c>
      <c r="V2018" t="s">
        <v>478</v>
      </c>
      <c r="W2018" t="s">
        <v>1503</v>
      </c>
      <c r="X2018" t="s">
        <v>1503</v>
      </c>
      <c r="AC2018" s="13">
        <v>44742</v>
      </c>
      <c r="AD2018" s="13">
        <v>44742</v>
      </c>
      <c r="AF2018" t="s">
        <v>451</v>
      </c>
      <c r="AI2018">
        <v>-270</v>
      </c>
      <c r="AL2018" t="s">
        <v>1504</v>
      </c>
      <c r="AN2018" t="s">
        <v>31</v>
      </c>
      <c r="AO2018">
        <v>0</v>
      </c>
      <c r="AS2018" t="s">
        <v>538</v>
      </c>
      <c r="AX2018" t="s">
        <v>57</v>
      </c>
      <c r="AY2018" t="s">
        <v>442</v>
      </c>
      <c r="AZ2018" t="s">
        <v>1517</v>
      </c>
      <c r="BF2018">
        <v>0</v>
      </c>
      <c r="BK2018" t="s">
        <v>31</v>
      </c>
      <c r="BS2018" t="s">
        <v>419</v>
      </c>
      <c r="BT2018" t="s">
        <v>419</v>
      </c>
      <c r="CI2018" t="s">
        <v>388</v>
      </c>
      <c r="CJ2018" s="14">
        <v>45015</v>
      </c>
      <c r="CK2018">
        <v>1</v>
      </c>
    </row>
    <row r="2019" spans="1:89">
      <c r="A2019" t="s">
        <v>1497</v>
      </c>
      <c r="B2019" t="s">
        <v>374</v>
      </c>
      <c r="C2019" t="s">
        <v>1498</v>
      </c>
      <c r="D2019" t="s">
        <v>1518</v>
      </c>
      <c r="E2019" t="s">
        <v>1519</v>
      </c>
      <c r="F2019" s="13">
        <v>44644.596377314818</v>
      </c>
      <c r="G2019" t="s">
        <v>1501</v>
      </c>
      <c r="H2019" t="s">
        <v>1502</v>
      </c>
      <c r="I2019" s="13">
        <v>45012.044317129628</v>
      </c>
      <c r="K2019" t="s">
        <v>415</v>
      </c>
      <c r="M2019" s="13">
        <v>44681</v>
      </c>
      <c r="R2019">
        <v>0</v>
      </c>
      <c r="S2019" t="s">
        <v>380</v>
      </c>
      <c r="T2019" t="s">
        <v>57</v>
      </c>
      <c r="V2019" t="s">
        <v>478</v>
      </c>
      <c r="W2019" t="s">
        <v>1503</v>
      </c>
      <c r="X2019" t="s">
        <v>1503</v>
      </c>
      <c r="AC2019" s="13">
        <v>44620</v>
      </c>
      <c r="AD2019" s="13">
        <v>44620</v>
      </c>
      <c r="AF2019" t="s">
        <v>451</v>
      </c>
      <c r="AI2019">
        <v>-331</v>
      </c>
      <c r="AL2019" t="s">
        <v>1520</v>
      </c>
      <c r="AN2019" t="s">
        <v>31</v>
      </c>
      <c r="AO2019">
        <v>0</v>
      </c>
      <c r="AS2019" t="s">
        <v>385</v>
      </c>
      <c r="AX2019" t="s">
        <v>31</v>
      </c>
      <c r="AY2019" t="s">
        <v>442</v>
      </c>
      <c r="AZ2019" t="s">
        <v>1521</v>
      </c>
      <c r="BF2019">
        <v>0</v>
      </c>
      <c r="BK2019" t="s">
        <v>31</v>
      </c>
      <c r="BS2019" t="s">
        <v>419</v>
      </c>
      <c r="BT2019" t="s">
        <v>419</v>
      </c>
      <c r="CI2019" t="s">
        <v>388</v>
      </c>
      <c r="CJ2019" s="14">
        <v>45015</v>
      </c>
      <c r="CK2019">
        <v>1</v>
      </c>
    </row>
    <row r="2020" spans="1:89">
      <c r="A2020" t="s">
        <v>1522</v>
      </c>
      <c r="B2020" t="s">
        <v>374</v>
      </c>
      <c r="C2020" t="s">
        <v>1523</v>
      </c>
      <c r="D2020" t="s">
        <v>1524</v>
      </c>
      <c r="E2020" t="s">
        <v>1525</v>
      </c>
      <c r="F2020" s="13">
        <v>44644.566805555558</v>
      </c>
      <c r="G2020" t="s">
        <v>1526</v>
      </c>
      <c r="H2020" t="s">
        <v>1527</v>
      </c>
      <c r="I2020" s="13">
        <v>44644.56790509259</v>
      </c>
      <c r="K2020" t="s">
        <v>412</v>
      </c>
      <c r="R2020">
        <v>0</v>
      </c>
      <c r="S2020" t="s">
        <v>380</v>
      </c>
      <c r="T2020" t="s">
        <v>57</v>
      </c>
      <c r="V2020" t="s">
        <v>381</v>
      </c>
      <c r="W2020" t="s">
        <v>1528</v>
      </c>
      <c r="X2020" t="s">
        <v>1528</v>
      </c>
      <c r="AC2020" s="13">
        <v>44834</v>
      </c>
      <c r="AD2020" s="13">
        <v>44834</v>
      </c>
      <c r="AI2020">
        <v>190</v>
      </c>
      <c r="AL2020" t="s">
        <v>1529</v>
      </c>
      <c r="AN2020" t="s">
        <v>31</v>
      </c>
      <c r="AO2020">
        <v>0</v>
      </c>
      <c r="AS2020" t="s">
        <v>392</v>
      </c>
      <c r="AX2020" t="s">
        <v>31</v>
      </c>
      <c r="AY2020" t="s">
        <v>442</v>
      </c>
      <c r="AZ2020" t="s">
        <v>1530</v>
      </c>
      <c r="BF2020">
        <v>0</v>
      </c>
      <c r="BK2020" t="s">
        <v>31</v>
      </c>
      <c r="BS2020" t="s">
        <v>412</v>
      </c>
      <c r="BT2020" t="s">
        <v>412</v>
      </c>
      <c r="CI2020" t="s">
        <v>388</v>
      </c>
      <c r="CJ2020" s="14">
        <v>45015</v>
      </c>
      <c r="CK2020">
        <v>1</v>
      </c>
    </row>
    <row r="2021" spans="1:89">
      <c r="A2021" t="s">
        <v>1479</v>
      </c>
      <c r="B2021" t="s">
        <v>374</v>
      </c>
      <c r="C2021" t="s">
        <v>1480</v>
      </c>
      <c r="D2021" t="s">
        <v>1531</v>
      </c>
      <c r="E2021" t="s">
        <v>1532</v>
      </c>
      <c r="F2021" s="13">
        <v>44644.36383101852</v>
      </c>
      <c r="G2021" t="s">
        <v>1483</v>
      </c>
      <c r="H2021" t="s">
        <v>1484</v>
      </c>
      <c r="I2021" s="13">
        <v>45012.044317129628</v>
      </c>
      <c r="K2021" t="s">
        <v>415</v>
      </c>
      <c r="M2021" s="13">
        <v>44648</v>
      </c>
      <c r="R2021">
        <v>0</v>
      </c>
      <c r="S2021" t="s">
        <v>380</v>
      </c>
      <c r="T2021" t="s">
        <v>57</v>
      </c>
      <c r="V2021" t="s">
        <v>478</v>
      </c>
      <c r="W2021" t="s">
        <v>1490</v>
      </c>
      <c r="X2021" t="s">
        <v>1490</v>
      </c>
      <c r="AC2021" s="13">
        <v>44648</v>
      </c>
      <c r="AD2021" s="13">
        <v>44564</v>
      </c>
      <c r="AF2021" t="s">
        <v>451</v>
      </c>
      <c r="AI2021">
        <v>-364</v>
      </c>
      <c r="AL2021" t="s">
        <v>1533</v>
      </c>
      <c r="AN2021" t="s">
        <v>31</v>
      </c>
      <c r="AO2021">
        <v>0</v>
      </c>
      <c r="AS2021" t="s">
        <v>648</v>
      </c>
      <c r="AX2021" t="s">
        <v>31</v>
      </c>
      <c r="AY2021" t="s">
        <v>386</v>
      </c>
      <c r="AZ2021" t="s">
        <v>1534</v>
      </c>
      <c r="BF2021">
        <v>0</v>
      </c>
      <c r="BK2021" t="s">
        <v>31</v>
      </c>
      <c r="BS2021" t="s">
        <v>419</v>
      </c>
      <c r="BT2021" t="s">
        <v>419</v>
      </c>
      <c r="CI2021" t="s">
        <v>388</v>
      </c>
      <c r="CJ2021" s="14">
        <v>45015</v>
      </c>
      <c r="CK2021">
        <v>1</v>
      </c>
    </row>
    <row r="2022" spans="1:89">
      <c r="A2022" t="s">
        <v>1535</v>
      </c>
      <c r="B2022" t="s">
        <v>374</v>
      </c>
      <c r="C2022" t="s">
        <v>1536</v>
      </c>
      <c r="D2022" t="s">
        <v>1537</v>
      </c>
      <c r="E2022" t="s">
        <v>1538</v>
      </c>
      <c r="F2022" s="13">
        <v>44644.34920138889</v>
      </c>
      <c r="G2022" t="s">
        <v>1539</v>
      </c>
      <c r="H2022" t="s">
        <v>1540</v>
      </c>
      <c r="I2022" s="13">
        <v>44644.349918981483</v>
      </c>
      <c r="K2022" t="s">
        <v>412</v>
      </c>
      <c r="R2022">
        <v>0</v>
      </c>
      <c r="S2022" t="s">
        <v>380</v>
      </c>
      <c r="T2022" t="s">
        <v>57</v>
      </c>
      <c r="V2022" t="s">
        <v>381</v>
      </c>
      <c r="W2022" t="s">
        <v>1541</v>
      </c>
      <c r="X2022" t="s">
        <v>1541</v>
      </c>
      <c r="AC2022" s="13">
        <v>44652</v>
      </c>
      <c r="AD2022" s="13">
        <v>44652</v>
      </c>
      <c r="AI2022">
        <v>7</v>
      </c>
      <c r="AL2022" t="s">
        <v>1542</v>
      </c>
      <c r="AN2022" t="s">
        <v>31</v>
      </c>
      <c r="AO2022">
        <v>0</v>
      </c>
      <c r="AS2022" t="s">
        <v>385</v>
      </c>
      <c r="AX2022" t="s">
        <v>57</v>
      </c>
      <c r="AY2022" t="s">
        <v>386</v>
      </c>
      <c r="AZ2022" t="s">
        <v>1543</v>
      </c>
      <c r="BF2022">
        <v>0</v>
      </c>
      <c r="BK2022" t="s">
        <v>31</v>
      </c>
      <c r="BS2022" t="s">
        <v>412</v>
      </c>
      <c r="BT2022" t="s">
        <v>412</v>
      </c>
      <c r="CI2022" t="s">
        <v>388</v>
      </c>
      <c r="CJ2022" s="14">
        <v>45015</v>
      </c>
      <c r="CK2022">
        <v>1</v>
      </c>
    </row>
    <row r="2023" spans="1:89">
      <c r="A2023" t="s">
        <v>1479</v>
      </c>
      <c r="B2023" t="s">
        <v>374</v>
      </c>
      <c r="C2023" t="s">
        <v>1480</v>
      </c>
      <c r="D2023" t="s">
        <v>1544</v>
      </c>
      <c r="E2023" t="s">
        <v>1545</v>
      </c>
      <c r="F2023" s="13">
        <v>44644.343252314815</v>
      </c>
      <c r="G2023" t="s">
        <v>1483</v>
      </c>
      <c r="H2023" t="s">
        <v>1484</v>
      </c>
      <c r="I2023" s="13">
        <v>45012.044317129628</v>
      </c>
      <c r="K2023" t="s">
        <v>415</v>
      </c>
      <c r="M2023" s="13">
        <v>44673</v>
      </c>
      <c r="R2023">
        <v>0</v>
      </c>
      <c r="S2023" t="s">
        <v>380</v>
      </c>
      <c r="T2023" t="s">
        <v>57</v>
      </c>
      <c r="V2023" t="s">
        <v>478</v>
      </c>
      <c r="W2023" t="s">
        <v>1490</v>
      </c>
      <c r="X2023" t="s">
        <v>1490</v>
      </c>
      <c r="AC2023" s="13">
        <v>44673</v>
      </c>
      <c r="AD2023" s="13">
        <v>44582</v>
      </c>
      <c r="AF2023" t="s">
        <v>451</v>
      </c>
      <c r="AI2023">
        <v>-339</v>
      </c>
      <c r="AL2023" t="s">
        <v>1546</v>
      </c>
      <c r="AN2023" t="s">
        <v>31</v>
      </c>
      <c r="AO2023">
        <v>0</v>
      </c>
      <c r="AS2023" t="s">
        <v>385</v>
      </c>
      <c r="AX2023" t="s">
        <v>31</v>
      </c>
      <c r="AY2023" t="s">
        <v>386</v>
      </c>
      <c r="AZ2023" t="s">
        <v>1547</v>
      </c>
      <c r="BF2023">
        <v>0</v>
      </c>
      <c r="BK2023" t="s">
        <v>31</v>
      </c>
      <c r="BS2023" t="s">
        <v>419</v>
      </c>
      <c r="BT2023" t="s">
        <v>419</v>
      </c>
      <c r="CI2023" t="s">
        <v>388</v>
      </c>
      <c r="CJ2023" s="14">
        <v>45015</v>
      </c>
      <c r="CK2023">
        <v>1</v>
      </c>
    </row>
    <row r="2024" spans="1:89">
      <c r="A2024" t="s">
        <v>1535</v>
      </c>
      <c r="B2024" t="s">
        <v>374</v>
      </c>
      <c r="C2024" t="s">
        <v>1536</v>
      </c>
      <c r="D2024" t="s">
        <v>1548</v>
      </c>
      <c r="E2024" t="s">
        <v>1549</v>
      </c>
      <c r="F2024" s="13">
        <v>44644.330960648149</v>
      </c>
      <c r="G2024" t="s">
        <v>1539</v>
      </c>
      <c r="H2024" t="s">
        <v>1540</v>
      </c>
      <c r="I2024" s="13">
        <v>44644.335659722223</v>
      </c>
      <c r="K2024" t="s">
        <v>412</v>
      </c>
      <c r="R2024">
        <v>0</v>
      </c>
      <c r="S2024" t="s">
        <v>380</v>
      </c>
      <c r="T2024" t="s">
        <v>57</v>
      </c>
      <c r="V2024" t="s">
        <v>381</v>
      </c>
      <c r="W2024" t="s">
        <v>1540</v>
      </c>
      <c r="X2024" t="s">
        <v>1540</v>
      </c>
      <c r="AC2024" s="13">
        <v>44652</v>
      </c>
      <c r="AD2024" s="13">
        <v>44652</v>
      </c>
      <c r="AI2024">
        <v>7</v>
      </c>
      <c r="AL2024" t="s">
        <v>1542</v>
      </c>
      <c r="AN2024" t="s">
        <v>31</v>
      </c>
      <c r="AO2024">
        <v>0</v>
      </c>
      <c r="AS2024" t="s">
        <v>385</v>
      </c>
      <c r="AX2024" t="s">
        <v>57</v>
      </c>
      <c r="AY2024" t="s">
        <v>386</v>
      </c>
      <c r="AZ2024" t="s">
        <v>1543</v>
      </c>
      <c r="BF2024">
        <v>0</v>
      </c>
      <c r="BK2024" t="s">
        <v>31</v>
      </c>
      <c r="BS2024" t="s">
        <v>412</v>
      </c>
      <c r="BT2024" t="s">
        <v>412</v>
      </c>
      <c r="CI2024" t="s">
        <v>388</v>
      </c>
      <c r="CJ2024" s="14">
        <v>45015</v>
      </c>
      <c r="CK2024">
        <v>1</v>
      </c>
    </row>
    <row r="2025" spans="1:89">
      <c r="A2025" t="s">
        <v>1550</v>
      </c>
      <c r="B2025" t="s">
        <v>374</v>
      </c>
      <c r="C2025" t="s">
        <v>1551</v>
      </c>
      <c r="D2025" t="s">
        <v>1552</v>
      </c>
      <c r="E2025" t="s">
        <v>1553</v>
      </c>
      <c r="F2025" s="13">
        <v>44643.746099537035</v>
      </c>
      <c r="G2025" t="s">
        <v>1554</v>
      </c>
      <c r="H2025" t="s">
        <v>1555</v>
      </c>
      <c r="I2025" s="13">
        <v>44694.683680555558</v>
      </c>
      <c r="K2025" t="s">
        <v>412</v>
      </c>
      <c r="R2025">
        <v>0</v>
      </c>
      <c r="S2025" t="s">
        <v>380</v>
      </c>
      <c r="T2025" t="s">
        <v>57</v>
      </c>
      <c r="V2025" t="s">
        <v>381</v>
      </c>
      <c r="W2025" t="s">
        <v>1556</v>
      </c>
      <c r="X2025" t="s">
        <v>1556</v>
      </c>
      <c r="AI2025">
        <v>53</v>
      </c>
      <c r="AL2025" t="s">
        <v>1557</v>
      </c>
      <c r="AN2025" t="s">
        <v>31</v>
      </c>
      <c r="AO2025">
        <v>0</v>
      </c>
      <c r="AS2025" t="s">
        <v>385</v>
      </c>
      <c r="AX2025" t="s">
        <v>57</v>
      </c>
      <c r="AY2025" t="s">
        <v>386</v>
      </c>
      <c r="AZ2025" t="s">
        <v>1558</v>
      </c>
      <c r="BF2025">
        <v>0</v>
      </c>
      <c r="BK2025" t="s">
        <v>31</v>
      </c>
      <c r="BS2025" t="s">
        <v>412</v>
      </c>
      <c r="BT2025" t="s">
        <v>412</v>
      </c>
      <c r="CI2025" t="s">
        <v>388</v>
      </c>
      <c r="CJ2025" s="14">
        <v>45015</v>
      </c>
      <c r="CK2025">
        <v>1</v>
      </c>
    </row>
    <row r="2026" spans="1:89">
      <c r="A2026" t="s">
        <v>1559</v>
      </c>
      <c r="B2026" t="s">
        <v>374</v>
      </c>
      <c r="C2026" t="s">
        <v>1560</v>
      </c>
      <c r="D2026" t="s">
        <v>1561</v>
      </c>
      <c r="E2026" t="s">
        <v>1562</v>
      </c>
      <c r="F2026" s="13">
        <v>44643.732662037037</v>
      </c>
      <c r="G2026" t="s">
        <v>1563</v>
      </c>
      <c r="H2026" t="s">
        <v>1564</v>
      </c>
      <c r="I2026" s="13">
        <v>45012.044305555559</v>
      </c>
      <c r="K2026" t="s">
        <v>415</v>
      </c>
      <c r="M2026" s="13">
        <v>44651</v>
      </c>
      <c r="R2026">
        <v>0</v>
      </c>
      <c r="S2026" t="s">
        <v>416</v>
      </c>
      <c r="T2026" t="s">
        <v>57</v>
      </c>
      <c r="V2026" t="s">
        <v>478</v>
      </c>
      <c r="W2026" t="s">
        <v>1565</v>
      </c>
      <c r="X2026" t="s">
        <v>1565</v>
      </c>
      <c r="AF2026" t="s">
        <v>451</v>
      </c>
      <c r="AI2026">
        <v>-361</v>
      </c>
      <c r="AL2026" t="s">
        <v>1566</v>
      </c>
      <c r="AN2026" t="s">
        <v>31</v>
      </c>
      <c r="AO2026">
        <v>0</v>
      </c>
      <c r="AS2026" t="s">
        <v>385</v>
      </c>
      <c r="AX2026" t="s">
        <v>31</v>
      </c>
      <c r="AY2026" t="s">
        <v>442</v>
      </c>
      <c r="AZ2026" t="s">
        <v>1567</v>
      </c>
      <c r="BF2026">
        <v>0</v>
      </c>
      <c r="BK2026" t="s">
        <v>31</v>
      </c>
      <c r="BS2026" t="s">
        <v>419</v>
      </c>
      <c r="BT2026" t="s">
        <v>419</v>
      </c>
      <c r="CI2026" t="s">
        <v>388</v>
      </c>
      <c r="CJ2026" s="14">
        <v>45015</v>
      </c>
      <c r="CK2026">
        <v>1</v>
      </c>
    </row>
    <row r="2027" spans="1:89">
      <c r="A2027" t="s">
        <v>1559</v>
      </c>
      <c r="B2027" t="s">
        <v>374</v>
      </c>
      <c r="C2027" t="s">
        <v>1560</v>
      </c>
      <c r="D2027" t="s">
        <v>1568</v>
      </c>
      <c r="E2027" t="s">
        <v>1569</v>
      </c>
      <c r="F2027" s="13">
        <v>44643.731226851851</v>
      </c>
      <c r="G2027" t="s">
        <v>1563</v>
      </c>
      <c r="H2027" t="s">
        <v>1564</v>
      </c>
      <c r="I2027" s="13">
        <v>45012.044305555559</v>
      </c>
      <c r="K2027" t="s">
        <v>415</v>
      </c>
      <c r="M2027" s="13">
        <v>44651</v>
      </c>
      <c r="R2027">
        <v>0</v>
      </c>
      <c r="S2027" t="s">
        <v>416</v>
      </c>
      <c r="T2027" t="s">
        <v>57</v>
      </c>
      <c r="V2027" t="s">
        <v>478</v>
      </c>
      <c r="W2027" t="s">
        <v>1565</v>
      </c>
      <c r="X2027" t="s">
        <v>1565</v>
      </c>
      <c r="AF2027" t="s">
        <v>451</v>
      </c>
      <c r="AI2027">
        <v>-361</v>
      </c>
      <c r="AL2027" t="s">
        <v>1566</v>
      </c>
      <c r="AN2027" t="s">
        <v>31</v>
      </c>
      <c r="AO2027">
        <v>0</v>
      </c>
      <c r="AS2027" t="s">
        <v>385</v>
      </c>
      <c r="AX2027" t="s">
        <v>31</v>
      </c>
      <c r="AY2027" t="s">
        <v>386</v>
      </c>
      <c r="AZ2027" t="s">
        <v>1570</v>
      </c>
      <c r="BF2027">
        <v>0</v>
      </c>
      <c r="BK2027" t="s">
        <v>31</v>
      </c>
      <c r="BS2027" t="s">
        <v>419</v>
      </c>
      <c r="BT2027" t="s">
        <v>419</v>
      </c>
      <c r="CI2027" t="s">
        <v>388</v>
      </c>
      <c r="CJ2027" s="14">
        <v>45015</v>
      </c>
      <c r="CK2027">
        <v>1</v>
      </c>
    </row>
    <row r="2028" spans="1:89">
      <c r="A2028" t="s">
        <v>1559</v>
      </c>
      <c r="B2028" t="s">
        <v>374</v>
      </c>
      <c r="C2028" t="s">
        <v>1560</v>
      </c>
      <c r="D2028" t="s">
        <v>1571</v>
      </c>
      <c r="E2028" t="s">
        <v>1572</v>
      </c>
      <c r="F2028" s="13">
        <v>44643.724976851852</v>
      </c>
      <c r="G2028" t="s">
        <v>1563</v>
      </c>
      <c r="H2028" t="s">
        <v>1564</v>
      </c>
      <c r="I2028" s="13">
        <v>45012.044305555559</v>
      </c>
      <c r="K2028" t="s">
        <v>415</v>
      </c>
      <c r="M2028" s="13">
        <v>44651</v>
      </c>
      <c r="R2028">
        <v>90</v>
      </c>
      <c r="S2028" t="s">
        <v>416</v>
      </c>
      <c r="T2028" t="s">
        <v>57</v>
      </c>
      <c r="V2028" t="s">
        <v>478</v>
      </c>
      <c r="W2028" t="s">
        <v>1573</v>
      </c>
      <c r="X2028" t="s">
        <v>1573</v>
      </c>
      <c r="AF2028" t="s">
        <v>451</v>
      </c>
      <c r="AG2028" t="s">
        <v>1574</v>
      </c>
      <c r="AI2028">
        <v>-361</v>
      </c>
      <c r="AL2028" t="s">
        <v>1566</v>
      </c>
      <c r="AN2028" t="s">
        <v>31</v>
      </c>
      <c r="AO2028">
        <v>0</v>
      </c>
      <c r="AS2028" t="s">
        <v>526</v>
      </c>
      <c r="AX2028" t="s">
        <v>31</v>
      </c>
      <c r="AY2028" t="s">
        <v>442</v>
      </c>
      <c r="AZ2028" t="s">
        <v>1570</v>
      </c>
      <c r="BF2028">
        <v>0</v>
      </c>
      <c r="BK2028" t="s">
        <v>31</v>
      </c>
      <c r="BS2028" t="s">
        <v>419</v>
      </c>
      <c r="BT2028" t="s">
        <v>419</v>
      </c>
      <c r="CI2028" t="s">
        <v>388</v>
      </c>
      <c r="CJ2028" s="14">
        <v>45015</v>
      </c>
      <c r="CK2028">
        <v>1</v>
      </c>
    </row>
    <row r="2029" spans="1:89">
      <c r="A2029" t="s">
        <v>1559</v>
      </c>
      <c r="B2029" t="s">
        <v>374</v>
      </c>
      <c r="C2029" t="s">
        <v>1560</v>
      </c>
      <c r="D2029" t="s">
        <v>1575</v>
      </c>
      <c r="E2029" t="s">
        <v>1572</v>
      </c>
      <c r="F2029" s="13">
        <v>44643.723645833335</v>
      </c>
      <c r="G2029" t="s">
        <v>1563</v>
      </c>
      <c r="H2029" t="s">
        <v>1564</v>
      </c>
      <c r="I2029" s="13">
        <v>44833.685474537036</v>
      </c>
      <c r="K2029" t="s">
        <v>409</v>
      </c>
      <c r="R2029">
        <v>0</v>
      </c>
      <c r="S2029" t="s">
        <v>380</v>
      </c>
      <c r="T2029" t="s">
        <v>57</v>
      </c>
      <c r="V2029" t="s">
        <v>381</v>
      </c>
      <c r="W2029" t="s">
        <v>1573</v>
      </c>
      <c r="X2029" t="s">
        <v>1573</v>
      </c>
      <c r="AI2029">
        <v>8</v>
      </c>
      <c r="AL2029" t="s">
        <v>1566</v>
      </c>
      <c r="AN2029" t="s">
        <v>31</v>
      </c>
      <c r="AO2029">
        <v>0</v>
      </c>
      <c r="AS2029" t="s">
        <v>526</v>
      </c>
      <c r="AX2029" t="s">
        <v>31</v>
      </c>
      <c r="AY2029" t="s">
        <v>442</v>
      </c>
      <c r="AZ2029" t="s">
        <v>1570</v>
      </c>
      <c r="BF2029">
        <v>0</v>
      </c>
      <c r="BK2029" t="s">
        <v>31</v>
      </c>
      <c r="BS2029" t="s">
        <v>409</v>
      </c>
      <c r="BT2029" t="s">
        <v>409</v>
      </c>
      <c r="CI2029" t="s">
        <v>388</v>
      </c>
      <c r="CJ2029" s="14">
        <v>45015</v>
      </c>
      <c r="CK2029">
        <v>1</v>
      </c>
    </row>
    <row r="2030" spans="1:89">
      <c r="A2030" t="s">
        <v>1559</v>
      </c>
      <c r="B2030" t="s">
        <v>374</v>
      </c>
      <c r="C2030" t="s">
        <v>1560</v>
      </c>
      <c r="D2030" t="s">
        <v>1576</v>
      </c>
      <c r="E2030" t="s">
        <v>1577</v>
      </c>
      <c r="F2030" s="13">
        <v>44643.722002314818</v>
      </c>
      <c r="G2030" t="s">
        <v>1563</v>
      </c>
      <c r="H2030" t="s">
        <v>1564</v>
      </c>
      <c r="I2030" s="13">
        <v>45012.044305555559</v>
      </c>
      <c r="K2030" t="s">
        <v>415</v>
      </c>
      <c r="M2030" s="13">
        <v>44651</v>
      </c>
      <c r="R2030">
        <v>90</v>
      </c>
      <c r="S2030" t="s">
        <v>416</v>
      </c>
      <c r="T2030" t="s">
        <v>57</v>
      </c>
      <c r="V2030" t="s">
        <v>478</v>
      </c>
      <c r="W2030" t="s">
        <v>1573</v>
      </c>
      <c r="X2030" t="s">
        <v>1573</v>
      </c>
      <c r="AF2030" t="s">
        <v>451</v>
      </c>
      <c r="AG2030" t="s">
        <v>1578</v>
      </c>
      <c r="AI2030">
        <v>-361</v>
      </c>
      <c r="AL2030" t="s">
        <v>1566</v>
      </c>
      <c r="AN2030" t="s">
        <v>31</v>
      </c>
      <c r="AO2030">
        <v>0</v>
      </c>
      <c r="AS2030" t="s">
        <v>385</v>
      </c>
      <c r="AX2030" t="s">
        <v>31</v>
      </c>
      <c r="AY2030" t="s">
        <v>442</v>
      </c>
      <c r="AZ2030" t="s">
        <v>1570</v>
      </c>
      <c r="BF2030">
        <v>0</v>
      </c>
      <c r="BK2030" t="s">
        <v>31</v>
      </c>
      <c r="BS2030" t="s">
        <v>419</v>
      </c>
      <c r="BT2030" t="s">
        <v>419</v>
      </c>
      <c r="CI2030" t="s">
        <v>388</v>
      </c>
      <c r="CJ2030" s="14">
        <v>45015</v>
      </c>
      <c r="CK2030">
        <v>1</v>
      </c>
    </row>
    <row r="2031" spans="1:89">
      <c r="A2031" t="s">
        <v>1579</v>
      </c>
      <c r="B2031" t="s">
        <v>374</v>
      </c>
      <c r="C2031" t="s">
        <v>1580</v>
      </c>
      <c r="D2031" t="s">
        <v>1581</v>
      </c>
      <c r="E2031" t="s">
        <v>1582</v>
      </c>
      <c r="F2031" s="13">
        <v>44643.616574074076</v>
      </c>
      <c r="G2031" t="s">
        <v>1583</v>
      </c>
      <c r="H2031" t="s">
        <v>1584</v>
      </c>
      <c r="I2031" s="13">
        <v>44714.517256944448</v>
      </c>
      <c r="K2031" t="s">
        <v>379</v>
      </c>
      <c r="M2031" s="13">
        <v>44651</v>
      </c>
      <c r="R2031">
        <v>100</v>
      </c>
      <c r="S2031" t="s">
        <v>380</v>
      </c>
      <c r="T2031" t="s">
        <v>57</v>
      </c>
      <c r="V2031" t="s">
        <v>478</v>
      </c>
      <c r="W2031" t="s">
        <v>1585</v>
      </c>
      <c r="X2031" t="s">
        <v>1585</v>
      </c>
      <c r="AF2031" t="s">
        <v>382</v>
      </c>
      <c r="AG2031" t="s">
        <v>1586</v>
      </c>
      <c r="AI2031">
        <v>-7</v>
      </c>
      <c r="AJ2031" s="13">
        <v>44714</v>
      </c>
      <c r="AL2031" t="s">
        <v>1587</v>
      </c>
      <c r="AN2031" t="s">
        <v>31</v>
      </c>
      <c r="AO2031">
        <v>0</v>
      </c>
      <c r="AR2031" t="s">
        <v>1586</v>
      </c>
      <c r="AS2031" t="s">
        <v>707</v>
      </c>
      <c r="AX2031" t="s">
        <v>31</v>
      </c>
      <c r="AY2031" t="s">
        <v>386</v>
      </c>
      <c r="AZ2031" t="s">
        <v>1588</v>
      </c>
      <c r="BF2031">
        <v>0</v>
      </c>
      <c r="BK2031" t="s">
        <v>31</v>
      </c>
      <c r="BS2031" t="s">
        <v>379</v>
      </c>
      <c r="BT2031" t="s">
        <v>379</v>
      </c>
      <c r="CI2031" t="s">
        <v>388</v>
      </c>
      <c r="CJ2031" s="14">
        <v>45015</v>
      </c>
      <c r="CK2031">
        <v>1</v>
      </c>
    </row>
    <row r="2032" spans="1:89">
      <c r="A2032" t="s">
        <v>454</v>
      </c>
      <c r="B2032" t="s">
        <v>374</v>
      </c>
      <c r="C2032" t="s">
        <v>455</v>
      </c>
      <c r="D2032" t="s">
        <v>1589</v>
      </c>
      <c r="E2032" t="s">
        <v>1590</v>
      </c>
      <c r="F2032" s="13">
        <v>44643.605694444443</v>
      </c>
      <c r="G2032" t="s">
        <v>1591</v>
      </c>
      <c r="H2032" t="s">
        <v>1592</v>
      </c>
      <c r="I2032" s="13">
        <v>44643.606504629628</v>
      </c>
      <c r="K2032" t="s">
        <v>412</v>
      </c>
      <c r="R2032">
        <v>0</v>
      </c>
      <c r="S2032" t="s">
        <v>380</v>
      </c>
      <c r="T2032" t="s">
        <v>57</v>
      </c>
      <c r="V2032" t="s">
        <v>381</v>
      </c>
      <c r="W2032" t="s">
        <v>1593</v>
      </c>
      <c r="X2032" t="s">
        <v>1593</v>
      </c>
      <c r="AC2032" s="13">
        <v>44696</v>
      </c>
      <c r="AD2032" s="13">
        <v>44607</v>
      </c>
      <c r="AI2032">
        <v>53</v>
      </c>
      <c r="AL2032" t="s">
        <v>1594</v>
      </c>
      <c r="AN2032" t="s">
        <v>31</v>
      </c>
      <c r="AO2032">
        <v>0</v>
      </c>
      <c r="AS2032" t="s">
        <v>385</v>
      </c>
      <c r="AX2032" t="s">
        <v>57</v>
      </c>
      <c r="AY2032" t="s">
        <v>386</v>
      </c>
      <c r="AZ2032" t="s">
        <v>1595</v>
      </c>
      <c r="BF2032">
        <v>0</v>
      </c>
      <c r="BK2032" t="s">
        <v>31</v>
      </c>
      <c r="BS2032" t="s">
        <v>412</v>
      </c>
      <c r="BT2032" t="s">
        <v>412</v>
      </c>
      <c r="CI2032" t="s">
        <v>388</v>
      </c>
      <c r="CJ2032" s="14">
        <v>45015</v>
      </c>
      <c r="CK2032">
        <v>1</v>
      </c>
    </row>
    <row r="2033" spans="1:89">
      <c r="A2033" t="s">
        <v>454</v>
      </c>
      <c r="B2033" t="s">
        <v>374</v>
      </c>
      <c r="C2033" t="s">
        <v>455</v>
      </c>
      <c r="D2033" t="s">
        <v>1596</v>
      </c>
      <c r="E2033" t="s">
        <v>1597</v>
      </c>
      <c r="F2033" s="13">
        <v>44643.596597222226</v>
      </c>
      <c r="G2033" t="s">
        <v>1591</v>
      </c>
      <c r="H2033" t="s">
        <v>1592</v>
      </c>
      <c r="I2033" s="13">
        <v>44643.59752314815</v>
      </c>
      <c r="K2033" t="s">
        <v>412</v>
      </c>
      <c r="R2033">
        <v>0</v>
      </c>
      <c r="S2033" t="s">
        <v>380</v>
      </c>
      <c r="T2033" t="s">
        <v>57</v>
      </c>
      <c r="V2033" t="s">
        <v>381</v>
      </c>
      <c r="W2033" t="s">
        <v>1593</v>
      </c>
      <c r="X2033" t="s">
        <v>1593</v>
      </c>
      <c r="AC2033" s="13">
        <v>44696</v>
      </c>
      <c r="AD2033" s="13">
        <v>44607</v>
      </c>
      <c r="AI2033">
        <v>53</v>
      </c>
      <c r="AL2033" t="s">
        <v>1598</v>
      </c>
      <c r="AN2033" t="s">
        <v>31</v>
      </c>
      <c r="AO2033">
        <v>0</v>
      </c>
      <c r="AS2033" t="s">
        <v>385</v>
      </c>
      <c r="AX2033" t="s">
        <v>57</v>
      </c>
      <c r="AY2033" t="s">
        <v>442</v>
      </c>
      <c r="AZ2033" t="s">
        <v>1285</v>
      </c>
      <c r="BF2033">
        <v>0</v>
      </c>
      <c r="BK2033" t="s">
        <v>31</v>
      </c>
      <c r="BS2033" t="s">
        <v>412</v>
      </c>
      <c r="BT2033" t="s">
        <v>412</v>
      </c>
      <c r="CI2033" t="s">
        <v>388</v>
      </c>
      <c r="CJ2033" s="14">
        <v>45015</v>
      </c>
      <c r="CK2033">
        <v>1</v>
      </c>
    </row>
    <row r="2034" spans="1:89">
      <c r="A2034" t="s">
        <v>454</v>
      </c>
      <c r="B2034" t="s">
        <v>374</v>
      </c>
      <c r="C2034" t="s">
        <v>455</v>
      </c>
      <c r="D2034" t="s">
        <v>1599</v>
      </c>
      <c r="E2034" t="s">
        <v>1600</v>
      </c>
      <c r="F2034" s="13">
        <v>44643.586516203701</v>
      </c>
      <c r="G2034" t="s">
        <v>1591</v>
      </c>
      <c r="H2034" t="s">
        <v>1592</v>
      </c>
      <c r="I2034" s="13">
        <v>44643.587442129632</v>
      </c>
      <c r="K2034" t="s">
        <v>412</v>
      </c>
      <c r="R2034">
        <v>0</v>
      </c>
      <c r="S2034" t="s">
        <v>380</v>
      </c>
      <c r="T2034" t="s">
        <v>57</v>
      </c>
      <c r="V2034" t="s">
        <v>381</v>
      </c>
      <c r="W2034" t="s">
        <v>1593</v>
      </c>
      <c r="X2034" t="s">
        <v>1593</v>
      </c>
      <c r="AC2034" s="13">
        <v>44696</v>
      </c>
      <c r="AD2034" s="13">
        <v>44607</v>
      </c>
      <c r="AI2034">
        <v>53</v>
      </c>
      <c r="AL2034" t="s">
        <v>1601</v>
      </c>
      <c r="AN2034" t="s">
        <v>31</v>
      </c>
      <c r="AO2034">
        <v>0</v>
      </c>
      <c r="AS2034" t="s">
        <v>385</v>
      </c>
      <c r="AX2034" t="s">
        <v>57</v>
      </c>
      <c r="AY2034" t="s">
        <v>386</v>
      </c>
      <c r="AZ2034" t="s">
        <v>1602</v>
      </c>
      <c r="BF2034">
        <v>0</v>
      </c>
      <c r="BK2034" t="s">
        <v>31</v>
      </c>
      <c r="BS2034" t="s">
        <v>412</v>
      </c>
      <c r="BT2034" t="s">
        <v>412</v>
      </c>
      <c r="CI2034" t="s">
        <v>388</v>
      </c>
      <c r="CJ2034" s="14">
        <v>45015</v>
      </c>
      <c r="CK2034">
        <v>1</v>
      </c>
    </row>
    <row r="2035" spans="1:89">
      <c r="A2035" t="s">
        <v>1603</v>
      </c>
      <c r="B2035" t="s">
        <v>374</v>
      </c>
      <c r="C2035" t="s">
        <v>1604</v>
      </c>
      <c r="D2035" t="s">
        <v>1605</v>
      </c>
      <c r="E2035" t="s">
        <v>1606</v>
      </c>
      <c r="F2035" s="13">
        <v>44643.578668981485</v>
      </c>
      <c r="G2035" t="s">
        <v>1583</v>
      </c>
      <c r="H2035" t="s">
        <v>1584</v>
      </c>
      <c r="I2035" s="13">
        <v>45012.044293981482</v>
      </c>
      <c r="K2035" t="s">
        <v>415</v>
      </c>
      <c r="M2035" s="13">
        <v>44712</v>
      </c>
      <c r="R2035">
        <v>0</v>
      </c>
      <c r="S2035" t="s">
        <v>380</v>
      </c>
      <c r="T2035" t="s">
        <v>57</v>
      </c>
      <c r="V2035" t="s">
        <v>478</v>
      </c>
      <c r="W2035" t="s">
        <v>1607</v>
      </c>
      <c r="X2035" t="s">
        <v>1607</v>
      </c>
      <c r="AF2035" t="s">
        <v>451</v>
      </c>
      <c r="AI2035">
        <v>-300</v>
      </c>
      <c r="AL2035" t="s">
        <v>1608</v>
      </c>
      <c r="AN2035" t="s">
        <v>31</v>
      </c>
      <c r="AO2035">
        <v>0</v>
      </c>
      <c r="AS2035" t="s">
        <v>707</v>
      </c>
      <c r="AX2035" t="s">
        <v>31</v>
      </c>
      <c r="AY2035" t="s">
        <v>386</v>
      </c>
      <c r="AZ2035" t="s">
        <v>1609</v>
      </c>
      <c r="BF2035">
        <v>0</v>
      </c>
      <c r="BK2035" t="s">
        <v>31</v>
      </c>
      <c r="BS2035" t="s">
        <v>419</v>
      </c>
      <c r="BT2035" t="s">
        <v>419</v>
      </c>
      <c r="CI2035" t="s">
        <v>388</v>
      </c>
      <c r="CJ2035" s="14">
        <v>45015</v>
      </c>
      <c r="CK2035">
        <v>1</v>
      </c>
    </row>
    <row r="2036" spans="1:89">
      <c r="A2036" t="s">
        <v>454</v>
      </c>
      <c r="B2036" t="s">
        <v>374</v>
      </c>
      <c r="C2036" t="s">
        <v>455</v>
      </c>
      <c r="D2036" t="s">
        <v>1610</v>
      </c>
      <c r="E2036" t="s">
        <v>1611</v>
      </c>
      <c r="F2036" s="13">
        <v>44643.564351851855</v>
      </c>
      <c r="G2036" t="s">
        <v>1591</v>
      </c>
      <c r="H2036" t="s">
        <v>1592</v>
      </c>
      <c r="I2036" s="13">
        <v>44643.565520833334</v>
      </c>
      <c r="K2036" t="s">
        <v>412</v>
      </c>
      <c r="R2036">
        <v>0</v>
      </c>
      <c r="S2036" t="s">
        <v>380</v>
      </c>
      <c r="T2036" t="s">
        <v>57</v>
      </c>
      <c r="V2036" t="s">
        <v>381</v>
      </c>
      <c r="W2036" t="s">
        <v>1593</v>
      </c>
      <c r="X2036" t="s">
        <v>1593</v>
      </c>
      <c r="AC2036" s="13">
        <v>44696</v>
      </c>
      <c r="AD2036" s="13">
        <v>44607</v>
      </c>
      <c r="AI2036">
        <v>53</v>
      </c>
      <c r="AL2036" t="s">
        <v>1612</v>
      </c>
      <c r="AN2036" t="s">
        <v>31</v>
      </c>
      <c r="AO2036">
        <v>0</v>
      </c>
      <c r="AS2036" t="s">
        <v>385</v>
      </c>
      <c r="AX2036" t="s">
        <v>57</v>
      </c>
      <c r="AY2036" t="s">
        <v>386</v>
      </c>
      <c r="AZ2036" t="s">
        <v>1613</v>
      </c>
      <c r="BF2036">
        <v>0</v>
      </c>
      <c r="BK2036" t="s">
        <v>31</v>
      </c>
      <c r="BS2036" t="s">
        <v>412</v>
      </c>
      <c r="BT2036" t="s">
        <v>412</v>
      </c>
      <c r="CI2036" t="s">
        <v>388</v>
      </c>
      <c r="CJ2036" s="14">
        <v>45015</v>
      </c>
      <c r="CK2036">
        <v>1</v>
      </c>
    </row>
    <row r="2037" spans="1:89">
      <c r="A2037" t="s">
        <v>454</v>
      </c>
      <c r="B2037" t="s">
        <v>374</v>
      </c>
      <c r="C2037" t="s">
        <v>455</v>
      </c>
      <c r="D2037" t="s">
        <v>1614</v>
      </c>
      <c r="E2037" t="s">
        <v>1615</v>
      </c>
      <c r="F2037" s="13">
        <v>44643.553043981483</v>
      </c>
      <c r="G2037" t="s">
        <v>1591</v>
      </c>
      <c r="H2037" t="s">
        <v>1592</v>
      </c>
      <c r="I2037" s="13">
        <v>44643.554247685184</v>
      </c>
      <c r="K2037" t="s">
        <v>412</v>
      </c>
      <c r="R2037">
        <v>0</v>
      </c>
      <c r="S2037" t="s">
        <v>380</v>
      </c>
      <c r="T2037" t="s">
        <v>57</v>
      </c>
      <c r="V2037" t="s">
        <v>381</v>
      </c>
      <c r="W2037" t="s">
        <v>1593</v>
      </c>
      <c r="X2037" t="s">
        <v>1593</v>
      </c>
      <c r="AC2037" s="13">
        <v>44696</v>
      </c>
      <c r="AD2037" s="13">
        <v>44607</v>
      </c>
      <c r="AI2037">
        <v>53</v>
      </c>
      <c r="AL2037" t="s">
        <v>1616</v>
      </c>
      <c r="AN2037" t="s">
        <v>31</v>
      </c>
      <c r="AO2037">
        <v>0</v>
      </c>
      <c r="AS2037" t="s">
        <v>385</v>
      </c>
      <c r="AX2037" t="s">
        <v>57</v>
      </c>
      <c r="AY2037" t="s">
        <v>442</v>
      </c>
      <c r="AZ2037" t="s">
        <v>1617</v>
      </c>
      <c r="BF2037">
        <v>0</v>
      </c>
      <c r="BK2037" t="s">
        <v>31</v>
      </c>
      <c r="BS2037" t="s">
        <v>412</v>
      </c>
      <c r="BT2037" t="s">
        <v>412</v>
      </c>
      <c r="CI2037" t="s">
        <v>388</v>
      </c>
      <c r="CJ2037" s="14">
        <v>45015</v>
      </c>
      <c r="CK2037">
        <v>1</v>
      </c>
    </row>
    <row r="2038" spans="1:89">
      <c r="A2038" t="s">
        <v>454</v>
      </c>
      <c r="B2038" t="s">
        <v>374</v>
      </c>
      <c r="C2038" t="s">
        <v>455</v>
      </c>
      <c r="D2038" t="s">
        <v>1618</v>
      </c>
      <c r="E2038" t="s">
        <v>1619</v>
      </c>
      <c r="F2038" s="13">
        <v>44643.542800925927</v>
      </c>
      <c r="G2038" t="s">
        <v>1591</v>
      </c>
      <c r="H2038" t="s">
        <v>1592</v>
      </c>
      <c r="I2038" s="13">
        <v>44643.544502314813</v>
      </c>
      <c r="K2038" t="s">
        <v>412</v>
      </c>
      <c r="R2038">
        <v>0</v>
      </c>
      <c r="S2038" t="s">
        <v>380</v>
      </c>
      <c r="T2038" t="s">
        <v>57</v>
      </c>
      <c r="V2038" t="s">
        <v>381</v>
      </c>
      <c r="W2038" t="s">
        <v>1593</v>
      </c>
      <c r="X2038" t="s">
        <v>1593</v>
      </c>
      <c r="AC2038" s="13">
        <v>44696</v>
      </c>
      <c r="AD2038" s="13">
        <v>44607</v>
      </c>
      <c r="AI2038">
        <v>53</v>
      </c>
      <c r="AL2038" t="s">
        <v>1620</v>
      </c>
      <c r="AN2038" t="s">
        <v>31</v>
      </c>
      <c r="AO2038">
        <v>0</v>
      </c>
      <c r="AS2038" t="s">
        <v>385</v>
      </c>
      <c r="AX2038" t="s">
        <v>57</v>
      </c>
      <c r="AY2038" t="s">
        <v>386</v>
      </c>
      <c r="AZ2038" t="s">
        <v>1621</v>
      </c>
      <c r="BF2038">
        <v>0</v>
      </c>
      <c r="BK2038" t="s">
        <v>31</v>
      </c>
      <c r="BS2038" t="s">
        <v>412</v>
      </c>
      <c r="BT2038" t="s">
        <v>412</v>
      </c>
      <c r="CI2038" t="s">
        <v>388</v>
      </c>
      <c r="CJ2038" s="14">
        <v>45015</v>
      </c>
      <c r="CK2038">
        <v>1</v>
      </c>
    </row>
    <row r="2039" spans="1:89">
      <c r="A2039" t="s">
        <v>454</v>
      </c>
      <c r="B2039" t="s">
        <v>374</v>
      </c>
      <c r="C2039" t="s">
        <v>455</v>
      </c>
      <c r="D2039" t="s">
        <v>1622</v>
      </c>
      <c r="E2039" t="s">
        <v>1623</v>
      </c>
      <c r="F2039" s="13">
        <v>44643.53769675926</v>
      </c>
      <c r="G2039" t="s">
        <v>1591</v>
      </c>
      <c r="H2039" t="s">
        <v>1592</v>
      </c>
      <c r="I2039" s="13">
        <v>44643.540439814817</v>
      </c>
      <c r="K2039" t="s">
        <v>412</v>
      </c>
      <c r="R2039">
        <v>0</v>
      </c>
      <c r="S2039" t="s">
        <v>380</v>
      </c>
      <c r="T2039" t="s">
        <v>57</v>
      </c>
      <c r="V2039" t="s">
        <v>381</v>
      </c>
      <c r="W2039" t="s">
        <v>1593</v>
      </c>
      <c r="X2039" t="s">
        <v>1593</v>
      </c>
      <c r="AC2039" s="13">
        <v>44696</v>
      </c>
      <c r="AD2039" s="13">
        <v>44607</v>
      </c>
      <c r="AI2039">
        <v>53</v>
      </c>
      <c r="AL2039" t="s">
        <v>1624</v>
      </c>
      <c r="AN2039" t="s">
        <v>31</v>
      </c>
      <c r="AO2039">
        <v>0</v>
      </c>
      <c r="AS2039" t="s">
        <v>385</v>
      </c>
      <c r="AX2039" t="s">
        <v>57</v>
      </c>
      <c r="AY2039" t="s">
        <v>442</v>
      </c>
      <c r="AZ2039" t="s">
        <v>1625</v>
      </c>
      <c r="BE2039" t="s">
        <v>1626</v>
      </c>
      <c r="BF2039">
        <v>0</v>
      </c>
      <c r="BK2039" t="s">
        <v>31</v>
      </c>
      <c r="BS2039" t="s">
        <v>412</v>
      </c>
      <c r="BT2039" t="s">
        <v>412</v>
      </c>
      <c r="CI2039" t="s">
        <v>388</v>
      </c>
      <c r="CJ2039" s="14">
        <v>45015</v>
      </c>
      <c r="CK2039">
        <v>1</v>
      </c>
    </row>
    <row r="2040" spans="1:89">
      <c r="A2040" t="s">
        <v>1603</v>
      </c>
      <c r="B2040" t="s">
        <v>374</v>
      </c>
      <c r="C2040" t="s">
        <v>1604</v>
      </c>
      <c r="D2040" t="s">
        <v>1627</v>
      </c>
      <c r="E2040" t="s">
        <v>1628</v>
      </c>
      <c r="F2040" s="13">
        <v>44643.498460648145</v>
      </c>
      <c r="G2040" t="s">
        <v>1583</v>
      </c>
      <c r="H2040" t="s">
        <v>1584</v>
      </c>
      <c r="I2040" s="13">
        <v>44643.525682870371</v>
      </c>
      <c r="K2040" t="s">
        <v>379</v>
      </c>
      <c r="M2040" s="13">
        <v>44651</v>
      </c>
      <c r="R2040">
        <v>100</v>
      </c>
      <c r="S2040" t="s">
        <v>380</v>
      </c>
      <c r="T2040" t="s">
        <v>57</v>
      </c>
      <c r="V2040" t="s">
        <v>381</v>
      </c>
      <c r="W2040" t="s">
        <v>1629</v>
      </c>
      <c r="X2040" t="s">
        <v>1629</v>
      </c>
      <c r="AF2040" t="s">
        <v>382</v>
      </c>
      <c r="AG2040" t="s">
        <v>1630</v>
      </c>
      <c r="AI2040">
        <v>8</v>
      </c>
      <c r="AL2040" t="s">
        <v>1631</v>
      </c>
      <c r="AN2040" t="s">
        <v>31</v>
      </c>
      <c r="AO2040">
        <v>0</v>
      </c>
      <c r="AS2040" t="s">
        <v>392</v>
      </c>
      <c r="AX2040" t="s">
        <v>31</v>
      </c>
      <c r="AY2040" t="s">
        <v>386</v>
      </c>
      <c r="AZ2040" t="s">
        <v>1632</v>
      </c>
      <c r="BF2040">
        <v>0</v>
      </c>
      <c r="BK2040" t="s">
        <v>31</v>
      </c>
      <c r="BS2040" t="s">
        <v>379</v>
      </c>
      <c r="BT2040" t="s">
        <v>379</v>
      </c>
      <c r="CI2040" t="s">
        <v>388</v>
      </c>
      <c r="CJ2040" s="14">
        <v>45015</v>
      </c>
      <c r="CK2040">
        <v>1</v>
      </c>
    </row>
    <row r="2041" spans="1:89">
      <c r="A2041" t="s">
        <v>1633</v>
      </c>
      <c r="B2041" t="s">
        <v>374</v>
      </c>
      <c r="C2041" t="s">
        <v>1634</v>
      </c>
      <c r="D2041" t="s">
        <v>1635</v>
      </c>
      <c r="E2041" t="s">
        <v>1636</v>
      </c>
      <c r="F2041" s="13">
        <v>44643.444814814815</v>
      </c>
      <c r="G2041" t="s">
        <v>1637</v>
      </c>
      <c r="H2041" t="s">
        <v>1638</v>
      </c>
      <c r="I2041" s="13">
        <v>44643.457685185182</v>
      </c>
      <c r="K2041" t="s">
        <v>379</v>
      </c>
      <c r="M2041" s="13">
        <v>44649</v>
      </c>
      <c r="R2041">
        <v>100</v>
      </c>
      <c r="S2041" t="s">
        <v>380</v>
      </c>
      <c r="T2041" t="s">
        <v>57</v>
      </c>
      <c r="V2041" t="s">
        <v>381</v>
      </c>
      <c r="W2041" t="s">
        <v>1639</v>
      </c>
      <c r="X2041" t="s">
        <v>1639</v>
      </c>
      <c r="AF2041" t="s">
        <v>382</v>
      </c>
      <c r="AG2041" t="s">
        <v>1640</v>
      </c>
      <c r="AI2041">
        <v>6</v>
      </c>
      <c r="AL2041" t="s">
        <v>1641</v>
      </c>
      <c r="AN2041" t="s">
        <v>31</v>
      </c>
      <c r="AO2041">
        <v>0</v>
      </c>
      <c r="AS2041" t="s">
        <v>385</v>
      </c>
      <c r="AX2041" t="s">
        <v>57</v>
      </c>
      <c r="AY2041" t="s">
        <v>386</v>
      </c>
      <c r="AZ2041" t="s">
        <v>1642</v>
      </c>
      <c r="BF2041">
        <v>0</v>
      </c>
      <c r="BK2041" t="s">
        <v>31</v>
      </c>
      <c r="BS2041" t="s">
        <v>379</v>
      </c>
      <c r="BT2041" t="s">
        <v>379</v>
      </c>
      <c r="CI2041" t="s">
        <v>388</v>
      </c>
      <c r="CJ2041" s="14">
        <v>45015</v>
      </c>
      <c r="CK2041">
        <v>1</v>
      </c>
    </row>
    <row r="2042" spans="1:89">
      <c r="A2042" t="s">
        <v>1643</v>
      </c>
      <c r="B2042" t="s">
        <v>374</v>
      </c>
      <c r="C2042" t="s">
        <v>1644</v>
      </c>
      <c r="D2042" t="s">
        <v>1645</v>
      </c>
      <c r="E2042" t="s">
        <v>1646</v>
      </c>
      <c r="F2042" s="13">
        <v>44643.4375</v>
      </c>
      <c r="G2042" t="s">
        <v>1647</v>
      </c>
      <c r="H2042" t="s">
        <v>1648</v>
      </c>
      <c r="I2042" s="13">
        <v>45012.044293981482</v>
      </c>
      <c r="K2042" t="s">
        <v>415</v>
      </c>
      <c r="M2042" s="13">
        <v>44682</v>
      </c>
      <c r="R2042">
        <v>0</v>
      </c>
      <c r="S2042" t="s">
        <v>416</v>
      </c>
      <c r="T2042" t="s">
        <v>57</v>
      </c>
      <c r="V2042" t="s">
        <v>478</v>
      </c>
      <c r="W2042" t="s">
        <v>1649</v>
      </c>
      <c r="X2042" t="s">
        <v>1649</v>
      </c>
      <c r="AF2042" t="s">
        <v>451</v>
      </c>
      <c r="AI2042">
        <v>-330</v>
      </c>
      <c r="AL2042" t="s">
        <v>1650</v>
      </c>
      <c r="AN2042" t="s">
        <v>31</v>
      </c>
      <c r="AO2042">
        <v>0</v>
      </c>
      <c r="AS2042" t="s">
        <v>702</v>
      </c>
      <c r="AX2042" t="s">
        <v>31</v>
      </c>
      <c r="AY2042" t="s">
        <v>386</v>
      </c>
      <c r="AZ2042" t="s">
        <v>1651</v>
      </c>
      <c r="BF2042">
        <v>0</v>
      </c>
      <c r="BK2042" t="s">
        <v>31</v>
      </c>
      <c r="BS2042" t="s">
        <v>419</v>
      </c>
      <c r="BT2042" t="s">
        <v>419</v>
      </c>
      <c r="CI2042" t="s">
        <v>388</v>
      </c>
      <c r="CJ2042" s="14">
        <v>45015</v>
      </c>
      <c r="CK2042">
        <v>1</v>
      </c>
    </row>
    <row r="2043" spans="1:89">
      <c r="A2043" t="s">
        <v>1479</v>
      </c>
      <c r="B2043" t="s">
        <v>374</v>
      </c>
      <c r="C2043" t="s">
        <v>1480</v>
      </c>
      <c r="D2043" t="s">
        <v>1652</v>
      </c>
      <c r="E2043" t="s">
        <v>1494</v>
      </c>
      <c r="F2043" s="13">
        <v>44643.382060185184</v>
      </c>
      <c r="G2043" t="s">
        <v>1483</v>
      </c>
      <c r="H2043" t="s">
        <v>1484</v>
      </c>
      <c r="I2043" s="13">
        <v>45012.044293981482</v>
      </c>
      <c r="K2043" t="s">
        <v>415</v>
      </c>
      <c r="M2043" s="13">
        <v>44690</v>
      </c>
      <c r="R2043">
        <v>0</v>
      </c>
      <c r="S2043" t="s">
        <v>380</v>
      </c>
      <c r="T2043" t="s">
        <v>57</v>
      </c>
      <c r="V2043" t="s">
        <v>478</v>
      </c>
      <c r="W2043" t="s">
        <v>1653</v>
      </c>
      <c r="X2043" t="s">
        <v>1653</v>
      </c>
      <c r="AC2043" s="13">
        <v>44690</v>
      </c>
      <c r="AD2043" s="13">
        <v>44610</v>
      </c>
      <c r="AF2043" t="s">
        <v>451</v>
      </c>
      <c r="AI2043">
        <v>-322</v>
      </c>
      <c r="AL2043" t="s">
        <v>1654</v>
      </c>
      <c r="AN2043" t="s">
        <v>31</v>
      </c>
      <c r="AO2043">
        <v>0</v>
      </c>
      <c r="AS2043" t="s">
        <v>385</v>
      </c>
      <c r="AX2043" t="s">
        <v>31</v>
      </c>
      <c r="AY2043" t="s">
        <v>386</v>
      </c>
      <c r="AZ2043" t="s">
        <v>1547</v>
      </c>
      <c r="BF2043">
        <v>0</v>
      </c>
      <c r="BK2043" t="s">
        <v>31</v>
      </c>
      <c r="BS2043" t="s">
        <v>419</v>
      </c>
      <c r="BT2043" t="s">
        <v>419</v>
      </c>
      <c r="CI2043" t="s">
        <v>388</v>
      </c>
      <c r="CJ2043" s="14">
        <v>45015</v>
      </c>
      <c r="CK2043">
        <v>1</v>
      </c>
    </row>
    <row r="2044" spans="1:89">
      <c r="A2044" t="s">
        <v>1655</v>
      </c>
      <c r="B2044" t="s">
        <v>374</v>
      </c>
      <c r="C2044" t="s">
        <v>1656</v>
      </c>
      <c r="D2044" t="s">
        <v>1657</v>
      </c>
      <c r="E2044" t="s">
        <v>1658</v>
      </c>
      <c r="F2044" s="13">
        <v>44642.739652777775</v>
      </c>
      <c r="G2044" t="s">
        <v>1659</v>
      </c>
      <c r="H2044" t="s">
        <v>1660</v>
      </c>
      <c r="I2044" s="13">
        <v>45012.044282407405</v>
      </c>
      <c r="K2044" t="s">
        <v>415</v>
      </c>
      <c r="M2044" s="13">
        <v>44742</v>
      </c>
      <c r="R2044">
        <v>0</v>
      </c>
      <c r="S2044" t="s">
        <v>380</v>
      </c>
      <c r="T2044" t="s">
        <v>57</v>
      </c>
      <c r="V2044" t="s">
        <v>478</v>
      </c>
      <c r="W2044" t="s">
        <v>1661</v>
      </c>
      <c r="X2044" t="s">
        <v>1661</v>
      </c>
      <c r="AF2044" t="s">
        <v>451</v>
      </c>
      <c r="AI2044">
        <v>-270</v>
      </c>
      <c r="AL2044" t="s">
        <v>1662</v>
      </c>
      <c r="AN2044" t="s">
        <v>31</v>
      </c>
      <c r="AO2044">
        <v>0</v>
      </c>
      <c r="AS2044" t="s">
        <v>385</v>
      </c>
      <c r="AX2044" t="s">
        <v>31</v>
      </c>
      <c r="AY2044" t="s">
        <v>442</v>
      </c>
      <c r="AZ2044" t="s">
        <v>1663</v>
      </c>
      <c r="BF2044">
        <v>0</v>
      </c>
      <c r="BK2044" t="s">
        <v>31</v>
      </c>
      <c r="BS2044" t="s">
        <v>419</v>
      </c>
      <c r="BT2044" t="s">
        <v>419</v>
      </c>
      <c r="CI2044" t="s">
        <v>388</v>
      </c>
      <c r="CJ2044" s="14">
        <v>45015</v>
      </c>
      <c r="CK2044">
        <v>1</v>
      </c>
    </row>
    <row r="2045" spans="1:89">
      <c r="A2045" t="s">
        <v>1655</v>
      </c>
      <c r="B2045" t="s">
        <v>374</v>
      </c>
      <c r="C2045" t="s">
        <v>1656</v>
      </c>
      <c r="D2045" t="s">
        <v>1664</v>
      </c>
      <c r="E2045" t="s">
        <v>1665</v>
      </c>
      <c r="F2045" s="13">
        <v>44642.738078703704</v>
      </c>
      <c r="G2045" t="s">
        <v>1659</v>
      </c>
      <c r="H2045" t="s">
        <v>1660</v>
      </c>
      <c r="I2045" s="13">
        <v>45012.044282407405</v>
      </c>
      <c r="K2045" t="s">
        <v>415</v>
      </c>
      <c r="M2045" s="13">
        <v>44834</v>
      </c>
      <c r="R2045">
        <v>0</v>
      </c>
      <c r="S2045" t="s">
        <v>380</v>
      </c>
      <c r="T2045" t="s">
        <v>57</v>
      </c>
      <c r="V2045" t="s">
        <v>478</v>
      </c>
      <c r="W2045" t="s">
        <v>1661</v>
      </c>
      <c r="X2045" t="s">
        <v>1661</v>
      </c>
      <c r="AF2045" t="s">
        <v>451</v>
      </c>
      <c r="AI2045">
        <v>-178</v>
      </c>
      <c r="AL2045" t="s">
        <v>1662</v>
      </c>
      <c r="AN2045" t="s">
        <v>31</v>
      </c>
      <c r="AO2045">
        <v>0</v>
      </c>
      <c r="AS2045" t="s">
        <v>707</v>
      </c>
      <c r="AX2045" t="s">
        <v>31</v>
      </c>
      <c r="AY2045" t="s">
        <v>442</v>
      </c>
      <c r="AZ2045" t="s">
        <v>1666</v>
      </c>
      <c r="BF2045">
        <v>0</v>
      </c>
      <c r="BK2045" t="s">
        <v>31</v>
      </c>
      <c r="BS2045" t="s">
        <v>419</v>
      </c>
      <c r="BT2045" t="s">
        <v>419</v>
      </c>
      <c r="CI2045" t="s">
        <v>388</v>
      </c>
      <c r="CJ2045" s="14">
        <v>45015</v>
      </c>
      <c r="CK2045">
        <v>1</v>
      </c>
    </row>
    <row r="2046" spans="1:89">
      <c r="A2046" t="s">
        <v>1655</v>
      </c>
      <c r="B2046" t="s">
        <v>374</v>
      </c>
      <c r="C2046" t="s">
        <v>1656</v>
      </c>
      <c r="D2046" t="s">
        <v>1667</v>
      </c>
      <c r="E2046" t="s">
        <v>1668</v>
      </c>
      <c r="F2046" s="13">
        <v>44642.689097222225</v>
      </c>
      <c r="G2046" t="s">
        <v>1659</v>
      </c>
      <c r="H2046" t="s">
        <v>1660</v>
      </c>
      <c r="I2046" s="13">
        <v>45012.044282407405</v>
      </c>
      <c r="K2046" t="s">
        <v>415</v>
      </c>
      <c r="M2046" s="13">
        <v>44650</v>
      </c>
      <c r="R2046">
        <v>100</v>
      </c>
      <c r="S2046" t="s">
        <v>380</v>
      </c>
      <c r="T2046" t="s">
        <v>57</v>
      </c>
      <c r="V2046" t="s">
        <v>478</v>
      </c>
      <c r="W2046" t="s">
        <v>1661</v>
      </c>
      <c r="X2046" t="s">
        <v>1661</v>
      </c>
      <c r="AB2046" t="s">
        <v>57</v>
      </c>
      <c r="AF2046" t="s">
        <v>382</v>
      </c>
      <c r="AG2046" t="s">
        <v>1669</v>
      </c>
      <c r="AI2046">
        <v>-362</v>
      </c>
      <c r="AJ2046" s="13">
        <v>44651</v>
      </c>
      <c r="AL2046" t="s">
        <v>1670</v>
      </c>
      <c r="AN2046" t="s">
        <v>31</v>
      </c>
      <c r="AO2046">
        <v>0</v>
      </c>
      <c r="AR2046" t="s">
        <v>1669</v>
      </c>
      <c r="AS2046" t="s">
        <v>385</v>
      </c>
      <c r="AX2046" t="s">
        <v>31</v>
      </c>
      <c r="AY2046" t="s">
        <v>442</v>
      </c>
      <c r="AZ2046" t="s">
        <v>1671</v>
      </c>
      <c r="BF2046">
        <v>0</v>
      </c>
      <c r="BK2046" t="s">
        <v>31</v>
      </c>
      <c r="BS2046" t="s">
        <v>1201</v>
      </c>
      <c r="BT2046" t="s">
        <v>1202</v>
      </c>
      <c r="CI2046" t="s">
        <v>388</v>
      </c>
      <c r="CJ2046" s="14">
        <v>45015</v>
      </c>
      <c r="CK2046">
        <v>1</v>
      </c>
    </row>
    <row r="2047" spans="1:89">
      <c r="A2047" t="s">
        <v>1655</v>
      </c>
      <c r="B2047" t="s">
        <v>374</v>
      </c>
      <c r="C2047" t="s">
        <v>1656</v>
      </c>
      <c r="D2047" t="s">
        <v>1672</v>
      </c>
      <c r="E2047" t="s">
        <v>1673</v>
      </c>
      <c r="F2047" s="13">
        <v>44642.686909722222</v>
      </c>
      <c r="G2047" t="s">
        <v>1659</v>
      </c>
      <c r="H2047" t="s">
        <v>1660</v>
      </c>
      <c r="I2047" s="13">
        <v>45012.044270833336</v>
      </c>
      <c r="K2047" t="s">
        <v>415</v>
      </c>
      <c r="M2047" s="13">
        <v>44650</v>
      </c>
      <c r="R2047">
        <v>100</v>
      </c>
      <c r="S2047" t="s">
        <v>380</v>
      </c>
      <c r="T2047" t="s">
        <v>57</v>
      </c>
      <c r="V2047" t="s">
        <v>478</v>
      </c>
      <c r="W2047" t="s">
        <v>1661</v>
      </c>
      <c r="X2047" t="s">
        <v>1661</v>
      </c>
      <c r="AB2047" t="s">
        <v>57</v>
      </c>
      <c r="AF2047" t="s">
        <v>382</v>
      </c>
      <c r="AG2047" t="s">
        <v>1669</v>
      </c>
      <c r="AI2047">
        <v>-362</v>
      </c>
      <c r="AJ2047" s="13">
        <v>44651</v>
      </c>
      <c r="AL2047" t="s">
        <v>1670</v>
      </c>
      <c r="AN2047" t="s">
        <v>31</v>
      </c>
      <c r="AO2047">
        <v>0</v>
      </c>
      <c r="AR2047" t="s">
        <v>1669</v>
      </c>
      <c r="AS2047" t="s">
        <v>392</v>
      </c>
      <c r="AX2047" t="s">
        <v>31</v>
      </c>
      <c r="AY2047" t="s">
        <v>442</v>
      </c>
      <c r="AZ2047" t="s">
        <v>1674</v>
      </c>
      <c r="BF2047">
        <v>0</v>
      </c>
      <c r="BK2047" t="s">
        <v>31</v>
      </c>
      <c r="BS2047" t="s">
        <v>1201</v>
      </c>
      <c r="BT2047" t="s">
        <v>1202</v>
      </c>
      <c r="CI2047" t="s">
        <v>388</v>
      </c>
      <c r="CJ2047" s="14">
        <v>45015</v>
      </c>
      <c r="CK2047">
        <v>1</v>
      </c>
    </row>
    <row r="2048" spans="1:89">
      <c r="A2048" t="s">
        <v>1675</v>
      </c>
      <c r="B2048" t="s">
        <v>374</v>
      </c>
      <c r="C2048" t="s">
        <v>1676</v>
      </c>
      <c r="D2048" t="s">
        <v>1677</v>
      </c>
      <c r="E2048" t="s">
        <v>1678</v>
      </c>
      <c r="F2048" s="13">
        <v>44642.555474537039</v>
      </c>
      <c r="G2048" t="s">
        <v>1501</v>
      </c>
      <c r="H2048" t="s">
        <v>1502</v>
      </c>
      <c r="I2048" s="13">
        <v>45012.044270833336</v>
      </c>
      <c r="K2048" t="s">
        <v>415</v>
      </c>
      <c r="M2048" s="13">
        <v>44895</v>
      </c>
      <c r="R2048">
        <v>0</v>
      </c>
      <c r="S2048" t="s">
        <v>380</v>
      </c>
      <c r="T2048" t="s">
        <v>57</v>
      </c>
      <c r="V2048" t="s">
        <v>478</v>
      </c>
      <c r="W2048" t="s">
        <v>1679</v>
      </c>
      <c r="X2048" t="s">
        <v>1679</v>
      </c>
      <c r="AF2048" t="s">
        <v>451</v>
      </c>
      <c r="AI2048">
        <v>-117</v>
      </c>
      <c r="AL2048" t="s">
        <v>1680</v>
      </c>
      <c r="AN2048" t="s">
        <v>57</v>
      </c>
      <c r="AO2048">
        <v>0</v>
      </c>
      <c r="AS2048" t="s">
        <v>392</v>
      </c>
      <c r="AX2048" t="s">
        <v>57</v>
      </c>
      <c r="AY2048" t="s">
        <v>442</v>
      </c>
      <c r="AZ2048" t="s">
        <v>1681</v>
      </c>
      <c r="BF2048">
        <v>0</v>
      </c>
      <c r="BK2048" t="s">
        <v>31</v>
      </c>
      <c r="BS2048" t="s">
        <v>419</v>
      </c>
      <c r="BT2048" t="s">
        <v>419</v>
      </c>
      <c r="CI2048" t="s">
        <v>388</v>
      </c>
      <c r="CJ2048" s="14">
        <v>45015</v>
      </c>
      <c r="CK2048">
        <v>1</v>
      </c>
    </row>
    <row r="2049" spans="1:89">
      <c r="A2049" t="s">
        <v>1497</v>
      </c>
      <c r="B2049" t="s">
        <v>374</v>
      </c>
      <c r="C2049" t="s">
        <v>1498</v>
      </c>
      <c r="D2049" t="s">
        <v>1682</v>
      </c>
      <c r="E2049" t="s">
        <v>1683</v>
      </c>
      <c r="F2049" s="13">
        <v>44642.548449074071</v>
      </c>
      <c r="G2049" t="s">
        <v>1501</v>
      </c>
      <c r="H2049" t="s">
        <v>1502</v>
      </c>
      <c r="I2049" s="13">
        <v>45012.044270833336</v>
      </c>
      <c r="K2049" t="s">
        <v>415</v>
      </c>
      <c r="M2049" s="13">
        <v>44895</v>
      </c>
      <c r="R2049">
        <v>0</v>
      </c>
      <c r="S2049" t="s">
        <v>380</v>
      </c>
      <c r="T2049" t="s">
        <v>57</v>
      </c>
      <c r="V2049" t="s">
        <v>478</v>
      </c>
      <c r="W2049" t="s">
        <v>1684</v>
      </c>
      <c r="X2049" t="s">
        <v>1684</v>
      </c>
      <c r="AF2049" t="s">
        <v>451</v>
      </c>
      <c r="AI2049">
        <v>-117</v>
      </c>
      <c r="AL2049" t="s">
        <v>1685</v>
      </c>
      <c r="AN2049" t="s">
        <v>57</v>
      </c>
      <c r="AO2049">
        <v>0</v>
      </c>
      <c r="AS2049" t="s">
        <v>392</v>
      </c>
      <c r="AX2049" t="s">
        <v>57</v>
      </c>
      <c r="AY2049" t="s">
        <v>442</v>
      </c>
      <c r="AZ2049" t="s">
        <v>1686</v>
      </c>
      <c r="BF2049">
        <v>0</v>
      </c>
      <c r="BK2049" t="s">
        <v>31</v>
      </c>
      <c r="BS2049" t="s">
        <v>419</v>
      </c>
      <c r="BT2049" t="s">
        <v>419</v>
      </c>
      <c r="CI2049" t="s">
        <v>388</v>
      </c>
      <c r="CJ2049" s="14">
        <v>45015</v>
      </c>
      <c r="CK2049">
        <v>1</v>
      </c>
    </row>
    <row r="2050" spans="1:89">
      <c r="A2050" t="s">
        <v>1459</v>
      </c>
      <c r="B2050" t="s">
        <v>374</v>
      </c>
      <c r="C2050" t="s">
        <v>1460</v>
      </c>
      <c r="D2050" t="s">
        <v>1687</v>
      </c>
      <c r="E2050" t="s">
        <v>1688</v>
      </c>
      <c r="F2050" s="13">
        <v>44638.764374999999</v>
      </c>
      <c r="G2050" t="s">
        <v>641</v>
      </c>
      <c r="H2050" t="s">
        <v>642</v>
      </c>
      <c r="I2050" s="13">
        <v>44650.372847222221</v>
      </c>
      <c r="K2050" t="s">
        <v>379</v>
      </c>
      <c r="M2050" s="13">
        <v>44635</v>
      </c>
      <c r="R2050">
        <v>100</v>
      </c>
      <c r="S2050" t="s">
        <v>380</v>
      </c>
      <c r="T2050" t="s">
        <v>57</v>
      </c>
      <c r="V2050" t="s">
        <v>381</v>
      </c>
      <c r="W2050" t="s">
        <v>1465</v>
      </c>
      <c r="X2050" t="s">
        <v>1465</v>
      </c>
      <c r="AC2050" s="13">
        <v>44595</v>
      </c>
      <c r="AD2050" s="13">
        <v>44582</v>
      </c>
      <c r="AF2050" t="s">
        <v>382</v>
      </c>
      <c r="AG2050" t="s">
        <v>1689</v>
      </c>
      <c r="AI2050">
        <v>-15</v>
      </c>
      <c r="AN2050" t="s">
        <v>31</v>
      </c>
      <c r="AO2050">
        <v>0</v>
      </c>
      <c r="AS2050" t="s">
        <v>385</v>
      </c>
      <c r="AX2050" t="s">
        <v>31</v>
      </c>
      <c r="AY2050" t="s">
        <v>386</v>
      </c>
      <c r="AZ2050" t="s">
        <v>1690</v>
      </c>
      <c r="BF2050">
        <v>0</v>
      </c>
      <c r="BK2050" t="s">
        <v>31</v>
      </c>
      <c r="BS2050" t="s">
        <v>379</v>
      </c>
      <c r="BT2050" t="s">
        <v>379</v>
      </c>
      <c r="CI2050" t="s">
        <v>388</v>
      </c>
      <c r="CJ2050" s="14">
        <v>45015</v>
      </c>
      <c r="CK2050">
        <v>1</v>
      </c>
    </row>
    <row r="2051" spans="1:89">
      <c r="A2051" t="s">
        <v>1459</v>
      </c>
      <c r="B2051" t="s">
        <v>374</v>
      </c>
      <c r="C2051" t="s">
        <v>1460</v>
      </c>
      <c r="D2051" t="s">
        <v>1691</v>
      </c>
      <c r="E2051" t="s">
        <v>1692</v>
      </c>
      <c r="F2051" s="13">
        <v>44638.764374999999</v>
      </c>
      <c r="G2051" t="s">
        <v>641</v>
      </c>
      <c r="H2051" t="s">
        <v>642</v>
      </c>
      <c r="I2051" s="13">
        <v>45012.044259259259</v>
      </c>
      <c r="K2051" t="s">
        <v>415</v>
      </c>
      <c r="M2051" s="13">
        <v>44650</v>
      </c>
      <c r="R2051">
        <v>0</v>
      </c>
      <c r="S2051" t="s">
        <v>380</v>
      </c>
      <c r="T2051" t="s">
        <v>57</v>
      </c>
      <c r="V2051" t="s">
        <v>478</v>
      </c>
      <c r="W2051" t="s">
        <v>1465</v>
      </c>
      <c r="X2051" t="s">
        <v>1465</v>
      </c>
      <c r="AC2051" s="13">
        <v>44594</v>
      </c>
      <c r="AD2051" s="13">
        <v>44581</v>
      </c>
      <c r="AF2051" t="s">
        <v>451</v>
      </c>
      <c r="AI2051">
        <v>-362</v>
      </c>
      <c r="AN2051" t="s">
        <v>31</v>
      </c>
      <c r="AO2051">
        <v>0</v>
      </c>
      <c r="AS2051" t="s">
        <v>538</v>
      </c>
      <c r="AX2051" t="s">
        <v>31</v>
      </c>
      <c r="AY2051" t="s">
        <v>386</v>
      </c>
      <c r="AZ2051" t="s">
        <v>1693</v>
      </c>
      <c r="BF2051">
        <v>0</v>
      </c>
      <c r="BK2051" t="s">
        <v>31</v>
      </c>
      <c r="BS2051" t="s">
        <v>419</v>
      </c>
      <c r="BT2051" t="s">
        <v>419</v>
      </c>
      <c r="CI2051" t="s">
        <v>388</v>
      </c>
      <c r="CJ2051" s="14">
        <v>45015</v>
      </c>
      <c r="CK2051">
        <v>1</v>
      </c>
    </row>
    <row r="2052" spans="1:89">
      <c r="A2052" t="s">
        <v>1459</v>
      </c>
      <c r="B2052" t="s">
        <v>374</v>
      </c>
      <c r="C2052" t="s">
        <v>1460</v>
      </c>
      <c r="D2052" t="s">
        <v>1694</v>
      </c>
      <c r="E2052" t="s">
        <v>1695</v>
      </c>
      <c r="F2052" s="13">
        <v>44638.764363425929</v>
      </c>
      <c r="G2052" t="s">
        <v>641</v>
      </c>
      <c r="H2052" t="s">
        <v>642</v>
      </c>
      <c r="I2052" s="13">
        <v>45012.044259259259</v>
      </c>
      <c r="K2052" t="s">
        <v>415</v>
      </c>
      <c r="M2052" s="13">
        <v>44650</v>
      </c>
      <c r="R2052">
        <v>0</v>
      </c>
      <c r="S2052" t="s">
        <v>380</v>
      </c>
      <c r="T2052" t="s">
        <v>57</v>
      </c>
      <c r="V2052" t="s">
        <v>478</v>
      </c>
      <c r="W2052" t="s">
        <v>1465</v>
      </c>
      <c r="X2052" t="s">
        <v>1465</v>
      </c>
      <c r="Y2052" t="s">
        <v>480</v>
      </c>
      <c r="AC2052" s="13">
        <v>44592</v>
      </c>
      <c r="AD2052" s="13">
        <v>44579</v>
      </c>
      <c r="AF2052" t="s">
        <v>451</v>
      </c>
      <c r="AG2052" t="s">
        <v>1696</v>
      </c>
      <c r="AI2052">
        <v>-362</v>
      </c>
      <c r="AN2052" t="s">
        <v>31</v>
      </c>
      <c r="AO2052">
        <v>0</v>
      </c>
      <c r="AS2052" t="s">
        <v>392</v>
      </c>
      <c r="AT2052" t="s">
        <v>31</v>
      </c>
      <c r="AX2052" t="s">
        <v>31</v>
      </c>
      <c r="AY2052" t="s">
        <v>386</v>
      </c>
      <c r="AZ2052" t="s">
        <v>1697</v>
      </c>
      <c r="BF2052">
        <v>0</v>
      </c>
      <c r="BK2052" t="s">
        <v>31</v>
      </c>
      <c r="BS2052" t="s">
        <v>484</v>
      </c>
      <c r="BT2052" t="s">
        <v>484</v>
      </c>
      <c r="CI2052" t="s">
        <v>388</v>
      </c>
      <c r="CJ2052" s="14">
        <v>45015</v>
      </c>
      <c r="CK2052">
        <v>1</v>
      </c>
    </row>
    <row r="2053" spans="1:89">
      <c r="A2053" t="s">
        <v>1459</v>
      </c>
      <c r="B2053" t="s">
        <v>374</v>
      </c>
      <c r="C2053" t="s">
        <v>1460</v>
      </c>
      <c r="D2053" t="s">
        <v>1698</v>
      </c>
      <c r="E2053" t="s">
        <v>1699</v>
      </c>
      <c r="F2053" s="13">
        <v>44638.764363425929</v>
      </c>
      <c r="G2053" t="s">
        <v>641</v>
      </c>
      <c r="H2053" t="s">
        <v>642</v>
      </c>
      <c r="I2053" s="13">
        <v>45012.044259259259</v>
      </c>
      <c r="K2053" t="s">
        <v>415</v>
      </c>
      <c r="M2053" s="13">
        <v>44650</v>
      </c>
      <c r="R2053">
        <v>0</v>
      </c>
      <c r="S2053" t="s">
        <v>380</v>
      </c>
      <c r="T2053" t="s">
        <v>57</v>
      </c>
      <c r="V2053" t="s">
        <v>478</v>
      </c>
      <c r="W2053" t="s">
        <v>1465</v>
      </c>
      <c r="X2053" t="s">
        <v>1465</v>
      </c>
      <c r="AC2053" s="13">
        <v>44593</v>
      </c>
      <c r="AD2053" s="13">
        <v>44580</v>
      </c>
      <c r="AF2053" t="s">
        <v>451</v>
      </c>
      <c r="AI2053">
        <v>-361</v>
      </c>
      <c r="AN2053" t="s">
        <v>31</v>
      </c>
      <c r="AO2053">
        <v>0</v>
      </c>
      <c r="AS2053" t="s">
        <v>744</v>
      </c>
      <c r="AX2053" t="s">
        <v>31</v>
      </c>
      <c r="AY2053" t="s">
        <v>386</v>
      </c>
      <c r="AZ2053" t="s">
        <v>1700</v>
      </c>
      <c r="BF2053">
        <v>0</v>
      </c>
      <c r="BK2053" t="s">
        <v>31</v>
      </c>
      <c r="BS2053" t="s">
        <v>419</v>
      </c>
      <c r="BT2053" t="s">
        <v>419</v>
      </c>
      <c r="CI2053" t="s">
        <v>388</v>
      </c>
      <c r="CJ2053" s="14">
        <v>45015</v>
      </c>
      <c r="CK2053">
        <v>1</v>
      </c>
    </row>
    <row r="2054" spans="1:89">
      <c r="A2054" t="s">
        <v>1701</v>
      </c>
      <c r="B2054" t="s">
        <v>374</v>
      </c>
      <c r="C2054" t="s">
        <v>1702</v>
      </c>
      <c r="D2054" t="s">
        <v>1703</v>
      </c>
      <c r="E2054" t="s">
        <v>1704</v>
      </c>
      <c r="F2054" s="13">
        <v>44638.759328703702</v>
      </c>
      <c r="G2054" t="s">
        <v>641</v>
      </c>
      <c r="H2054" t="s">
        <v>642</v>
      </c>
      <c r="I2054" s="13">
        <v>44638.759328703702</v>
      </c>
      <c r="K2054" t="s">
        <v>412</v>
      </c>
      <c r="M2054" s="13">
        <v>44579</v>
      </c>
      <c r="R2054">
        <v>0</v>
      </c>
      <c r="S2054" t="s">
        <v>380</v>
      </c>
      <c r="T2054" t="s">
        <v>57</v>
      </c>
      <c r="V2054" t="s">
        <v>381</v>
      </c>
      <c r="W2054" t="s">
        <v>1639</v>
      </c>
      <c r="X2054" t="s">
        <v>1639</v>
      </c>
      <c r="AC2054" s="13">
        <v>44579</v>
      </c>
      <c r="AD2054" s="13">
        <v>44579</v>
      </c>
      <c r="AI2054">
        <v>-59</v>
      </c>
      <c r="AN2054" t="s">
        <v>31</v>
      </c>
      <c r="AO2054">
        <v>0</v>
      </c>
      <c r="AS2054" t="s">
        <v>385</v>
      </c>
      <c r="AX2054" t="s">
        <v>57</v>
      </c>
      <c r="AY2054" t="s">
        <v>442</v>
      </c>
      <c r="BF2054">
        <v>0</v>
      </c>
      <c r="BK2054" t="s">
        <v>31</v>
      </c>
      <c r="BS2054" t="s">
        <v>412</v>
      </c>
      <c r="CI2054" t="s">
        <v>388</v>
      </c>
      <c r="CJ2054" s="14">
        <v>45015</v>
      </c>
      <c r="CK2054">
        <v>1</v>
      </c>
    </row>
    <row r="2055" spans="1:89">
      <c r="A2055" t="s">
        <v>1705</v>
      </c>
      <c r="B2055" t="s">
        <v>374</v>
      </c>
      <c r="C2055" t="s">
        <v>1706</v>
      </c>
      <c r="D2055" t="s">
        <v>1707</v>
      </c>
      <c r="E2055" t="s">
        <v>1708</v>
      </c>
      <c r="F2055" s="13">
        <v>44638.759328703702</v>
      </c>
      <c r="G2055" t="s">
        <v>641</v>
      </c>
      <c r="H2055" t="s">
        <v>642</v>
      </c>
      <c r="I2055" s="13">
        <v>44638.759328703702</v>
      </c>
      <c r="K2055" t="s">
        <v>412</v>
      </c>
      <c r="M2055" s="13">
        <v>44609</v>
      </c>
      <c r="R2055">
        <v>0</v>
      </c>
      <c r="S2055" t="s">
        <v>380</v>
      </c>
      <c r="T2055" t="s">
        <v>57</v>
      </c>
      <c r="V2055" t="s">
        <v>381</v>
      </c>
      <c r="W2055" t="s">
        <v>1709</v>
      </c>
      <c r="X2055" t="s">
        <v>1709</v>
      </c>
      <c r="AC2055" s="13">
        <v>44609</v>
      </c>
      <c r="AD2055" s="13">
        <v>44609</v>
      </c>
      <c r="AI2055">
        <v>-29</v>
      </c>
      <c r="AN2055" t="s">
        <v>31</v>
      </c>
      <c r="AO2055">
        <v>0</v>
      </c>
      <c r="AS2055" t="s">
        <v>648</v>
      </c>
      <c r="AX2055" t="s">
        <v>57</v>
      </c>
      <c r="AY2055" t="s">
        <v>442</v>
      </c>
      <c r="BF2055">
        <v>0</v>
      </c>
      <c r="BK2055" t="s">
        <v>31</v>
      </c>
      <c r="BS2055" t="s">
        <v>412</v>
      </c>
      <c r="CI2055" t="s">
        <v>388</v>
      </c>
      <c r="CJ2055" s="14">
        <v>45015</v>
      </c>
      <c r="CK2055">
        <v>1</v>
      </c>
    </row>
    <row r="2056" spans="1:89">
      <c r="A2056" t="s">
        <v>1710</v>
      </c>
      <c r="B2056" t="s">
        <v>374</v>
      </c>
      <c r="C2056" t="s">
        <v>392</v>
      </c>
      <c r="D2056" t="s">
        <v>1711</v>
      </c>
      <c r="E2056" t="s">
        <v>1712</v>
      </c>
      <c r="F2056" s="13">
        <v>44638.759317129632</v>
      </c>
      <c r="G2056" t="s">
        <v>641</v>
      </c>
      <c r="H2056" t="s">
        <v>642</v>
      </c>
      <c r="I2056" s="13">
        <v>44638.759317129632</v>
      </c>
      <c r="K2056" t="s">
        <v>412</v>
      </c>
      <c r="M2056" s="13">
        <v>44742</v>
      </c>
      <c r="R2056">
        <v>0</v>
      </c>
      <c r="S2056" t="s">
        <v>380</v>
      </c>
      <c r="T2056" t="s">
        <v>57</v>
      </c>
      <c r="V2056" t="s">
        <v>381</v>
      </c>
      <c r="W2056" t="s">
        <v>1713</v>
      </c>
      <c r="X2056" t="s">
        <v>1713</v>
      </c>
      <c r="AC2056" s="13">
        <v>44742</v>
      </c>
      <c r="AD2056" s="13">
        <v>44742</v>
      </c>
      <c r="AI2056">
        <v>104</v>
      </c>
      <c r="AN2056" t="s">
        <v>31</v>
      </c>
      <c r="AO2056">
        <v>0</v>
      </c>
      <c r="AS2056" t="s">
        <v>392</v>
      </c>
      <c r="AX2056" t="s">
        <v>57</v>
      </c>
      <c r="AY2056" t="s">
        <v>442</v>
      </c>
      <c r="BF2056">
        <v>0</v>
      </c>
      <c r="BK2056" t="s">
        <v>31</v>
      </c>
      <c r="BS2056" t="s">
        <v>412</v>
      </c>
      <c r="CI2056" t="s">
        <v>388</v>
      </c>
      <c r="CJ2056" s="14">
        <v>45015</v>
      </c>
      <c r="CK2056">
        <v>1</v>
      </c>
    </row>
    <row r="2057" spans="1:89">
      <c r="A2057" t="s">
        <v>1710</v>
      </c>
      <c r="B2057" t="s">
        <v>374</v>
      </c>
      <c r="C2057" t="s">
        <v>392</v>
      </c>
      <c r="D2057" t="s">
        <v>1714</v>
      </c>
      <c r="E2057" t="s">
        <v>1715</v>
      </c>
      <c r="F2057" s="13">
        <v>44638.759317129632</v>
      </c>
      <c r="G2057" t="s">
        <v>641</v>
      </c>
      <c r="H2057" t="s">
        <v>642</v>
      </c>
      <c r="I2057" s="13">
        <v>44638.759317129632</v>
      </c>
      <c r="K2057" t="s">
        <v>412</v>
      </c>
      <c r="M2057" s="13">
        <v>44742</v>
      </c>
      <c r="R2057">
        <v>0</v>
      </c>
      <c r="S2057" t="s">
        <v>380</v>
      </c>
      <c r="T2057" t="s">
        <v>57</v>
      </c>
      <c r="V2057" t="s">
        <v>381</v>
      </c>
      <c r="W2057" t="s">
        <v>1713</v>
      </c>
      <c r="X2057" t="s">
        <v>1713</v>
      </c>
      <c r="AC2057" s="13">
        <v>44742</v>
      </c>
      <c r="AD2057" s="13">
        <v>44742</v>
      </c>
      <c r="AI2057">
        <v>104</v>
      </c>
      <c r="AN2057" t="s">
        <v>31</v>
      </c>
      <c r="AO2057">
        <v>0</v>
      </c>
      <c r="AS2057" t="s">
        <v>392</v>
      </c>
      <c r="AX2057" t="s">
        <v>57</v>
      </c>
      <c r="AY2057" t="s">
        <v>442</v>
      </c>
      <c r="BF2057">
        <v>0</v>
      </c>
      <c r="BK2057" t="s">
        <v>31</v>
      </c>
      <c r="BS2057" t="s">
        <v>412</v>
      </c>
      <c r="CI2057" t="s">
        <v>388</v>
      </c>
      <c r="CJ2057" s="14">
        <v>45015</v>
      </c>
      <c r="CK2057">
        <v>1</v>
      </c>
    </row>
    <row r="2058" spans="1:89">
      <c r="A2058" t="s">
        <v>1716</v>
      </c>
      <c r="B2058" t="s">
        <v>374</v>
      </c>
      <c r="C2058" t="s">
        <v>966</v>
      </c>
      <c r="D2058" t="s">
        <v>1717</v>
      </c>
      <c r="E2058" t="s">
        <v>1718</v>
      </c>
      <c r="F2058" s="13">
        <v>44638.759305555555</v>
      </c>
      <c r="G2058" t="s">
        <v>641</v>
      </c>
      <c r="H2058" t="s">
        <v>642</v>
      </c>
      <c r="I2058" s="13">
        <v>44638.759305555555</v>
      </c>
      <c r="K2058" t="s">
        <v>412</v>
      </c>
      <c r="M2058" s="13">
        <v>44601</v>
      </c>
      <c r="R2058">
        <v>0</v>
      </c>
      <c r="S2058" t="s">
        <v>380</v>
      </c>
      <c r="T2058" t="s">
        <v>57</v>
      </c>
      <c r="V2058" t="s">
        <v>381</v>
      </c>
      <c r="W2058" t="s">
        <v>1719</v>
      </c>
      <c r="X2058" t="s">
        <v>1719</v>
      </c>
      <c r="AC2058" s="13">
        <v>44601</v>
      </c>
      <c r="AD2058" s="13">
        <v>44601</v>
      </c>
      <c r="AI2058">
        <v>-37</v>
      </c>
      <c r="AN2058" t="s">
        <v>31</v>
      </c>
      <c r="AO2058">
        <v>0</v>
      </c>
      <c r="AS2058" t="s">
        <v>1720</v>
      </c>
      <c r="AX2058" t="s">
        <v>57</v>
      </c>
      <c r="AY2058" t="s">
        <v>386</v>
      </c>
      <c r="BF2058">
        <v>0</v>
      </c>
      <c r="BK2058" t="s">
        <v>31</v>
      </c>
      <c r="BS2058" t="s">
        <v>412</v>
      </c>
      <c r="CI2058" t="s">
        <v>388</v>
      </c>
      <c r="CJ2058" s="14">
        <v>45015</v>
      </c>
      <c r="CK2058">
        <v>1</v>
      </c>
    </row>
    <row r="2059" spans="1:89">
      <c r="A2059" t="s">
        <v>1721</v>
      </c>
      <c r="B2059" t="s">
        <v>374</v>
      </c>
      <c r="C2059" t="s">
        <v>1722</v>
      </c>
      <c r="D2059" t="s">
        <v>1723</v>
      </c>
      <c r="E2059" t="s">
        <v>1724</v>
      </c>
      <c r="F2059" s="13">
        <v>44638.759305555555</v>
      </c>
      <c r="G2059" t="s">
        <v>641</v>
      </c>
      <c r="H2059" t="s">
        <v>642</v>
      </c>
      <c r="I2059" s="13">
        <v>44638.759305555555</v>
      </c>
      <c r="K2059" t="s">
        <v>412</v>
      </c>
      <c r="M2059" s="13">
        <v>44643</v>
      </c>
      <c r="R2059">
        <v>0</v>
      </c>
      <c r="S2059" t="s">
        <v>380</v>
      </c>
      <c r="T2059" t="s">
        <v>57</v>
      </c>
      <c r="V2059" t="s">
        <v>381</v>
      </c>
      <c r="W2059" t="s">
        <v>1725</v>
      </c>
      <c r="X2059" t="s">
        <v>1725</v>
      </c>
      <c r="AC2059" s="13">
        <v>44643</v>
      </c>
      <c r="AD2059" s="13">
        <v>44643</v>
      </c>
      <c r="AI2059">
        <v>5</v>
      </c>
      <c r="AN2059" t="s">
        <v>31</v>
      </c>
      <c r="AO2059">
        <v>0</v>
      </c>
      <c r="AS2059" t="s">
        <v>648</v>
      </c>
      <c r="AX2059" t="s">
        <v>57</v>
      </c>
      <c r="AY2059" t="s">
        <v>386</v>
      </c>
      <c r="BF2059">
        <v>0</v>
      </c>
      <c r="BK2059" t="s">
        <v>31</v>
      </c>
      <c r="BS2059" t="s">
        <v>412</v>
      </c>
      <c r="CI2059" t="s">
        <v>388</v>
      </c>
      <c r="CJ2059" s="14">
        <v>45015</v>
      </c>
      <c r="CK2059">
        <v>1</v>
      </c>
    </row>
    <row r="2060" spans="1:89">
      <c r="A2060" t="s">
        <v>1721</v>
      </c>
      <c r="B2060" t="s">
        <v>374</v>
      </c>
      <c r="C2060" t="s">
        <v>1722</v>
      </c>
      <c r="D2060" t="s">
        <v>1726</v>
      </c>
      <c r="E2060" t="s">
        <v>1727</v>
      </c>
      <c r="F2060" s="13">
        <v>44638.759293981479</v>
      </c>
      <c r="G2060" t="s">
        <v>641</v>
      </c>
      <c r="H2060" t="s">
        <v>642</v>
      </c>
      <c r="I2060" s="13">
        <v>44638.759293981479</v>
      </c>
      <c r="K2060" t="s">
        <v>412</v>
      </c>
      <c r="M2060" s="13">
        <v>44574</v>
      </c>
      <c r="R2060">
        <v>0</v>
      </c>
      <c r="S2060" t="s">
        <v>380</v>
      </c>
      <c r="T2060" t="s">
        <v>57</v>
      </c>
      <c r="V2060" t="s">
        <v>381</v>
      </c>
      <c r="W2060" t="s">
        <v>1725</v>
      </c>
      <c r="X2060" t="s">
        <v>1725</v>
      </c>
      <c r="AC2060" s="13">
        <v>44574</v>
      </c>
      <c r="AD2060" s="13">
        <v>44574</v>
      </c>
      <c r="AI2060">
        <v>-64</v>
      </c>
      <c r="AN2060" t="s">
        <v>31</v>
      </c>
      <c r="AO2060">
        <v>0</v>
      </c>
      <c r="AS2060" t="s">
        <v>385</v>
      </c>
      <c r="AX2060" t="s">
        <v>57</v>
      </c>
      <c r="AY2060" t="s">
        <v>386</v>
      </c>
      <c r="BF2060">
        <v>0</v>
      </c>
      <c r="BK2060" t="s">
        <v>31</v>
      </c>
      <c r="BS2060" t="s">
        <v>412</v>
      </c>
      <c r="CI2060" t="s">
        <v>388</v>
      </c>
      <c r="CJ2060" s="14">
        <v>45015</v>
      </c>
      <c r="CK2060">
        <v>1</v>
      </c>
    </row>
    <row r="2061" spans="1:89">
      <c r="A2061" t="s">
        <v>1705</v>
      </c>
      <c r="B2061" t="s">
        <v>374</v>
      </c>
      <c r="C2061" t="s">
        <v>1706</v>
      </c>
      <c r="D2061" t="s">
        <v>1728</v>
      </c>
      <c r="E2061" t="s">
        <v>1729</v>
      </c>
      <c r="F2061" s="13">
        <v>44638.759293981479</v>
      </c>
      <c r="G2061" t="s">
        <v>641</v>
      </c>
      <c r="H2061" t="s">
        <v>642</v>
      </c>
      <c r="I2061" s="13">
        <v>44638.759293981479</v>
      </c>
      <c r="K2061" t="s">
        <v>412</v>
      </c>
      <c r="M2061" s="13">
        <v>44651</v>
      </c>
      <c r="R2061">
        <v>0</v>
      </c>
      <c r="S2061" t="s">
        <v>380</v>
      </c>
      <c r="T2061" t="s">
        <v>57</v>
      </c>
      <c r="V2061" t="s">
        <v>381</v>
      </c>
      <c r="W2061" t="s">
        <v>1730</v>
      </c>
      <c r="X2061" t="s">
        <v>1730</v>
      </c>
      <c r="AC2061" s="13">
        <v>44651</v>
      </c>
      <c r="AD2061" s="13">
        <v>44651</v>
      </c>
      <c r="AI2061">
        <v>13</v>
      </c>
      <c r="AN2061" t="s">
        <v>31</v>
      </c>
      <c r="AO2061">
        <v>0</v>
      </c>
      <c r="AS2061" t="s">
        <v>385</v>
      </c>
      <c r="AX2061" t="s">
        <v>57</v>
      </c>
      <c r="AY2061" t="s">
        <v>386</v>
      </c>
      <c r="BF2061">
        <v>0</v>
      </c>
      <c r="BK2061" t="s">
        <v>31</v>
      </c>
      <c r="BS2061" t="s">
        <v>412</v>
      </c>
      <c r="CI2061" t="s">
        <v>388</v>
      </c>
      <c r="CJ2061" s="14">
        <v>45015</v>
      </c>
      <c r="CK2061">
        <v>1</v>
      </c>
    </row>
    <row r="2062" spans="1:89">
      <c r="A2062" t="s">
        <v>1705</v>
      </c>
      <c r="B2062" t="s">
        <v>374</v>
      </c>
      <c r="C2062" t="s">
        <v>1706</v>
      </c>
      <c r="D2062" t="s">
        <v>1731</v>
      </c>
      <c r="E2062" t="s">
        <v>1732</v>
      </c>
      <c r="F2062" s="13">
        <v>44638.759293981479</v>
      </c>
      <c r="G2062" t="s">
        <v>641</v>
      </c>
      <c r="H2062" t="s">
        <v>642</v>
      </c>
      <c r="I2062" s="13">
        <v>44638.759293981479</v>
      </c>
      <c r="K2062" t="s">
        <v>412</v>
      </c>
      <c r="M2062" s="13">
        <v>44651</v>
      </c>
      <c r="R2062">
        <v>0</v>
      </c>
      <c r="S2062" t="s">
        <v>380</v>
      </c>
      <c r="T2062" t="s">
        <v>57</v>
      </c>
      <c r="V2062" t="s">
        <v>381</v>
      </c>
      <c r="W2062" t="s">
        <v>1733</v>
      </c>
      <c r="X2062" t="s">
        <v>1733</v>
      </c>
      <c r="AC2062" s="13">
        <v>44651</v>
      </c>
      <c r="AD2062" s="13">
        <v>44651</v>
      </c>
      <c r="AI2062">
        <v>13</v>
      </c>
      <c r="AN2062" t="s">
        <v>31</v>
      </c>
      <c r="AO2062">
        <v>0</v>
      </c>
      <c r="AS2062" t="s">
        <v>385</v>
      </c>
      <c r="AX2062" t="s">
        <v>57</v>
      </c>
      <c r="AY2062" t="s">
        <v>386</v>
      </c>
      <c r="BF2062">
        <v>0</v>
      </c>
      <c r="BK2062" t="s">
        <v>31</v>
      </c>
      <c r="BS2062" t="s">
        <v>412</v>
      </c>
      <c r="CI2062" t="s">
        <v>388</v>
      </c>
      <c r="CJ2062" s="14">
        <v>45015</v>
      </c>
      <c r="CK2062">
        <v>1</v>
      </c>
    </row>
    <row r="2063" spans="1:89">
      <c r="A2063" t="s">
        <v>1705</v>
      </c>
      <c r="B2063" t="s">
        <v>374</v>
      </c>
      <c r="C2063" t="s">
        <v>1706</v>
      </c>
      <c r="D2063" t="s">
        <v>1734</v>
      </c>
      <c r="E2063" t="s">
        <v>1735</v>
      </c>
      <c r="F2063" s="13">
        <v>44638.759282407409</v>
      </c>
      <c r="G2063" t="s">
        <v>641</v>
      </c>
      <c r="H2063" t="s">
        <v>642</v>
      </c>
      <c r="I2063" s="13">
        <v>44638.759282407409</v>
      </c>
      <c r="K2063" t="s">
        <v>412</v>
      </c>
      <c r="M2063" s="13">
        <v>44651</v>
      </c>
      <c r="R2063">
        <v>0</v>
      </c>
      <c r="S2063" t="s">
        <v>380</v>
      </c>
      <c r="T2063" t="s">
        <v>57</v>
      </c>
      <c r="V2063" t="s">
        <v>381</v>
      </c>
      <c r="W2063" t="s">
        <v>1719</v>
      </c>
      <c r="X2063" t="s">
        <v>1719</v>
      </c>
      <c r="AC2063" s="13">
        <v>44651</v>
      </c>
      <c r="AD2063" s="13">
        <v>44651</v>
      </c>
      <c r="AI2063">
        <v>13</v>
      </c>
      <c r="AN2063" t="s">
        <v>31</v>
      </c>
      <c r="AO2063">
        <v>0</v>
      </c>
      <c r="AS2063" t="s">
        <v>385</v>
      </c>
      <c r="AX2063" t="s">
        <v>57</v>
      </c>
      <c r="AY2063" t="s">
        <v>386</v>
      </c>
      <c r="BF2063">
        <v>0</v>
      </c>
      <c r="BK2063" t="s">
        <v>31</v>
      </c>
      <c r="BS2063" t="s">
        <v>412</v>
      </c>
      <c r="CI2063" t="s">
        <v>388</v>
      </c>
      <c r="CJ2063" s="14">
        <v>45015</v>
      </c>
      <c r="CK2063">
        <v>1</v>
      </c>
    </row>
    <row r="2064" spans="1:89">
      <c r="A2064" t="s">
        <v>1705</v>
      </c>
      <c r="B2064" t="s">
        <v>374</v>
      </c>
      <c r="C2064" t="s">
        <v>1706</v>
      </c>
      <c r="D2064" t="s">
        <v>1736</v>
      </c>
      <c r="E2064" t="s">
        <v>1737</v>
      </c>
      <c r="F2064" s="13">
        <v>44638.759282407409</v>
      </c>
      <c r="G2064" t="s">
        <v>641</v>
      </c>
      <c r="H2064" t="s">
        <v>642</v>
      </c>
      <c r="I2064" s="13">
        <v>44638.759282407409</v>
      </c>
      <c r="K2064" t="s">
        <v>412</v>
      </c>
      <c r="M2064" s="13">
        <v>44651</v>
      </c>
      <c r="R2064">
        <v>0</v>
      </c>
      <c r="S2064" t="s">
        <v>380</v>
      </c>
      <c r="T2064" t="s">
        <v>57</v>
      </c>
      <c r="V2064" t="s">
        <v>381</v>
      </c>
      <c r="W2064" t="s">
        <v>1733</v>
      </c>
      <c r="X2064" t="s">
        <v>1733</v>
      </c>
      <c r="AC2064" s="13">
        <v>44651</v>
      </c>
      <c r="AD2064" s="13">
        <v>44651</v>
      </c>
      <c r="AI2064">
        <v>13</v>
      </c>
      <c r="AN2064" t="s">
        <v>31</v>
      </c>
      <c r="AO2064">
        <v>0</v>
      </c>
      <c r="AS2064" t="s">
        <v>385</v>
      </c>
      <c r="AX2064" t="s">
        <v>57</v>
      </c>
      <c r="AY2064" t="s">
        <v>386</v>
      </c>
      <c r="BF2064">
        <v>0</v>
      </c>
      <c r="BK2064" t="s">
        <v>31</v>
      </c>
      <c r="BS2064" t="s">
        <v>412</v>
      </c>
      <c r="CI2064" t="s">
        <v>388</v>
      </c>
      <c r="CJ2064" s="14">
        <v>45015</v>
      </c>
      <c r="CK2064">
        <v>1</v>
      </c>
    </row>
    <row r="2065" spans="1:89">
      <c r="A2065" t="s">
        <v>1705</v>
      </c>
      <c r="B2065" t="s">
        <v>374</v>
      </c>
      <c r="C2065" t="s">
        <v>1706</v>
      </c>
      <c r="D2065" t="s">
        <v>1738</v>
      </c>
      <c r="E2065" t="s">
        <v>1739</v>
      </c>
      <c r="F2065" s="13">
        <v>44638.759270833332</v>
      </c>
      <c r="G2065" t="s">
        <v>641</v>
      </c>
      <c r="H2065" t="s">
        <v>642</v>
      </c>
      <c r="I2065" s="13">
        <v>44638.759270833332</v>
      </c>
      <c r="K2065" t="s">
        <v>412</v>
      </c>
      <c r="M2065" s="13">
        <v>44651</v>
      </c>
      <c r="R2065">
        <v>0</v>
      </c>
      <c r="S2065" t="s">
        <v>380</v>
      </c>
      <c r="T2065" t="s">
        <v>57</v>
      </c>
      <c r="V2065" t="s">
        <v>381</v>
      </c>
      <c r="W2065" t="s">
        <v>1709</v>
      </c>
      <c r="X2065" t="s">
        <v>1709</v>
      </c>
      <c r="AC2065" s="13">
        <v>44651</v>
      </c>
      <c r="AD2065" s="13">
        <v>44651</v>
      </c>
      <c r="AI2065">
        <v>13</v>
      </c>
      <c r="AN2065" t="s">
        <v>31</v>
      </c>
      <c r="AO2065">
        <v>0</v>
      </c>
      <c r="AS2065" t="s">
        <v>385</v>
      </c>
      <c r="AX2065" t="s">
        <v>57</v>
      </c>
      <c r="AY2065" t="s">
        <v>386</v>
      </c>
      <c r="BF2065">
        <v>0</v>
      </c>
      <c r="BK2065" t="s">
        <v>31</v>
      </c>
      <c r="BS2065" t="s">
        <v>412</v>
      </c>
      <c r="CI2065" t="s">
        <v>388</v>
      </c>
      <c r="CJ2065" s="14">
        <v>45015</v>
      </c>
      <c r="CK2065">
        <v>1</v>
      </c>
    </row>
    <row r="2066" spans="1:89">
      <c r="A2066" t="s">
        <v>1705</v>
      </c>
      <c r="B2066" t="s">
        <v>374</v>
      </c>
      <c r="C2066" t="s">
        <v>1706</v>
      </c>
      <c r="D2066" t="s">
        <v>1740</v>
      </c>
      <c r="E2066" t="s">
        <v>1741</v>
      </c>
      <c r="F2066" s="13">
        <v>44638.759270833332</v>
      </c>
      <c r="G2066" t="s">
        <v>641</v>
      </c>
      <c r="H2066" t="s">
        <v>642</v>
      </c>
      <c r="I2066" s="13">
        <v>44638.759270833332</v>
      </c>
      <c r="K2066" t="s">
        <v>412</v>
      </c>
      <c r="M2066" s="13">
        <v>44651</v>
      </c>
      <c r="R2066">
        <v>0</v>
      </c>
      <c r="S2066" t="s">
        <v>380</v>
      </c>
      <c r="T2066" t="s">
        <v>57</v>
      </c>
      <c r="V2066" t="s">
        <v>381</v>
      </c>
      <c r="W2066" t="s">
        <v>1709</v>
      </c>
      <c r="X2066" t="s">
        <v>1709</v>
      </c>
      <c r="AC2066" s="13">
        <v>44651</v>
      </c>
      <c r="AD2066" s="13">
        <v>44651</v>
      </c>
      <c r="AI2066">
        <v>13</v>
      </c>
      <c r="AN2066" t="s">
        <v>31</v>
      </c>
      <c r="AO2066">
        <v>0</v>
      </c>
      <c r="AS2066" t="s">
        <v>392</v>
      </c>
      <c r="AX2066" t="s">
        <v>57</v>
      </c>
      <c r="AY2066" t="s">
        <v>386</v>
      </c>
      <c r="BF2066">
        <v>0</v>
      </c>
      <c r="BK2066" t="s">
        <v>31</v>
      </c>
      <c r="BS2066" t="s">
        <v>412</v>
      </c>
      <c r="CI2066" t="s">
        <v>388</v>
      </c>
      <c r="CJ2066" s="14">
        <v>45015</v>
      </c>
      <c r="CK2066">
        <v>1</v>
      </c>
    </row>
    <row r="2067" spans="1:89">
      <c r="A2067" t="s">
        <v>1705</v>
      </c>
      <c r="B2067" t="s">
        <v>374</v>
      </c>
      <c r="C2067" t="s">
        <v>1706</v>
      </c>
      <c r="D2067" t="s">
        <v>1742</v>
      </c>
      <c r="E2067" t="s">
        <v>1743</v>
      </c>
      <c r="F2067" s="13">
        <v>44638.759270833332</v>
      </c>
      <c r="G2067" t="s">
        <v>641</v>
      </c>
      <c r="H2067" t="s">
        <v>642</v>
      </c>
      <c r="I2067" s="13">
        <v>44638.759270833332</v>
      </c>
      <c r="K2067" t="s">
        <v>412</v>
      </c>
      <c r="M2067" s="13">
        <v>44651</v>
      </c>
      <c r="R2067">
        <v>0</v>
      </c>
      <c r="S2067" t="s">
        <v>380</v>
      </c>
      <c r="T2067" t="s">
        <v>57</v>
      </c>
      <c r="V2067" t="s">
        <v>381</v>
      </c>
      <c r="W2067" t="s">
        <v>1709</v>
      </c>
      <c r="X2067" t="s">
        <v>1709</v>
      </c>
      <c r="AC2067" s="13">
        <v>44651</v>
      </c>
      <c r="AD2067" s="13">
        <v>44651</v>
      </c>
      <c r="AI2067">
        <v>13</v>
      </c>
      <c r="AN2067" t="s">
        <v>31</v>
      </c>
      <c r="AO2067">
        <v>0</v>
      </c>
      <c r="AS2067" t="s">
        <v>648</v>
      </c>
      <c r="AX2067" t="s">
        <v>57</v>
      </c>
      <c r="AY2067" t="s">
        <v>386</v>
      </c>
      <c r="BF2067">
        <v>0</v>
      </c>
      <c r="BK2067" t="s">
        <v>31</v>
      </c>
      <c r="BS2067" t="s">
        <v>412</v>
      </c>
      <c r="CI2067" t="s">
        <v>388</v>
      </c>
      <c r="CJ2067" s="14">
        <v>45015</v>
      </c>
      <c r="CK2067">
        <v>1</v>
      </c>
    </row>
    <row r="2068" spans="1:89">
      <c r="A2068" t="s">
        <v>1705</v>
      </c>
      <c r="B2068" t="s">
        <v>374</v>
      </c>
      <c r="C2068" t="s">
        <v>1706</v>
      </c>
      <c r="D2068" t="s">
        <v>1744</v>
      </c>
      <c r="E2068" t="s">
        <v>1745</v>
      </c>
      <c r="F2068" s="13">
        <v>44638.759259259263</v>
      </c>
      <c r="G2068" t="s">
        <v>641</v>
      </c>
      <c r="H2068" t="s">
        <v>642</v>
      </c>
      <c r="I2068" s="13">
        <v>44638.759259259263</v>
      </c>
      <c r="K2068" t="s">
        <v>412</v>
      </c>
      <c r="M2068" s="13">
        <v>44651</v>
      </c>
      <c r="R2068">
        <v>0</v>
      </c>
      <c r="S2068" t="s">
        <v>380</v>
      </c>
      <c r="T2068" t="s">
        <v>57</v>
      </c>
      <c r="V2068" t="s">
        <v>381</v>
      </c>
      <c r="W2068" t="s">
        <v>1733</v>
      </c>
      <c r="X2068" t="s">
        <v>1733</v>
      </c>
      <c r="AC2068" s="13">
        <v>44651</v>
      </c>
      <c r="AD2068" s="13">
        <v>44651</v>
      </c>
      <c r="AI2068">
        <v>13</v>
      </c>
      <c r="AN2068" t="s">
        <v>31</v>
      </c>
      <c r="AO2068">
        <v>0</v>
      </c>
      <c r="AS2068" t="s">
        <v>385</v>
      </c>
      <c r="AX2068" t="s">
        <v>57</v>
      </c>
      <c r="AY2068" t="s">
        <v>386</v>
      </c>
      <c r="BF2068">
        <v>0</v>
      </c>
      <c r="BK2068" t="s">
        <v>31</v>
      </c>
      <c r="BS2068" t="s">
        <v>412</v>
      </c>
      <c r="CI2068" t="s">
        <v>388</v>
      </c>
      <c r="CJ2068" s="14">
        <v>45015</v>
      </c>
      <c r="CK2068">
        <v>1</v>
      </c>
    </row>
    <row r="2069" spans="1:89">
      <c r="A2069" t="s">
        <v>1705</v>
      </c>
      <c r="B2069" t="s">
        <v>374</v>
      </c>
      <c r="C2069" t="s">
        <v>1706</v>
      </c>
      <c r="D2069" t="s">
        <v>1746</v>
      </c>
      <c r="E2069" t="s">
        <v>1747</v>
      </c>
      <c r="F2069" s="13">
        <v>44638.759259259263</v>
      </c>
      <c r="G2069" t="s">
        <v>641</v>
      </c>
      <c r="H2069" t="s">
        <v>642</v>
      </c>
      <c r="I2069" s="13">
        <v>44638.759259259263</v>
      </c>
      <c r="K2069" t="s">
        <v>412</v>
      </c>
      <c r="M2069" s="13">
        <v>44651</v>
      </c>
      <c r="R2069">
        <v>0</v>
      </c>
      <c r="S2069" t="s">
        <v>380</v>
      </c>
      <c r="T2069" t="s">
        <v>57</v>
      </c>
      <c r="V2069" t="s">
        <v>381</v>
      </c>
      <c r="W2069" t="s">
        <v>1733</v>
      </c>
      <c r="X2069" t="s">
        <v>1733</v>
      </c>
      <c r="AC2069" s="13">
        <v>44651</v>
      </c>
      <c r="AD2069" s="13">
        <v>44651</v>
      </c>
      <c r="AI2069">
        <v>13</v>
      </c>
      <c r="AN2069" t="s">
        <v>31</v>
      </c>
      <c r="AO2069">
        <v>0</v>
      </c>
      <c r="AS2069" t="s">
        <v>385</v>
      </c>
      <c r="AX2069" t="s">
        <v>57</v>
      </c>
      <c r="AY2069" t="s">
        <v>386</v>
      </c>
      <c r="BF2069">
        <v>0</v>
      </c>
      <c r="BK2069" t="s">
        <v>31</v>
      </c>
      <c r="BS2069" t="s">
        <v>412</v>
      </c>
      <c r="CI2069" t="s">
        <v>388</v>
      </c>
      <c r="CJ2069" s="14">
        <v>45015</v>
      </c>
      <c r="CK2069">
        <v>1</v>
      </c>
    </row>
    <row r="2070" spans="1:89">
      <c r="A2070" t="s">
        <v>1705</v>
      </c>
      <c r="B2070" t="s">
        <v>374</v>
      </c>
      <c r="C2070" t="s">
        <v>1706</v>
      </c>
      <c r="D2070" t="s">
        <v>1748</v>
      </c>
      <c r="E2070" t="s">
        <v>1749</v>
      </c>
      <c r="F2070" s="13">
        <v>44638.759247685186</v>
      </c>
      <c r="G2070" t="s">
        <v>641</v>
      </c>
      <c r="H2070" t="s">
        <v>642</v>
      </c>
      <c r="I2070" s="13">
        <v>44638.759247685186</v>
      </c>
      <c r="K2070" t="s">
        <v>412</v>
      </c>
      <c r="M2070" s="13">
        <v>44580</v>
      </c>
      <c r="R2070">
        <v>0</v>
      </c>
      <c r="S2070" t="s">
        <v>380</v>
      </c>
      <c r="T2070" t="s">
        <v>57</v>
      </c>
      <c r="V2070" t="s">
        <v>381</v>
      </c>
      <c r="W2070" t="s">
        <v>1750</v>
      </c>
      <c r="X2070" t="s">
        <v>1750</v>
      </c>
      <c r="AC2070" s="13">
        <v>44580</v>
      </c>
      <c r="AD2070" s="13">
        <v>44580</v>
      </c>
      <c r="AI2070">
        <v>-58</v>
      </c>
      <c r="AN2070" t="s">
        <v>31</v>
      </c>
      <c r="AO2070">
        <v>0</v>
      </c>
      <c r="AS2070" t="s">
        <v>385</v>
      </c>
      <c r="AX2070" t="s">
        <v>57</v>
      </c>
      <c r="AY2070" t="s">
        <v>386</v>
      </c>
      <c r="BF2070">
        <v>0</v>
      </c>
      <c r="BK2070" t="s">
        <v>31</v>
      </c>
      <c r="BS2070" t="s">
        <v>412</v>
      </c>
      <c r="CI2070" t="s">
        <v>388</v>
      </c>
      <c r="CJ2070" s="14">
        <v>45015</v>
      </c>
      <c r="CK2070">
        <v>1</v>
      </c>
    </row>
    <row r="2071" spans="1:89">
      <c r="A2071" t="s">
        <v>1705</v>
      </c>
      <c r="B2071" t="s">
        <v>374</v>
      </c>
      <c r="C2071" t="s">
        <v>1706</v>
      </c>
      <c r="D2071" t="s">
        <v>1751</v>
      </c>
      <c r="E2071" t="s">
        <v>1752</v>
      </c>
      <c r="F2071" s="13">
        <v>44638.759247685186</v>
      </c>
      <c r="G2071" t="s">
        <v>641</v>
      </c>
      <c r="H2071" t="s">
        <v>642</v>
      </c>
      <c r="I2071" s="13">
        <v>44638.759247685186</v>
      </c>
      <c r="K2071" t="s">
        <v>412</v>
      </c>
      <c r="M2071" s="13">
        <v>44651</v>
      </c>
      <c r="R2071">
        <v>0</v>
      </c>
      <c r="S2071" t="s">
        <v>380</v>
      </c>
      <c r="T2071" t="s">
        <v>57</v>
      </c>
      <c r="V2071" t="s">
        <v>381</v>
      </c>
      <c r="W2071" t="s">
        <v>1733</v>
      </c>
      <c r="X2071" t="s">
        <v>1733</v>
      </c>
      <c r="AC2071" s="13">
        <v>44651</v>
      </c>
      <c r="AD2071" s="13">
        <v>44651</v>
      </c>
      <c r="AI2071">
        <v>13</v>
      </c>
      <c r="AN2071" t="s">
        <v>31</v>
      </c>
      <c r="AO2071">
        <v>0</v>
      </c>
      <c r="AS2071" t="s">
        <v>385</v>
      </c>
      <c r="AX2071" t="s">
        <v>57</v>
      </c>
      <c r="AY2071" t="s">
        <v>386</v>
      </c>
      <c r="BF2071">
        <v>0</v>
      </c>
      <c r="BK2071" t="s">
        <v>31</v>
      </c>
      <c r="BS2071" t="s">
        <v>412</v>
      </c>
      <c r="CI2071" t="s">
        <v>388</v>
      </c>
      <c r="CJ2071" s="14">
        <v>45015</v>
      </c>
      <c r="CK2071">
        <v>1</v>
      </c>
    </row>
    <row r="2072" spans="1:89">
      <c r="A2072" t="s">
        <v>1705</v>
      </c>
      <c r="B2072" t="s">
        <v>374</v>
      </c>
      <c r="C2072" t="s">
        <v>1706</v>
      </c>
      <c r="D2072" t="s">
        <v>1753</v>
      </c>
      <c r="E2072" t="s">
        <v>1754</v>
      </c>
      <c r="F2072" s="13">
        <v>44638.759236111109</v>
      </c>
      <c r="G2072" t="s">
        <v>641</v>
      </c>
      <c r="H2072" t="s">
        <v>642</v>
      </c>
      <c r="I2072" s="13">
        <v>44638.759236111109</v>
      </c>
      <c r="K2072" t="s">
        <v>412</v>
      </c>
      <c r="M2072" s="13">
        <v>44649</v>
      </c>
      <c r="R2072">
        <v>0</v>
      </c>
      <c r="S2072" t="s">
        <v>380</v>
      </c>
      <c r="T2072" t="s">
        <v>57</v>
      </c>
      <c r="V2072" t="s">
        <v>381</v>
      </c>
      <c r="W2072" t="s">
        <v>1750</v>
      </c>
      <c r="X2072" t="s">
        <v>1750</v>
      </c>
      <c r="AC2072" s="13">
        <v>44649</v>
      </c>
      <c r="AD2072" s="13">
        <v>44649</v>
      </c>
      <c r="AI2072">
        <v>11</v>
      </c>
      <c r="AN2072" t="s">
        <v>31</v>
      </c>
      <c r="AO2072">
        <v>0</v>
      </c>
      <c r="AS2072" t="s">
        <v>385</v>
      </c>
      <c r="AX2072" t="s">
        <v>57</v>
      </c>
      <c r="AY2072" t="s">
        <v>386</v>
      </c>
      <c r="BF2072">
        <v>0</v>
      </c>
      <c r="BK2072" t="s">
        <v>31</v>
      </c>
      <c r="BS2072" t="s">
        <v>412</v>
      </c>
      <c r="CI2072" t="s">
        <v>388</v>
      </c>
      <c r="CJ2072" s="14">
        <v>45015</v>
      </c>
      <c r="CK2072">
        <v>1</v>
      </c>
    </row>
    <row r="2073" spans="1:89">
      <c r="A2073" t="s">
        <v>1705</v>
      </c>
      <c r="B2073" t="s">
        <v>374</v>
      </c>
      <c r="C2073" t="s">
        <v>1706</v>
      </c>
      <c r="D2073" t="s">
        <v>1755</v>
      </c>
      <c r="E2073" t="s">
        <v>1756</v>
      </c>
      <c r="F2073" s="13">
        <v>44638.759236111109</v>
      </c>
      <c r="G2073" t="s">
        <v>641</v>
      </c>
      <c r="H2073" t="s">
        <v>642</v>
      </c>
      <c r="I2073" s="13">
        <v>44638.759236111109</v>
      </c>
      <c r="K2073" t="s">
        <v>412</v>
      </c>
      <c r="M2073" s="13">
        <v>44649</v>
      </c>
      <c r="R2073">
        <v>0</v>
      </c>
      <c r="S2073" t="s">
        <v>380</v>
      </c>
      <c r="T2073" t="s">
        <v>57</v>
      </c>
      <c r="V2073" t="s">
        <v>381</v>
      </c>
      <c r="W2073" t="s">
        <v>1750</v>
      </c>
      <c r="X2073" t="s">
        <v>1750</v>
      </c>
      <c r="AC2073" s="13">
        <v>44649</v>
      </c>
      <c r="AD2073" s="13">
        <v>44649</v>
      </c>
      <c r="AI2073">
        <v>11</v>
      </c>
      <c r="AN2073" t="s">
        <v>31</v>
      </c>
      <c r="AO2073">
        <v>0</v>
      </c>
      <c r="AS2073" t="s">
        <v>385</v>
      </c>
      <c r="AX2073" t="s">
        <v>57</v>
      </c>
      <c r="AY2073" t="s">
        <v>386</v>
      </c>
      <c r="BF2073">
        <v>0</v>
      </c>
      <c r="BK2073" t="s">
        <v>31</v>
      </c>
      <c r="BS2073" t="s">
        <v>412</v>
      </c>
      <c r="CI2073" t="s">
        <v>388</v>
      </c>
      <c r="CJ2073" s="14">
        <v>45015</v>
      </c>
      <c r="CK2073">
        <v>1</v>
      </c>
    </row>
    <row r="2074" spans="1:89">
      <c r="A2074" t="s">
        <v>1705</v>
      </c>
      <c r="B2074" t="s">
        <v>374</v>
      </c>
      <c r="C2074" t="s">
        <v>1706</v>
      </c>
      <c r="D2074" t="s">
        <v>1757</v>
      </c>
      <c r="E2074" t="s">
        <v>1758</v>
      </c>
      <c r="F2074" s="13">
        <v>44638.75922453704</v>
      </c>
      <c r="G2074" t="s">
        <v>641</v>
      </c>
      <c r="H2074" t="s">
        <v>642</v>
      </c>
      <c r="I2074" s="13">
        <v>44638.75922453704</v>
      </c>
      <c r="K2074" t="s">
        <v>412</v>
      </c>
      <c r="M2074" s="13">
        <v>44580</v>
      </c>
      <c r="R2074">
        <v>0</v>
      </c>
      <c r="S2074" t="s">
        <v>380</v>
      </c>
      <c r="T2074" t="s">
        <v>57</v>
      </c>
      <c r="V2074" t="s">
        <v>381</v>
      </c>
      <c r="W2074" t="s">
        <v>1759</v>
      </c>
      <c r="X2074" t="s">
        <v>1759</v>
      </c>
      <c r="AC2074" s="13">
        <v>44580</v>
      </c>
      <c r="AD2074" s="13">
        <v>44580</v>
      </c>
      <c r="AI2074">
        <v>-58</v>
      </c>
      <c r="AN2074" t="s">
        <v>31</v>
      </c>
      <c r="AO2074">
        <v>0</v>
      </c>
      <c r="AS2074" t="s">
        <v>881</v>
      </c>
      <c r="AX2074" t="s">
        <v>57</v>
      </c>
      <c r="AY2074" t="s">
        <v>386</v>
      </c>
      <c r="BF2074">
        <v>0</v>
      </c>
      <c r="BK2074" t="s">
        <v>31</v>
      </c>
      <c r="BS2074" t="s">
        <v>412</v>
      </c>
      <c r="CI2074" t="s">
        <v>388</v>
      </c>
      <c r="CJ2074" s="14">
        <v>45015</v>
      </c>
      <c r="CK2074">
        <v>1</v>
      </c>
    </row>
    <row r="2075" spans="1:89">
      <c r="A2075" t="s">
        <v>1705</v>
      </c>
      <c r="B2075" t="s">
        <v>374</v>
      </c>
      <c r="C2075" t="s">
        <v>1706</v>
      </c>
      <c r="D2075" t="s">
        <v>1760</v>
      </c>
      <c r="E2075" t="s">
        <v>1761</v>
      </c>
      <c r="F2075" s="13">
        <v>44638.75922453704</v>
      </c>
      <c r="G2075" t="s">
        <v>641</v>
      </c>
      <c r="H2075" t="s">
        <v>642</v>
      </c>
      <c r="I2075" s="13">
        <v>44638.75922453704</v>
      </c>
      <c r="K2075" t="s">
        <v>412</v>
      </c>
      <c r="M2075" s="13">
        <v>44617</v>
      </c>
      <c r="R2075">
        <v>0</v>
      </c>
      <c r="S2075" t="s">
        <v>380</v>
      </c>
      <c r="T2075" t="s">
        <v>57</v>
      </c>
      <c r="V2075" t="s">
        <v>381</v>
      </c>
      <c r="W2075" t="s">
        <v>1762</v>
      </c>
      <c r="X2075" t="s">
        <v>1762</v>
      </c>
      <c r="AC2075" s="13">
        <v>44617</v>
      </c>
      <c r="AD2075" s="13">
        <v>44617</v>
      </c>
      <c r="AI2075">
        <v>-21</v>
      </c>
      <c r="AN2075" t="s">
        <v>31</v>
      </c>
      <c r="AO2075">
        <v>0</v>
      </c>
      <c r="AS2075" t="s">
        <v>881</v>
      </c>
      <c r="AX2075" t="s">
        <v>57</v>
      </c>
      <c r="AY2075" t="s">
        <v>386</v>
      </c>
      <c r="BF2075">
        <v>0</v>
      </c>
      <c r="BK2075" t="s">
        <v>31</v>
      </c>
      <c r="BS2075" t="s">
        <v>412</v>
      </c>
      <c r="CI2075" t="s">
        <v>388</v>
      </c>
      <c r="CJ2075" s="14">
        <v>45015</v>
      </c>
      <c r="CK2075">
        <v>1</v>
      </c>
    </row>
    <row r="2076" spans="1:89">
      <c r="A2076" t="s">
        <v>1721</v>
      </c>
      <c r="B2076" t="s">
        <v>374</v>
      </c>
      <c r="C2076" t="s">
        <v>1722</v>
      </c>
      <c r="D2076" t="s">
        <v>1763</v>
      </c>
      <c r="E2076" t="s">
        <v>1764</v>
      </c>
      <c r="F2076" s="13">
        <v>44638.759212962963</v>
      </c>
      <c r="G2076" t="s">
        <v>641</v>
      </c>
      <c r="H2076" t="s">
        <v>642</v>
      </c>
      <c r="I2076" s="13">
        <v>44638.759212962963</v>
      </c>
      <c r="K2076" t="s">
        <v>412</v>
      </c>
      <c r="M2076" s="13">
        <v>44620</v>
      </c>
      <c r="R2076">
        <v>0</v>
      </c>
      <c r="S2076" t="s">
        <v>380</v>
      </c>
      <c r="T2076" t="s">
        <v>57</v>
      </c>
      <c r="V2076" t="s">
        <v>381</v>
      </c>
      <c r="W2076" t="s">
        <v>1765</v>
      </c>
      <c r="X2076" t="s">
        <v>1765</v>
      </c>
      <c r="AC2076" s="13">
        <v>44620</v>
      </c>
      <c r="AD2076" s="13">
        <v>44620</v>
      </c>
      <c r="AI2076">
        <v>-18</v>
      </c>
      <c r="AN2076" t="s">
        <v>31</v>
      </c>
      <c r="AO2076">
        <v>0</v>
      </c>
      <c r="AS2076" t="s">
        <v>707</v>
      </c>
      <c r="AX2076" t="s">
        <v>57</v>
      </c>
      <c r="AY2076" t="s">
        <v>386</v>
      </c>
      <c r="BF2076">
        <v>0</v>
      </c>
      <c r="BK2076" t="s">
        <v>31</v>
      </c>
      <c r="BS2076" t="s">
        <v>412</v>
      </c>
      <c r="CI2076" t="s">
        <v>388</v>
      </c>
      <c r="CJ2076" s="14">
        <v>45015</v>
      </c>
      <c r="CK2076">
        <v>1</v>
      </c>
    </row>
    <row r="2077" spans="1:89">
      <c r="A2077" t="s">
        <v>1766</v>
      </c>
      <c r="B2077" t="s">
        <v>374</v>
      </c>
      <c r="C2077" t="s">
        <v>35</v>
      </c>
      <c r="D2077" t="s">
        <v>1767</v>
      </c>
      <c r="E2077" t="s">
        <v>1768</v>
      </c>
      <c r="F2077" s="13">
        <v>44638.759212962963</v>
      </c>
      <c r="G2077" t="s">
        <v>641</v>
      </c>
      <c r="H2077" t="s">
        <v>642</v>
      </c>
      <c r="I2077" s="13">
        <v>44638.759212962963</v>
      </c>
      <c r="K2077" t="s">
        <v>412</v>
      </c>
      <c r="M2077" s="13">
        <v>44596</v>
      </c>
      <c r="R2077">
        <v>0</v>
      </c>
      <c r="S2077" t="s">
        <v>380</v>
      </c>
      <c r="T2077" t="s">
        <v>57</v>
      </c>
      <c r="V2077" t="s">
        <v>381</v>
      </c>
      <c r="W2077" t="s">
        <v>1762</v>
      </c>
      <c r="X2077" t="s">
        <v>1762</v>
      </c>
      <c r="AC2077" s="13">
        <v>44596</v>
      </c>
      <c r="AD2077" s="13">
        <v>44596</v>
      </c>
      <c r="AI2077">
        <v>-42</v>
      </c>
      <c r="AN2077" t="s">
        <v>31</v>
      </c>
      <c r="AO2077">
        <v>0</v>
      </c>
      <c r="AS2077" t="s">
        <v>1720</v>
      </c>
      <c r="AX2077" t="s">
        <v>57</v>
      </c>
      <c r="AY2077" t="s">
        <v>386</v>
      </c>
      <c r="BF2077">
        <v>0</v>
      </c>
      <c r="BK2077" t="s">
        <v>31</v>
      </c>
      <c r="BS2077" t="s">
        <v>412</v>
      </c>
      <c r="CI2077" t="s">
        <v>388</v>
      </c>
      <c r="CJ2077" s="14">
        <v>45015</v>
      </c>
      <c r="CK2077">
        <v>1</v>
      </c>
    </row>
    <row r="2078" spans="1:89">
      <c r="A2078" t="s">
        <v>1769</v>
      </c>
      <c r="B2078" t="s">
        <v>374</v>
      </c>
      <c r="C2078" t="s">
        <v>1770</v>
      </c>
      <c r="D2078" t="s">
        <v>1771</v>
      </c>
      <c r="E2078" t="s">
        <v>1772</v>
      </c>
      <c r="F2078" s="13">
        <v>44638.759201388886</v>
      </c>
      <c r="G2078" t="s">
        <v>641</v>
      </c>
      <c r="H2078" t="s">
        <v>642</v>
      </c>
      <c r="I2078" s="13">
        <v>44638.759201388886</v>
      </c>
      <c r="K2078" t="s">
        <v>412</v>
      </c>
      <c r="M2078" s="13">
        <v>44650</v>
      </c>
      <c r="R2078">
        <v>0</v>
      </c>
      <c r="S2078" t="s">
        <v>380</v>
      </c>
      <c r="T2078" t="s">
        <v>57</v>
      </c>
      <c r="V2078" t="s">
        <v>381</v>
      </c>
      <c r="W2078" t="s">
        <v>1765</v>
      </c>
      <c r="X2078" t="s">
        <v>1765</v>
      </c>
      <c r="AC2078" s="13">
        <v>44650</v>
      </c>
      <c r="AD2078" s="13">
        <v>44650</v>
      </c>
      <c r="AI2078">
        <v>12</v>
      </c>
      <c r="AN2078" t="s">
        <v>31</v>
      </c>
      <c r="AO2078">
        <v>0</v>
      </c>
      <c r="AS2078" t="s">
        <v>385</v>
      </c>
      <c r="AX2078" t="s">
        <v>57</v>
      </c>
      <c r="AY2078" t="s">
        <v>386</v>
      </c>
      <c r="BF2078">
        <v>0</v>
      </c>
      <c r="BK2078" t="s">
        <v>31</v>
      </c>
      <c r="BS2078" t="s">
        <v>412</v>
      </c>
      <c r="CI2078" t="s">
        <v>388</v>
      </c>
      <c r="CJ2078" s="14">
        <v>45015</v>
      </c>
      <c r="CK2078">
        <v>1</v>
      </c>
    </row>
    <row r="2079" spans="1:89">
      <c r="A2079" t="s">
        <v>1769</v>
      </c>
      <c r="B2079" t="s">
        <v>374</v>
      </c>
      <c r="C2079" t="s">
        <v>1770</v>
      </c>
      <c r="D2079" t="s">
        <v>1773</v>
      </c>
      <c r="E2079" t="s">
        <v>1774</v>
      </c>
      <c r="F2079" s="13">
        <v>44638.759201388886</v>
      </c>
      <c r="G2079" t="s">
        <v>641</v>
      </c>
      <c r="H2079" t="s">
        <v>642</v>
      </c>
      <c r="I2079" s="13">
        <v>44638.759201388886</v>
      </c>
      <c r="K2079" t="s">
        <v>412</v>
      </c>
      <c r="M2079" s="13">
        <v>44742</v>
      </c>
      <c r="R2079">
        <v>0</v>
      </c>
      <c r="S2079" t="s">
        <v>380</v>
      </c>
      <c r="T2079" t="s">
        <v>57</v>
      </c>
      <c r="V2079" t="s">
        <v>381</v>
      </c>
      <c r="W2079" t="s">
        <v>1775</v>
      </c>
      <c r="X2079" t="s">
        <v>1775</v>
      </c>
      <c r="AC2079" s="13">
        <v>44742</v>
      </c>
      <c r="AD2079" s="13">
        <v>44742</v>
      </c>
      <c r="AI2079">
        <v>104</v>
      </c>
      <c r="AN2079" t="s">
        <v>31</v>
      </c>
      <c r="AO2079">
        <v>0</v>
      </c>
      <c r="AS2079" t="s">
        <v>385</v>
      </c>
      <c r="AX2079" t="s">
        <v>57</v>
      </c>
      <c r="AY2079" t="s">
        <v>386</v>
      </c>
      <c r="BF2079">
        <v>0</v>
      </c>
      <c r="BK2079" t="s">
        <v>31</v>
      </c>
      <c r="BS2079" t="s">
        <v>412</v>
      </c>
      <c r="CI2079" t="s">
        <v>388</v>
      </c>
      <c r="CJ2079" s="14">
        <v>45015</v>
      </c>
      <c r="CK2079">
        <v>1</v>
      </c>
    </row>
    <row r="2080" spans="1:89">
      <c r="A2080" t="s">
        <v>1769</v>
      </c>
      <c r="B2080" t="s">
        <v>374</v>
      </c>
      <c r="C2080" t="s">
        <v>1770</v>
      </c>
      <c r="D2080" t="s">
        <v>1776</v>
      </c>
      <c r="E2080" t="s">
        <v>1777</v>
      </c>
      <c r="F2080" s="13">
        <v>44638.759201388886</v>
      </c>
      <c r="G2080" t="s">
        <v>641</v>
      </c>
      <c r="H2080" t="s">
        <v>642</v>
      </c>
      <c r="I2080" s="13">
        <v>44638.759201388886</v>
      </c>
      <c r="K2080" t="s">
        <v>412</v>
      </c>
      <c r="M2080" s="13">
        <v>44803</v>
      </c>
      <c r="R2080">
        <v>0</v>
      </c>
      <c r="S2080" t="s">
        <v>380</v>
      </c>
      <c r="T2080" t="s">
        <v>57</v>
      </c>
      <c r="V2080" t="s">
        <v>381</v>
      </c>
      <c r="W2080" t="s">
        <v>1778</v>
      </c>
      <c r="X2080" t="s">
        <v>1778</v>
      </c>
      <c r="AC2080" s="13">
        <v>44803</v>
      </c>
      <c r="AD2080" s="13">
        <v>44803</v>
      </c>
      <c r="AI2080">
        <v>165</v>
      </c>
      <c r="AN2080" t="s">
        <v>31</v>
      </c>
      <c r="AO2080">
        <v>0</v>
      </c>
      <c r="AX2080" t="s">
        <v>57</v>
      </c>
      <c r="AY2080" t="s">
        <v>386</v>
      </c>
      <c r="BF2080">
        <v>0</v>
      </c>
      <c r="BK2080" t="s">
        <v>31</v>
      </c>
      <c r="BS2080" t="s">
        <v>412</v>
      </c>
      <c r="CI2080" t="s">
        <v>388</v>
      </c>
      <c r="CJ2080" s="14">
        <v>45015</v>
      </c>
      <c r="CK2080">
        <v>1</v>
      </c>
    </row>
    <row r="2081" spans="1:89">
      <c r="A2081" t="s">
        <v>1769</v>
      </c>
      <c r="B2081" t="s">
        <v>374</v>
      </c>
      <c r="C2081" t="s">
        <v>1770</v>
      </c>
      <c r="D2081" t="s">
        <v>1779</v>
      </c>
      <c r="E2081" t="s">
        <v>1780</v>
      </c>
      <c r="F2081" s="13">
        <v>44638.759189814817</v>
      </c>
      <c r="G2081" t="s">
        <v>641</v>
      </c>
      <c r="H2081" t="s">
        <v>642</v>
      </c>
      <c r="I2081" s="13">
        <v>44638.759189814817</v>
      </c>
      <c r="K2081" t="s">
        <v>412</v>
      </c>
      <c r="M2081" s="13">
        <v>44650</v>
      </c>
      <c r="R2081">
        <v>0</v>
      </c>
      <c r="S2081" t="s">
        <v>380</v>
      </c>
      <c r="T2081" t="s">
        <v>57</v>
      </c>
      <c r="V2081" t="s">
        <v>381</v>
      </c>
      <c r="W2081" t="s">
        <v>1765</v>
      </c>
      <c r="X2081" t="s">
        <v>1765</v>
      </c>
      <c r="AC2081" s="13">
        <v>44650</v>
      </c>
      <c r="AD2081" s="13">
        <v>44650</v>
      </c>
      <c r="AI2081">
        <v>12</v>
      </c>
      <c r="AN2081" t="s">
        <v>31</v>
      </c>
      <c r="AO2081">
        <v>0</v>
      </c>
      <c r="AS2081" t="s">
        <v>385</v>
      </c>
      <c r="AX2081" t="s">
        <v>57</v>
      </c>
      <c r="AY2081" t="s">
        <v>386</v>
      </c>
      <c r="BF2081">
        <v>0</v>
      </c>
      <c r="BK2081" t="s">
        <v>31</v>
      </c>
      <c r="BS2081" t="s">
        <v>412</v>
      </c>
      <c r="CI2081" t="s">
        <v>388</v>
      </c>
      <c r="CJ2081" s="14">
        <v>45015</v>
      </c>
      <c r="CK2081">
        <v>1</v>
      </c>
    </row>
    <row r="2082" spans="1:89">
      <c r="A2082" t="s">
        <v>1769</v>
      </c>
      <c r="B2082" t="s">
        <v>374</v>
      </c>
      <c r="C2082" t="s">
        <v>1770</v>
      </c>
      <c r="D2082" t="s">
        <v>1781</v>
      </c>
      <c r="E2082" t="s">
        <v>1782</v>
      </c>
      <c r="F2082" s="13">
        <v>44638.759189814817</v>
      </c>
      <c r="G2082" t="s">
        <v>641</v>
      </c>
      <c r="H2082" t="s">
        <v>642</v>
      </c>
      <c r="I2082" s="13">
        <v>44638.759189814817</v>
      </c>
      <c r="K2082" t="s">
        <v>412</v>
      </c>
      <c r="M2082" s="13">
        <v>44650</v>
      </c>
      <c r="R2082">
        <v>0</v>
      </c>
      <c r="S2082" t="s">
        <v>380</v>
      </c>
      <c r="T2082" t="s">
        <v>57</v>
      </c>
      <c r="V2082" t="s">
        <v>381</v>
      </c>
      <c r="W2082" t="s">
        <v>1765</v>
      </c>
      <c r="X2082" t="s">
        <v>1765</v>
      </c>
      <c r="AC2082" s="13">
        <v>44650</v>
      </c>
      <c r="AD2082" s="13">
        <v>44650</v>
      </c>
      <c r="AI2082">
        <v>12</v>
      </c>
      <c r="AN2082" t="s">
        <v>31</v>
      </c>
      <c r="AO2082">
        <v>0</v>
      </c>
      <c r="AS2082" t="s">
        <v>385</v>
      </c>
      <c r="AX2082" t="s">
        <v>57</v>
      </c>
      <c r="AY2082" t="s">
        <v>386</v>
      </c>
      <c r="BF2082">
        <v>0</v>
      </c>
      <c r="BK2082" t="s">
        <v>31</v>
      </c>
      <c r="BS2082" t="s">
        <v>412</v>
      </c>
      <c r="CI2082" t="s">
        <v>388</v>
      </c>
      <c r="CJ2082" s="14">
        <v>45015</v>
      </c>
      <c r="CK2082">
        <v>1</v>
      </c>
    </row>
    <row r="2083" spans="1:89">
      <c r="A2083" t="s">
        <v>1769</v>
      </c>
      <c r="B2083" t="s">
        <v>374</v>
      </c>
      <c r="C2083" t="s">
        <v>1770</v>
      </c>
      <c r="D2083" t="s">
        <v>1783</v>
      </c>
      <c r="E2083" t="s">
        <v>1784</v>
      </c>
      <c r="F2083" s="13">
        <v>44638.75917824074</v>
      </c>
      <c r="G2083" t="s">
        <v>641</v>
      </c>
      <c r="H2083" t="s">
        <v>642</v>
      </c>
      <c r="I2083" s="13">
        <v>44638.75917824074</v>
      </c>
      <c r="K2083" t="s">
        <v>412</v>
      </c>
      <c r="M2083" s="13">
        <v>44650</v>
      </c>
      <c r="R2083">
        <v>0</v>
      </c>
      <c r="S2083" t="s">
        <v>380</v>
      </c>
      <c r="T2083" t="s">
        <v>57</v>
      </c>
      <c r="V2083" t="s">
        <v>381</v>
      </c>
      <c r="W2083" t="s">
        <v>1765</v>
      </c>
      <c r="X2083" t="s">
        <v>1765</v>
      </c>
      <c r="AC2083" s="13">
        <v>44650</v>
      </c>
      <c r="AD2083" s="13">
        <v>44650</v>
      </c>
      <c r="AI2083">
        <v>12</v>
      </c>
      <c r="AN2083" t="s">
        <v>31</v>
      </c>
      <c r="AO2083">
        <v>0</v>
      </c>
      <c r="AS2083" t="s">
        <v>385</v>
      </c>
      <c r="AX2083" t="s">
        <v>57</v>
      </c>
      <c r="AY2083" t="s">
        <v>386</v>
      </c>
      <c r="BF2083">
        <v>0</v>
      </c>
      <c r="BK2083" t="s">
        <v>31</v>
      </c>
      <c r="BS2083" t="s">
        <v>412</v>
      </c>
      <c r="CI2083" t="s">
        <v>388</v>
      </c>
      <c r="CJ2083" s="14">
        <v>45015</v>
      </c>
      <c r="CK2083">
        <v>1</v>
      </c>
    </row>
    <row r="2084" spans="1:89">
      <c r="A2084" t="s">
        <v>1769</v>
      </c>
      <c r="B2084" t="s">
        <v>374</v>
      </c>
      <c r="C2084" t="s">
        <v>1770</v>
      </c>
      <c r="D2084" t="s">
        <v>1785</v>
      </c>
      <c r="E2084" t="s">
        <v>1786</v>
      </c>
      <c r="F2084" s="13">
        <v>44638.75917824074</v>
      </c>
      <c r="G2084" t="s">
        <v>641</v>
      </c>
      <c r="H2084" t="s">
        <v>642</v>
      </c>
      <c r="I2084" s="13">
        <v>44638.75917824074</v>
      </c>
      <c r="K2084" t="s">
        <v>412</v>
      </c>
      <c r="M2084" s="13">
        <v>44650</v>
      </c>
      <c r="R2084">
        <v>0</v>
      </c>
      <c r="S2084" t="s">
        <v>380</v>
      </c>
      <c r="T2084" t="s">
        <v>57</v>
      </c>
      <c r="V2084" t="s">
        <v>381</v>
      </c>
      <c r="W2084" t="s">
        <v>1765</v>
      </c>
      <c r="X2084" t="s">
        <v>1765</v>
      </c>
      <c r="AC2084" s="13">
        <v>44650</v>
      </c>
      <c r="AD2084" s="13">
        <v>44650</v>
      </c>
      <c r="AI2084">
        <v>12</v>
      </c>
      <c r="AN2084" t="s">
        <v>31</v>
      </c>
      <c r="AO2084">
        <v>0</v>
      </c>
      <c r="AS2084" t="s">
        <v>385</v>
      </c>
      <c r="AX2084" t="s">
        <v>57</v>
      </c>
      <c r="AY2084" t="s">
        <v>386</v>
      </c>
      <c r="BF2084">
        <v>0</v>
      </c>
      <c r="BK2084" t="s">
        <v>31</v>
      </c>
      <c r="BS2084" t="s">
        <v>412</v>
      </c>
      <c r="CI2084" t="s">
        <v>388</v>
      </c>
      <c r="CJ2084" s="14">
        <v>45015</v>
      </c>
      <c r="CK2084">
        <v>1</v>
      </c>
    </row>
    <row r="2085" spans="1:89">
      <c r="A2085" t="s">
        <v>1769</v>
      </c>
      <c r="B2085" t="s">
        <v>374</v>
      </c>
      <c r="C2085" t="s">
        <v>1770</v>
      </c>
      <c r="D2085" t="s">
        <v>1787</v>
      </c>
      <c r="E2085" t="s">
        <v>1788</v>
      </c>
      <c r="F2085" s="13">
        <v>44638.759166666663</v>
      </c>
      <c r="G2085" t="s">
        <v>641</v>
      </c>
      <c r="H2085" t="s">
        <v>642</v>
      </c>
      <c r="I2085" s="13">
        <v>44638.759166666663</v>
      </c>
      <c r="K2085" t="s">
        <v>412</v>
      </c>
      <c r="M2085" s="13">
        <v>44650</v>
      </c>
      <c r="R2085">
        <v>0</v>
      </c>
      <c r="S2085" t="s">
        <v>380</v>
      </c>
      <c r="T2085" t="s">
        <v>57</v>
      </c>
      <c r="V2085" t="s">
        <v>381</v>
      </c>
      <c r="W2085" t="s">
        <v>1765</v>
      </c>
      <c r="X2085" t="s">
        <v>1765</v>
      </c>
      <c r="AC2085" s="13">
        <v>44650</v>
      </c>
      <c r="AD2085" s="13">
        <v>44650</v>
      </c>
      <c r="AI2085">
        <v>12</v>
      </c>
      <c r="AN2085" t="s">
        <v>31</v>
      </c>
      <c r="AO2085">
        <v>0</v>
      </c>
      <c r="AS2085" t="s">
        <v>385</v>
      </c>
      <c r="AX2085" t="s">
        <v>57</v>
      </c>
      <c r="AY2085" t="s">
        <v>386</v>
      </c>
      <c r="BF2085">
        <v>0</v>
      </c>
      <c r="BK2085" t="s">
        <v>31</v>
      </c>
      <c r="BS2085" t="s">
        <v>412</v>
      </c>
      <c r="CI2085" t="s">
        <v>388</v>
      </c>
      <c r="CJ2085" s="14">
        <v>45015</v>
      </c>
      <c r="CK2085">
        <v>1</v>
      </c>
    </row>
    <row r="2086" spans="1:89">
      <c r="A2086" t="s">
        <v>1769</v>
      </c>
      <c r="B2086" t="s">
        <v>374</v>
      </c>
      <c r="C2086" t="s">
        <v>1770</v>
      </c>
      <c r="D2086" t="s">
        <v>1789</v>
      </c>
      <c r="E2086" t="s">
        <v>1790</v>
      </c>
      <c r="F2086" s="13">
        <v>44638.759166666663</v>
      </c>
      <c r="G2086" t="s">
        <v>641</v>
      </c>
      <c r="H2086" t="s">
        <v>642</v>
      </c>
      <c r="I2086" s="13">
        <v>44638.759166666663</v>
      </c>
      <c r="K2086" t="s">
        <v>412</v>
      </c>
      <c r="M2086" s="13">
        <v>44650</v>
      </c>
      <c r="R2086">
        <v>0</v>
      </c>
      <c r="S2086" t="s">
        <v>380</v>
      </c>
      <c r="T2086" t="s">
        <v>57</v>
      </c>
      <c r="V2086" t="s">
        <v>381</v>
      </c>
      <c r="AC2086" s="13">
        <v>44650</v>
      </c>
      <c r="AD2086" s="13">
        <v>44650</v>
      </c>
      <c r="AI2086">
        <v>12</v>
      </c>
      <c r="AN2086" t="s">
        <v>31</v>
      </c>
      <c r="AO2086">
        <v>0</v>
      </c>
      <c r="AS2086" t="s">
        <v>385</v>
      </c>
      <c r="AX2086" t="s">
        <v>57</v>
      </c>
      <c r="AY2086" t="s">
        <v>386</v>
      </c>
      <c r="BF2086">
        <v>0</v>
      </c>
      <c r="BK2086" t="s">
        <v>31</v>
      </c>
      <c r="BS2086" t="s">
        <v>412</v>
      </c>
      <c r="CI2086" t="s">
        <v>388</v>
      </c>
      <c r="CJ2086" s="14">
        <v>45015</v>
      </c>
      <c r="CK2086">
        <v>1</v>
      </c>
    </row>
    <row r="2087" spans="1:89">
      <c r="A2087" t="s">
        <v>1769</v>
      </c>
      <c r="B2087" t="s">
        <v>374</v>
      </c>
      <c r="C2087" t="s">
        <v>1770</v>
      </c>
      <c r="D2087" t="s">
        <v>1791</v>
      </c>
      <c r="E2087" t="s">
        <v>1792</v>
      </c>
      <c r="F2087" s="13">
        <v>44638.759155092594</v>
      </c>
      <c r="G2087" t="s">
        <v>641</v>
      </c>
      <c r="H2087" t="s">
        <v>642</v>
      </c>
      <c r="I2087" s="13">
        <v>44638.759155092594</v>
      </c>
      <c r="K2087" t="s">
        <v>412</v>
      </c>
      <c r="M2087" s="13">
        <v>44650</v>
      </c>
      <c r="R2087">
        <v>0</v>
      </c>
      <c r="S2087" t="s">
        <v>380</v>
      </c>
      <c r="T2087" t="s">
        <v>57</v>
      </c>
      <c r="V2087" t="s">
        <v>381</v>
      </c>
      <c r="W2087" t="s">
        <v>1765</v>
      </c>
      <c r="X2087" t="s">
        <v>1765</v>
      </c>
      <c r="AC2087" s="13">
        <v>44650</v>
      </c>
      <c r="AD2087" s="13">
        <v>44650</v>
      </c>
      <c r="AI2087">
        <v>12</v>
      </c>
      <c r="AN2087" t="s">
        <v>31</v>
      </c>
      <c r="AO2087">
        <v>0</v>
      </c>
      <c r="AS2087" t="s">
        <v>385</v>
      </c>
      <c r="AX2087" t="s">
        <v>57</v>
      </c>
      <c r="AY2087" t="s">
        <v>386</v>
      </c>
      <c r="BF2087">
        <v>0</v>
      </c>
      <c r="BK2087" t="s">
        <v>31</v>
      </c>
      <c r="BS2087" t="s">
        <v>412</v>
      </c>
      <c r="CI2087" t="s">
        <v>388</v>
      </c>
      <c r="CJ2087" s="14">
        <v>45015</v>
      </c>
      <c r="CK2087">
        <v>1</v>
      </c>
    </row>
    <row r="2088" spans="1:89">
      <c r="A2088" t="s">
        <v>1769</v>
      </c>
      <c r="B2088" t="s">
        <v>374</v>
      </c>
      <c r="C2088" t="s">
        <v>1770</v>
      </c>
      <c r="D2088" t="s">
        <v>1793</v>
      </c>
      <c r="E2088" t="s">
        <v>1794</v>
      </c>
      <c r="F2088" s="13">
        <v>44638.759155092594</v>
      </c>
      <c r="G2088" t="s">
        <v>641</v>
      </c>
      <c r="H2088" t="s">
        <v>642</v>
      </c>
      <c r="I2088" s="13">
        <v>44638.759155092594</v>
      </c>
      <c r="K2088" t="s">
        <v>412</v>
      </c>
      <c r="M2088" s="13">
        <v>44650</v>
      </c>
      <c r="R2088">
        <v>0</v>
      </c>
      <c r="S2088" t="s">
        <v>380</v>
      </c>
      <c r="T2088" t="s">
        <v>57</v>
      </c>
      <c r="V2088" t="s">
        <v>381</v>
      </c>
      <c r="W2088" t="s">
        <v>1765</v>
      </c>
      <c r="X2088" t="s">
        <v>1765</v>
      </c>
      <c r="AC2088" s="13">
        <v>44650</v>
      </c>
      <c r="AD2088" s="13">
        <v>44650</v>
      </c>
      <c r="AI2088">
        <v>12</v>
      </c>
      <c r="AN2088" t="s">
        <v>31</v>
      </c>
      <c r="AO2088">
        <v>0</v>
      </c>
      <c r="AS2088" t="s">
        <v>385</v>
      </c>
      <c r="AX2088" t="s">
        <v>57</v>
      </c>
      <c r="AY2088" t="s">
        <v>386</v>
      </c>
      <c r="BF2088">
        <v>0</v>
      </c>
      <c r="BK2088" t="s">
        <v>31</v>
      </c>
      <c r="BS2088" t="s">
        <v>412</v>
      </c>
      <c r="CI2088" t="s">
        <v>388</v>
      </c>
      <c r="CJ2088" s="14">
        <v>45015</v>
      </c>
      <c r="CK2088">
        <v>1</v>
      </c>
    </row>
    <row r="2089" spans="1:89">
      <c r="A2089" t="s">
        <v>1716</v>
      </c>
      <c r="B2089" t="s">
        <v>374</v>
      </c>
      <c r="C2089" t="s">
        <v>966</v>
      </c>
      <c r="D2089" t="s">
        <v>1795</v>
      </c>
      <c r="E2089" t="s">
        <v>1796</v>
      </c>
      <c r="F2089" s="13">
        <v>44638.759143518517</v>
      </c>
      <c r="G2089" t="s">
        <v>641</v>
      </c>
      <c r="H2089" t="s">
        <v>642</v>
      </c>
      <c r="I2089" s="13">
        <v>44638.759143518517</v>
      </c>
      <c r="K2089" t="s">
        <v>412</v>
      </c>
      <c r="M2089" s="13">
        <v>44650</v>
      </c>
      <c r="R2089">
        <v>0</v>
      </c>
      <c r="S2089" t="s">
        <v>380</v>
      </c>
      <c r="T2089" t="s">
        <v>57</v>
      </c>
      <c r="V2089" t="s">
        <v>381</v>
      </c>
      <c r="W2089" t="s">
        <v>1765</v>
      </c>
      <c r="X2089" t="s">
        <v>1765</v>
      </c>
      <c r="AC2089" s="13">
        <v>44650</v>
      </c>
      <c r="AD2089" s="13">
        <v>44650</v>
      </c>
      <c r="AI2089">
        <v>12</v>
      </c>
      <c r="AN2089" t="s">
        <v>31</v>
      </c>
      <c r="AO2089">
        <v>0</v>
      </c>
      <c r="AS2089" t="s">
        <v>385</v>
      </c>
      <c r="AX2089" t="s">
        <v>57</v>
      </c>
      <c r="AY2089" t="s">
        <v>386</v>
      </c>
      <c r="BF2089">
        <v>0</v>
      </c>
      <c r="BK2089" t="s">
        <v>31</v>
      </c>
      <c r="BS2089" t="s">
        <v>412</v>
      </c>
      <c r="CI2089" t="s">
        <v>388</v>
      </c>
      <c r="CJ2089" s="14">
        <v>45015</v>
      </c>
      <c r="CK2089">
        <v>1</v>
      </c>
    </row>
    <row r="2090" spans="1:89">
      <c r="A2090" t="s">
        <v>1769</v>
      </c>
      <c r="B2090" t="s">
        <v>374</v>
      </c>
      <c r="C2090" t="s">
        <v>1770</v>
      </c>
      <c r="D2090" t="s">
        <v>1797</v>
      </c>
      <c r="E2090" t="s">
        <v>1798</v>
      </c>
      <c r="F2090" s="13">
        <v>44638.759143518517</v>
      </c>
      <c r="G2090" t="s">
        <v>641</v>
      </c>
      <c r="H2090" t="s">
        <v>642</v>
      </c>
      <c r="I2090" s="13">
        <v>44638.759143518517</v>
      </c>
      <c r="K2090" t="s">
        <v>412</v>
      </c>
      <c r="M2090" s="13">
        <v>44650</v>
      </c>
      <c r="R2090">
        <v>0</v>
      </c>
      <c r="S2090" t="s">
        <v>380</v>
      </c>
      <c r="T2090" t="s">
        <v>57</v>
      </c>
      <c r="V2090" t="s">
        <v>381</v>
      </c>
      <c r="W2090" t="s">
        <v>1765</v>
      </c>
      <c r="X2090" t="s">
        <v>1765</v>
      </c>
      <c r="AC2090" s="13">
        <v>44650</v>
      </c>
      <c r="AD2090" s="13">
        <v>44650</v>
      </c>
      <c r="AI2090">
        <v>12</v>
      </c>
      <c r="AN2090" t="s">
        <v>31</v>
      </c>
      <c r="AO2090">
        <v>0</v>
      </c>
      <c r="AS2090" t="s">
        <v>385</v>
      </c>
      <c r="AX2090" t="s">
        <v>57</v>
      </c>
      <c r="AY2090" t="s">
        <v>386</v>
      </c>
      <c r="BF2090">
        <v>0</v>
      </c>
      <c r="BK2090" t="s">
        <v>31</v>
      </c>
      <c r="BS2090" t="s">
        <v>412</v>
      </c>
      <c r="CI2090" t="s">
        <v>388</v>
      </c>
      <c r="CJ2090" s="14">
        <v>45015</v>
      </c>
      <c r="CK2090">
        <v>1</v>
      </c>
    </row>
    <row r="2091" spans="1:89">
      <c r="A2091" t="s">
        <v>1799</v>
      </c>
      <c r="B2091" t="s">
        <v>374</v>
      </c>
      <c r="C2091" t="s">
        <v>1800</v>
      </c>
      <c r="D2091" t="s">
        <v>1801</v>
      </c>
      <c r="E2091" t="s">
        <v>1802</v>
      </c>
      <c r="F2091" s="13">
        <v>44638.759131944447</v>
      </c>
      <c r="G2091" t="s">
        <v>641</v>
      </c>
      <c r="H2091" t="s">
        <v>642</v>
      </c>
      <c r="I2091" s="13">
        <v>44638.759131944447</v>
      </c>
      <c r="K2091" t="s">
        <v>412</v>
      </c>
      <c r="M2091" s="13">
        <v>44650</v>
      </c>
      <c r="R2091">
        <v>0</v>
      </c>
      <c r="S2091" t="s">
        <v>416</v>
      </c>
      <c r="T2091" t="s">
        <v>57</v>
      </c>
      <c r="V2091" t="s">
        <v>381</v>
      </c>
      <c r="W2091" t="s">
        <v>1803</v>
      </c>
      <c r="X2091" t="s">
        <v>1803</v>
      </c>
      <c r="AC2091" s="13">
        <v>44650</v>
      </c>
      <c r="AD2091" s="13">
        <v>44650</v>
      </c>
      <c r="AI2091">
        <v>12</v>
      </c>
      <c r="AN2091" t="s">
        <v>31</v>
      </c>
      <c r="AO2091">
        <v>0</v>
      </c>
      <c r="AS2091" t="s">
        <v>522</v>
      </c>
      <c r="AX2091" t="s">
        <v>57</v>
      </c>
      <c r="AY2091" t="s">
        <v>386</v>
      </c>
      <c r="BF2091">
        <v>0</v>
      </c>
      <c r="BK2091" t="s">
        <v>31</v>
      </c>
      <c r="BS2091" t="s">
        <v>412</v>
      </c>
      <c r="CI2091" t="s">
        <v>388</v>
      </c>
      <c r="CJ2091" s="14">
        <v>45015</v>
      </c>
      <c r="CK2091">
        <v>1</v>
      </c>
    </row>
    <row r="2092" spans="1:89">
      <c r="A2092" t="s">
        <v>1799</v>
      </c>
      <c r="B2092" t="s">
        <v>374</v>
      </c>
      <c r="C2092" t="s">
        <v>1800</v>
      </c>
      <c r="D2092" t="s">
        <v>1804</v>
      </c>
      <c r="E2092" t="s">
        <v>1805</v>
      </c>
      <c r="F2092" s="13">
        <v>44638.759131944447</v>
      </c>
      <c r="G2092" t="s">
        <v>641</v>
      </c>
      <c r="H2092" t="s">
        <v>642</v>
      </c>
      <c r="I2092" s="13">
        <v>44638.759131944447</v>
      </c>
      <c r="K2092" t="s">
        <v>412</v>
      </c>
      <c r="M2092" s="13">
        <v>44650</v>
      </c>
      <c r="R2092">
        <v>0</v>
      </c>
      <c r="S2092" t="s">
        <v>380</v>
      </c>
      <c r="T2092" t="s">
        <v>57</v>
      </c>
      <c r="V2092" t="s">
        <v>381</v>
      </c>
      <c r="W2092" t="s">
        <v>1806</v>
      </c>
      <c r="X2092" t="s">
        <v>1806</v>
      </c>
      <c r="AC2092" s="13">
        <v>44650</v>
      </c>
      <c r="AD2092" s="13">
        <v>44650</v>
      </c>
      <c r="AI2092">
        <v>12</v>
      </c>
      <c r="AN2092" t="s">
        <v>31</v>
      </c>
      <c r="AO2092">
        <v>0</v>
      </c>
      <c r="AS2092" t="s">
        <v>385</v>
      </c>
      <c r="AX2092" t="s">
        <v>57</v>
      </c>
      <c r="AY2092" t="s">
        <v>386</v>
      </c>
      <c r="BF2092">
        <v>0</v>
      </c>
      <c r="BK2092" t="s">
        <v>31</v>
      </c>
      <c r="BS2092" t="s">
        <v>412</v>
      </c>
      <c r="CI2092" t="s">
        <v>388</v>
      </c>
      <c r="CJ2092" s="14">
        <v>45015</v>
      </c>
      <c r="CK2092">
        <v>1</v>
      </c>
    </row>
    <row r="2093" spans="1:89">
      <c r="A2093" t="s">
        <v>1799</v>
      </c>
      <c r="B2093" t="s">
        <v>374</v>
      </c>
      <c r="C2093" t="s">
        <v>1800</v>
      </c>
      <c r="D2093" t="s">
        <v>1807</v>
      </c>
      <c r="E2093" t="s">
        <v>1808</v>
      </c>
      <c r="F2093" s="13">
        <v>44638.759120370371</v>
      </c>
      <c r="G2093" t="s">
        <v>641</v>
      </c>
      <c r="H2093" t="s">
        <v>642</v>
      </c>
      <c r="I2093" s="13">
        <v>44638.759120370371</v>
      </c>
      <c r="K2093" t="s">
        <v>412</v>
      </c>
      <c r="M2093" s="13">
        <v>44651</v>
      </c>
      <c r="R2093">
        <v>0</v>
      </c>
      <c r="S2093" t="s">
        <v>380</v>
      </c>
      <c r="T2093" t="s">
        <v>57</v>
      </c>
      <c r="V2093" t="s">
        <v>381</v>
      </c>
      <c r="W2093" t="s">
        <v>1809</v>
      </c>
      <c r="X2093" t="s">
        <v>1809</v>
      </c>
      <c r="AC2093" s="13">
        <v>44651</v>
      </c>
      <c r="AD2093" s="13">
        <v>44651</v>
      </c>
      <c r="AI2093">
        <v>13</v>
      </c>
      <c r="AN2093" t="s">
        <v>31</v>
      </c>
      <c r="AO2093">
        <v>0</v>
      </c>
      <c r="AS2093" t="s">
        <v>392</v>
      </c>
      <c r="AX2093" t="s">
        <v>57</v>
      </c>
      <c r="AY2093" t="s">
        <v>386</v>
      </c>
      <c r="BF2093">
        <v>0</v>
      </c>
      <c r="BK2093" t="s">
        <v>31</v>
      </c>
      <c r="BS2093" t="s">
        <v>412</v>
      </c>
      <c r="CI2093" t="s">
        <v>388</v>
      </c>
      <c r="CJ2093" s="14">
        <v>45015</v>
      </c>
      <c r="CK2093">
        <v>1</v>
      </c>
    </row>
    <row r="2094" spans="1:89">
      <c r="A2094" t="s">
        <v>1810</v>
      </c>
      <c r="B2094" t="s">
        <v>374</v>
      </c>
      <c r="C2094" t="s">
        <v>1811</v>
      </c>
      <c r="D2094" t="s">
        <v>1812</v>
      </c>
      <c r="E2094" t="s">
        <v>1813</v>
      </c>
      <c r="F2094" s="13">
        <v>44638.759120370371</v>
      </c>
      <c r="G2094" t="s">
        <v>641</v>
      </c>
      <c r="H2094" t="s">
        <v>642</v>
      </c>
      <c r="I2094" s="13">
        <v>44638.759120370371</v>
      </c>
      <c r="K2094" t="s">
        <v>412</v>
      </c>
      <c r="M2094" s="13">
        <v>44651</v>
      </c>
      <c r="R2094">
        <v>0</v>
      </c>
      <c r="S2094" t="s">
        <v>380</v>
      </c>
      <c r="T2094" t="s">
        <v>57</v>
      </c>
      <c r="V2094" t="s">
        <v>381</v>
      </c>
      <c r="W2094" t="s">
        <v>1814</v>
      </c>
      <c r="X2094" t="s">
        <v>1814</v>
      </c>
      <c r="AC2094" s="13">
        <v>44651</v>
      </c>
      <c r="AD2094" s="13">
        <v>44651</v>
      </c>
      <c r="AI2094">
        <v>13</v>
      </c>
      <c r="AN2094" t="s">
        <v>31</v>
      </c>
      <c r="AO2094">
        <v>0</v>
      </c>
      <c r="AS2094" t="s">
        <v>392</v>
      </c>
      <c r="AX2094" t="s">
        <v>57</v>
      </c>
      <c r="AY2094" t="s">
        <v>386</v>
      </c>
      <c r="BF2094">
        <v>0</v>
      </c>
      <c r="BK2094" t="s">
        <v>31</v>
      </c>
      <c r="BS2094" t="s">
        <v>412</v>
      </c>
      <c r="CI2094" t="s">
        <v>388</v>
      </c>
      <c r="CJ2094" s="14">
        <v>45015</v>
      </c>
      <c r="CK2094">
        <v>1</v>
      </c>
    </row>
    <row r="2095" spans="1:89">
      <c r="A2095" t="s">
        <v>1810</v>
      </c>
      <c r="B2095" t="s">
        <v>374</v>
      </c>
      <c r="C2095" t="s">
        <v>1811</v>
      </c>
      <c r="D2095" t="s">
        <v>1815</v>
      </c>
      <c r="E2095" t="s">
        <v>1816</v>
      </c>
      <c r="F2095" s="13">
        <v>44638.759120370371</v>
      </c>
      <c r="G2095" t="s">
        <v>641</v>
      </c>
      <c r="H2095" t="s">
        <v>642</v>
      </c>
      <c r="I2095" s="13">
        <v>44638.759120370371</v>
      </c>
      <c r="K2095" t="s">
        <v>412</v>
      </c>
      <c r="M2095" s="13">
        <v>44742</v>
      </c>
      <c r="R2095">
        <v>0</v>
      </c>
      <c r="S2095" t="s">
        <v>380</v>
      </c>
      <c r="T2095" t="s">
        <v>57</v>
      </c>
      <c r="V2095" t="s">
        <v>381</v>
      </c>
      <c r="W2095" t="s">
        <v>1806</v>
      </c>
      <c r="X2095" t="s">
        <v>1806</v>
      </c>
      <c r="AC2095" s="13">
        <v>44742</v>
      </c>
      <c r="AD2095" s="13">
        <v>44742</v>
      </c>
      <c r="AI2095">
        <v>104</v>
      </c>
      <c r="AN2095" t="s">
        <v>31</v>
      </c>
      <c r="AO2095">
        <v>0</v>
      </c>
      <c r="AS2095" t="s">
        <v>392</v>
      </c>
      <c r="AX2095" t="s">
        <v>57</v>
      </c>
      <c r="AY2095" t="s">
        <v>386</v>
      </c>
      <c r="BF2095">
        <v>0</v>
      </c>
      <c r="BK2095" t="s">
        <v>31</v>
      </c>
      <c r="BS2095" t="s">
        <v>412</v>
      </c>
      <c r="CI2095" t="s">
        <v>388</v>
      </c>
      <c r="CJ2095" s="14">
        <v>45015</v>
      </c>
      <c r="CK2095">
        <v>1</v>
      </c>
    </row>
    <row r="2096" spans="1:89">
      <c r="A2096" t="s">
        <v>1716</v>
      </c>
      <c r="B2096" t="s">
        <v>374</v>
      </c>
      <c r="C2096" t="s">
        <v>966</v>
      </c>
      <c r="D2096" t="s">
        <v>1817</v>
      </c>
      <c r="E2096" t="s">
        <v>1818</v>
      </c>
      <c r="F2096" s="13">
        <v>44638.759108796294</v>
      </c>
      <c r="G2096" t="s">
        <v>641</v>
      </c>
      <c r="H2096" t="s">
        <v>642</v>
      </c>
      <c r="I2096" s="13">
        <v>44638.759108796294</v>
      </c>
      <c r="K2096" t="s">
        <v>412</v>
      </c>
      <c r="M2096" s="13">
        <v>44651</v>
      </c>
      <c r="R2096">
        <v>0</v>
      </c>
      <c r="S2096" t="s">
        <v>380</v>
      </c>
      <c r="T2096" t="s">
        <v>57</v>
      </c>
      <c r="V2096" t="s">
        <v>381</v>
      </c>
      <c r="W2096" t="s">
        <v>1819</v>
      </c>
      <c r="X2096" t="s">
        <v>1819</v>
      </c>
      <c r="AC2096" s="13">
        <v>44651</v>
      </c>
      <c r="AD2096" s="13">
        <v>44651</v>
      </c>
      <c r="AI2096">
        <v>13</v>
      </c>
      <c r="AN2096" t="s">
        <v>31</v>
      </c>
      <c r="AO2096">
        <v>0</v>
      </c>
      <c r="AS2096" t="s">
        <v>392</v>
      </c>
      <c r="AX2096" t="s">
        <v>57</v>
      </c>
      <c r="AY2096" t="s">
        <v>442</v>
      </c>
      <c r="BF2096">
        <v>0</v>
      </c>
      <c r="BK2096" t="s">
        <v>31</v>
      </c>
      <c r="BS2096" t="s">
        <v>412</v>
      </c>
      <c r="CI2096" t="s">
        <v>388</v>
      </c>
      <c r="CJ2096" s="14">
        <v>45015</v>
      </c>
      <c r="CK2096">
        <v>1</v>
      </c>
    </row>
    <row r="2097" spans="1:89">
      <c r="A2097" t="s">
        <v>1710</v>
      </c>
      <c r="B2097" t="s">
        <v>374</v>
      </c>
      <c r="C2097" t="s">
        <v>392</v>
      </c>
      <c r="D2097" t="s">
        <v>1820</v>
      </c>
      <c r="E2097" t="s">
        <v>1821</v>
      </c>
      <c r="F2097" s="13">
        <v>44638.759108796294</v>
      </c>
      <c r="G2097" t="s">
        <v>641</v>
      </c>
      <c r="H2097" t="s">
        <v>642</v>
      </c>
      <c r="I2097" s="13">
        <v>44638.759108796294</v>
      </c>
      <c r="K2097" t="s">
        <v>412</v>
      </c>
      <c r="M2097" s="13">
        <v>44742</v>
      </c>
      <c r="R2097">
        <v>0</v>
      </c>
      <c r="S2097" t="s">
        <v>416</v>
      </c>
      <c r="T2097" t="s">
        <v>57</v>
      </c>
      <c r="V2097" t="s">
        <v>381</v>
      </c>
      <c r="W2097" t="s">
        <v>1803</v>
      </c>
      <c r="X2097" t="s">
        <v>1803</v>
      </c>
      <c r="AC2097" s="13">
        <v>44742</v>
      </c>
      <c r="AD2097" s="13">
        <v>44742</v>
      </c>
      <c r="AI2097">
        <v>104</v>
      </c>
      <c r="AN2097" t="s">
        <v>31</v>
      </c>
      <c r="AO2097">
        <v>0</v>
      </c>
      <c r="AS2097" t="s">
        <v>385</v>
      </c>
      <c r="AX2097" t="s">
        <v>57</v>
      </c>
      <c r="AY2097" t="s">
        <v>386</v>
      </c>
      <c r="BF2097">
        <v>0</v>
      </c>
      <c r="BK2097" t="s">
        <v>31</v>
      </c>
      <c r="BS2097" t="s">
        <v>412</v>
      </c>
      <c r="CI2097" t="s">
        <v>388</v>
      </c>
      <c r="CJ2097" s="14">
        <v>45015</v>
      </c>
      <c r="CK2097">
        <v>1</v>
      </c>
    </row>
    <row r="2098" spans="1:89">
      <c r="A2098" t="s">
        <v>1710</v>
      </c>
      <c r="B2098" t="s">
        <v>374</v>
      </c>
      <c r="C2098" t="s">
        <v>392</v>
      </c>
      <c r="D2098" t="s">
        <v>1822</v>
      </c>
      <c r="E2098" t="s">
        <v>1823</v>
      </c>
      <c r="F2098" s="13">
        <v>44638.759097222224</v>
      </c>
      <c r="G2098" t="s">
        <v>641</v>
      </c>
      <c r="H2098" t="s">
        <v>642</v>
      </c>
      <c r="I2098" s="13">
        <v>44638.759097222224</v>
      </c>
      <c r="K2098" t="s">
        <v>412</v>
      </c>
      <c r="M2098" s="13">
        <v>44650</v>
      </c>
      <c r="R2098">
        <v>0</v>
      </c>
      <c r="S2098" t="s">
        <v>380</v>
      </c>
      <c r="T2098" t="s">
        <v>57</v>
      </c>
      <c r="V2098" t="s">
        <v>381</v>
      </c>
      <c r="W2098" t="s">
        <v>1713</v>
      </c>
      <c r="X2098" t="s">
        <v>1713</v>
      </c>
      <c r="AC2098" s="13">
        <v>44650</v>
      </c>
      <c r="AD2098" s="13">
        <v>44650</v>
      </c>
      <c r="AI2098">
        <v>12</v>
      </c>
      <c r="AN2098" t="s">
        <v>31</v>
      </c>
      <c r="AO2098">
        <v>0</v>
      </c>
      <c r="AS2098" t="s">
        <v>392</v>
      </c>
      <c r="AX2098" t="s">
        <v>57</v>
      </c>
      <c r="AY2098" t="s">
        <v>386</v>
      </c>
      <c r="BF2098">
        <v>0</v>
      </c>
      <c r="BK2098" t="s">
        <v>31</v>
      </c>
      <c r="BS2098" t="s">
        <v>412</v>
      </c>
      <c r="CI2098" t="s">
        <v>388</v>
      </c>
      <c r="CJ2098" s="14">
        <v>45015</v>
      </c>
      <c r="CK2098">
        <v>1</v>
      </c>
    </row>
    <row r="2099" spans="1:89">
      <c r="A2099" t="s">
        <v>1710</v>
      </c>
      <c r="B2099" t="s">
        <v>374</v>
      </c>
      <c r="C2099" t="s">
        <v>392</v>
      </c>
      <c r="D2099" t="s">
        <v>1824</v>
      </c>
      <c r="E2099" t="s">
        <v>1825</v>
      </c>
      <c r="F2099" s="13">
        <v>44638.759097222224</v>
      </c>
      <c r="G2099" t="s">
        <v>641</v>
      </c>
      <c r="H2099" t="s">
        <v>642</v>
      </c>
      <c r="I2099" s="13">
        <v>44638.759097222224</v>
      </c>
      <c r="K2099" t="s">
        <v>412</v>
      </c>
      <c r="M2099" s="13">
        <v>44650</v>
      </c>
      <c r="R2099">
        <v>0</v>
      </c>
      <c r="S2099" t="s">
        <v>380</v>
      </c>
      <c r="T2099" t="s">
        <v>57</v>
      </c>
      <c r="V2099" t="s">
        <v>381</v>
      </c>
      <c r="W2099" t="s">
        <v>1826</v>
      </c>
      <c r="X2099" t="s">
        <v>1826</v>
      </c>
      <c r="AC2099" s="13">
        <v>44650</v>
      </c>
      <c r="AD2099" s="13">
        <v>44650</v>
      </c>
      <c r="AI2099">
        <v>12</v>
      </c>
      <c r="AN2099" t="s">
        <v>31</v>
      </c>
      <c r="AO2099">
        <v>0</v>
      </c>
      <c r="AS2099" t="s">
        <v>392</v>
      </c>
      <c r="AX2099" t="s">
        <v>57</v>
      </c>
      <c r="AY2099" t="s">
        <v>386</v>
      </c>
      <c r="BF2099">
        <v>0</v>
      </c>
      <c r="BK2099" t="s">
        <v>31</v>
      </c>
      <c r="BS2099" t="s">
        <v>412</v>
      </c>
      <c r="CI2099" t="s">
        <v>388</v>
      </c>
      <c r="CJ2099" s="14">
        <v>45015</v>
      </c>
      <c r="CK2099">
        <v>1</v>
      </c>
    </row>
    <row r="2100" spans="1:89">
      <c r="A2100" t="s">
        <v>1827</v>
      </c>
      <c r="B2100" t="s">
        <v>374</v>
      </c>
      <c r="C2100" t="s">
        <v>1536</v>
      </c>
      <c r="D2100" t="s">
        <v>1828</v>
      </c>
      <c r="E2100" t="s">
        <v>1829</v>
      </c>
      <c r="F2100" s="13">
        <v>44638.759085648147</v>
      </c>
      <c r="G2100" t="s">
        <v>641</v>
      </c>
      <c r="H2100" t="s">
        <v>642</v>
      </c>
      <c r="I2100" s="13">
        <v>44638.759085648147</v>
      </c>
      <c r="K2100" t="s">
        <v>412</v>
      </c>
      <c r="M2100" s="13">
        <v>44482</v>
      </c>
      <c r="R2100">
        <v>0</v>
      </c>
      <c r="S2100" t="s">
        <v>380</v>
      </c>
      <c r="T2100" t="s">
        <v>57</v>
      </c>
      <c r="V2100" t="s">
        <v>381</v>
      </c>
      <c r="W2100" t="s">
        <v>1830</v>
      </c>
      <c r="X2100" t="s">
        <v>1830</v>
      </c>
      <c r="AC2100" s="13">
        <v>44482</v>
      </c>
      <c r="AD2100" s="13">
        <v>44482</v>
      </c>
      <c r="AI2100">
        <v>-156</v>
      </c>
      <c r="AN2100" t="s">
        <v>31</v>
      </c>
      <c r="AO2100">
        <v>0</v>
      </c>
      <c r="AS2100" t="s">
        <v>881</v>
      </c>
      <c r="AX2100" t="s">
        <v>57</v>
      </c>
      <c r="AY2100" t="s">
        <v>386</v>
      </c>
      <c r="BF2100">
        <v>0</v>
      </c>
      <c r="BK2100" t="s">
        <v>31</v>
      </c>
      <c r="BS2100" t="s">
        <v>412</v>
      </c>
      <c r="CI2100" t="s">
        <v>388</v>
      </c>
      <c r="CJ2100" s="14">
        <v>45015</v>
      </c>
      <c r="CK2100">
        <v>1</v>
      </c>
    </row>
    <row r="2101" spans="1:89">
      <c r="A2101" t="s">
        <v>1831</v>
      </c>
      <c r="B2101" t="s">
        <v>374</v>
      </c>
      <c r="C2101" t="s">
        <v>1832</v>
      </c>
      <c r="D2101" t="s">
        <v>1833</v>
      </c>
      <c r="E2101" t="s">
        <v>1834</v>
      </c>
      <c r="F2101" s="13">
        <v>44638.759085648147</v>
      </c>
      <c r="G2101" t="s">
        <v>641</v>
      </c>
      <c r="H2101" t="s">
        <v>642</v>
      </c>
      <c r="I2101" s="13">
        <v>44638.759085648147</v>
      </c>
      <c r="K2101" t="s">
        <v>412</v>
      </c>
      <c r="M2101" s="13">
        <v>44591</v>
      </c>
      <c r="R2101">
        <v>0</v>
      </c>
      <c r="S2101" t="s">
        <v>380</v>
      </c>
      <c r="T2101" t="s">
        <v>57</v>
      </c>
      <c r="V2101" t="s">
        <v>381</v>
      </c>
      <c r="W2101" t="s">
        <v>1826</v>
      </c>
      <c r="X2101" t="s">
        <v>1826</v>
      </c>
      <c r="AC2101" s="13">
        <v>44591</v>
      </c>
      <c r="AD2101" s="13">
        <v>44591</v>
      </c>
      <c r="AI2101">
        <v>-47</v>
      </c>
      <c r="AN2101" t="s">
        <v>31</v>
      </c>
      <c r="AO2101">
        <v>0</v>
      </c>
      <c r="AS2101" t="s">
        <v>392</v>
      </c>
      <c r="AX2101" t="s">
        <v>57</v>
      </c>
      <c r="AY2101" t="s">
        <v>386</v>
      </c>
      <c r="BF2101">
        <v>0</v>
      </c>
      <c r="BK2101" t="s">
        <v>31</v>
      </c>
      <c r="BS2101" t="s">
        <v>412</v>
      </c>
      <c r="CI2101" t="s">
        <v>388</v>
      </c>
      <c r="CJ2101" s="14">
        <v>45015</v>
      </c>
      <c r="CK2101">
        <v>1</v>
      </c>
    </row>
    <row r="2102" spans="1:89">
      <c r="A2102" t="s">
        <v>1827</v>
      </c>
      <c r="B2102" t="s">
        <v>374</v>
      </c>
      <c r="C2102" t="s">
        <v>1536</v>
      </c>
      <c r="D2102" t="s">
        <v>1835</v>
      </c>
      <c r="E2102" t="s">
        <v>1836</v>
      </c>
      <c r="F2102" s="13">
        <v>44638.759074074071</v>
      </c>
      <c r="G2102" t="s">
        <v>641</v>
      </c>
      <c r="H2102" t="s">
        <v>642</v>
      </c>
      <c r="I2102" s="13">
        <v>44638.759074074071</v>
      </c>
      <c r="K2102" t="s">
        <v>412</v>
      </c>
      <c r="M2102" s="13">
        <v>44650</v>
      </c>
      <c r="R2102">
        <v>0</v>
      </c>
      <c r="S2102" t="s">
        <v>416</v>
      </c>
      <c r="T2102" t="s">
        <v>57</v>
      </c>
      <c r="V2102" t="s">
        <v>381</v>
      </c>
      <c r="W2102" t="s">
        <v>1837</v>
      </c>
      <c r="X2102" t="s">
        <v>1837</v>
      </c>
      <c r="AC2102" s="13">
        <v>44650</v>
      </c>
      <c r="AD2102" s="13">
        <v>44650</v>
      </c>
      <c r="AI2102">
        <v>12</v>
      </c>
      <c r="AN2102" t="s">
        <v>31</v>
      </c>
      <c r="AO2102">
        <v>0</v>
      </c>
      <c r="AS2102" t="s">
        <v>385</v>
      </c>
      <c r="AX2102" t="s">
        <v>57</v>
      </c>
      <c r="AY2102" t="s">
        <v>386</v>
      </c>
      <c r="BF2102">
        <v>0</v>
      </c>
      <c r="BK2102" t="s">
        <v>31</v>
      </c>
      <c r="BS2102" t="s">
        <v>412</v>
      </c>
      <c r="CI2102" t="s">
        <v>388</v>
      </c>
      <c r="CJ2102" s="14">
        <v>45015</v>
      </c>
      <c r="CK2102">
        <v>1</v>
      </c>
    </row>
    <row r="2103" spans="1:89">
      <c r="A2103" t="s">
        <v>1827</v>
      </c>
      <c r="B2103" t="s">
        <v>374</v>
      </c>
      <c r="C2103" t="s">
        <v>1536</v>
      </c>
      <c r="D2103" t="s">
        <v>1838</v>
      </c>
      <c r="E2103" t="s">
        <v>1839</v>
      </c>
      <c r="F2103" s="13">
        <v>44638.759074074071</v>
      </c>
      <c r="G2103" t="s">
        <v>641</v>
      </c>
      <c r="H2103" t="s">
        <v>642</v>
      </c>
      <c r="I2103" s="13">
        <v>44638.759074074071</v>
      </c>
      <c r="K2103" t="s">
        <v>412</v>
      </c>
      <c r="M2103" s="13">
        <v>44803</v>
      </c>
      <c r="R2103">
        <v>0</v>
      </c>
      <c r="S2103" t="s">
        <v>380</v>
      </c>
      <c r="T2103" t="s">
        <v>57</v>
      </c>
      <c r="V2103" t="s">
        <v>381</v>
      </c>
      <c r="W2103" t="s">
        <v>1837</v>
      </c>
      <c r="X2103" t="s">
        <v>1837</v>
      </c>
      <c r="AC2103" s="13">
        <v>44803</v>
      </c>
      <c r="AD2103" s="13">
        <v>44803</v>
      </c>
      <c r="AI2103">
        <v>165</v>
      </c>
      <c r="AN2103" t="s">
        <v>31</v>
      </c>
      <c r="AO2103">
        <v>0</v>
      </c>
      <c r="AS2103" t="s">
        <v>385</v>
      </c>
      <c r="AX2103" t="s">
        <v>57</v>
      </c>
      <c r="AY2103" t="s">
        <v>386</v>
      </c>
      <c r="BF2103">
        <v>0</v>
      </c>
      <c r="BK2103" t="s">
        <v>31</v>
      </c>
      <c r="BS2103" t="s">
        <v>412</v>
      </c>
      <c r="CI2103" t="s">
        <v>388</v>
      </c>
      <c r="CJ2103" s="14">
        <v>45015</v>
      </c>
      <c r="CK2103">
        <v>1</v>
      </c>
    </row>
    <row r="2104" spans="1:89">
      <c r="A2104" t="s">
        <v>1799</v>
      </c>
      <c r="B2104" t="s">
        <v>374</v>
      </c>
      <c r="C2104" t="s">
        <v>1800</v>
      </c>
      <c r="D2104" t="s">
        <v>1840</v>
      </c>
      <c r="E2104" t="s">
        <v>1841</v>
      </c>
      <c r="F2104" s="13">
        <v>44638.759062500001</v>
      </c>
      <c r="G2104" t="s">
        <v>641</v>
      </c>
      <c r="H2104" t="s">
        <v>642</v>
      </c>
      <c r="I2104" s="13">
        <v>44638.759062500001</v>
      </c>
      <c r="K2104" t="s">
        <v>412</v>
      </c>
      <c r="M2104" s="13">
        <v>44623</v>
      </c>
      <c r="R2104">
        <v>0</v>
      </c>
      <c r="S2104" t="s">
        <v>380</v>
      </c>
      <c r="T2104" t="s">
        <v>57</v>
      </c>
      <c r="V2104" t="s">
        <v>381</v>
      </c>
      <c r="W2104" t="s">
        <v>1826</v>
      </c>
      <c r="X2104" t="s">
        <v>1826</v>
      </c>
      <c r="AC2104" s="13">
        <v>44623</v>
      </c>
      <c r="AD2104" s="13">
        <v>44623</v>
      </c>
      <c r="AI2104">
        <v>-15</v>
      </c>
      <c r="AN2104" t="s">
        <v>31</v>
      </c>
      <c r="AO2104">
        <v>0</v>
      </c>
      <c r="AS2104" t="s">
        <v>385</v>
      </c>
      <c r="AX2104" t="s">
        <v>57</v>
      </c>
      <c r="AY2104" t="s">
        <v>386</v>
      </c>
      <c r="BF2104">
        <v>0</v>
      </c>
      <c r="BK2104" t="s">
        <v>31</v>
      </c>
      <c r="BS2104" t="s">
        <v>412</v>
      </c>
      <c r="CI2104" t="s">
        <v>388</v>
      </c>
      <c r="CJ2104" s="14">
        <v>45015</v>
      </c>
      <c r="CK2104">
        <v>1</v>
      </c>
    </row>
    <row r="2105" spans="1:89">
      <c r="A2105" t="s">
        <v>1799</v>
      </c>
      <c r="B2105" t="s">
        <v>374</v>
      </c>
      <c r="C2105" t="s">
        <v>1800</v>
      </c>
      <c r="D2105" t="s">
        <v>1842</v>
      </c>
      <c r="E2105" t="s">
        <v>1843</v>
      </c>
      <c r="F2105" s="13">
        <v>44638.759062500001</v>
      </c>
      <c r="G2105" t="s">
        <v>641</v>
      </c>
      <c r="H2105" t="s">
        <v>642</v>
      </c>
      <c r="I2105" s="13">
        <v>44638.759062500001</v>
      </c>
      <c r="K2105" t="s">
        <v>412</v>
      </c>
      <c r="M2105" s="13">
        <v>44650</v>
      </c>
      <c r="R2105">
        <v>0</v>
      </c>
      <c r="S2105" t="s">
        <v>380</v>
      </c>
      <c r="T2105" t="s">
        <v>57</v>
      </c>
      <c r="V2105" t="s">
        <v>381</v>
      </c>
      <c r="W2105" t="s">
        <v>1837</v>
      </c>
      <c r="X2105" t="s">
        <v>1837</v>
      </c>
      <c r="AC2105" s="13">
        <v>44650</v>
      </c>
      <c r="AD2105" s="13">
        <v>44650</v>
      </c>
      <c r="AI2105">
        <v>12</v>
      </c>
      <c r="AN2105" t="s">
        <v>31</v>
      </c>
      <c r="AO2105">
        <v>0</v>
      </c>
      <c r="AS2105" t="s">
        <v>385</v>
      </c>
      <c r="AX2105" t="s">
        <v>57</v>
      </c>
      <c r="AY2105" t="s">
        <v>386</v>
      </c>
      <c r="BF2105">
        <v>0</v>
      </c>
      <c r="BK2105" t="s">
        <v>31</v>
      </c>
      <c r="BS2105" t="s">
        <v>412</v>
      </c>
      <c r="CI2105" t="s">
        <v>388</v>
      </c>
      <c r="CJ2105" s="14">
        <v>45015</v>
      </c>
      <c r="CK2105">
        <v>1</v>
      </c>
    </row>
    <row r="2106" spans="1:89">
      <c r="A2106" t="s">
        <v>1844</v>
      </c>
      <c r="B2106" t="s">
        <v>374</v>
      </c>
      <c r="C2106" t="s">
        <v>1845</v>
      </c>
      <c r="D2106" t="s">
        <v>1846</v>
      </c>
      <c r="E2106" t="s">
        <v>1847</v>
      </c>
      <c r="F2106" s="13">
        <v>44638.759050925924</v>
      </c>
      <c r="G2106" t="s">
        <v>641</v>
      </c>
      <c r="H2106" t="s">
        <v>642</v>
      </c>
      <c r="I2106" s="13">
        <v>44638.759050925924</v>
      </c>
      <c r="K2106" t="s">
        <v>412</v>
      </c>
      <c r="M2106" s="13">
        <v>44526</v>
      </c>
      <c r="R2106">
        <v>0</v>
      </c>
      <c r="S2106" t="s">
        <v>380</v>
      </c>
      <c r="T2106" t="s">
        <v>57</v>
      </c>
      <c r="V2106" t="s">
        <v>381</v>
      </c>
      <c r="W2106" t="s">
        <v>1848</v>
      </c>
      <c r="X2106" t="s">
        <v>1848</v>
      </c>
      <c r="AC2106" s="13">
        <v>44526</v>
      </c>
      <c r="AD2106" s="13">
        <v>44526</v>
      </c>
      <c r="AI2106">
        <v>-112</v>
      </c>
      <c r="AN2106" t="s">
        <v>31</v>
      </c>
      <c r="AO2106">
        <v>0</v>
      </c>
      <c r="AS2106" t="s">
        <v>526</v>
      </c>
      <c r="AX2106" t="s">
        <v>57</v>
      </c>
      <c r="AY2106" t="s">
        <v>386</v>
      </c>
      <c r="BF2106">
        <v>0</v>
      </c>
      <c r="BK2106" t="s">
        <v>31</v>
      </c>
      <c r="BS2106" t="s">
        <v>412</v>
      </c>
      <c r="CI2106" t="s">
        <v>388</v>
      </c>
      <c r="CJ2106" s="14">
        <v>45015</v>
      </c>
      <c r="CK2106">
        <v>1</v>
      </c>
    </row>
    <row r="2107" spans="1:89">
      <c r="A2107" t="s">
        <v>1799</v>
      </c>
      <c r="B2107" t="s">
        <v>374</v>
      </c>
      <c r="C2107" t="s">
        <v>1800</v>
      </c>
      <c r="D2107" t="s">
        <v>1849</v>
      </c>
      <c r="E2107" t="s">
        <v>1850</v>
      </c>
      <c r="F2107" s="13">
        <v>44638.759050925924</v>
      </c>
      <c r="G2107" t="s">
        <v>641</v>
      </c>
      <c r="H2107" t="s">
        <v>642</v>
      </c>
      <c r="I2107" s="13">
        <v>44638.759050925924</v>
      </c>
      <c r="K2107" t="s">
        <v>412</v>
      </c>
      <c r="M2107" s="13">
        <v>44610</v>
      </c>
      <c r="R2107">
        <v>0</v>
      </c>
      <c r="S2107" t="s">
        <v>380</v>
      </c>
      <c r="T2107" t="s">
        <v>57</v>
      </c>
      <c r="V2107" t="s">
        <v>381</v>
      </c>
      <c r="W2107" t="s">
        <v>1851</v>
      </c>
      <c r="X2107" t="s">
        <v>1851</v>
      </c>
      <c r="AC2107" s="13">
        <v>44610</v>
      </c>
      <c r="AD2107" s="13">
        <v>44610</v>
      </c>
      <c r="AI2107">
        <v>-28</v>
      </c>
      <c r="AN2107" t="s">
        <v>31</v>
      </c>
      <c r="AO2107">
        <v>0</v>
      </c>
      <c r="AS2107" t="s">
        <v>385</v>
      </c>
      <c r="AX2107" t="s">
        <v>57</v>
      </c>
      <c r="AY2107" t="s">
        <v>386</v>
      </c>
      <c r="BF2107">
        <v>0</v>
      </c>
      <c r="BK2107" t="s">
        <v>31</v>
      </c>
      <c r="BS2107" t="s">
        <v>412</v>
      </c>
      <c r="CI2107" t="s">
        <v>388</v>
      </c>
      <c r="CJ2107" s="14">
        <v>45015</v>
      </c>
      <c r="CK2107">
        <v>1</v>
      </c>
    </row>
    <row r="2108" spans="1:89">
      <c r="A2108" t="s">
        <v>1705</v>
      </c>
      <c r="B2108" t="s">
        <v>374</v>
      </c>
      <c r="C2108" t="s">
        <v>1706</v>
      </c>
      <c r="D2108" t="s">
        <v>1852</v>
      </c>
      <c r="E2108" t="s">
        <v>1853</v>
      </c>
      <c r="F2108" s="13">
        <v>44638.759039351855</v>
      </c>
      <c r="G2108" t="s">
        <v>641</v>
      </c>
      <c r="H2108" t="s">
        <v>642</v>
      </c>
      <c r="I2108" s="13">
        <v>44638.759039351855</v>
      </c>
      <c r="K2108" t="s">
        <v>412</v>
      </c>
      <c r="M2108" s="13">
        <v>44530</v>
      </c>
      <c r="R2108">
        <v>0</v>
      </c>
      <c r="S2108" t="s">
        <v>380</v>
      </c>
      <c r="T2108" t="s">
        <v>57</v>
      </c>
      <c r="V2108" t="s">
        <v>381</v>
      </c>
      <c r="W2108" t="s">
        <v>1806</v>
      </c>
      <c r="X2108" t="s">
        <v>1806</v>
      </c>
      <c r="AC2108" s="13">
        <v>44530</v>
      </c>
      <c r="AD2108" s="13">
        <v>44530</v>
      </c>
      <c r="AI2108">
        <v>-108</v>
      </c>
      <c r="AN2108" t="s">
        <v>31</v>
      </c>
      <c r="AO2108">
        <v>0</v>
      </c>
      <c r="AS2108" t="s">
        <v>881</v>
      </c>
      <c r="AX2108" t="s">
        <v>57</v>
      </c>
      <c r="AY2108" t="s">
        <v>386</v>
      </c>
      <c r="BF2108">
        <v>0</v>
      </c>
      <c r="BK2108" t="s">
        <v>31</v>
      </c>
      <c r="BS2108" t="s">
        <v>412</v>
      </c>
      <c r="CI2108" t="s">
        <v>388</v>
      </c>
      <c r="CJ2108" s="14">
        <v>45015</v>
      </c>
      <c r="CK2108">
        <v>1</v>
      </c>
    </row>
    <row r="2109" spans="1:89">
      <c r="A2109" t="s">
        <v>1799</v>
      </c>
      <c r="B2109" t="s">
        <v>374</v>
      </c>
      <c r="C2109" t="s">
        <v>1800</v>
      </c>
      <c r="D2109" t="s">
        <v>1854</v>
      </c>
      <c r="E2109" t="s">
        <v>1855</v>
      </c>
      <c r="F2109" s="13">
        <v>44638.759039351855</v>
      </c>
      <c r="G2109" t="s">
        <v>641</v>
      </c>
      <c r="H2109" t="s">
        <v>642</v>
      </c>
      <c r="I2109" s="13">
        <v>44638.759039351855</v>
      </c>
      <c r="K2109" t="s">
        <v>412</v>
      </c>
      <c r="M2109" s="13">
        <v>44607</v>
      </c>
      <c r="R2109">
        <v>0</v>
      </c>
      <c r="S2109" t="s">
        <v>380</v>
      </c>
      <c r="T2109" t="s">
        <v>57</v>
      </c>
      <c r="V2109" t="s">
        <v>381</v>
      </c>
      <c r="W2109" t="s">
        <v>1709</v>
      </c>
      <c r="X2109" t="s">
        <v>1709</v>
      </c>
      <c r="AC2109" s="13">
        <v>44607</v>
      </c>
      <c r="AD2109" s="13">
        <v>44607</v>
      </c>
      <c r="AI2109">
        <v>-31</v>
      </c>
      <c r="AN2109" t="s">
        <v>31</v>
      </c>
      <c r="AO2109">
        <v>0</v>
      </c>
      <c r="AS2109" t="s">
        <v>385</v>
      </c>
      <c r="AX2109" t="s">
        <v>57</v>
      </c>
      <c r="AY2109" t="s">
        <v>386</v>
      </c>
      <c r="BF2109">
        <v>0</v>
      </c>
      <c r="BK2109" t="s">
        <v>31</v>
      </c>
      <c r="BS2109" t="s">
        <v>412</v>
      </c>
      <c r="CI2109" t="s">
        <v>388</v>
      </c>
      <c r="CJ2109" s="14">
        <v>45015</v>
      </c>
      <c r="CK2109">
        <v>1</v>
      </c>
    </row>
    <row r="2110" spans="1:89">
      <c r="A2110" t="s">
        <v>1710</v>
      </c>
      <c r="B2110" t="s">
        <v>374</v>
      </c>
      <c r="C2110" t="s">
        <v>392</v>
      </c>
      <c r="D2110" t="s">
        <v>1856</v>
      </c>
      <c r="E2110" t="s">
        <v>1857</v>
      </c>
      <c r="F2110" s="13">
        <v>44638.759027777778</v>
      </c>
      <c r="G2110" t="s">
        <v>641</v>
      </c>
      <c r="H2110" t="s">
        <v>642</v>
      </c>
      <c r="I2110" s="13">
        <v>44638.759027777778</v>
      </c>
      <c r="K2110" t="s">
        <v>412</v>
      </c>
      <c r="M2110" s="13">
        <v>44592</v>
      </c>
      <c r="R2110">
        <v>0</v>
      </c>
      <c r="S2110" t="s">
        <v>380</v>
      </c>
      <c r="T2110" t="s">
        <v>57</v>
      </c>
      <c r="V2110" t="s">
        <v>381</v>
      </c>
      <c r="W2110" t="s">
        <v>1806</v>
      </c>
      <c r="X2110" t="s">
        <v>1806</v>
      </c>
      <c r="AC2110" s="13">
        <v>44592</v>
      </c>
      <c r="AD2110" s="13">
        <v>44592</v>
      </c>
      <c r="AI2110">
        <v>-46</v>
      </c>
      <c r="AN2110" t="s">
        <v>31</v>
      </c>
      <c r="AO2110">
        <v>0</v>
      </c>
      <c r="AS2110" t="s">
        <v>538</v>
      </c>
      <c r="AX2110" t="s">
        <v>57</v>
      </c>
      <c r="AY2110" t="s">
        <v>442</v>
      </c>
      <c r="BF2110">
        <v>0</v>
      </c>
      <c r="BK2110" t="s">
        <v>31</v>
      </c>
      <c r="BS2110" t="s">
        <v>412</v>
      </c>
      <c r="CI2110" t="s">
        <v>388</v>
      </c>
      <c r="CJ2110" s="14">
        <v>45015</v>
      </c>
      <c r="CK2110">
        <v>1</v>
      </c>
    </row>
    <row r="2111" spans="1:89">
      <c r="A2111" t="s">
        <v>1858</v>
      </c>
      <c r="B2111" t="s">
        <v>374</v>
      </c>
      <c r="C2111" t="s">
        <v>1859</v>
      </c>
      <c r="D2111" t="s">
        <v>1860</v>
      </c>
      <c r="E2111" t="s">
        <v>1861</v>
      </c>
      <c r="F2111" s="13">
        <v>44638.759027777778</v>
      </c>
      <c r="G2111" t="s">
        <v>641</v>
      </c>
      <c r="H2111" t="s">
        <v>642</v>
      </c>
      <c r="I2111" s="13">
        <v>44638.759027777778</v>
      </c>
      <c r="K2111" t="s">
        <v>412</v>
      </c>
      <c r="M2111" s="13">
        <v>44592</v>
      </c>
      <c r="R2111">
        <v>0</v>
      </c>
      <c r="S2111" t="s">
        <v>416</v>
      </c>
      <c r="T2111" t="s">
        <v>57</v>
      </c>
      <c r="V2111" t="s">
        <v>381</v>
      </c>
      <c r="W2111" t="s">
        <v>1713</v>
      </c>
      <c r="X2111" t="s">
        <v>1713</v>
      </c>
      <c r="AC2111" s="13">
        <v>44592</v>
      </c>
      <c r="AD2111" s="13">
        <v>44592</v>
      </c>
      <c r="AI2111">
        <v>-46</v>
      </c>
      <c r="AN2111" t="s">
        <v>31</v>
      </c>
      <c r="AO2111">
        <v>0</v>
      </c>
      <c r="AS2111" t="s">
        <v>392</v>
      </c>
      <c r="AX2111" t="s">
        <v>57</v>
      </c>
      <c r="AY2111" t="s">
        <v>442</v>
      </c>
      <c r="BF2111">
        <v>0</v>
      </c>
      <c r="BK2111" t="s">
        <v>31</v>
      </c>
      <c r="BS2111" t="s">
        <v>412</v>
      </c>
      <c r="CI2111" t="s">
        <v>388</v>
      </c>
      <c r="CJ2111" s="14">
        <v>45015</v>
      </c>
      <c r="CK2111">
        <v>1</v>
      </c>
    </row>
    <row r="2112" spans="1:89">
      <c r="A2112" t="s">
        <v>1710</v>
      </c>
      <c r="B2112" t="s">
        <v>374</v>
      </c>
      <c r="C2112" t="s">
        <v>392</v>
      </c>
      <c r="D2112" t="s">
        <v>1862</v>
      </c>
      <c r="E2112" t="s">
        <v>1863</v>
      </c>
      <c r="F2112" s="13">
        <v>44638.759027777778</v>
      </c>
      <c r="G2112" t="s">
        <v>641</v>
      </c>
      <c r="H2112" t="s">
        <v>642</v>
      </c>
      <c r="I2112" s="13">
        <v>44638.759027777778</v>
      </c>
      <c r="K2112" t="s">
        <v>412</v>
      </c>
      <c r="M2112" s="13">
        <v>44530</v>
      </c>
      <c r="R2112">
        <v>0</v>
      </c>
      <c r="S2112" t="s">
        <v>380</v>
      </c>
      <c r="T2112" t="s">
        <v>57</v>
      </c>
      <c r="V2112" t="s">
        <v>381</v>
      </c>
      <c r="W2112" t="s">
        <v>1864</v>
      </c>
      <c r="X2112" t="s">
        <v>1864</v>
      </c>
      <c r="AC2112" s="13">
        <v>44530</v>
      </c>
      <c r="AD2112" s="13">
        <v>44530</v>
      </c>
      <c r="AI2112">
        <v>-108</v>
      </c>
      <c r="AN2112" t="s">
        <v>31</v>
      </c>
      <c r="AO2112">
        <v>0</v>
      </c>
      <c r="AS2112" t="s">
        <v>392</v>
      </c>
      <c r="AX2112" t="s">
        <v>57</v>
      </c>
      <c r="AY2112" t="s">
        <v>386</v>
      </c>
      <c r="BF2112">
        <v>0</v>
      </c>
      <c r="BK2112" t="s">
        <v>31</v>
      </c>
      <c r="BS2112" t="s">
        <v>412</v>
      </c>
      <c r="CI2112" t="s">
        <v>388</v>
      </c>
      <c r="CJ2112" s="14">
        <v>45015</v>
      </c>
      <c r="CK2112">
        <v>1</v>
      </c>
    </row>
    <row r="2113" spans="1:89">
      <c r="A2113" t="s">
        <v>1865</v>
      </c>
      <c r="B2113" t="s">
        <v>374</v>
      </c>
      <c r="C2113" t="s">
        <v>1866</v>
      </c>
      <c r="D2113" t="s">
        <v>1867</v>
      </c>
      <c r="E2113" t="s">
        <v>1868</v>
      </c>
      <c r="F2113" s="13">
        <v>44638.759016203701</v>
      </c>
      <c r="G2113" t="s">
        <v>641</v>
      </c>
      <c r="H2113" t="s">
        <v>642</v>
      </c>
      <c r="I2113" s="13">
        <v>44638.759016203701</v>
      </c>
      <c r="K2113" t="s">
        <v>412</v>
      </c>
      <c r="M2113" s="13">
        <v>44620</v>
      </c>
      <c r="R2113">
        <v>0</v>
      </c>
      <c r="S2113" t="s">
        <v>380</v>
      </c>
      <c r="T2113" t="s">
        <v>57</v>
      </c>
      <c r="V2113" t="s">
        <v>381</v>
      </c>
      <c r="W2113" t="s">
        <v>1762</v>
      </c>
      <c r="X2113" t="s">
        <v>1762</v>
      </c>
      <c r="AC2113" s="13">
        <v>44620</v>
      </c>
      <c r="AD2113" s="13">
        <v>44620</v>
      </c>
      <c r="AI2113">
        <v>-18</v>
      </c>
      <c r="AN2113" t="s">
        <v>31</v>
      </c>
      <c r="AO2113">
        <v>0</v>
      </c>
      <c r="AS2113" t="s">
        <v>702</v>
      </c>
      <c r="AX2113" t="s">
        <v>57</v>
      </c>
      <c r="AY2113" t="s">
        <v>386</v>
      </c>
      <c r="BF2113">
        <v>0</v>
      </c>
      <c r="BK2113" t="s">
        <v>31</v>
      </c>
      <c r="BS2113" t="s">
        <v>412</v>
      </c>
      <c r="CI2113" t="s">
        <v>388</v>
      </c>
      <c r="CJ2113" s="14">
        <v>45015</v>
      </c>
      <c r="CK2113">
        <v>1</v>
      </c>
    </row>
    <row r="2114" spans="1:89">
      <c r="A2114" t="s">
        <v>1865</v>
      </c>
      <c r="B2114" t="s">
        <v>374</v>
      </c>
      <c r="C2114" t="s">
        <v>1866</v>
      </c>
      <c r="D2114" t="s">
        <v>1869</v>
      </c>
      <c r="E2114" t="s">
        <v>1870</v>
      </c>
      <c r="F2114" s="13">
        <v>44638.759016203701</v>
      </c>
      <c r="G2114" t="s">
        <v>641</v>
      </c>
      <c r="H2114" t="s">
        <v>642</v>
      </c>
      <c r="I2114" s="13">
        <v>44638.759016203701</v>
      </c>
      <c r="K2114" t="s">
        <v>412</v>
      </c>
      <c r="M2114" s="13">
        <v>44742</v>
      </c>
      <c r="R2114">
        <v>0</v>
      </c>
      <c r="S2114" t="s">
        <v>380</v>
      </c>
      <c r="T2114" t="s">
        <v>57</v>
      </c>
      <c r="V2114" t="s">
        <v>381</v>
      </c>
      <c r="W2114" t="s">
        <v>1871</v>
      </c>
      <c r="X2114" t="s">
        <v>1871</v>
      </c>
      <c r="AC2114" s="13">
        <v>44742</v>
      </c>
      <c r="AD2114" s="13">
        <v>44742</v>
      </c>
      <c r="AI2114">
        <v>104</v>
      </c>
      <c r="AN2114" t="s">
        <v>31</v>
      </c>
      <c r="AO2114">
        <v>0</v>
      </c>
      <c r="AS2114" t="s">
        <v>702</v>
      </c>
      <c r="AX2114" t="s">
        <v>57</v>
      </c>
      <c r="AY2114" t="s">
        <v>386</v>
      </c>
      <c r="BF2114">
        <v>0</v>
      </c>
      <c r="BK2114" t="s">
        <v>31</v>
      </c>
      <c r="BS2114" t="s">
        <v>412</v>
      </c>
      <c r="CI2114" t="s">
        <v>388</v>
      </c>
      <c r="CJ2114" s="14">
        <v>45015</v>
      </c>
      <c r="CK2114">
        <v>1</v>
      </c>
    </row>
    <row r="2115" spans="1:89">
      <c r="A2115" t="s">
        <v>1872</v>
      </c>
      <c r="B2115" t="s">
        <v>374</v>
      </c>
      <c r="C2115" t="s">
        <v>1873</v>
      </c>
      <c r="D2115" t="s">
        <v>1874</v>
      </c>
      <c r="E2115" t="s">
        <v>1875</v>
      </c>
      <c r="F2115" s="13">
        <v>44638.759004629632</v>
      </c>
      <c r="G2115" t="s">
        <v>641</v>
      </c>
      <c r="H2115" t="s">
        <v>642</v>
      </c>
      <c r="I2115" s="13">
        <v>44638.759004629632</v>
      </c>
      <c r="K2115" t="s">
        <v>412</v>
      </c>
      <c r="M2115" s="13">
        <v>44635</v>
      </c>
      <c r="R2115">
        <v>0</v>
      </c>
      <c r="S2115" t="s">
        <v>380</v>
      </c>
      <c r="T2115" t="s">
        <v>57</v>
      </c>
      <c r="V2115" t="s">
        <v>381</v>
      </c>
      <c r="W2115" t="s">
        <v>1709</v>
      </c>
      <c r="X2115" t="s">
        <v>1709</v>
      </c>
      <c r="AC2115" s="13">
        <v>44635</v>
      </c>
      <c r="AD2115" s="13">
        <v>44635</v>
      </c>
      <c r="AI2115">
        <v>-3</v>
      </c>
      <c r="AN2115" t="s">
        <v>31</v>
      </c>
      <c r="AO2115">
        <v>0</v>
      </c>
      <c r="AS2115" t="s">
        <v>526</v>
      </c>
      <c r="AX2115" t="s">
        <v>57</v>
      </c>
      <c r="AY2115" t="s">
        <v>386</v>
      </c>
      <c r="BF2115">
        <v>0</v>
      </c>
      <c r="BK2115" t="s">
        <v>31</v>
      </c>
      <c r="BS2115" t="s">
        <v>412</v>
      </c>
      <c r="CI2115" t="s">
        <v>388</v>
      </c>
      <c r="CJ2115" s="14">
        <v>45015</v>
      </c>
      <c r="CK2115">
        <v>1</v>
      </c>
    </row>
    <row r="2116" spans="1:89">
      <c r="A2116" t="s">
        <v>1872</v>
      </c>
      <c r="B2116" t="s">
        <v>374</v>
      </c>
      <c r="C2116" t="s">
        <v>1873</v>
      </c>
      <c r="D2116" t="s">
        <v>1876</v>
      </c>
      <c r="E2116" t="s">
        <v>1877</v>
      </c>
      <c r="F2116" s="13">
        <v>44638.759004629632</v>
      </c>
      <c r="G2116" t="s">
        <v>641</v>
      </c>
      <c r="H2116" t="s">
        <v>642</v>
      </c>
      <c r="I2116" s="13">
        <v>44638.759004629632</v>
      </c>
      <c r="K2116" t="s">
        <v>412</v>
      </c>
      <c r="M2116" s="13">
        <v>44500</v>
      </c>
      <c r="R2116">
        <v>0</v>
      </c>
      <c r="S2116" t="s">
        <v>380</v>
      </c>
      <c r="T2116" t="s">
        <v>57</v>
      </c>
      <c r="V2116" t="s">
        <v>381</v>
      </c>
      <c r="W2116" t="s">
        <v>1762</v>
      </c>
      <c r="X2116" t="s">
        <v>1762</v>
      </c>
      <c r="AC2116" s="13">
        <v>44500</v>
      </c>
      <c r="AD2116" s="13">
        <v>44500</v>
      </c>
      <c r="AI2116">
        <v>-138</v>
      </c>
      <c r="AN2116" t="s">
        <v>31</v>
      </c>
      <c r="AO2116">
        <v>0</v>
      </c>
      <c r="AS2116" t="s">
        <v>392</v>
      </c>
      <c r="AX2116" t="s">
        <v>57</v>
      </c>
      <c r="AY2116" t="s">
        <v>386</v>
      </c>
      <c r="BF2116">
        <v>0</v>
      </c>
      <c r="BK2116" t="s">
        <v>31</v>
      </c>
      <c r="BS2116" t="s">
        <v>412</v>
      </c>
      <c r="CI2116" t="s">
        <v>388</v>
      </c>
      <c r="CJ2116" s="14">
        <v>45015</v>
      </c>
      <c r="CK2116">
        <v>1</v>
      </c>
    </row>
    <row r="2117" spans="1:89">
      <c r="A2117" t="s">
        <v>1872</v>
      </c>
      <c r="B2117" t="s">
        <v>374</v>
      </c>
      <c r="C2117" t="s">
        <v>1873</v>
      </c>
      <c r="D2117" t="s">
        <v>1878</v>
      </c>
      <c r="E2117" t="s">
        <v>1879</v>
      </c>
      <c r="F2117" s="13">
        <v>44638.758993055555</v>
      </c>
      <c r="G2117" t="s">
        <v>641</v>
      </c>
      <c r="H2117" t="s">
        <v>642</v>
      </c>
      <c r="I2117" s="13">
        <v>44638.758993055555</v>
      </c>
      <c r="K2117" t="s">
        <v>412</v>
      </c>
      <c r="M2117" s="13">
        <v>44635</v>
      </c>
      <c r="R2117">
        <v>0</v>
      </c>
      <c r="S2117" t="s">
        <v>380</v>
      </c>
      <c r="T2117" t="s">
        <v>57</v>
      </c>
      <c r="V2117" t="s">
        <v>381</v>
      </c>
      <c r="W2117" t="s">
        <v>1762</v>
      </c>
      <c r="X2117" t="s">
        <v>1762</v>
      </c>
      <c r="AC2117" s="13">
        <v>44635</v>
      </c>
      <c r="AD2117" s="13">
        <v>44635</v>
      </c>
      <c r="AI2117">
        <v>-3</v>
      </c>
      <c r="AN2117" t="s">
        <v>31</v>
      </c>
      <c r="AO2117">
        <v>0</v>
      </c>
      <c r="AS2117" t="s">
        <v>881</v>
      </c>
      <c r="AX2117" t="s">
        <v>57</v>
      </c>
      <c r="AY2117" t="s">
        <v>386</v>
      </c>
      <c r="BF2117">
        <v>0</v>
      </c>
      <c r="BK2117" t="s">
        <v>31</v>
      </c>
      <c r="BS2117" t="s">
        <v>412</v>
      </c>
      <c r="CI2117" t="s">
        <v>388</v>
      </c>
      <c r="CJ2117" s="14">
        <v>45015</v>
      </c>
      <c r="CK2117">
        <v>1</v>
      </c>
    </row>
    <row r="2118" spans="1:89">
      <c r="A2118" t="s">
        <v>1872</v>
      </c>
      <c r="B2118" t="s">
        <v>374</v>
      </c>
      <c r="C2118" t="s">
        <v>1873</v>
      </c>
      <c r="D2118" t="s">
        <v>1880</v>
      </c>
      <c r="E2118" t="s">
        <v>1881</v>
      </c>
      <c r="F2118" s="13">
        <v>44638.758993055555</v>
      </c>
      <c r="G2118" t="s">
        <v>641</v>
      </c>
      <c r="H2118" t="s">
        <v>642</v>
      </c>
      <c r="I2118" s="13">
        <v>44638.758993055555</v>
      </c>
      <c r="K2118" t="s">
        <v>412</v>
      </c>
      <c r="M2118" s="13">
        <v>44635</v>
      </c>
      <c r="R2118">
        <v>0</v>
      </c>
      <c r="S2118" t="s">
        <v>380</v>
      </c>
      <c r="T2118" t="s">
        <v>57</v>
      </c>
      <c r="V2118" t="s">
        <v>381</v>
      </c>
      <c r="W2118" t="s">
        <v>1709</v>
      </c>
      <c r="X2118" t="s">
        <v>1709</v>
      </c>
      <c r="AC2118" s="13">
        <v>44635</v>
      </c>
      <c r="AD2118" s="13">
        <v>44635</v>
      </c>
      <c r="AI2118">
        <v>-3</v>
      </c>
      <c r="AN2118" t="s">
        <v>31</v>
      </c>
      <c r="AO2118">
        <v>0</v>
      </c>
      <c r="AS2118" t="s">
        <v>744</v>
      </c>
      <c r="AX2118" t="s">
        <v>57</v>
      </c>
      <c r="AY2118" t="s">
        <v>386</v>
      </c>
      <c r="BF2118">
        <v>0</v>
      </c>
      <c r="BK2118" t="s">
        <v>31</v>
      </c>
      <c r="BS2118" t="s">
        <v>412</v>
      </c>
      <c r="CI2118" t="s">
        <v>388</v>
      </c>
      <c r="CJ2118" s="14">
        <v>45015</v>
      </c>
      <c r="CK2118">
        <v>1</v>
      </c>
    </row>
    <row r="2119" spans="1:89">
      <c r="A2119" t="s">
        <v>1858</v>
      </c>
      <c r="B2119" t="s">
        <v>374</v>
      </c>
      <c r="C2119" t="s">
        <v>1859</v>
      </c>
      <c r="D2119" t="s">
        <v>1882</v>
      </c>
      <c r="E2119" t="s">
        <v>1883</v>
      </c>
      <c r="F2119" s="13">
        <v>44638.758981481478</v>
      </c>
      <c r="G2119" t="s">
        <v>641</v>
      </c>
      <c r="H2119" t="s">
        <v>642</v>
      </c>
      <c r="I2119" s="13">
        <v>44638.758981481478</v>
      </c>
      <c r="K2119" t="s">
        <v>412</v>
      </c>
      <c r="M2119" s="13">
        <v>44635</v>
      </c>
      <c r="R2119">
        <v>0</v>
      </c>
      <c r="S2119" t="s">
        <v>380</v>
      </c>
      <c r="T2119" t="s">
        <v>57</v>
      </c>
      <c r="V2119" t="s">
        <v>381</v>
      </c>
      <c r="W2119" t="s">
        <v>1762</v>
      </c>
      <c r="X2119" t="s">
        <v>1762</v>
      </c>
      <c r="AC2119" s="13">
        <v>44635</v>
      </c>
      <c r="AD2119" s="13">
        <v>44635</v>
      </c>
      <c r="AI2119">
        <v>-3</v>
      </c>
      <c r="AN2119" t="s">
        <v>31</v>
      </c>
      <c r="AO2119">
        <v>0</v>
      </c>
      <c r="AS2119" t="s">
        <v>526</v>
      </c>
      <c r="AX2119" t="s">
        <v>57</v>
      </c>
      <c r="AY2119" t="s">
        <v>386</v>
      </c>
      <c r="BF2119">
        <v>0</v>
      </c>
      <c r="BK2119" t="s">
        <v>31</v>
      </c>
      <c r="BS2119" t="s">
        <v>412</v>
      </c>
      <c r="CI2119" t="s">
        <v>388</v>
      </c>
      <c r="CJ2119" s="14">
        <v>45015</v>
      </c>
      <c r="CK2119">
        <v>1</v>
      </c>
    </row>
    <row r="2120" spans="1:89">
      <c r="A2120" t="s">
        <v>1716</v>
      </c>
      <c r="B2120" t="s">
        <v>374</v>
      </c>
      <c r="C2120" t="s">
        <v>966</v>
      </c>
      <c r="D2120" t="s">
        <v>1884</v>
      </c>
      <c r="E2120" t="s">
        <v>1885</v>
      </c>
      <c r="F2120" s="13">
        <v>44638.758981481478</v>
      </c>
      <c r="G2120" t="s">
        <v>641</v>
      </c>
      <c r="H2120" t="s">
        <v>642</v>
      </c>
      <c r="I2120" s="13">
        <v>44638.758981481478</v>
      </c>
      <c r="K2120" t="s">
        <v>412</v>
      </c>
      <c r="M2120" s="13">
        <v>44602</v>
      </c>
      <c r="R2120">
        <v>0</v>
      </c>
      <c r="S2120" t="s">
        <v>380</v>
      </c>
      <c r="T2120" t="s">
        <v>57</v>
      </c>
      <c r="V2120" t="s">
        <v>381</v>
      </c>
      <c r="W2120" t="s">
        <v>1886</v>
      </c>
      <c r="X2120" t="s">
        <v>1886</v>
      </c>
      <c r="AC2120" s="13">
        <v>44602</v>
      </c>
      <c r="AD2120" s="13">
        <v>44602</v>
      </c>
      <c r="AI2120">
        <v>-36</v>
      </c>
      <c r="AN2120" t="s">
        <v>31</v>
      </c>
      <c r="AO2120">
        <v>0</v>
      </c>
      <c r="AS2120" t="s">
        <v>538</v>
      </c>
      <c r="AX2120" t="s">
        <v>57</v>
      </c>
      <c r="AY2120" t="s">
        <v>386</v>
      </c>
      <c r="BF2120">
        <v>0</v>
      </c>
      <c r="BK2120" t="s">
        <v>31</v>
      </c>
      <c r="BS2120" t="s">
        <v>412</v>
      </c>
      <c r="CI2120" t="s">
        <v>388</v>
      </c>
      <c r="CJ2120" s="14">
        <v>45015</v>
      </c>
      <c r="CK2120">
        <v>1</v>
      </c>
    </row>
    <row r="2121" spans="1:89">
      <c r="A2121" t="s">
        <v>1710</v>
      </c>
      <c r="B2121" t="s">
        <v>374</v>
      </c>
      <c r="C2121" t="s">
        <v>392</v>
      </c>
      <c r="D2121" t="s">
        <v>1887</v>
      </c>
      <c r="E2121" t="s">
        <v>1888</v>
      </c>
      <c r="F2121" s="13">
        <v>44638.758969907409</v>
      </c>
      <c r="G2121" t="s">
        <v>641</v>
      </c>
      <c r="H2121" t="s">
        <v>642</v>
      </c>
      <c r="I2121" s="13">
        <v>44638.758969907409</v>
      </c>
      <c r="K2121" t="s">
        <v>412</v>
      </c>
      <c r="M2121" s="13">
        <v>44574</v>
      </c>
      <c r="R2121">
        <v>0</v>
      </c>
      <c r="S2121" t="s">
        <v>380</v>
      </c>
      <c r="T2121" t="s">
        <v>57</v>
      </c>
      <c r="V2121" t="s">
        <v>381</v>
      </c>
      <c r="W2121" t="s">
        <v>1713</v>
      </c>
      <c r="X2121" t="s">
        <v>1713</v>
      </c>
      <c r="AC2121" s="13">
        <v>44574</v>
      </c>
      <c r="AD2121" s="13">
        <v>44574</v>
      </c>
      <c r="AI2121">
        <v>-64</v>
      </c>
      <c r="AN2121" t="s">
        <v>31</v>
      </c>
      <c r="AO2121">
        <v>0</v>
      </c>
      <c r="AS2121" t="s">
        <v>461</v>
      </c>
      <c r="AX2121" t="s">
        <v>57</v>
      </c>
      <c r="AY2121" t="s">
        <v>386</v>
      </c>
      <c r="BF2121">
        <v>0</v>
      </c>
      <c r="BK2121" t="s">
        <v>31</v>
      </c>
      <c r="BS2121" t="s">
        <v>412</v>
      </c>
      <c r="CI2121" t="s">
        <v>388</v>
      </c>
      <c r="CJ2121" s="14">
        <v>45015</v>
      </c>
      <c r="CK2121">
        <v>1</v>
      </c>
    </row>
    <row r="2122" spans="1:89">
      <c r="A2122" t="s">
        <v>1710</v>
      </c>
      <c r="B2122" t="s">
        <v>374</v>
      </c>
      <c r="C2122" t="s">
        <v>392</v>
      </c>
      <c r="D2122" t="s">
        <v>1889</v>
      </c>
      <c r="E2122" t="s">
        <v>1890</v>
      </c>
      <c r="F2122" s="13">
        <v>44638.758969907409</v>
      </c>
      <c r="G2122" t="s">
        <v>641</v>
      </c>
      <c r="H2122" t="s">
        <v>642</v>
      </c>
      <c r="I2122" s="13">
        <v>44638.758969907409</v>
      </c>
      <c r="K2122" t="s">
        <v>412</v>
      </c>
      <c r="M2122" s="13">
        <v>44574</v>
      </c>
      <c r="R2122">
        <v>0</v>
      </c>
      <c r="S2122" t="s">
        <v>380</v>
      </c>
      <c r="T2122" t="s">
        <v>57</v>
      </c>
      <c r="V2122" t="s">
        <v>381</v>
      </c>
      <c r="W2122" t="s">
        <v>1719</v>
      </c>
      <c r="X2122" t="s">
        <v>1719</v>
      </c>
      <c r="AC2122" s="13">
        <v>44574</v>
      </c>
      <c r="AD2122" s="13">
        <v>44574</v>
      </c>
      <c r="AI2122">
        <v>-64</v>
      </c>
      <c r="AN2122" t="s">
        <v>31</v>
      </c>
      <c r="AO2122">
        <v>0</v>
      </c>
      <c r="AS2122" t="s">
        <v>392</v>
      </c>
      <c r="AX2122" t="s">
        <v>57</v>
      </c>
      <c r="AY2122" t="s">
        <v>386</v>
      </c>
      <c r="BF2122">
        <v>0</v>
      </c>
      <c r="BK2122" t="s">
        <v>31</v>
      </c>
      <c r="BS2122" t="s">
        <v>412</v>
      </c>
      <c r="CI2122" t="s">
        <v>388</v>
      </c>
      <c r="CJ2122" s="14">
        <v>45015</v>
      </c>
      <c r="CK2122">
        <v>1</v>
      </c>
    </row>
    <row r="2123" spans="1:89">
      <c r="A2123" t="s">
        <v>1891</v>
      </c>
      <c r="B2123" t="s">
        <v>374</v>
      </c>
      <c r="C2123" t="s">
        <v>1892</v>
      </c>
      <c r="D2123" t="s">
        <v>1893</v>
      </c>
      <c r="E2123" t="s">
        <v>1894</v>
      </c>
      <c r="F2123" s="13">
        <v>44638.758958333332</v>
      </c>
      <c r="G2123" t="s">
        <v>641</v>
      </c>
      <c r="H2123" t="s">
        <v>642</v>
      </c>
      <c r="I2123" s="13">
        <v>44638.758958333332</v>
      </c>
      <c r="K2123" t="s">
        <v>412</v>
      </c>
      <c r="M2123" s="13">
        <v>44552</v>
      </c>
      <c r="R2123">
        <v>0</v>
      </c>
      <c r="S2123" t="s">
        <v>380</v>
      </c>
      <c r="T2123" t="s">
        <v>57</v>
      </c>
      <c r="V2123" t="s">
        <v>381</v>
      </c>
      <c r="W2123" t="s">
        <v>1895</v>
      </c>
      <c r="X2123" t="s">
        <v>1895</v>
      </c>
      <c r="AC2123" s="13">
        <v>44552</v>
      </c>
      <c r="AD2123" s="13">
        <v>44552</v>
      </c>
      <c r="AI2123">
        <v>-86</v>
      </c>
      <c r="AN2123" t="s">
        <v>31</v>
      </c>
      <c r="AO2123">
        <v>0</v>
      </c>
      <c r="AS2123" t="s">
        <v>392</v>
      </c>
      <c r="AX2123" t="s">
        <v>57</v>
      </c>
      <c r="AY2123" t="s">
        <v>386</v>
      </c>
      <c r="BF2123">
        <v>0</v>
      </c>
      <c r="BK2123" t="s">
        <v>31</v>
      </c>
      <c r="BS2123" t="s">
        <v>412</v>
      </c>
      <c r="CI2123" t="s">
        <v>388</v>
      </c>
      <c r="CJ2123" s="14">
        <v>45015</v>
      </c>
      <c r="CK2123">
        <v>1</v>
      </c>
    </row>
    <row r="2124" spans="1:89">
      <c r="A2124" t="s">
        <v>1891</v>
      </c>
      <c r="B2124" t="s">
        <v>374</v>
      </c>
      <c r="C2124" t="s">
        <v>1892</v>
      </c>
      <c r="D2124" t="s">
        <v>1896</v>
      </c>
      <c r="E2124" t="s">
        <v>1897</v>
      </c>
      <c r="F2124" s="13">
        <v>44638.758958333332</v>
      </c>
      <c r="G2124" t="s">
        <v>641</v>
      </c>
      <c r="H2124" t="s">
        <v>642</v>
      </c>
      <c r="I2124" s="13">
        <v>44638.758958333332</v>
      </c>
      <c r="K2124" t="s">
        <v>412</v>
      </c>
      <c r="M2124" s="13">
        <v>44568</v>
      </c>
      <c r="R2124">
        <v>0</v>
      </c>
      <c r="S2124" t="s">
        <v>380</v>
      </c>
      <c r="T2124" t="s">
        <v>57</v>
      </c>
      <c r="V2124" t="s">
        <v>381</v>
      </c>
      <c r="W2124" t="s">
        <v>1713</v>
      </c>
      <c r="X2124" t="s">
        <v>1713</v>
      </c>
      <c r="AC2124" s="13">
        <v>44568</v>
      </c>
      <c r="AD2124" s="13">
        <v>44568</v>
      </c>
      <c r="AI2124">
        <v>-70</v>
      </c>
      <c r="AN2124" t="s">
        <v>31</v>
      </c>
      <c r="AO2124">
        <v>0</v>
      </c>
      <c r="AS2124" t="s">
        <v>392</v>
      </c>
      <c r="AX2124" t="s">
        <v>57</v>
      </c>
      <c r="AY2124" t="s">
        <v>386</v>
      </c>
      <c r="BF2124">
        <v>0</v>
      </c>
      <c r="BK2124" t="s">
        <v>31</v>
      </c>
      <c r="BS2124" t="s">
        <v>412</v>
      </c>
      <c r="CI2124" t="s">
        <v>388</v>
      </c>
      <c r="CJ2124" s="14">
        <v>45015</v>
      </c>
      <c r="CK2124">
        <v>1</v>
      </c>
    </row>
    <row r="2125" spans="1:89">
      <c r="A2125" t="s">
        <v>1898</v>
      </c>
      <c r="B2125" t="s">
        <v>374</v>
      </c>
      <c r="C2125" t="s">
        <v>1236</v>
      </c>
      <c r="D2125" t="s">
        <v>1899</v>
      </c>
      <c r="E2125" t="s">
        <v>1900</v>
      </c>
      <c r="F2125" s="13">
        <v>44638.758958333332</v>
      </c>
      <c r="G2125" t="s">
        <v>641</v>
      </c>
      <c r="H2125" t="s">
        <v>642</v>
      </c>
      <c r="I2125" s="13">
        <v>44638.758958333332</v>
      </c>
      <c r="K2125" t="s">
        <v>412</v>
      </c>
      <c r="M2125" s="13">
        <v>44574</v>
      </c>
      <c r="R2125">
        <v>0</v>
      </c>
      <c r="S2125" t="s">
        <v>380</v>
      </c>
      <c r="T2125" t="s">
        <v>57</v>
      </c>
      <c r="V2125" t="s">
        <v>381</v>
      </c>
      <c r="W2125" t="s">
        <v>1713</v>
      </c>
      <c r="X2125" t="s">
        <v>1713</v>
      </c>
      <c r="AC2125" s="13">
        <v>44574</v>
      </c>
      <c r="AD2125" s="13">
        <v>44574</v>
      </c>
      <c r="AI2125">
        <v>-64</v>
      </c>
      <c r="AN2125" t="s">
        <v>31</v>
      </c>
      <c r="AO2125">
        <v>0</v>
      </c>
      <c r="AS2125" t="s">
        <v>392</v>
      </c>
      <c r="AX2125" t="s">
        <v>57</v>
      </c>
      <c r="AY2125" t="s">
        <v>386</v>
      </c>
      <c r="BF2125">
        <v>0</v>
      </c>
      <c r="BK2125" t="s">
        <v>31</v>
      </c>
      <c r="BS2125" t="s">
        <v>412</v>
      </c>
      <c r="CI2125" t="s">
        <v>388</v>
      </c>
      <c r="CJ2125" s="14">
        <v>45015</v>
      </c>
      <c r="CK2125">
        <v>1</v>
      </c>
    </row>
    <row r="2126" spans="1:89">
      <c r="A2126" t="s">
        <v>1710</v>
      </c>
      <c r="B2126" t="s">
        <v>374</v>
      </c>
      <c r="C2126" t="s">
        <v>392</v>
      </c>
      <c r="D2126" t="s">
        <v>1901</v>
      </c>
      <c r="E2126" t="s">
        <v>1902</v>
      </c>
      <c r="F2126" s="13">
        <v>44638.758946759262</v>
      </c>
      <c r="G2126" t="s">
        <v>641</v>
      </c>
      <c r="H2126" t="s">
        <v>642</v>
      </c>
      <c r="I2126" s="13">
        <v>44638.758946759262</v>
      </c>
      <c r="K2126" t="s">
        <v>412</v>
      </c>
      <c r="M2126" s="13">
        <v>44552</v>
      </c>
      <c r="R2126">
        <v>0</v>
      </c>
      <c r="S2126" t="s">
        <v>380</v>
      </c>
      <c r="T2126" t="s">
        <v>57</v>
      </c>
      <c r="V2126" t="s">
        <v>381</v>
      </c>
      <c r="W2126" t="s">
        <v>1762</v>
      </c>
      <c r="X2126" t="s">
        <v>1762</v>
      </c>
      <c r="AC2126" s="13">
        <v>44552</v>
      </c>
      <c r="AD2126" s="13">
        <v>44552</v>
      </c>
      <c r="AI2126">
        <v>-86</v>
      </c>
      <c r="AN2126" t="s">
        <v>31</v>
      </c>
      <c r="AO2126">
        <v>0</v>
      </c>
      <c r="AS2126" t="s">
        <v>702</v>
      </c>
      <c r="AX2126" t="s">
        <v>57</v>
      </c>
      <c r="AY2126" t="s">
        <v>386</v>
      </c>
      <c r="BF2126">
        <v>0</v>
      </c>
      <c r="BK2126" t="s">
        <v>31</v>
      </c>
      <c r="BS2126" t="s">
        <v>412</v>
      </c>
      <c r="CI2126" t="s">
        <v>388</v>
      </c>
      <c r="CJ2126" s="14">
        <v>45015</v>
      </c>
      <c r="CK2126">
        <v>1</v>
      </c>
    </row>
    <row r="2127" spans="1:89">
      <c r="A2127" t="s">
        <v>1710</v>
      </c>
      <c r="B2127" t="s">
        <v>374</v>
      </c>
      <c r="C2127" t="s">
        <v>392</v>
      </c>
      <c r="D2127" t="s">
        <v>1903</v>
      </c>
      <c r="E2127" t="s">
        <v>1904</v>
      </c>
      <c r="F2127" s="13">
        <v>44638.758946759262</v>
      </c>
      <c r="G2127" t="s">
        <v>641</v>
      </c>
      <c r="H2127" t="s">
        <v>642</v>
      </c>
      <c r="I2127" s="13">
        <v>44638.758946759262</v>
      </c>
      <c r="K2127" t="s">
        <v>412</v>
      </c>
      <c r="M2127" s="13">
        <v>44552</v>
      </c>
      <c r="R2127">
        <v>0</v>
      </c>
      <c r="S2127" t="s">
        <v>380</v>
      </c>
      <c r="T2127" t="s">
        <v>57</v>
      </c>
      <c r="V2127" t="s">
        <v>381</v>
      </c>
      <c r="W2127" t="s">
        <v>1762</v>
      </c>
      <c r="X2127" t="s">
        <v>1762</v>
      </c>
      <c r="AC2127" s="13">
        <v>44552</v>
      </c>
      <c r="AD2127" s="13">
        <v>44552</v>
      </c>
      <c r="AI2127">
        <v>-86</v>
      </c>
      <c r="AN2127" t="s">
        <v>31</v>
      </c>
      <c r="AO2127">
        <v>0</v>
      </c>
      <c r="AS2127" t="s">
        <v>648</v>
      </c>
      <c r="AX2127" t="s">
        <v>57</v>
      </c>
      <c r="AY2127" t="s">
        <v>386</v>
      </c>
      <c r="BF2127">
        <v>0</v>
      </c>
      <c r="BK2127" t="s">
        <v>31</v>
      </c>
      <c r="BS2127" t="s">
        <v>412</v>
      </c>
      <c r="CI2127" t="s">
        <v>388</v>
      </c>
      <c r="CJ2127" s="14">
        <v>45015</v>
      </c>
      <c r="CK2127">
        <v>1</v>
      </c>
    </row>
    <row r="2128" spans="1:89">
      <c r="A2128" t="s">
        <v>1831</v>
      </c>
      <c r="B2128" t="s">
        <v>374</v>
      </c>
      <c r="C2128" t="s">
        <v>1832</v>
      </c>
      <c r="D2128" t="s">
        <v>1905</v>
      </c>
      <c r="E2128" t="s">
        <v>1906</v>
      </c>
      <c r="F2128" s="13">
        <v>44638.758935185186</v>
      </c>
      <c r="G2128" t="s">
        <v>641</v>
      </c>
      <c r="H2128" t="s">
        <v>642</v>
      </c>
      <c r="I2128" s="13">
        <v>44638.758935185186</v>
      </c>
      <c r="K2128" t="s">
        <v>412</v>
      </c>
      <c r="M2128" s="13">
        <v>44545</v>
      </c>
      <c r="R2128">
        <v>0</v>
      </c>
      <c r="S2128" t="s">
        <v>380</v>
      </c>
      <c r="T2128" t="s">
        <v>57</v>
      </c>
      <c r="V2128" t="s">
        <v>381</v>
      </c>
      <c r="W2128" t="s">
        <v>1713</v>
      </c>
      <c r="X2128" t="s">
        <v>1713</v>
      </c>
      <c r="AC2128" s="13">
        <v>44545</v>
      </c>
      <c r="AD2128" s="13">
        <v>44545</v>
      </c>
      <c r="AI2128">
        <v>-93</v>
      </c>
      <c r="AN2128" t="s">
        <v>31</v>
      </c>
      <c r="AO2128">
        <v>0</v>
      </c>
      <c r="AS2128" t="s">
        <v>881</v>
      </c>
      <c r="AX2128" t="s">
        <v>57</v>
      </c>
      <c r="AY2128" t="s">
        <v>386</v>
      </c>
      <c r="BF2128">
        <v>0</v>
      </c>
      <c r="BK2128" t="s">
        <v>31</v>
      </c>
      <c r="BS2128" t="s">
        <v>412</v>
      </c>
      <c r="CI2128" t="s">
        <v>388</v>
      </c>
      <c r="CJ2128" s="14">
        <v>45015</v>
      </c>
      <c r="CK2128">
        <v>1</v>
      </c>
    </row>
    <row r="2129" spans="1:89">
      <c r="A2129" t="s">
        <v>1907</v>
      </c>
      <c r="B2129" t="s">
        <v>374</v>
      </c>
      <c r="C2129" t="s">
        <v>607</v>
      </c>
      <c r="D2129" t="s">
        <v>1908</v>
      </c>
      <c r="E2129" t="s">
        <v>1909</v>
      </c>
      <c r="F2129" s="13">
        <v>44638.758935185186</v>
      </c>
      <c r="G2129" t="s">
        <v>641</v>
      </c>
      <c r="H2129" t="s">
        <v>642</v>
      </c>
      <c r="I2129" s="13">
        <v>44638.758935185186</v>
      </c>
      <c r="K2129" t="s">
        <v>412</v>
      </c>
      <c r="M2129" s="13">
        <v>44591</v>
      </c>
      <c r="R2129">
        <v>0</v>
      </c>
      <c r="S2129" t="s">
        <v>380</v>
      </c>
      <c r="T2129" t="s">
        <v>57</v>
      </c>
      <c r="V2129" t="s">
        <v>381</v>
      </c>
      <c r="W2129" t="s">
        <v>1713</v>
      </c>
      <c r="X2129" t="s">
        <v>1713</v>
      </c>
      <c r="AC2129" s="13">
        <v>44591</v>
      </c>
      <c r="AD2129" s="13">
        <v>44591</v>
      </c>
      <c r="AI2129">
        <v>-47</v>
      </c>
      <c r="AN2129" t="s">
        <v>31</v>
      </c>
      <c r="AO2129">
        <v>0</v>
      </c>
      <c r="AS2129" t="s">
        <v>881</v>
      </c>
      <c r="AX2129" t="s">
        <v>57</v>
      </c>
      <c r="AY2129" t="s">
        <v>386</v>
      </c>
      <c r="BF2129">
        <v>0</v>
      </c>
      <c r="BK2129" t="s">
        <v>31</v>
      </c>
      <c r="BS2129" t="s">
        <v>412</v>
      </c>
      <c r="CI2129" t="s">
        <v>388</v>
      </c>
      <c r="CJ2129" s="14">
        <v>45015</v>
      </c>
      <c r="CK2129">
        <v>1</v>
      </c>
    </row>
    <row r="2130" spans="1:89">
      <c r="A2130" t="s">
        <v>1907</v>
      </c>
      <c r="B2130" t="s">
        <v>374</v>
      </c>
      <c r="C2130" t="s">
        <v>607</v>
      </c>
      <c r="D2130" t="s">
        <v>1910</v>
      </c>
      <c r="E2130" t="s">
        <v>1911</v>
      </c>
      <c r="F2130" s="13">
        <v>44638.758923611109</v>
      </c>
      <c r="G2130" t="s">
        <v>641</v>
      </c>
      <c r="H2130" t="s">
        <v>642</v>
      </c>
      <c r="I2130" s="13">
        <v>44638.758923611109</v>
      </c>
      <c r="K2130" t="s">
        <v>412</v>
      </c>
      <c r="M2130" s="13">
        <v>44538</v>
      </c>
      <c r="R2130">
        <v>0</v>
      </c>
      <c r="S2130" t="s">
        <v>380</v>
      </c>
      <c r="T2130" t="s">
        <v>57</v>
      </c>
      <c r="V2130" t="s">
        <v>381</v>
      </c>
      <c r="W2130" t="s">
        <v>1912</v>
      </c>
      <c r="X2130" t="s">
        <v>1912</v>
      </c>
      <c r="AC2130" s="13">
        <v>44538</v>
      </c>
      <c r="AD2130" s="13">
        <v>44538</v>
      </c>
      <c r="AI2130">
        <v>-100</v>
      </c>
      <c r="AN2130" t="s">
        <v>31</v>
      </c>
      <c r="AO2130">
        <v>0</v>
      </c>
      <c r="AS2130" t="s">
        <v>1720</v>
      </c>
      <c r="AX2130" t="s">
        <v>57</v>
      </c>
      <c r="AY2130" t="s">
        <v>386</v>
      </c>
      <c r="BF2130">
        <v>0</v>
      </c>
      <c r="BK2130" t="s">
        <v>31</v>
      </c>
      <c r="BS2130" t="s">
        <v>412</v>
      </c>
      <c r="CI2130" t="s">
        <v>388</v>
      </c>
      <c r="CJ2130" s="14">
        <v>45015</v>
      </c>
      <c r="CK2130">
        <v>1</v>
      </c>
    </row>
    <row r="2131" spans="1:89">
      <c r="A2131" t="s">
        <v>1907</v>
      </c>
      <c r="B2131" t="s">
        <v>374</v>
      </c>
      <c r="C2131" t="s">
        <v>607</v>
      </c>
      <c r="D2131" t="s">
        <v>1913</v>
      </c>
      <c r="E2131" t="s">
        <v>1914</v>
      </c>
      <c r="F2131" s="13">
        <v>44638.758923611109</v>
      </c>
      <c r="G2131" t="s">
        <v>641</v>
      </c>
      <c r="H2131" t="s">
        <v>642</v>
      </c>
      <c r="I2131" s="13">
        <v>44638.758923611109</v>
      </c>
      <c r="K2131" t="s">
        <v>412</v>
      </c>
      <c r="M2131" s="13">
        <v>44538</v>
      </c>
      <c r="R2131">
        <v>0</v>
      </c>
      <c r="S2131" t="s">
        <v>380</v>
      </c>
      <c r="T2131" t="s">
        <v>57</v>
      </c>
      <c r="V2131" t="s">
        <v>381</v>
      </c>
      <c r="W2131" t="s">
        <v>1915</v>
      </c>
      <c r="X2131" t="s">
        <v>1915</v>
      </c>
      <c r="AC2131" s="13">
        <v>44538</v>
      </c>
      <c r="AD2131" s="13">
        <v>44538</v>
      </c>
      <c r="AI2131">
        <v>-100</v>
      </c>
      <c r="AN2131" t="s">
        <v>31</v>
      </c>
      <c r="AO2131">
        <v>0</v>
      </c>
      <c r="AS2131" t="s">
        <v>385</v>
      </c>
      <c r="AX2131" t="s">
        <v>57</v>
      </c>
      <c r="AY2131" t="s">
        <v>386</v>
      </c>
      <c r="BF2131">
        <v>0</v>
      </c>
      <c r="BK2131" t="s">
        <v>31</v>
      </c>
      <c r="BS2131" t="s">
        <v>412</v>
      </c>
      <c r="CI2131" t="s">
        <v>388</v>
      </c>
      <c r="CJ2131" s="14">
        <v>45015</v>
      </c>
      <c r="CK2131">
        <v>1</v>
      </c>
    </row>
    <row r="2132" spans="1:89">
      <c r="A2132" t="s">
        <v>1769</v>
      </c>
      <c r="B2132" t="s">
        <v>374</v>
      </c>
      <c r="C2132" t="s">
        <v>1770</v>
      </c>
      <c r="D2132" t="s">
        <v>1916</v>
      </c>
      <c r="E2132" t="s">
        <v>1917</v>
      </c>
      <c r="F2132" s="13">
        <v>44638.758912037039</v>
      </c>
      <c r="G2132" t="s">
        <v>641</v>
      </c>
      <c r="H2132" t="s">
        <v>642</v>
      </c>
      <c r="I2132" s="13">
        <v>44638.758912037039</v>
      </c>
      <c r="K2132" t="s">
        <v>412</v>
      </c>
      <c r="M2132" s="13">
        <v>44538</v>
      </c>
      <c r="R2132">
        <v>0</v>
      </c>
      <c r="S2132" t="s">
        <v>380</v>
      </c>
      <c r="T2132" t="s">
        <v>57</v>
      </c>
      <c r="V2132" t="s">
        <v>381</v>
      </c>
      <c r="W2132" t="s">
        <v>1912</v>
      </c>
      <c r="X2132" t="s">
        <v>1912</v>
      </c>
      <c r="AC2132" s="13">
        <v>44538</v>
      </c>
      <c r="AD2132" s="13">
        <v>44538</v>
      </c>
      <c r="AI2132">
        <v>-100</v>
      </c>
      <c r="AN2132" t="s">
        <v>31</v>
      </c>
      <c r="AO2132">
        <v>0</v>
      </c>
      <c r="AS2132" t="s">
        <v>881</v>
      </c>
      <c r="AX2132" t="s">
        <v>57</v>
      </c>
      <c r="AY2132" t="s">
        <v>386</v>
      </c>
      <c r="BF2132">
        <v>0</v>
      </c>
      <c r="BK2132" t="s">
        <v>31</v>
      </c>
      <c r="BS2132" t="s">
        <v>412</v>
      </c>
      <c r="CI2132" t="s">
        <v>388</v>
      </c>
      <c r="CJ2132" s="14">
        <v>45015</v>
      </c>
      <c r="CK2132">
        <v>1</v>
      </c>
    </row>
    <row r="2133" spans="1:89">
      <c r="A2133" t="s">
        <v>1769</v>
      </c>
      <c r="B2133" t="s">
        <v>374</v>
      </c>
      <c r="C2133" t="s">
        <v>1770</v>
      </c>
      <c r="D2133" t="s">
        <v>1918</v>
      </c>
      <c r="E2133" t="s">
        <v>1919</v>
      </c>
      <c r="F2133" s="13">
        <v>44638.758912037039</v>
      </c>
      <c r="G2133" t="s">
        <v>641</v>
      </c>
      <c r="H2133" t="s">
        <v>642</v>
      </c>
      <c r="I2133" s="13">
        <v>44638.758912037039</v>
      </c>
      <c r="K2133" t="s">
        <v>412</v>
      </c>
      <c r="M2133" s="13">
        <v>44538</v>
      </c>
      <c r="R2133">
        <v>0</v>
      </c>
      <c r="S2133" t="s">
        <v>380</v>
      </c>
      <c r="T2133" t="s">
        <v>57</v>
      </c>
      <c r="V2133" t="s">
        <v>381</v>
      </c>
      <c r="W2133" t="s">
        <v>1775</v>
      </c>
      <c r="X2133" t="s">
        <v>1775</v>
      </c>
      <c r="AC2133" s="13">
        <v>44538</v>
      </c>
      <c r="AD2133" s="13">
        <v>44538</v>
      </c>
      <c r="AI2133">
        <v>-100</v>
      </c>
      <c r="AN2133" t="s">
        <v>31</v>
      </c>
      <c r="AO2133">
        <v>0</v>
      </c>
      <c r="AS2133" t="s">
        <v>707</v>
      </c>
      <c r="AX2133" t="s">
        <v>57</v>
      </c>
      <c r="AY2133" t="s">
        <v>386</v>
      </c>
      <c r="BF2133">
        <v>0</v>
      </c>
      <c r="BK2133" t="s">
        <v>31</v>
      </c>
      <c r="BS2133" t="s">
        <v>412</v>
      </c>
      <c r="CI2133" t="s">
        <v>388</v>
      </c>
      <c r="CJ2133" s="14">
        <v>45015</v>
      </c>
      <c r="CK2133">
        <v>1</v>
      </c>
    </row>
    <row r="2134" spans="1:89">
      <c r="A2134" t="s">
        <v>1810</v>
      </c>
      <c r="B2134" t="s">
        <v>374</v>
      </c>
      <c r="C2134" t="s">
        <v>1811</v>
      </c>
      <c r="D2134" t="s">
        <v>1920</v>
      </c>
      <c r="E2134" t="s">
        <v>1921</v>
      </c>
      <c r="F2134" s="13">
        <v>44638.758900462963</v>
      </c>
      <c r="G2134" t="s">
        <v>641</v>
      </c>
      <c r="H2134" t="s">
        <v>642</v>
      </c>
      <c r="I2134" s="13">
        <v>44638.758900462963</v>
      </c>
      <c r="K2134" t="s">
        <v>412</v>
      </c>
      <c r="M2134" s="13">
        <v>44538</v>
      </c>
      <c r="R2134">
        <v>0</v>
      </c>
      <c r="S2134" t="s">
        <v>380</v>
      </c>
      <c r="T2134" t="s">
        <v>57</v>
      </c>
      <c r="V2134" t="s">
        <v>381</v>
      </c>
      <c r="W2134" t="s">
        <v>1922</v>
      </c>
      <c r="X2134" t="s">
        <v>1922</v>
      </c>
      <c r="AC2134" s="13">
        <v>44538</v>
      </c>
      <c r="AD2134" s="13">
        <v>44538</v>
      </c>
      <c r="AI2134">
        <v>-100</v>
      </c>
      <c r="AN2134" t="s">
        <v>31</v>
      </c>
      <c r="AO2134">
        <v>0</v>
      </c>
      <c r="AS2134" t="s">
        <v>385</v>
      </c>
      <c r="AX2134" t="s">
        <v>57</v>
      </c>
      <c r="AY2134" t="s">
        <v>386</v>
      </c>
      <c r="BF2134">
        <v>0</v>
      </c>
      <c r="BK2134" t="s">
        <v>31</v>
      </c>
      <c r="BS2134" t="s">
        <v>412</v>
      </c>
      <c r="CI2134" t="s">
        <v>388</v>
      </c>
      <c r="CJ2134" s="14">
        <v>45015</v>
      </c>
      <c r="CK2134">
        <v>1</v>
      </c>
    </row>
    <row r="2135" spans="1:89">
      <c r="A2135" t="s">
        <v>1710</v>
      </c>
      <c r="B2135" t="s">
        <v>374</v>
      </c>
      <c r="C2135" t="s">
        <v>392</v>
      </c>
      <c r="D2135" t="s">
        <v>1923</v>
      </c>
      <c r="E2135" t="s">
        <v>1924</v>
      </c>
      <c r="F2135" s="13">
        <v>44638.758900462963</v>
      </c>
      <c r="G2135" t="s">
        <v>641</v>
      </c>
      <c r="H2135" t="s">
        <v>642</v>
      </c>
      <c r="I2135" s="13">
        <v>44638.758900462963</v>
      </c>
      <c r="K2135" t="s">
        <v>412</v>
      </c>
      <c r="M2135" s="13">
        <v>44538</v>
      </c>
      <c r="R2135">
        <v>0</v>
      </c>
      <c r="S2135" t="s">
        <v>380</v>
      </c>
      <c r="T2135" t="s">
        <v>57</v>
      </c>
      <c r="V2135" t="s">
        <v>381</v>
      </c>
      <c r="W2135" t="s">
        <v>1775</v>
      </c>
      <c r="X2135" t="s">
        <v>1775</v>
      </c>
      <c r="AC2135" s="13">
        <v>44538</v>
      </c>
      <c r="AD2135" s="13">
        <v>44538</v>
      </c>
      <c r="AI2135">
        <v>-100</v>
      </c>
      <c r="AN2135" t="s">
        <v>31</v>
      </c>
      <c r="AO2135">
        <v>0</v>
      </c>
      <c r="AS2135" t="s">
        <v>648</v>
      </c>
      <c r="AX2135" t="s">
        <v>57</v>
      </c>
      <c r="AY2135" t="s">
        <v>386</v>
      </c>
      <c r="BF2135">
        <v>0</v>
      </c>
      <c r="BK2135" t="s">
        <v>31</v>
      </c>
      <c r="BS2135" t="s">
        <v>412</v>
      </c>
      <c r="CI2135" t="s">
        <v>388</v>
      </c>
      <c r="CJ2135" s="14">
        <v>45015</v>
      </c>
      <c r="CK2135">
        <v>1</v>
      </c>
    </row>
    <row r="2136" spans="1:89">
      <c r="A2136" t="s">
        <v>1831</v>
      </c>
      <c r="B2136" t="s">
        <v>374</v>
      </c>
      <c r="C2136" t="s">
        <v>1832</v>
      </c>
      <c r="D2136" t="s">
        <v>1925</v>
      </c>
      <c r="E2136" t="s">
        <v>1926</v>
      </c>
      <c r="F2136" s="13">
        <v>44638.758888888886</v>
      </c>
      <c r="G2136" t="s">
        <v>641</v>
      </c>
      <c r="H2136" t="s">
        <v>642</v>
      </c>
      <c r="I2136" s="13">
        <v>44638.758888888886</v>
      </c>
      <c r="K2136" t="s">
        <v>412</v>
      </c>
      <c r="M2136" s="13">
        <v>44505</v>
      </c>
      <c r="R2136">
        <v>0</v>
      </c>
      <c r="S2136" t="s">
        <v>380</v>
      </c>
      <c r="T2136" t="s">
        <v>57</v>
      </c>
      <c r="V2136" t="s">
        <v>381</v>
      </c>
      <c r="W2136" t="s">
        <v>1927</v>
      </c>
      <c r="X2136" t="s">
        <v>1927</v>
      </c>
      <c r="AC2136" s="13">
        <v>44505</v>
      </c>
      <c r="AD2136" s="13">
        <v>44505</v>
      </c>
      <c r="AI2136">
        <v>-133</v>
      </c>
      <c r="AN2136" t="s">
        <v>31</v>
      </c>
      <c r="AO2136">
        <v>0</v>
      </c>
      <c r="AS2136" t="s">
        <v>538</v>
      </c>
      <c r="AX2136" t="s">
        <v>57</v>
      </c>
      <c r="AY2136" t="s">
        <v>386</v>
      </c>
      <c r="BF2136">
        <v>0</v>
      </c>
      <c r="BK2136" t="s">
        <v>31</v>
      </c>
      <c r="BS2136" t="s">
        <v>412</v>
      </c>
      <c r="CI2136" t="s">
        <v>388</v>
      </c>
      <c r="CJ2136" s="14">
        <v>45015</v>
      </c>
      <c r="CK2136">
        <v>1</v>
      </c>
    </row>
    <row r="2137" spans="1:89">
      <c r="A2137" t="s">
        <v>1928</v>
      </c>
      <c r="B2137" t="s">
        <v>374</v>
      </c>
      <c r="C2137" t="s">
        <v>1929</v>
      </c>
      <c r="D2137" t="s">
        <v>1930</v>
      </c>
      <c r="E2137" t="s">
        <v>1931</v>
      </c>
      <c r="F2137" s="13">
        <v>44638.758888888886</v>
      </c>
      <c r="G2137" t="s">
        <v>641</v>
      </c>
      <c r="H2137" t="s">
        <v>642</v>
      </c>
      <c r="I2137" s="13">
        <v>44638.758888888886</v>
      </c>
      <c r="K2137" t="s">
        <v>412</v>
      </c>
      <c r="M2137" s="13">
        <v>44525</v>
      </c>
      <c r="R2137">
        <v>0</v>
      </c>
      <c r="S2137" t="s">
        <v>380</v>
      </c>
      <c r="T2137" t="s">
        <v>57</v>
      </c>
      <c r="V2137" t="s">
        <v>381</v>
      </c>
      <c r="W2137" t="s">
        <v>1932</v>
      </c>
      <c r="X2137" t="s">
        <v>1932</v>
      </c>
      <c r="AC2137" s="13">
        <v>44525</v>
      </c>
      <c r="AD2137" s="13">
        <v>44525</v>
      </c>
      <c r="AI2137">
        <v>-113</v>
      </c>
      <c r="AN2137" t="s">
        <v>31</v>
      </c>
      <c r="AO2137">
        <v>0</v>
      </c>
      <c r="AS2137" t="s">
        <v>385</v>
      </c>
      <c r="AX2137" t="s">
        <v>57</v>
      </c>
      <c r="AY2137" t="s">
        <v>386</v>
      </c>
      <c r="BF2137">
        <v>0</v>
      </c>
      <c r="BK2137" t="s">
        <v>31</v>
      </c>
      <c r="BS2137" t="s">
        <v>412</v>
      </c>
      <c r="CI2137" t="s">
        <v>388</v>
      </c>
      <c r="CJ2137" s="14">
        <v>45015</v>
      </c>
      <c r="CK2137">
        <v>1</v>
      </c>
    </row>
    <row r="2138" spans="1:89">
      <c r="A2138" t="s">
        <v>1831</v>
      </c>
      <c r="B2138" t="s">
        <v>374</v>
      </c>
      <c r="C2138" t="s">
        <v>1832</v>
      </c>
      <c r="D2138" t="s">
        <v>1933</v>
      </c>
      <c r="E2138" t="s">
        <v>1934</v>
      </c>
      <c r="F2138" s="13">
        <v>44638.758888888886</v>
      </c>
      <c r="G2138" t="s">
        <v>641</v>
      </c>
      <c r="H2138" t="s">
        <v>642</v>
      </c>
      <c r="I2138" s="13">
        <v>44638.758888888886</v>
      </c>
      <c r="K2138" t="s">
        <v>412</v>
      </c>
      <c r="M2138" s="13">
        <v>44591</v>
      </c>
      <c r="R2138">
        <v>0</v>
      </c>
      <c r="S2138" t="s">
        <v>380</v>
      </c>
      <c r="T2138" t="s">
        <v>57</v>
      </c>
      <c r="V2138" t="s">
        <v>381</v>
      </c>
      <c r="W2138" t="s">
        <v>1713</v>
      </c>
      <c r="X2138" t="s">
        <v>1713</v>
      </c>
      <c r="AC2138" s="13">
        <v>44591</v>
      </c>
      <c r="AD2138" s="13">
        <v>44591</v>
      </c>
      <c r="AI2138">
        <v>-47</v>
      </c>
      <c r="AN2138" t="s">
        <v>31</v>
      </c>
      <c r="AO2138">
        <v>0</v>
      </c>
      <c r="AS2138" t="s">
        <v>385</v>
      </c>
      <c r="AX2138" t="s">
        <v>57</v>
      </c>
      <c r="AY2138" t="s">
        <v>386</v>
      </c>
      <c r="BF2138">
        <v>0</v>
      </c>
      <c r="BK2138" t="s">
        <v>31</v>
      </c>
      <c r="BS2138" t="s">
        <v>412</v>
      </c>
      <c r="CI2138" t="s">
        <v>388</v>
      </c>
      <c r="CJ2138" s="14">
        <v>45015</v>
      </c>
      <c r="CK2138">
        <v>1</v>
      </c>
    </row>
    <row r="2139" spans="1:89">
      <c r="A2139" t="s">
        <v>1907</v>
      </c>
      <c r="B2139" t="s">
        <v>374</v>
      </c>
      <c r="C2139" t="s">
        <v>607</v>
      </c>
      <c r="D2139" t="s">
        <v>1935</v>
      </c>
      <c r="E2139" t="s">
        <v>1936</v>
      </c>
      <c r="F2139" s="13">
        <v>44638.758877314816</v>
      </c>
      <c r="G2139" t="s">
        <v>641</v>
      </c>
      <c r="H2139" t="s">
        <v>642</v>
      </c>
      <c r="I2139" s="13">
        <v>44638.758877314816</v>
      </c>
      <c r="K2139" t="s">
        <v>412</v>
      </c>
      <c r="M2139" s="13">
        <v>44497</v>
      </c>
      <c r="R2139">
        <v>0</v>
      </c>
      <c r="S2139" t="s">
        <v>380</v>
      </c>
      <c r="T2139" t="s">
        <v>57</v>
      </c>
      <c r="V2139" t="s">
        <v>381</v>
      </c>
      <c r="W2139" t="s">
        <v>1937</v>
      </c>
      <c r="X2139" t="s">
        <v>1937</v>
      </c>
      <c r="AC2139" s="13">
        <v>44497</v>
      </c>
      <c r="AD2139" s="13">
        <v>44497</v>
      </c>
      <c r="AI2139">
        <v>-141</v>
      </c>
      <c r="AN2139" t="s">
        <v>31</v>
      </c>
      <c r="AO2139">
        <v>0</v>
      </c>
      <c r="AS2139" t="s">
        <v>522</v>
      </c>
      <c r="AX2139" t="s">
        <v>57</v>
      </c>
      <c r="AY2139" t="s">
        <v>386</v>
      </c>
      <c r="BF2139">
        <v>0</v>
      </c>
      <c r="BK2139" t="s">
        <v>31</v>
      </c>
      <c r="BS2139" t="s">
        <v>412</v>
      </c>
      <c r="CI2139" t="s">
        <v>388</v>
      </c>
      <c r="CJ2139" s="14">
        <v>45015</v>
      </c>
      <c r="CK2139">
        <v>1</v>
      </c>
    </row>
    <row r="2140" spans="1:89">
      <c r="A2140" t="s">
        <v>1858</v>
      </c>
      <c r="B2140" t="s">
        <v>374</v>
      </c>
      <c r="C2140" t="s">
        <v>1859</v>
      </c>
      <c r="D2140" t="s">
        <v>1938</v>
      </c>
      <c r="E2140" t="s">
        <v>1939</v>
      </c>
      <c r="F2140" s="13">
        <v>44638.758877314816</v>
      </c>
      <c r="G2140" t="s">
        <v>641</v>
      </c>
      <c r="H2140" t="s">
        <v>642</v>
      </c>
      <c r="I2140" s="13">
        <v>44638.758877314816</v>
      </c>
      <c r="K2140" t="s">
        <v>412</v>
      </c>
      <c r="M2140" s="13">
        <v>44482</v>
      </c>
      <c r="R2140">
        <v>0</v>
      </c>
      <c r="S2140" t="s">
        <v>380</v>
      </c>
      <c r="T2140" t="s">
        <v>57</v>
      </c>
      <c r="V2140" t="s">
        <v>381</v>
      </c>
      <c r="W2140" t="s">
        <v>1940</v>
      </c>
      <c r="X2140" t="s">
        <v>1940</v>
      </c>
      <c r="AC2140" s="13">
        <v>44482</v>
      </c>
      <c r="AD2140" s="13">
        <v>44482</v>
      </c>
      <c r="AI2140">
        <v>-156</v>
      </c>
      <c r="AN2140" t="s">
        <v>31</v>
      </c>
      <c r="AO2140">
        <v>0</v>
      </c>
      <c r="AS2140" t="s">
        <v>385</v>
      </c>
      <c r="AX2140" t="s">
        <v>57</v>
      </c>
      <c r="AY2140" t="s">
        <v>386</v>
      </c>
      <c r="BF2140">
        <v>0</v>
      </c>
      <c r="BK2140" t="s">
        <v>31</v>
      </c>
      <c r="BS2140" t="s">
        <v>412</v>
      </c>
      <c r="CI2140" t="s">
        <v>388</v>
      </c>
      <c r="CJ2140" s="14">
        <v>45015</v>
      </c>
      <c r="CK2140">
        <v>1</v>
      </c>
    </row>
    <row r="2141" spans="1:89">
      <c r="A2141" t="s">
        <v>1721</v>
      </c>
      <c r="B2141" t="s">
        <v>374</v>
      </c>
      <c r="C2141" t="s">
        <v>1722</v>
      </c>
      <c r="D2141" t="s">
        <v>1941</v>
      </c>
      <c r="E2141" t="s">
        <v>1942</v>
      </c>
      <c r="F2141" s="13">
        <v>44638.75886574074</v>
      </c>
      <c r="G2141" t="s">
        <v>641</v>
      </c>
      <c r="H2141" t="s">
        <v>642</v>
      </c>
      <c r="I2141" s="13">
        <v>44638.75886574074</v>
      </c>
      <c r="K2141" t="s">
        <v>412</v>
      </c>
      <c r="M2141" s="13">
        <v>44468</v>
      </c>
      <c r="R2141">
        <v>0</v>
      </c>
      <c r="S2141" t="s">
        <v>380</v>
      </c>
      <c r="T2141" t="s">
        <v>57</v>
      </c>
      <c r="V2141" t="s">
        <v>381</v>
      </c>
      <c r="W2141" t="s">
        <v>1886</v>
      </c>
      <c r="X2141" t="s">
        <v>1886</v>
      </c>
      <c r="AC2141" s="13">
        <v>44468</v>
      </c>
      <c r="AD2141" s="13">
        <v>44468</v>
      </c>
      <c r="AI2141">
        <v>-170</v>
      </c>
      <c r="AN2141" t="s">
        <v>31</v>
      </c>
      <c r="AO2141">
        <v>0</v>
      </c>
      <c r="AS2141" t="s">
        <v>707</v>
      </c>
      <c r="AX2141" t="s">
        <v>57</v>
      </c>
      <c r="AY2141" t="s">
        <v>386</v>
      </c>
      <c r="BF2141">
        <v>0</v>
      </c>
      <c r="BK2141" t="s">
        <v>31</v>
      </c>
      <c r="BS2141" t="s">
        <v>412</v>
      </c>
      <c r="CI2141" t="s">
        <v>388</v>
      </c>
      <c r="CJ2141" s="14">
        <v>45015</v>
      </c>
      <c r="CK2141">
        <v>1</v>
      </c>
    </row>
    <row r="2142" spans="1:89">
      <c r="A2142" t="s">
        <v>1721</v>
      </c>
      <c r="B2142" t="s">
        <v>374</v>
      </c>
      <c r="C2142" t="s">
        <v>1722</v>
      </c>
      <c r="D2142" t="s">
        <v>1943</v>
      </c>
      <c r="E2142" t="s">
        <v>1944</v>
      </c>
      <c r="F2142" s="13">
        <v>44638.75886574074</v>
      </c>
      <c r="G2142" t="s">
        <v>641</v>
      </c>
      <c r="H2142" t="s">
        <v>642</v>
      </c>
      <c r="I2142" s="13">
        <v>44638.75886574074</v>
      </c>
      <c r="K2142" t="s">
        <v>412</v>
      </c>
      <c r="M2142" s="13">
        <v>44476</v>
      </c>
      <c r="R2142">
        <v>0</v>
      </c>
      <c r="S2142" t="s">
        <v>380</v>
      </c>
      <c r="T2142" t="s">
        <v>57</v>
      </c>
      <c r="V2142" t="s">
        <v>381</v>
      </c>
      <c r="W2142" t="s">
        <v>1945</v>
      </c>
      <c r="X2142" t="s">
        <v>1945</v>
      </c>
      <c r="AC2142" s="13">
        <v>44476</v>
      </c>
      <c r="AD2142" s="13">
        <v>44476</v>
      </c>
      <c r="AI2142">
        <v>-162</v>
      </c>
      <c r="AN2142" t="s">
        <v>31</v>
      </c>
      <c r="AO2142">
        <v>0</v>
      </c>
      <c r="AS2142" t="s">
        <v>385</v>
      </c>
      <c r="AX2142" t="s">
        <v>57</v>
      </c>
      <c r="AY2142" t="s">
        <v>386</v>
      </c>
      <c r="BF2142">
        <v>0</v>
      </c>
      <c r="BK2142" t="s">
        <v>31</v>
      </c>
      <c r="BS2142" t="s">
        <v>412</v>
      </c>
      <c r="CI2142" t="s">
        <v>388</v>
      </c>
      <c r="CJ2142" s="14">
        <v>45015</v>
      </c>
      <c r="CK2142">
        <v>1</v>
      </c>
    </row>
    <row r="2143" spans="1:89">
      <c r="A2143" t="s">
        <v>1946</v>
      </c>
      <c r="B2143" t="s">
        <v>374</v>
      </c>
      <c r="C2143" t="s">
        <v>1947</v>
      </c>
      <c r="D2143" t="s">
        <v>1948</v>
      </c>
      <c r="E2143" t="s">
        <v>1949</v>
      </c>
      <c r="F2143" s="13">
        <v>44638.75885416667</v>
      </c>
      <c r="G2143" t="s">
        <v>641</v>
      </c>
      <c r="H2143" t="s">
        <v>642</v>
      </c>
      <c r="I2143" s="13">
        <v>44638.75885416667</v>
      </c>
      <c r="K2143" t="s">
        <v>412</v>
      </c>
      <c r="M2143" s="13">
        <v>44466</v>
      </c>
      <c r="R2143">
        <v>0</v>
      </c>
      <c r="S2143" t="s">
        <v>380</v>
      </c>
      <c r="T2143" t="s">
        <v>57</v>
      </c>
      <c r="V2143" t="s">
        <v>381</v>
      </c>
      <c r="W2143" t="s">
        <v>1725</v>
      </c>
      <c r="X2143" t="s">
        <v>1725</v>
      </c>
      <c r="AC2143" s="13">
        <v>44466</v>
      </c>
      <c r="AD2143" s="13">
        <v>44466</v>
      </c>
      <c r="AI2143">
        <v>-172</v>
      </c>
      <c r="AN2143" t="s">
        <v>31</v>
      </c>
      <c r="AO2143">
        <v>0</v>
      </c>
      <c r="AS2143" t="s">
        <v>526</v>
      </c>
      <c r="AX2143" t="s">
        <v>57</v>
      </c>
      <c r="AY2143" t="s">
        <v>386</v>
      </c>
      <c r="BF2143">
        <v>0</v>
      </c>
      <c r="BK2143" t="s">
        <v>31</v>
      </c>
      <c r="BS2143" t="s">
        <v>412</v>
      </c>
      <c r="CI2143" t="s">
        <v>388</v>
      </c>
      <c r="CJ2143" s="14">
        <v>45015</v>
      </c>
      <c r="CK2143">
        <v>1</v>
      </c>
    </row>
    <row r="2144" spans="1:89">
      <c r="A2144" t="s">
        <v>1721</v>
      </c>
      <c r="B2144" t="s">
        <v>374</v>
      </c>
      <c r="C2144" t="s">
        <v>1722</v>
      </c>
      <c r="D2144" t="s">
        <v>1950</v>
      </c>
      <c r="E2144" t="s">
        <v>1951</v>
      </c>
      <c r="F2144" s="13">
        <v>44638.75885416667</v>
      </c>
      <c r="G2144" t="s">
        <v>641</v>
      </c>
      <c r="H2144" t="s">
        <v>642</v>
      </c>
      <c r="I2144" s="13">
        <v>44638.75885416667</v>
      </c>
      <c r="K2144" t="s">
        <v>412</v>
      </c>
      <c r="M2144" s="13">
        <v>44466</v>
      </c>
      <c r="R2144">
        <v>0</v>
      </c>
      <c r="S2144" t="s">
        <v>380</v>
      </c>
      <c r="T2144" t="s">
        <v>57</v>
      </c>
      <c r="V2144" t="s">
        <v>381</v>
      </c>
      <c r="W2144" t="s">
        <v>1762</v>
      </c>
      <c r="X2144" t="s">
        <v>1762</v>
      </c>
      <c r="AC2144" s="13">
        <v>44466</v>
      </c>
      <c r="AD2144" s="13">
        <v>44466</v>
      </c>
      <c r="AI2144">
        <v>-172</v>
      </c>
      <c r="AN2144" t="s">
        <v>31</v>
      </c>
      <c r="AO2144">
        <v>0</v>
      </c>
      <c r="AS2144" t="s">
        <v>385</v>
      </c>
      <c r="AX2144" t="s">
        <v>57</v>
      </c>
      <c r="AY2144" t="s">
        <v>386</v>
      </c>
      <c r="BF2144">
        <v>0</v>
      </c>
      <c r="BK2144" t="s">
        <v>31</v>
      </c>
      <c r="BS2144" t="s">
        <v>412</v>
      </c>
      <c r="CI2144" t="s">
        <v>388</v>
      </c>
      <c r="CJ2144" s="14">
        <v>45015</v>
      </c>
      <c r="CK2144">
        <v>1</v>
      </c>
    </row>
    <row r="2145" spans="1:89">
      <c r="A2145" t="s">
        <v>1946</v>
      </c>
      <c r="B2145" t="s">
        <v>374</v>
      </c>
      <c r="C2145" t="s">
        <v>1947</v>
      </c>
      <c r="D2145" t="s">
        <v>1952</v>
      </c>
      <c r="E2145" t="s">
        <v>1953</v>
      </c>
      <c r="F2145" s="13">
        <v>44638.75885416667</v>
      </c>
      <c r="G2145" t="s">
        <v>641</v>
      </c>
      <c r="H2145" t="s">
        <v>642</v>
      </c>
      <c r="I2145" s="13">
        <v>44638.75885416667</v>
      </c>
      <c r="K2145" t="s">
        <v>412</v>
      </c>
      <c r="M2145" s="13">
        <v>44466</v>
      </c>
      <c r="R2145">
        <v>0</v>
      </c>
      <c r="S2145" t="s">
        <v>380</v>
      </c>
      <c r="T2145" t="s">
        <v>57</v>
      </c>
      <c r="V2145" t="s">
        <v>381</v>
      </c>
      <c r="W2145" t="s">
        <v>1725</v>
      </c>
      <c r="X2145" t="s">
        <v>1725</v>
      </c>
      <c r="AC2145" s="13">
        <v>44466</v>
      </c>
      <c r="AD2145" s="13">
        <v>44466</v>
      </c>
      <c r="AI2145">
        <v>-172</v>
      </c>
      <c r="AN2145" t="s">
        <v>31</v>
      </c>
      <c r="AO2145">
        <v>0</v>
      </c>
      <c r="AS2145" t="s">
        <v>385</v>
      </c>
      <c r="AX2145" t="s">
        <v>57</v>
      </c>
      <c r="AY2145" t="s">
        <v>386</v>
      </c>
      <c r="BF2145">
        <v>0</v>
      </c>
      <c r="BK2145" t="s">
        <v>31</v>
      </c>
      <c r="BS2145" t="s">
        <v>412</v>
      </c>
      <c r="CI2145" t="s">
        <v>388</v>
      </c>
      <c r="CJ2145" s="14">
        <v>45015</v>
      </c>
      <c r="CK2145">
        <v>1</v>
      </c>
    </row>
    <row r="2146" spans="1:89">
      <c r="A2146" t="s">
        <v>1954</v>
      </c>
      <c r="B2146" t="s">
        <v>374</v>
      </c>
      <c r="C2146" t="s">
        <v>1955</v>
      </c>
      <c r="D2146" t="s">
        <v>1956</v>
      </c>
      <c r="E2146" t="s">
        <v>1957</v>
      </c>
      <c r="F2146" s="13">
        <v>44638.758842592593</v>
      </c>
      <c r="G2146" t="s">
        <v>641</v>
      </c>
      <c r="H2146" t="s">
        <v>642</v>
      </c>
      <c r="I2146" s="13">
        <v>44638.758842592593</v>
      </c>
      <c r="K2146" t="s">
        <v>412</v>
      </c>
      <c r="M2146" s="13">
        <v>44461</v>
      </c>
      <c r="R2146">
        <v>0</v>
      </c>
      <c r="S2146" t="s">
        <v>380</v>
      </c>
      <c r="T2146" t="s">
        <v>57</v>
      </c>
      <c r="V2146" t="s">
        <v>381</v>
      </c>
      <c r="W2146" t="s">
        <v>1762</v>
      </c>
      <c r="X2146" t="s">
        <v>1762</v>
      </c>
      <c r="AC2146" s="13">
        <v>44461</v>
      </c>
      <c r="AD2146" s="13">
        <v>44461</v>
      </c>
      <c r="AI2146">
        <v>-177</v>
      </c>
      <c r="AN2146" t="s">
        <v>31</v>
      </c>
      <c r="AO2146">
        <v>0</v>
      </c>
      <c r="AS2146" t="s">
        <v>881</v>
      </c>
      <c r="AX2146" t="s">
        <v>57</v>
      </c>
      <c r="AY2146" t="s">
        <v>386</v>
      </c>
      <c r="BF2146">
        <v>0</v>
      </c>
      <c r="BK2146" t="s">
        <v>31</v>
      </c>
      <c r="BS2146" t="s">
        <v>412</v>
      </c>
      <c r="CI2146" t="s">
        <v>388</v>
      </c>
      <c r="CJ2146" s="14">
        <v>45015</v>
      </c>
      <c r="CK2146">
        <v>1</v>
      </c>
    </row>
    <row r="2147" spans="1:89">
      <c r="A2147" t="s">
        <v>1954</v>
      </c>
      <c r="B2147" t="s">
        <v>374</v>
      </c>
      <c r="C2147" t="s">
        <v>1955</v>
      </c>
      <c r="D2147" t="s">
        <v>1958</v>
      </c>
      <c r="E2147" t="s">
        <v>1959</v>
      </c>
      <c r="F2147" s="13">
        <v>44638.758842592593</v>
      </c>
      <c r="G2147" t="s">
        <v>641</v>
      </c>
      <c r="H2147" t="s">
        <v>642</v>
      </c>
      <c r="I2147" s="13">
        <v>44638.758842592593</v>
      </c>
      <c r="K2147" t="s">
        <v>412</v>
      </c>
      <c r="M2147" s="13">
        <v>44461</v>
      </c>
      <c r="R2147">
        <v>0</v>
      </c>
      <c r="S2147" t="s">
        <v>380</v>
      </c>
      <c r="T2147" t="s">
        <v>57</v>
      </c>
      <c r="V2147" t="s">
        <v>381</v>
      </c>
      <c r="W2147" t="s">
        <v>1762</v>
      </c>
      <c r="X2147" t="s">
        <v>1762</v>
      </c>
      <c r="AC2147" s="13">
        <v>44461</v>
      </c>
      <c r="AD2147" s="13">
        <v>44461</v>
      </c>
      <c r="AI2147">
        <v>-177</v>
      </c>
      <c r="AN2147" t="s">
        <v>31</v>
      </c>
      <c r="AO2147">
        <v>0</v>
      </c>
      <c r="AS2147" t="s">
        <v>648</v>
      </c>
      <c r="AX2147" t="s">
        <v>57</v>
      </c>
      <c r="AY2147" t="s">
        <v>386</v>
      </c>
      <c r="BF2147">
        <v>0</v>
      </c>
      <c r="BK2147" t="s">
        <v>31</v>
      </c>
      <c r="BS2147" t="s">
        <v>412</v>
      </c>
      <c r="CI2147" t="s">
        <v>388</v>
      </c>
      <c r="CJ2147" s="14">
        <v>45015</v>
      </c>
      <c r="CK2147">
        <v>1</v>
      </c>
    </row>
    <row r="2148" spans="1:89">
      <c r="A2148" t="s">
        <v>1827</v>
      </c>
      <c r="B2148" t="s">
        <v>374</v>
      </c>
      <c r="C2148" t="s">
        <v>1536</v>
      </c>
      <c r="D2148" t="s">
        <v>1960</v>
      </c>
      <c r="E2148" t="s">
        <v>1961</v>
      </c>
      <c r="F2148" s="13">
        <v>44638.758831018517</v>
      </c>
      <c r="G2148" t="s">
        <v>641</v>
      </c>
      <c r="H2148" t="s">
        <v>642</v>
      </c>
      <c r="I2148" s="13">
        <v>44638.758831018517</v>
      </c>
      <c r="K2148" t="s">
        <v>412</v>
      </c>
      <c r="M2148" s="13">
        <v>44461</v>
      </c>
      <c r="R2148">
        <v>0</v>
      </c>
      <c r="S2148" t="s">
        <v>380</v>
      </c>
      <c r="T2148" t="s">
        <v>57</v>
      </c>
      <c r="V2148" t="s">
        <v>381</v>
      </c>
      <c r="W2148" t="s">
        <v>1713</v>
      </c>
      <c r="X2148" t="s">
        <v>1713</v>
      </c>
      <c r="AC2148" s="13">
        <v>44461</v>
      </c>
      <c r="AD2148" s="13">
        <v>44461</v>
      </c>
      <c r="AI2148">
        <v>-177</v>
      </c>
      <c r="AN2148" t="s">
        <v>31</v>
      </c>
      <c r="AO2148">
        <v>0</v>
      </c>
      <c r="AS2148" t="s">
        <v>881</v>
      </c>
      <c r="AX2148" t="s">
        <v>57</v>
      </c>
      <c r="AY2148" t="s">
        <v>386</v>
      </c>
      <c r="BF2148">
        <v>0</v>
      </c>
      <c r="BK2148" t="s">
        <v>31</v>
      </c>
      <c r="BS2148" t="s">
        <v>412</v>
      </c>
      <c r="CI2148" t="s">
        <v>388</v>
      </c>
      <c r="CJ2148" s="14">
        <v>45015</v>
      </c>
      <c r="CK2148">
        <v>1</v>
      </c>
    </row>
    <row r="2149" spans="1:89">
      <c r="A2149" t="s">
        <v>1831</v>
      </c>
      <c r="B2149" t="s">
        <v>374</v>
      </c>
      <c r="C2149" t="s">
        <v>1832</v>
      </c>
      <c r="D2149" t="s">
        <v>1962</v>
      </c>
      <c r="E2149" t="s">
        <v>1963</v>
      </c>
      <c r="F2149" s="13">
        <v>44638.758831018517</v>
      </c>
      <c r="G2149" t="s">
        <v>641</v>
      </c>
      <c r="H2149" t="s">
        <v>642</v>
      </c>
      <c r="I2149" s="13">
        <v>44638.758831018517</v>
      </c>
      <c r="K2149" t="s">
        <v>412</v>
      </c>
      <c r="M2149" s="13">
        <v>44454</v>
      </c>
      <c r="R2149">
        <v>0</v>
      </c>
      <c r="S2149" t="s">
        <v>380</v>
      </c>
      <c r="T2149" t="s">
        <v>57</v>
      </c>
      <c r="V2149" t="s">
        <v>381</v>
      </c>
      <c r="W2149" t="s">
        <v>1713</v>
      </c>
      <c r="X2149" t="s">
        <v>1713</v>
      </c>
      <c r="AC2149" s="13">
        <v>44454</v>
      </c>
      <c r="AD2149" s="13">
        <v>44454</v>
      </c>
      <c r="AI2149">
        <v>-184</v>
      </c>
      <c r="AN2149" t="s">
        <v>31</v>
      </c>
      <c r="AO2149">
        <v>0</v>
      </c>
      <c r="AS2149" t="s">
        <v>385</v>
      </c>
      <c r="AX2149" t="s">
        <v>57</v>
      </c>
      <c r="AY2149" t="s">
        <v>386</v>
      </c>
      <c r="BF2149">
        <v>0</v>
      </c>
      <c r="BK2149" t="s">
        <v>31</v>
      </c>
      <c r="BS2149" t="s">
        <v>412</v>
      </c>
      <c r="CI2149" t="s">
        <v>388</v>
      </c>
      <c r="CJ2149" s="14">
        <v>45015</v>
      </c>
      <c r="CK2149">
        <v>1</v>
      </c>
    </row>
    <row r="2150" spans="1:89">
      <c r="A2150" t="s">
        <v>1831</v>
      </c>
      <c r="B2150" t="s">
        <v>374</v>
      </c>
      <c r="C2150" t="s">
        <v>1832</v>
      </c>
      <c r="D2150" t="s">
        <v>1964</v>
      </c>
      <c r="E2150" t="s">
        <v>1965</v>
      </c>
      <c r="F2150" s="13">
        <v>44638.758819444447</v>
      </c>
      <c r="G2150" t="s">
        <v>641</v>
      </c>
      <c r="H2150" t="s">
        <v>642</v>
      </c>
      <c r="I2150" s="13">
        <v>44638.758819444447</v>
      </c>
      <c r="K2150" t="s">
        <v>412</v>
      </c>
      <c r="M2150" s="13">
        <v>44447</v>
      </c>
      <c r="R2150">
        <v>0</v>
      </c>
      <c r="S2150" t="s">
        <v>380</v>
      </c>
      <c r="T2150" t="s">
        <v>57</v>
      </c>
      <c r="V2150" t="s">
        <v>381</v>
      </c>
      <c r="W2150" t="s">
        <v>1762</v>
      </c>
      <c r="X2150" t="s">
        <v>1762</v>
      </c>
      <c r="AC2150" s="13">
        <v>44447</v>
      </c>
      <c r="AD2150" s="13">
        <v>44447</v>
      </c>
      <c r="AI2150">
        <v>-191</v>
      </c>
      <c r="AN2150" t="s">
        <v>31</v>
      </c>
      <c r="AO2150">
        <v>0</v>
      </c>
      <c r="AS2150" t="s">
        <v>744</v>
      </c>
      <c r="AX2150" t="s">
        <v>57</v>
      </c>
      <c r="AY2150" t="s">
        <v>386</v>
      </c>
      <c r="BF2150">
        <v>0</v>
      </c>
      <c r="BK2150" t="s">
        <v>31</v>
      </c>
      <c r="BS2150" t="s">
        <v>412</v>
      </c>
      <c r="CI2150" t="s">
        <v>388</v>
      </c>
      <c r="CJ2150" s="14">
        <v>45015</v>
      </c>
      <c r="CK2150">
        <v>1</v>
      </c>
    </row>
    <row r="2151" spans="1:89">
      <c r="A2151" t="s">
        <v>1831</v>
      </c>
      <c r="B2151" t="s">
        <v>374</v>
      </c>
      <c r="C2151" t="s">
        <v>1832</v>
      </c>
      <c r="D2151" t="s">
        <v>1966</v>
      </c>
      <c r="E2151" t="s">
        <v>1967</v>
      </c>
      <c r="F2151" s="13">
        <v>44638.758819444447</v>
      </c>
      <c r="G2151" t="s">
        <v>641</v>
      </c>
      <c r="H2151" t="s">
        <v>642</v>
      </c>
      <c r="I2151" s="13">
        <v>44638.758819444447</v>
      </c>
      <c r="K2151" t="s">
        <v>412</v>
      </c>
      <c r="M2151" s="13">
        <v>44454</v>
      </c>
      <c r="R2151">
        <v>0</v>
      </c>
      <c r="S2151" t="s">
        <v>380</v>
      </c>
      <c r="T2151" t="s">
        <v>57</v>
      </c>
      <c r="V2151" t="s">
        <v>381</v>
      </c>
      <c r="W2151" t="s">
        <v>1937</v>
      </c>
      <c r="X2151" t="s">
        <v>1937</v>
      </c>
      <c r="AC2151" s="13">
        <v>44454</v>
      </c>
      <c r="AD2151" s="13">
        <v>44454</v>
      </c>
      <c r="AI2151">
        <v>-184</v>
      </c>
      <c r="AN2151" t="s">
        <v>31</v>
      </c>
      <c r="AO2151">
        <v>0</v>
      </c>
      <c r="AS2151" t="s">
        <v>522</v>
      </c>
      <c r="AX2151" t="s">
        <v>57</v>
      </c>
      <c r="AY2151" t="s">
        <v>386</v>
      </c>
      <c r="BF2151">
        <v>0</v>
      </c>
      <c r="BK2151" t="s">
        <v>31</v>
      </c>
      <c r="BS2151" t="s">
        <v>412</v>
      </c>
      <c r="CI2151" t="s">
        <v>388</v>
      </c>
      <c r="CJ2151" s="14">
        <v>45015</v>
      </c>
      <c r="CK2151">
        <v>1</v>
      </c>
    </row>
    <row r="2152" spans="1:89">
      <c r="A2152" t="s">
        <v>1907</v>
      </c>
      <c r="B2152" t="s">
        <v>374</v>
      </c>
      <c r="C2152" t="s">
        <v>607</v>
      </c>
      <c r="D2152" t="s">
        <v>1968</v>
      </c>
      <c r="E2152" t="s">
        <v>1969</v>
      </c>
      <c r="F2152" s="13">
        <v>44638.75880787037</v>
      </c>
      <c r="G2152" t="s">
        <v>641</v>
      </c>
      <c r="H2152" t="s">
        <v>642</v>
      </c>
      <c r="I2152" s="13">
        <v>44638.75880787037</v>
      </c>
      <c r="K2152" t="s">
        <v>412</v>
      </c>
      <c r="M2152" s="13">
        <v>44447</v>
      </c>
      <c r="R2152">
        <v>0</v>
      </c>
      <c r="S2152" t="s">
        <v>380</v>
      </c>
      <c r="T2152" t="s">
        <v>57</v>
      </c>
      <c r="V2152" t="s">
        <v>381</v>
      </c>
      <c r="W2152" t="s">
        <v>1940</v>
      </c>
      <c r="X2152" t="s">
        <v>1940</v>
      </c>
      <c r="AC2152" s="13">
        <v>44447</v>
      </c>
      <c r="AD2152" s="13">
        <v>44447</v>
      </c>
      <c r="AI2152">
        <v>-191</v>
      </c>
      <c r="AN2152" t="s">
        <v>31</v>
      </c>
      <c r="AO2152">
        <v>0</v>
      </c>
      <c r="AS2152" t="s">
        <v>744</v>
      </c>
      <c r="AX2152" t="s">
        <v>57</v>
      </c>
      <c r="AY2152" t="s">
        <v>386</v>
      </c>
      <c r="BF2152">
        <v>0</v>
      </c>
      <c r="BK2152" t="s">
        <v>31</v>
      </c>
      <c r="BS2152" t="s">
        <v>412</v>
      </c>
      <c r="CI2152" t="s">
        <v>388</v>
      </c>
      <c r="CJ2152" s="14">
        <v>45015</v>
      </c>
      <c r="CK2152">
        <v>1</v>
      </c>
    </row>
    <row r="2153" spans="1:89">
      <c r="A2153" t="s">
        <v>1907</v>
      </c>
      <c r="B2153" t="s">
        <v>374</v>
      </c>
      <c r="C2153" t="s">
        <v>607</v>
      </c>
      <c r="D2153" t="s">
        <v>1970</v>
      </c>
      <c r="E2153" t="s">
        <v>1971</v>
      </c>
      <c r="F2153" s="13">
        <v>44638.75880787037</v>
      </c>
      <c r="G2153" t="s">
        <v>641</v>
      </c>
      <c r="H2153" t="s">
        <v>642</v>
      </c>
      <c r="I2153" s="13">
        <v>44638.75880787037</v>
      </c>
      <c r="K2153" t="s">
        <v>412</v>
      </c>
      <c r="M2153" s="13">
        <v>44447</v>
      </c>
      <c r="R2153">
        <v>0</v>
      </c>
      <c r="S2153" t="s">
        <v>380</v>
      </c>
      <c r="T2153" t="s">
        <v>57</v>
      </c>
      <c r="V2153" t="s">
        <v>381</v>
      </c>
      <c r="W2153" t="s">
        <v>1940</v>
      </c>
      <c r="X2153" t="s">
        <v>1940</v>
      </c>
      <c r="AC2153" s="13">
        <v>44447</v>
      </c>
      <c r="AD2153" s="13">
        <v>44447</v>
      </c>
      <c r="AI2153">
        <v>-191</v>
      </c>
      <c r="AN2153" t="s">
        <v>31</v>
      </c>
      <c r="AO2153">
        <v>0</v>
      </c>
      <c r="AS2153" t="s">
        <v>385</v>
      </c>
      <c r="AX2153" t="s">
        <v>57</v>
      </c>
      <c r="AY2153" t="s">
        <v>386</v>
      </c>
      <c r="BF2153">
        <v>0</v>
      </c>
      <c r="BK2153" t="s">
        <v>31</v>
      </c>
      <c r="BS2153" t="s">
        <v>412</v>
      </c>
      <c r="CI2153" t="s">
        <v>388</v>
      </c>
      <c r="CJ2153" s="14">
        <v>45015</v>
      </c>
      <c r="CK2153">
        <v>1</v>
      </c>
    </row>
    <row r="2154" spans="1:89">
      <c r="A2154" t="s">
        <v>1907</v>
      </c>
      <c r="B2154" t="s">
        <v>374</v>
      </c>
      <c r="C2154" t="s">
        <v>607</v>
      </c>
      <c r="D2154" t="s">
        <v>1972</v>
      </c>
      <c r="E2154" t="s">
        <v>1973</v>
      </c>
      <c r="F2154" s="13">
        <v>44638.75880787037</v>
      </c>
      <c r="G2154" t="s">
        <v>641</v>
      </c>
      <c r="H2154" t="s">
        <v>642</v>
      </c>
      <c r="I2154" s="13">
        <v>44638.75880787037</v>
      </c>
      <c r="K2154" t="s">
        <v>412</v>
      </c>
      <c r="M2154" s="13">
        <v>44427</v>
      </c>
      <c r="R2154">
        <v>0</v>
      </c>
      <c r="S2154" t="s">
        <v>380</v>
      </c>
      <c r="T2154" t="s">
        <v>57</v>
      </c>
      <c r="V2154" t="s">
        <v>381</v>
      </c>
      <c r="W2154" t="s">
        <v>1974</v>
      </c>
      <c r="X2154" t="s">
        <v>1974</v>
      </c>
      <c r="AC2154" s="13">
        <v>44427</v>
      </c>
      <c r="AD2154" s="13">
        <v>44427</v>
      </c>
      <c r="AI2154">
        <v>-211</v>
      </c>
      <c r="AN2154" t="s">
        <v>31</v>
      </c>
      <c r="AO2154">
        <v>0</v>
      </c>
      <c r="AX2154" t="s">
        <v>57</v>
      </c>
      <c r="AY2154" t="s">
        <v>386</v>
      </c>
      <c r="BF2154">
        <v>0</v>
      </c>
      <c r="BK2154" t="s">
        <v>31</v>
      </c>
      <c r="BS2154" t="s">
        <v>412</v>
      </c>
      <c r="CI2154" t="s">
        <v>388</v>
      </c>
      <c r="CJ2154" s="14">
        <v>45015</v>
      </c>
      <c r="CK2154">
        <v>1</v>
      </c>
    </row>
    <row r="2155" spans="1:89">
      <c r="A2155" t="s">
        <v>1907</v>
      </c>
      <c r="B2155" t="s">
        <v>374</v>
      </c>
      <c r="C2155" t="s">
        <v>607</v>
      </c>
      <c r="D2155" t="s">
        <v>1975</v>
      </c>
      <c r="E2155" t="s">
        <v>1976</v>
      </c>
      <c r="F2155" s="13">
        <v>44638.758796296293</v>
      </c>
      <c r="G2155" t="s">
        <v>641</v>
      </c>
      <c r="H2155" t="s">
        <v>642</v>
      </c>
      <c r="I2155" s="13">
        <v>44638.758796296293</v>
      </c>
      <c r="K2155" t="s">
        <v>412</v>
      </c>
      <c r="M2155" s="13">
        <v>44413</v>
      </c>
      <c r="R2155">
        <v>0</v>
      </c>
      <c r="S2155" t="s">
        <v>380</v>
      </c>
      <c r="T2155" t="s">
        <v>57</v>
      </c>
      <c r="V2155" t="s">
        <v>381</v>
      </c>
      <c r="W2155" t="s">
        <v>1977</v>
      </c>
      <c r="X2155" t="s">
        <v>1977</v>
      </c>
      <c r="AC2155" s="13">
        <v>44413</v>
      </c>
      <c r="AD2155" s="13">
        <v>44413</v>
      </c>
      <c r="AI2155">
        <v>-225</v>
      </c>
      <c r="AN2155" t="s">
        <v>31</v>
      </c>
      <c r="AO2155">
        <v>0</v>
      </c>
      <c r="AS2155" t="s">
        <v>385</v>
      </c>
      <c r="AX2155" t="s">
        <v>57</v>
      </c>
      <c r="AY2155" t="s">
        <v>386</v>
      </c>
      <c r="BF2155">
        <v>0</v>
      </c>
      <c r="BK2155" t="s">
        <v>31</v>
      </c>
      <c r="BS2155" t="s">
        <v>412</v>
      </c>
      <c r="CI2155" t="s">
        <v>388</v>
      </c>
      <c r="CJ2155" s="14">
        <v>45015</v>
      </c>
      <c r="CK2155">
        <v>1</v>
      </c>
    </row>
    <row r="2156" spans="1:89">
      <c r="A2156" t="s">
        <v>1907</v>
      </c>
      <c r="B2156" t="s">
        <v>374</v>
      </c>
      <c r="C2156" t="s">
        <v>607</v>
      </c>
      <c r="D2156" t="s">
        <v>1978</v>
      </c>
      <c r="E2156" t="s">
        <v>1979</v>
      </c>
      <c r="F2156" s="13">
        <v>44638.758796296293</v>
      </c>
      <c r="G2156" t="s">
        <v>641</v>
      </c>
      <c r="H2156" t="s">
        <v>642</v>
      </c>
      <c r="I2156" s="13">
        <v>44638.758796296293</v>
      </c>
      <c r="K2156" t="s">
        <v>412</v>
      </c>
      <c r="M2156" s="13">
        <v>44413</v>
      </c>
      <c r="R2156">
        <v>0</v>
      </c>
      <c r="S2156" t="s">
        <v>380</v>
      </c>
      <c r="T2156" t="s">
        <v>57</v>
      </c>
      <c r="V2156" t="s">
        <v>381</v>
      </c>
      <c r="W2156" t="s">
        <v>1775</v>
      </c>
      <c r="X2156" t="s">
        <v>1775</v>
      </c>
      <c r="AC2156" s="13">
        <v>44413</v>
      </c>
      <c r="AD2156" s="13">
        <v>44413</v>
      </c>
      <c r="AI2156">
        <v>-225</v>
      </c>
      <c r="AN2156" t="s">
        <v>31</v>
      </c>
      <c r="AO2156">
        <v>0</v>
      </c>
      <c r="AS2156" t="s">
        <v>385</v>
      </c>
      <c r="AX2156" t="s">
        <v>57</v>
      </c>
      <c r="AY2156" t="s">
        <v>386</v>
      </c>
      <c r="BF2156">
        <v>0</v>
      </c>
      <c r="BK2156" t="s">
        <v>31</v>
      </c>
      <c r="BS2156" t="s">
        <v>412</v>
      </c>
      <c r="CI2156" t="s">
        <v>388</v>
      </c>
      <c r="CJ2156" s="14">
        <v>45015</v>
      </c>
      <c r="CK2156">
        <v>1</v>
      </c>
    </row>
    <row r="2157" spans="1:89">
      <c r="A2157" t="s">
        <v>1907</v>
      </c>
      <c r="B2157" t="s">
        <v>374</v>
      </c>
      <c r="C2157" t="s">
        <v>607</v>
      </c>
      <c r="D2157" t="s">
        <v>1980</v>
      </c>
      <c r="E2157" t="s">
        <v>1981</v>
      </c>
      <c r="F2157" s="13">
        <v>44638.758784722224</v>
      </c>
      <c r="G2157" t="s">
        <v>641</v>
      </c>
      <c r="H2157" t="s">
        <v>642</v>
      </c>
      <c r="I2157" s="13">
        <v>44638.758784722224</v>
      </c>
      <c r="K2157" t="s">
        <v>412</v>
      </c>
      <c r="M2157" s="13">
        <v>44420</v>
      </c>
      <c r="R2157">
        <v>0</v>
      </c>
      <c r="S2157" t="s">
        <v>380</v>
      </c>
      <c r="T2157" t="s">
        <v>57</v>
      </c>
      <c r="V2157" t="s">
        <v>381</v>
      </c>
      <c r="W2157" t="s">
        <v>1775</v>
      </c>
      <c r="X2157" t="s">
        <v>1775</v>
      </c>
      <c r="AC2157" s="13">
        <v>44420</v>
      </c>
      <c r="AD2157" s="13">
        <v>44420</v>
      </c>
      <c r="AI2157">
        <v>-218</v>
      </c>
      <c r="AN2157" t="s">
        <v>31</v>
      </c>
      <c r="AO2157">
        <v>0</v>
      </c>
      <c r="AS2157" t="s">
        <v>385</v>
      </c>
      <c r="AX2157" t="s">
        <v>57</v>
      </c>
      <c r="AY2157" t="s">
        <v>386</v>
      </c>
      <c r="BF2157">
        <v>0</v>
      </c>
      <c r="BK2157" t="s">
        <v>31</v>
      </c>
      <c r="BS2157" t="s">
        <v>412</v>
      </c>
      <c r="CI2157" t="s">
        <v>388</v>
      </c>
      <c r="CJ2157" s="14">
        <v>45015</v>
      </c>
      <c r="CK2157">
        <v>1</v>
      </c>
    </row>
    <row r="2158" spans="1:89">
      <c r="A2158" t="s">
        <v>1907</v>
      </c>
      <c r="B2158" t="s">
        <v>374</v>
      </c>
      <c r="C2158" t="s">
        <v>607</v>
      </c>
      <c r="D2158" t="s">
        <v>1982</v>
      </c>
      <c r="E2158" t="s">
        <v>1983</v>
      </c>
      <c r="F2158" s="13">
        <v>44638.758784722224</v>
      </c>
      <c r="G2158" t="s">
        <v>641</v>
      </c>
      <c r="H2158" t="s">
        <v>642</v>
      </c>
      <c r="I2158" s="13">
        <v>44638.758784722224</v>
      </c>
      <c r="K2158" t="s">
        <v>412</v>
      </c>
      <c r="M2158" s="13">
        <v>44413</v>
      </c>
      <c r="R2158">
        <v>0</v>
      </c>
      <c r="S2158" t="s">
        <v>380</v>
      </c>
      <c r="T2158" t="s">
        <v>57</v>
      </c>
      <c r="V2158" t="s">
        <v>381</v>
      </c>
      <c r="W2158" t="s">
        <v>1775</v>
      </c>
      <c r="X2158" t="s">
        <v>1775</v>
      </c>
      <c r="AC2158" s="13">
        <v>44413</v>
      </c>
      <c r="AD2158" s="13">
        <v>44413</v>
      </c>
      <c r="AI2158">
        <v>-225</v>
      </c>
      <c r="AN2158" t="s">
        <v>31</v>
      </c>
      <c r="AO2158">
        <v>0</v>
      </c>
      <c r="AX2158" t="s">
        <v>57</v>
      </c>
      <c r="AY2158" t="s">
        <v>386</v>
      </c>
      <c r="BF2158">
        <v>0</v>
      </c>
      <c r="BK2158" t="s">
        <v>31</v>
      </c>
      <c r="BS2158" t="s">
        <v>412</v>
      </c>
      <c r="CI2158" t="s">
        <v>388</v>
      </c>
      <c r="CJ2158" s="14">
        <v>45015</v>
      </c>
      <c r="CK2158">
        <v>1</v>
      </c>
    </row>
    <row r="2159" spans="1:89">
      <c r="A2159" t="s">
        <v>1928</v>
      </c>
      <c r="B2159" t="s">
        <v>374</v>
      </c>
      <c r="C2159" t="s">
        <v>1929</v>
      </c>
      <c r="D2159" t="s">
        <v>1984</v>
      </c>
      <c r="E2159" t="s">
        <v>1985</v>
      </c>
      <c r="F2159" s="13">
        <v>44638.758773148147</v>
      </c>
      <c r="G2159" t="s">
        <v>641</v>
      </c>
      <c r="H2159" t="s">
        <v>642</v>
      </c>
      <c r="I2159" s="13">
        <v>44638.758773148147</v>
      </c>
      <c r="K2159" t="s">
        <v>412</v>
      </c>
      <c r="M2159" s="13">
        <v>44399</v>
      </c>
      <c r="R2159">
        <v>0</v>
      </c>
      <c r="S2159" t="s">
        <v>380</v>
      </c>
      <c r="T2159" t="s">
        <v>57</v>
      </c>
      <c r="V2159" t="s">
        <v>381</v>
      </c>
      <c r="W2159" t="s">
        <v>1986</v>
      </c>
      <c r="X2159" t="s">
        <v>1986</v>
      </c>
      <c r="AC2159" s="13">
        <v>44399</v>
      </c>
      <c r="AD2159" s="13">
        <v>44399</v>
      </c>
      <c r="AI2159">
        <v>-239</v>
      </c>
      <c r="AN2159" t="s">
        <v>31</v>
      </c>
      <c r="AO2159">
        <v>0</v>
      </c>
      <c r="AS2159" t="s">
        <v>707</v>
      </c>
      <c r="AX2159" t="s">
        <v>57</v>
      </c>
      <c r="AY2159" t="s">
        <v>386</v>
      </c>
      <c r="BF2159">
        <v>0</v>
      </c>
      <c r="BK2159" t="s">
        <v>31</v>
      </c>
      <c r="BS2159" t="s">
        <v>412</v>
      </c>
      <c r="CI2159" t="s">
        <v>388</v>
      </c>
      <c r="CJ2159" s="14">
        <v>45015</v>
      </c>
      <c r="CK2159">
        <v>1</v>
      </c>
    </row>
    <row r="2160" spans="1:89">
      <c r="A2160" t="s">
        <v>1928</v>
      </c>
      <c r="B2160" t="s">
        <v>374</v>
      </c>
      <c r="C2160" t="s">
        <v>1929</v>
      </c>
      <c r="D2160" t="s">
        <v>1987</v>
      </c>
      <c r="E2160" t="s">
        <v>1988</v>
      </c>
      <c r="F2160" s="13">
        <v>44638.758773148147</v>
      </c>
      <c r="G2160" t="s">
        <v>641</v>
      </c>
      <c r="H2160" t="s">
        <v>642</v>
      </c>
      <c r="I2160" s="13">
        <v>44638.758773148147</v>
      </c>
      <c r="K2160" t="s">
        <v>412</v>
      </c>
      <c r="M2160" s="13">
        <v>44420</v>
      </c>
      <c r="R2160">
        <v>0</v>
      </c>
      <c r="S2160" t="s">
        <v>380</v>
      </c>
      <c r="T2160" t="s">
        <v>57</v>
      </c>
      <c r="V2160" t="s">
        <v>381</v>
      </c>
      <c r="W2160" t="s">
        <v>1775</v>
      </c>
      <c r="X2160" t="s">
        <v>1775</v>
      </c>
      <c r="AC2160" s="13">
        <v>44420</v>
      </c>
      <c r="AD2160" s="13">
        <v>44420</v>
      </c>
      <c r="AI2160">
        <v>-218</v>
      </c>
      <c r="AN2160" t="s">
        <v>31</v>
      </c>
      <c r="AO2160">
        <v>0</v>
      </c>
      <c r="AS2160" t="s">
        <v>538</v>
      </c>
      <c r="AX2160" t="s">
        <v>57</v>
      </c>
      <c r="AY2160" t="s">
        <v>386</v>
      </c>
      <c r="BF2160">
        <v>0</v>
      </c>
      <c r="BK2160" t="s">
        <v>31</v>
      </c>
      <c r="BS2160" t="s">
        <v>412</v>
      </c>
      <c r="CI2160" t="s">
        <v>388</v>
      </c>
      <c r="CJ2160" s="14">
        <v>45015</v>
      </c>
      <c r="CK2160">
        <v>1</v>
      </c>
    </row>
    <row r="2161" spans="1:89">
      <c r="A2161" t="s">
        <v>1989</v>
      </c>
      <c r="B2161" t="s">
        <v>374</v>
      </c>
      <c r="C2161" t="s">
        <v>1990</v>
      </c>
      <c r="D2161" t="s">
        <v>1991</v>
      </c>
      <c r="E2161" t="s">
        <v>1992</v>
      </c>
      <c r="F2161" s="13">
        <v>44638.758773148147</v>
      </c>
      <c r="G2161" t="s">
        <v>641</v>
      </c>
      <c r="H2161" t="s">
        <v>642</v>
      </c>
      <c r="I2161" s="13">
        <v>44638.758773148147</v>
      </c>
      <c r="K2161" t="s">
        <v>412</v>
      </c>
      <c r="M2161" s="13">
        <v>44420</v>
      </c>
      <c r="R2161">
        <v>0</v>
      </c>
      <c r="S2161" t="s">
        <v>380</v>
      </c>
      <c r="T2161" t="s">
        <v>57</v>
      </c>
      <c r="V2161" t="s">
        <v>381</v>
      </c>
      <c r="W2161" t="s">
        <v>1775</v>
      </c>
      <c r="X2161" t="s">
        <v>1775</v>
      </c>
      <c r="AC2161" s="13">
        <v>44420</v>
      </c>
      <c r="AD2161" s="13">
        <v>44420</v>
      </c>
      <c r="AI2161">
        <v>-218</v>
      </c>
      <c r="AN2161" t="s">
        <v>31</v>
      </c>
      <c r="AO2161">
        <v>0</v>
      </c>
      <c r="AS2161" t="s">
        <v>385</v>
      </c>
      <c r="AX2161" t="s">
        <v>57</v>
      </c>
      <c r="AY2161" t="s">
        <v>386</v>
      </c>
      <c r="BF2161">
        <v>0</v>
      </c>
      <c r="BK2161" t="s">
        <v>31</v>
      </c>
      <c r="BS2161" t="s">
        <v>412</v>
      </c>
      <c r="CI2161" t="s">
        <v>388</v>
      </c>
      <c r="CJ2161" s="14">
        <v>45015</v>
      </c>
      <c r="CK2161">
        <v>1</v>
      </c>
    </row>
    <row r="2162" spans="1:89">
      <c r="A2162" t="s">
        <v>1928</v>
      </c>
      <c r="B2162" t="s">
        <v>374</v>
      </c>
      <c r="C2162" t="s">
        <v>1929</v>
      </c>
      <c r="D2162" t="s">
        <v>1993</v>
      </c>
      <c r="E2162" t="s">
        <v>1994</v>
      </c>
      <c r="F2162" s="13">
        <v>44638.758761574078</v>
      </c>
      <c r="G2162" t="s">
        <v>641</v>
      </c>
      <c r="H2162" t="s">
        <v>642</v>
      </c>
      <c r="I2162" s="13">
        <v>44638.758761574078</v>
      </c>
      <c r="K2162" t="s">
        <v>412</v>
      </c>
      <c r="M2162" s="13">
        <v>44404</v>
      </c>
      <c r="R2162">
        <v>0</v>
      </c>
      <c r="S2162" t="s">
        <v>380</v>
      </c>
      <c r="T2162" t="s">
        <v>57</v>
      </c>
      <c r="V2162" t="s">
        <v>381</v>
      </c>
      <c r="W2162" t="s">
        <v>1995</v>
      </c>
      <c r="X2162" t="s">
        <v>1995</v>
      </c>
      <c r="AC2162" s="13">
        <v>44404</v>
      </c>
      <c r="AD2162" s="13">
        <v>44404</v>
      </c>
      <c r="AI2162">
        <v>-234</v>
      </c>
      <c r="AN2162" t="s">
        <v>31</v>
      </c>
      <c r="AO2162">
        <v>0</v>
      </c>
      <c r="AS2162" t="s">
        <v>385</v>
      </c>
      <c r="AX2162" t="s">
        <v>57</v>
      </c>
      <c r="AY2162" t="s">
        <v>386</v>
      </c>
      <c r="BF2162">
        <v>0</v>
      </c>
      <c r="BK2162" t="s">
        <v>31</v>
      </c>
      <c r="BS2162" t="s">
        <v>412</v>
      </c>
      <c r="CI2162" t="s">
        <v>388</v>
      </c>
      <c r="CJ2162" s="14">
        <v>45015</v>
      </c>
      <c r="CK2162">
        <v>1</v>
      </c>
    </row>
    <row r="2163" spans="1:89">
      <c r="A2163" t="s">
        <v>1907</v>
      </c>
      <c r="B2163" t="s">
        <v>374</v>
      </c>
      <c r="C2163" t="s">
        <v>607</v>
      </c>
      <c r="D2163" t="s">
        <v>1996</v>
      </c>
      <c r="E2163" t="s">
        <v>1997</v>
      </c>
      <c r="F2163" s="13">
        <v>44638.758761574078</v>
      </c>
      <c r="G2163" t="s">
        <v>641</v>
      </c>
      <c r="H2163" t="s">
        <v>642</v>
      </c>
      <c r="I2163" s="13">
        <v>44638.758761574078</v>
      </c>
      <c r="K2163" t="s">
        <v>412</v>
      </c>
      <c r="M2163" s="13">
        <v>44404</v>
      </c>
      <c r="R2163">
        <v>0</v>
      </c>
      <c r="S2163" t="s">
        <v>380</v>
      </c>
      <c r="T2163" t="s">
        <v>57</v>
      </c>
      <c r="V2163" t="s">
        <v>381</v>
      </c>
      <c r="W2163" t="s">
        <v>1995</v>
      </c>
      <c r="X2163" t="s">
        <v>1995</v>
      </c>
      <c r="AC2163" s="13">
        <v>44404</v>
      </c>
      <c r="AD2163" s="13">
        <v>44404</v>
      </c>
      <c r="AI2163">
        <v>-234</v>
      </c>
      <c r="AN2163" t="s">
        <v>31</v>
      </c>
      <c r="AO2163">
        <v>0</v>
      </c>
      <c r="AS2163" t="s">
        <v>385</v>
      </c>
      <c r="AX2163" t="s">
        <v>57</v>
      </c>
      <c r="AY2163" t="s">
        <v>386</v>
      </c>
      <c r="BF2163">
        <v>0</v>
      </c>
      <c r="BK2163" t="s">
        <v>31</v>
      </c>
      <c r="BS2163" t="s">
        <v>412</v>
      </c>
      <c r="CI2163" t="s">
        <v>388</v>
      </c>
      <c r="CJ2163" s="14">
        <v>45015</v>
      </c>
      <c r="CK2163">
        <v>1</v>
      </c>
    </row>
    <row r="2164" spans="1:89">
      <c r="A2164" t="s">
        <v>1907</v>
      </c>
      <c r="B2164" t="s">
        <v>374</v>
      </c>
      <c r="C2164" t="s">
        <v>607</v>
      </c>
      <c r="D2164" t="s">
        <v>1998</v>
      </c>
      <c r="E2164" t="s">
        <v>1999</v>
      </c>
      <c r="F2164" s="13">
        <v>44638.758750000001</v>
      </c>
      <c r="G2164" t="s">
        <v>641</v>
      </c>
      <c r="H2164" t="s">
        <v>642</v>
      </c>
      <c r="I2164" s="13">
        <v>44638.758750000001</v>
      </c>
      <c r="K2164" t="s">
        <v>412</v>
      </c>
      <c r="M2164" s="13">
        <v>44404</v>
      </c>
      <c r="R2164">
        <v>0</v>
      </c>
      <c r="S2164" t="s">
        <v>380</v>
      </c>
      <c r="T2164" t="s">
        <v>57</v>
      </c>
      <c r="V2164" t="s">
        <v>381</v>
      </c>
      <c r="W2164" t="s">
        <v>1995</v>
      </c>
      <c r="X2164" t="s">
        <v>1995</v>
      </c>
      <c r="AC2164" s="13">
        <v>44404</v>
      </c>
      <c r="AD2164" s="13">
        <v>44404</v>
      </c>
      <c r="AI2164">
        <v>-234</v>
      </c>
      <c r="AN2164" t="s">
        <v>31</v>
      </c>
      <c r="AO2164">
        <v>0</v>
      </c>
      <c r="AS2164" t="s">
        <v>385</v>
      </c>
      <c r="AX2164" t="s">
        <v>57</v>
      </c>
      <c r="AY2164" t="s">
        <v>386</v>
      </c>
      <c r="BF2164">
        <v>0</v>
      </c>
      <c r="BK2164" t="s">
        <v>31</v>
      </c>
      <c r="BS2164" t="s">
        <v>412</v>
      </c>
      <c r="CI2164" t="s">
        <v>388</v>
      </c>
      <c r="CJ2164" s="14">
        <v>45015</v>
      </c>
      <c r="CK2164">
        <v>1</v>
      </c>
    </row>
    <row r="2165" spans="1:89">
      <c r="A2165" t="s">
        <v>1907</v>
      </c>
      <c r="B2165" t="s">
        <v>374</v>
      </c>
      <c r="C2165" t="s">
        <v>607</v>
      </c>
      <c r="D2165" t="s">
        <v>2000</v>
      </c>
      <c r="E2165" t="s">
        <v>2001</v>
      </c>
      <c r="F2165" s="13">
        <v>44638.758750000001</v>
      </c>
      <c r="G2165" t="s">
        <v>641</v>
      </c>
      <c r="H2165" t="s">
        <v>642</v>
      </c>
      <c r="I2165" s="13">
        <v>44638.758750000001</v>
      </c>
      <c r="K2165" t="s">
        <v>412</v>
      </c>
      <c r="M2165" s="13">
        <v>44392</v>
      </c>
      <c r="R2165">
        <v>0</v>
      </c>
      <c r="S2165" t="s">
        <v>380</v>
      </c>
      <c r="T2165" t="s">
        <v>57</v>
      </c>
      <c r="V2165" t="s">
        <v>381</v>
      </c>
      <c r="W2165" t="s">
        <v>2002</v>
      </c>
      <c r="X2165" t="s">
        <v>2002</v>
      </c>
      <c r="AC2165" s="13">
        <v>44392</v>
      </c>
      <c r="AD2165" s="13">
        <v>44392</v>
      </c>
      <c r="AI2165">
        <v>-246</v>
      </c>
      <c r="AN2165" t="s">
        <v>31</v>
      </c>
      <c r="AO2165">
        <v>0</v>
      </c>
      <c r="AX2165" t="s">
        <v>57</v>
      </c>
      <c r="AY2165" t="s">
        <v>386</v>
      </c>
      <c r="BF2165">
        <v>0</v>
      </c>
      <c r="BK2165" t="s">
        <v>31</v>
      </c>
      <c r="BS2165" t="s">
        <v>412</v>
      </c>
      <c r="CI2165" t="s">
        <v>388</v>
      </c>
      <c r="CJ2165" s="14">
        <v>45015</v>
      </c>
      <c r="CK2165">
        <v>1</v>
      </c>
    </row>
    <row r="2166" spans="1:89">
      <c r="A2166" t="s">
        <v>1907</v>
      </c>
      <c r="B2166" t="s">
        <v>374</v>
      </c>
      <c r="C2166" t="s">
        <v>607</v>
      </c>
      <c r="D2166" t="s">
        <v>2003</v>
      </c>
      <c r="E2166" t="s">
        <v>2004</v>
      </c>
      <c r="F2166" s="13">
        <v>44638.758738425924</v>
      </c>
      <c r="G2166" t="s">
        <v>641</v>
      </c>
      <c r="H2166" t="s">
        <v>642</v>
      </c>
      <c r="I2166" s="13">
        <v>44638.758738425924</v>
      </c>
      <c r="K2166" t="s">
        <v>412</v>
      </c>
      <c r="M2166" s="13">
        <v>44369</v>
      </c>
      <c r="R2166">
        <v>0</v>
      </c>
      <c r="S2166" t="s">
        <v>380</v>
      </c>
      <c r="T2166" t="s">
        <v>57</v>
      </c>
      <c r="V2166" t="s">
        <v>381</v>
      </c>
      <c r="W2166" t="s">
        <v>2005</v>
      </c>
      <c r="X2166" t="s">
        <v>2005</v>
      </c>
      <c r="AC2166" s="13">
        <v>44369</v>
      </c>
      <c r="AD2166" s="13">
        <v>44369</v>
      </c>
      <c r="AI2166">
        <v>-269</v>
      </c>
      <c r="AN2166" t="s">
        <v>31</v>
      </c>
      <c r="AO2166">
        <v>0</v>
      </c>
      <c r="AS2166" t="s">
        <v>526</v>
      </c>
      <c r="AX2166" t="s">
        <v>57</v>
      </c>
      <c r="AY2166" t="s">
        <v>386</v>
      </c>
      <c r="BF2166">
        <v>0</v>
      </c>
      <c r="BK2166" t="s">
        <v>31</v>
      </c>
      <c r="BS2166" t="s">
        <v>412</v>
      </c>
      <c r="CI2166" t="s">
        <v>388</v>
      </c>
      <c r="CJ2166" s="14">
        <v>45015</v>
      </c>
      <c r="CK2166">
        <v>1</v>
      </c>
    </row>
    <row r="2167" spans="1:89">
      <c r="A2167" t="s">
        <v>1858</v>
      </c>
      <c r="B2167" t="s">
        <v>374</v>
      </c>
      <c r="C2167" t="s">
        <v>1859</v>
      </c>
      <c r="D2167" t="s">
        <v>2006</v>
      </c>
      <c r="E2167" t="s">
        <v>2007</v>
      </c>
      <c r="F2167" s="13">
        <v>44638.758738425924</v>
      </c>
      <c r="G2167" t="s">
        <v>641</v>
      </c>
      <c r="H2167" t="s">
        <v>642</v>
      </c>
      <c r="I2167" s="13">
        <v>44638.758738425924</v>
      </c>
      <c r="K2167" t="s">
        <v>412</v>
      </c>
      <c r="M2167" s="13">
        <v>44386</v>
      </c>
      <c r="R2167">
        <v>0</v>
      </c>
      <c r="S2167" t="s">
        <v>380</v>
      </c>
      <c r="T2167" t="s">
        <v>57</v>
      </c>
      <c r="V2167" t="s">
        <v>381</v>
      </c>
      <c r="W2167" t="s">
        <v>1775</v>
      </c>
      <c r="X2167" t="s">
        <v>1775</v>
      </c>
      <c r="AC2167" s="13">
        <v>44386</v>
      </c>
      <c r="AD2167" s="13">
        <v>44386</v>
      </c>
      <c r="AI2167">
        <v>-252</v>
      </c>
      <c r="AN2167" t="s">
        <v>31</v>
      </c>
      <c r="AO2167">
        <v>0</v>
      </c>
      <c r="AS2167" t="s">
        <v>385</v>
      </c>
      <c r="AX2167" t="s">
        <v>57</v>
      </c>
      <c r="AY2167" t="s">
        <v>386</v>
      </c>
      <c r="BF2167">
        <v>0</v>
      </c>
      <c r="BK2167" t="s">
        <v>31</v>
      </c>
      <c r="BS2167" t="s">
        <v>412</v>
      </c>
      <c r="CI2167" t="s">
        <v>388</v>
      </c>
      <c r="CJ2167" s="14">
        <v>45015</v>
      </c>
      <c r="CK2167">
        <v>1</v>
      </c>
    </row>
    <row r="2168" spans="1:89">
      <c r="A2168" t="s">
        <v>1907</v>
      </c>
      <c r="B2168" t="s">
        <v>374</v>
      </c>
      <c r="C2168" t="s">
        <v>607</v>
      </c>
      <c r="D2168" t="s">
        <v>2008</v>
      </c>
      <c r="E2168" t="s">
        <v>2009</v>
      </c>
      <c r="F2168" s="13">
        <v>44638.758726851855</v>
      </c>
      <c r="G2168" t="s">
        <v>641</v>
      </c>
      <c r="H2168" t="s">
        <v>642</v>
      </c>
      <c r="I2168" s="13">
        <v>44638.758726851855</v>
      </c>
      <c r="K2168" t="s">
        <v>412</v>
      </c>
      <c r="M2168" s="13">
        <v>44371</v>
      </c>
      <c r="R2168">
        <v>0</v>
      </c>
      <c r="S2168" t="s">
        <v>380</v>
      </c>
      <c r="T2168" t="s">
        <v>57</v>
      </c>
      <c r="V2168" t="s">
        <v>381</v>
      </c>
      <c r="W2168" t="s">
        <v>1762</v>
      </c>
      <c r="X2168" t="s">
        <v>1762</v>
      </c>
      <c r="AC2168" s="13">
        <v>44371</v>
      </c>
      <c r="AD2168" s="13">
        <v>44371</v>
      </c>
      <c r="AI2168">
        <v>-267</v>
      </c>
      <c r="AN2168" t="s">
        <v>31</v>
      </c>
      <c r="AO2168">
        <v>0</v>
      </c>
      <c r="AS2168" t="s">
        <v>526</v>
      </c>
      <c r="AX2168" t="s">
        <v>57</v>
      </c>
      <c r="AY2168" t="s">
        <v>386</v>
      </c>
      <c r="BF2168">
        <v>0</v>
      </c>
      <c r="BK2168" t="s">
        <v>31</v>
      </c>
      <c r="BS2168" t="s">
        <v>412</v>
      </c>
      <c r="CI2168" t="s">
        <v>388</v>
      </c>
      <c r="CJ2168" s="14">
        <v>45015</v>
      </c>
      <c r="CK2168">
        <v>1</v>
      </c>
    </row>
    <row r="2169" spans="1:89">
      <c r="A2169" t="s">
        <v>1946</v>
      </c>
      <c r="B2169" t="s">
        <v>374</v>
      </c>
      <c r="C2169" t="s">
        <v>1947</v>
      </c>
      <c r="D2169" t="s">
        <v>2010</v>
      </c>
      <c r="E2169" t="s">
        <v>2011</v>
      </c>
      <c r="F2169" s="13">
        <v>44638.758726851855</v>
      </c>
      <c r="G2169" t="s">
        <v>641</v>
      </c>
      <c r="H2169" t="s">
        <v>642</v>
      </c>
      <c r="I2169" s="13">
        <v>44638.758726851855</v>
      </c>
      <c r="K2169" t="s">
        <v>412</v>
      </c>
      <c r="M2169" s="13">
        <v>44635</v>
      </c>
      <c r="R2169">
        <v>0</v>
      </c>
      <c r="S2169" t="s">
        <v>380</v>
      </c>
      <c r="T2169" t="s">
        <v>57</v>
      </c>
      <c r="V2169" t="s">
        <v>381</v>
      </c>
      <c r="W2169" t="s">
        <v>1709</v>
      </c>
      <c r="X2169" t="s">
        <v>1709</v>
      </c>
      <c r="AC2169" s="13">
        <v>44635</v>
      </c>
      <c r="AD2169" s="13">
        <v>44635</v>
      </c>
      <c r="AI2169">
        <v>-3</v>
      </c>
      <c r="AN2169" t="s">
        <v>31</v>
      </c>
      <c r="AO2169">
        <v>0</v>
      </c>
      <c r="AS2169" t="s">
        <v>385</v>
      </c>
      <c r="AX2169" t="s">
        <v>57</v>
      </c>
      <c r="AY2169" t="s">
        <v>386</v>
      </c>
      <c r="BF2169">
        <v>0</v>
      </c>
      <c r="BK2169" t="s">
        <v>31</v>
      </c>
      <c r="BS2169" t="s">
        <v>412</v>
      </c>
      <c r="CI2169" t="s">
        <v>388</v>
      </c>
      <c r="CJ2169" s="14">
        <v>45015</v>
      </c>
      <c r="CK2169">
        <v>1</v>
      </c>
    </row>
    <row r="2170" spans="1:89">
      <c r="A2170" t="s">
        <v>1946</v>
      </c>
      <c r="B2170" t="s">
        <v>374</v>
      </c>
      <c r="C2170" t="s">
        <v>1947</v>
      </c>
      <c r="D2170" t="s">
        <v>2012</v>
      </c>
      <c r="E2170" t="s">
        <v>2013</v>
      </c>
      <c r="F2170" s="13">
        <v>44638.758726851855</v>
      </c>
      <c r="G2170" t="s">
        <v>641</v>
      </c>
      <c r="H2170" t="s">
        <v>642</v>
      </c>
      <c r="I2170" s="13">
        <v>44638.758726851855</v>
      </c>
      <c r="K2170" t="s">
        <v>412</v>
      </c>
      <c r="M2170" s="13">
        <v>44380</v>
      </c>
      <c r="R2170">
        <v>0</v>
      </c>
      <c r="S2170" t="s">
        <v>380</v>
      </c>
      <c r="T2170" t="s">
        <v>57</v>
      </c>
      <c r="V2170" t="s">
        <v>381</v>
      </c>
      <c r="W2170" t="s">
        <v>1775</v>
      </c>
      <c r="X2170" t="s">
        <v>1775</v>
      </c>
      <c r="AC2170" s="13">
        <v>44380</v>
      </c>
      <c r="AD2170" s="13">
        <v>44380</v>
      </c>
      <c r="AI2170">
        <v>-258</v>
      </c>
      <c r="AN2170" t="s">
        <v>31</v>
      </c>
      <c r="AO2170">
        <v>0</v>
      </c>
      <c r="AX2170" t="s">
        <v>57</v>
      </c>
      <c r="AY2170" t="s">
        <v>386</v>
      </c>
      <c r="BF2170">
        <v>0</v>
      </c>
      <c r="BK2170" t="s">
        <v>31</v>
      </c>
      <c r="BS2170" t="s">
        <v>412</v>
      </c>
      <c r="CI2170" t="s">
        <v>388</v>
      </c>
      <c r="CJ2170" s="14">
        <v>45015</v>
      </c>
      <c r="CK2170">
        <v>1</v>
      </c>
    </row>
    <row r="2171" spans="1:89">
      <c r="A2171" t="s">
        <v>1946</v>
      </c>
      <c r="B2171" t="s">
        <v>374</v>
      </c>
      <c r="C2171" t="s">
        <v>1947</v>
      </c>
      <c r="D2171" t="s">
        <v>2014</v>
      </c>
      <c r="E2171" t="s">
        <v>2015</v>
      </c>
      <c r="F2171" s="13">
        <v>44638.758715277778</v>
      </c>
      <c r="G2171" t="s">
        <v>641</v>
      </c>
      <c r="H2171" t="s">
        <v>642</v>
      </c>
      <c r="I2171" s="13">
        <v>44638.758715277778</v>
      </c>
      <c r="K2171" t="s">
        <v>412</v>
      </c>
      <c r="M2171" s="13">
        <v>44635</v>
      </c>
      <c r="R2171">
        <v>0</v>
      </c>
      <c r="S2171" t="s">
        <v>380</v>
      </c>
      <c r="T2171" t="s">
        <v>57</v>
      </c>
      <c r="V2171" t="s">
        <v>381</v>
      </c>
      <c r="W2171" t="s">
        <v>1762</v>
      </c>
      <c r="X2171" t="s">
        <v>1762</v>
      </c>
      <c r="AC2171" s="13">
        <v>44635</v>
      </c>
      <c r="AD2171" s="13">
        <v>44635</v>
      </c>
      <c r="AI2171">
        <v>-3</v>
      </c>
      <c r="AN2171" t="s">
        <v>31</v>
      </c>
      <c r="AO2171">
        <v>0</v>
      </c>
      <c r="AS2171" t="s">
        <v>385</v>
      </c>
      <c r="AX2171" t="s">
        <v>57</v>
      </c>
      <c r="AY2171" t="s">
        <v>386</v>
      </c>
      <c r="BF2171">
        <v>0</v>
      </c>
      <c r="BK2171" t="s">
        <v>31</v>
      </c>
      <c r="BS2171" t="s">
        <v>412</v>
      </c>
      <c r="CI2171" t="s">
        <v>388</v>
      </c>
      <c r="CJ2171" s="14">
        <v>45015</v>
      </c>
      <c r="CK2171">
        <v>1</v>
      </c>
    </row>
    <row r="2172" spans="1:89">
      <c r="A2172" t="s">
        <v>1946</v>
      </c>
      <c r="B2172" t="s">
        <v>374</v>
      </c>
      <c r="C2172" t="s">
        <v>1947</v>
      </c>
      <c r="D2172" t="s">
        <v>2016</v>
      </c>
      <c r="E2172" t="s">
        <v>2017</v>
      </c>
      <c r="F2172" s="13">
        <v>44638.758715277778</v>
      </c>
      <c r="G2172" t="s">
        <v>641</v>
      </c>
      <c r="H2172" t="s">
        <v>642</v>
      </c>
      <c r="I2172" s="13">
        <v>44638.758715277778</v>
      </c>
      <c r="K2172" t="s">
        <v>412</v>
      </c>
      <c r="M2172" s="13">
        <v>44635</v>
      </c>
      <c r="R2172">
        <v>0</v>
      </c>
      <c r="S2172" t="s">
        <v>380</v>
      </c>
      <c r="T2172" t="s">
        <v>57</v>
      </c>
      <c r="V2172" t="s">
        <v>381</v>
      </c>
      <c r="W2172" t="s">
        <v>1762</v>
      </c>
      <c r="X2172" t="s">
        <v>1762</v>
      </c>
      <c r="AC2172" s="13">
        <v>44635</v>
      </c>
      <c r="AD2172" s="13">
        <v>44635</v>
      </c>
      <c r="AI2172">
        <v>-3</v>
      </c>
      <c r="AN2172" t="s">
        <v>31</v>
      </c>
      <c r="AO2172">
        <v>0</v>
      </c>
      <c r="AS2172" t="s">
        <v>385</v>
      </c>
      <c r="AX2172" t="s">
        <v>57</v>
      </c>
      <c r="AY2172" t="s">
        <v>386</v>
      </c>
      <c r="BF2172">
        <v>0</v>
      </c>
      <c r="BK2172" t="s">
        <v>31</v>
      </c>
      <c r="BS2172" t="s">
        <v>412</v>
      </c>
      <c r="CI2172" t="s">
        <v>388</v>
      </c>
      <c r="CJ2172" s="14">
        <v>45015</v>
      </c>
      <c r="CK2172">
        <v>1</v>
      </c>
    </row>
    <row r="2173" spans="1:89">
      <c r="A2173" t="s">
        <v>2018</v>
      </c>
      <c r="B2173" t="s">
        <v>374</v>
      </c>
      <c r="C2173" t="s">
        <v>2019</v>
      </c>
      <c r="D2173" t="s">
        <v>2020</v>
      </c>
      <c r="E2173" t="s">
        <v>2021</v>
      </c>
      <c r="F2173" s="13">
        <v>44638.758703703701</v>
      </c>
      <c r="G2173" t="s">
        <v>641</v>
      </c>
      <c r="H2173" t="s">
        <v>642</v>
      </c>
      <c r="I2173" s="13">
        <v>44638.758703703701</v>
      </c>
      <c r="K2173" t="s">
        <v>412</v>
      </c>
      <c r="M2173" s="13">
        <v>44650</v>
      </c>
      <c r="R2173">
        <v>0</v>
      </c>
      <c r="S2173" t="s">
        <v>380</v>
      </c>
      <c r="T2173" t="s">
        <v>57</v>
      </c>
      <c r="V2173" t="s">
        <v>381</v>
      </c>
      <c r="W2173" t="s">
        <v>1932</v>
      </c>
      <c r="X2173" t="s">
        <v>1932</v>
      </c>
      <c r="AC2173" s="13">
        <v>44650</v>
      </c>
      <c r="AD2173" s="13">
        <v>44650</v>
      </c>
      <c r="AI2173">
        <v>12</v>
      </c>
      <c r="AN2173" t="s">
        <v>31</v>
      </c>
      <c r="AO2173">
        <v>0</v>
      </c>
      <c r="AS2173" t="s">
        <v>385</v>
      </c>
      <c r="AX2173" t="s">
        <v>57</v>
      </c>
      <c r="AY2173" t="s">
        <v>386</v>
      </c>
      <c r="BF2173">
        <v>0</v>
      </c>
      <c r="BK2173" t="s">
        <v>31</v>
      </c>
      <c r="BS2173" t="s">
        <v>412</v>
      </c>
      <c r="CI2173" t="s">
        <v>388</v>
      </c>
      <c r="CJ2173" s="14">
        <v>45015</v>
      </c>
      <c r="CK2173">
        <v>1</v>
      </c>
    </row>
    <row r="2174" spans="1:89">
      <c r="A2174" t="s">
        <v>2022</v>
      </c>
      <c r="B2174" t="s">
        <v>374</v>
      </c>
      <c r="C2174" t="s">
        <v>1182</v>
      </c>
      <c r="D2174" t="s">
        <v>2023</v>
      </c>
      <c r="E2174" t="s">
        <v>2024</v>
      </c>
      <c r="F2174" s="13">
        <v>44638.758703703701</v>
      </c>
      <c r="G2174" t="s">
        <v>641</v>
      </c>
      <c r="H2174" t="s">
        <v>642</v>
      </c>
      <c r="I2174" s="13">
        <v>44638.758703703701</v>
      </c>
      <c r="K2174" t="s">
        <v>412</v>
      </c>
      <c r="M2174" s="13">
        <v>44427</v>
      </c>
      <c r="R2174">
        <v>0</v>
      </c>
      <c r="S2174" t="s">
        <v>380</v>
      </c>
      <c r="T2174" t="s">
        <v>57</v>
      </c>
      <c r="V2174" t="s">
        <v>381</v>
      </c>
      <c r="W2174" t="s">
        <v>1974</v>
      </c>
      <c r="X2174" t="s">
        <v>1974</v>
      </c>
      <c r="AC2174" s="13">
        <v>44427</v>
      </c>
      <c r="AD2174" s="13">
        <v>44427</v>
      </c>
      <c r="AI2174">
        <v>-211</v>
      </c>
      <c r="AN2174" t="s">
        <v>31</v>
      </c>
      <c r="AO2174">
        <v>0</v>
      </c>
      <c r="AS2174" t="s">
        <v>648</v>
      </c>
      <c r="AX2174" t="s">
        <v>57</v>
      </c>
      <c r="AY2174" t="s">
        <v>386</v>
      </c>
      <c r="BF2174">
        <v>0</v>
      </c>
      <c r="BK2174" t="s">
        <v>31</v>
      </c>
      <c r="BS2174" t="s">
        <v>412</v>
      </c>
      <c r="CI2174" t="s">
        <v>388</v>
      </c>
      <c r="CJ2174" s="14">
        <v>45015</v>
      </c>
      <c r="CK2174">
        <v>1</v>
      </c>
    </row>
    <row r="2175" spans="1:89">
      <c r="A2175" t="s">
        <v>2022</v>
      </c>
      <c r="B2175" t="s">
        <v>374</v>
      </c>
      <c r="C2175" t="s">
        <v>1182</v>
      </c>
      <c r="D2175" t="s">
        <v>2025</v>
      </c>
      <c r="E2175" t="s">
        <v>2026</v>
      </c>
      <c r="F2175" s="13">
        <v>44638.758692129632</v>
      </c>
      <c r="G2175" t="s">
        <v>641</v>
      </c>
      <c r="H2175" t="s">
        <v>642</v>
      </c>
      <c r="I2175" s="13">
        <v>44638.758692129632</v>
      </c>
      <c r="K2175" t="s">
        <v>412</v>
      </c>
      <c r="M2175" s="13">
        <v>44399</v>
      </c>
      <c r="R2175">
        <v>0</v>
      </c>
      <c r="S2175" t="s">
        <v>380</v>
      </c>
      <c r="T2175" t="s">
        <v>57</v>
      </c>
      <c r="V2175" t="s">
        <v>381</v>
      </c>
      <c r="W2175" t="s">
        <v>2027</v>
      </c>
      <c r="X2175" t="s">
        <v>2027</v>
      </c>
      <c r="AC2175" s="13">
        <v>44399</v>
      </c>
      <c r="AD2175" s="13">
        <v>44399</v>
      </c>
      <c r="AI2175">
        <v>-239</v>
      </c>
      <c r="AN2175" t="s">
        <v>31</v>
      </c>
      <c r="AO2175">
        <v>0</v>
      </c>
      <c r="AS2175" t="s">
        <v>385</v>
      </c>
      <c r="AX2175" t="s">
        <v>57</v>
      </c>
      <c r="AY2175" t="s">
        <v>386</v>
      </c>
      <c r="BF2175">
        <v>0</v>
      </c>
      <c r="BK2175" t="s">
        <v>31</v>
      </c>
      <c r="BS2175" t="s">
        <v>412</v>
      </c>
      <c r="CI2175" t="s">
        <v>388</v>
      </c>
      <c r="CJ2175" s="14">
        <v>45015</v>
      </c>
      <c r="CK2175">
        <v>1</v>
      </c>
    </row>
    <row r="2176" spans="1:89">
      <c r="A2176" t="s">
        <v>2028</v>
      </c>
      <c r="B2176" t="s">
        <v>374</v>
      </c>
      <c r="C2176" t="s">
        <v>20</v>
      </c>
      <c r="D2176" t="s">
        <v>2029</v>
      </c>
      <c r="E2176" t="s">
        <v>2030</v>
      </c>
      <c r="F2176" s="13">
        <v>44638.758692129632</v>
      </c>
      <c r="G2176" t="s">
        <v>641</v>
      </c>
      <c r="H2176" t="s">
        <v>642</v>
      </c>
      <c r="I2176" s="13">
        <v>44638.758692129632</v>
      </c>
      <c r="K2176" t="s">
        <v>412</v>
      </c>
      <c r="M2176" s="13">
        <v>44552</v>
      </c>
      <c r="R2176">
        <v>0</v>
      </c>
      <c r="S2176" t="s">
        <v>380</v>
      </c>
      <c r="T2176" t="s">
        <v>57</v>
      </c>
      <c r="V2176" t="s">
        <v>381</v>
      </c>
      <c r="W2176" t="s">
        <v>2031</v>
      </c>
      <c r="X2176" t="s">
        <v>2031</v>
      </c>
      <c r="AC2176" s="13">
        <v>44552</v>
      </c>
      <c r="AD2176" s="13">
        <v>44552</v>
      </c>
      <c r="AI2176">
        <v>-86</v>
      </c>
      <c r="AN2176" t="s">
        <v>31</v>
      </c>
      <c r="AO2176">
        <v>0</v>
      </c>
      <c r="AS2176" t="s">
        <v>648</v>
      </c>
      <c r="AX2176" t="s">
        <v>57</v>
      </c>
      <c r="AY2176" t="s">
        <v>386</v>
      </c>
      <c r="BF2176">
        <v>0</v>
      </c>
      <c r="BK2176" t="s">
        <v>31</v>
      </c>
      <c r="BS2176" t="s">
        <v>412</v>
      </c>
      <c r="CI2176" t="s">
        <v>388</v>
      </c>
      <c r="CJ2176" s="14">
        <v>45015</v>
      </c>
      <c r="CK2176">
        <v>1</v>
      </c>
    </row>
    <row r="2177" spans="1:89">
      <c r="A2177" t="s">
        <v>1858</v>
      </c>
      <c r="B2177" t="s">
        <v>374</v>
      </c>
      <c r="C2177" t="s">
        <v>1859</v>
      </c>
      <c r="D2177" t="s">
        <v>2032</v>
      </c>
      <c r="E2177" t="s">
        <v>2033</v>
      </c>
      <c r="F2177" s="13">
        <v>44638.758680555555</v>
      </c>
      <c r="G2177" t="s">
        <v>641</v>
      </c>
      <c r="H2177" t="s">
        <v>642</v>
      </c>
      <c r="I2177" s="13">
        <v>44638.758680555555</v>
      </c>
      <c r="K2177" t="s">
        <v>412</v>
      </c>
      <c r="M2177" s="13">
        <v>41578</v>
      </c>
      <c r="R2177">
        <v>0</v>
      </c>
      <c r="S2177" t="s">
        <v>380</v>
      </c>
      <c r="T2177" t="s">
        <v>57</v>
      </c>
      <c r="V2177" t="s">
        <v>381</v>
      </c>
      <c r="W2177" t="s">
        <v>1932</v>
      </c>
      <c r="X2177" t="s">
        <v>1932</v>
      </c>
      <c r="AC2177" s="13">
        <v>41578</v>
      </c>
      <c r="AD2177" s="13">
        <v>41578</v>
      </c>
      <c r="AI2177">
        <v>-3060</v>
      </c>
      <c r="AN2177" t="s">
        <v>31</v>
      </c>
      <c r="AO2177">
        <v>0</v>
      </c>
      <c r="AS2177" t="s">
        <v>385</v>
      </c>
      <c r="AX2177" t="s">
        <v>57</v>
      </c>
      <c r="AY2177" t="s">
        <v>386</v>
      </c>
      <c r="BF2177">
        <v>0</v>
      </c>
      <c r="BK2177" t="s">
        <v>31</v>
      </c>
      <c r="BS2177" t="s">
        <v>412</v>
      </c>
      <c r="CI2177" t="s">
        <v>388</v>
      </c>
      <c r="CJ2177" s="14">
        <v>45015</v>
      </c>
      <c r="CK2177">
        <v>1</v>
      </c>
    </row>
    <row r="2178" spans="1:89">
      <c r="A2178" t="s">
        <v>2028</v>
      </c>
      <c r="B2178" t="s">
        <v>374</v>
      </c>
      <c r="C2178" t="s">
        <v>20</v>
      </c>
      <c r="D2178" t="s">
        <v>2034</v>
      </c>
      <c r="E2178" t="s">
        <v>2035</v>
      </c>
      <c r="F2178" s="13">
        <v>44638.758680555555</v>
      </c>
      <c r="G2178" t="s">
        <v>641</v>
      </c>
      <c r="H2178" t="s">
        <v>642</v>
      </c>
      <c r="I2178" s="13">
        <v>44638.758680555555</v>
      </c>
      <c r="K2178" t="s">
        <v>412</v>
      </c>
      <c r="M2178" s="13">
        <v>44552</v>
      </c>
      <c r="R2178">
        <v>0</v>
      </c>
      <c r="S2178" t="s">
        <v>380</v>
      </c>
      <c r="T2178" t="s">
        <v>57</v>
      </c>
      <c r="V2178" t="s">
        <v>381</v>
      </c>
      <c r="W2178" t="s">
        <v>2031</v>
      </c>
      <c r="X2178" t="s">
        <v>2031</v>
      </c>
      <c r="AC2178" s="13">
        <v>44552</v>
      </c>
      <c r="AD2178" s="13">
        <v>44552</v>
      </c>
      <c r="AI2178">
        <v>-86</v>
      </c>
      <c r="AN2178" t="s">
        <v>31</v>
      </c>
      <c r="AO2178">
        <v>0</v>
      </c>
      <c r="AS2178" t="s">
        <v>385</v>
      </c>
      <c r="AX2178" t="s">
        <v>57</v>
      </c>
      <c r="AY2178" t="s">
        <v>386</v>
      </c>
      <c r="BF2178">
        <v>0</v>
      </c>
      <c r="BK2178" t="s">
        <v>31</v>
      </c>
      <c r="BS2178" t="s">
        <v>412</v>
      </c>
      <c r="CI2178" t="s">
        <v>388</v>
      </c>
      <c r="CJ2178" s="14">
        <v>45015</v>
      </c>
      <c r="CK2178">
        <v>1</v>
      </c>
    </row>
    <row r="2179" spans="1:89">
      <c r="A2179" t="s">
        <v>1810</v>
      </c>
      <c r="B2179" t="s">
        <v>374</v>
      </c>
      <c r="C2179" t="s">
        <v>1811</v>
      </c>
      <c r="D2179" t="s">
        <v>2036</v>
      </c>
      <c r="E2179" t="s">
        <v>2037</v>
      </c>
      <c r="F2179" s="13">
        <v>44638.758668981478</v>
      </c>
      <c r="G2179" t="s">
        <v>641</v>
      </c>
      <c r="H2179" t="s">
        <v>642</v>
      </c>
      <c r="I2179" s="13">
        <v>44638.758668981478</v>
      </c>
      <c r="K2179" t="s">
        <v>412</v>
      </c>
      <c r="M2179" s="13">
        <v>44560</v>
      </c>
      <c r="R2179">
        <v>0</v>
      </c>
      <c r="S2179" t="s">
        <v>380</v>
      </c>
      <c r="T2179" t="s">
        <v>57</v>
      </c>
      <c r="V2179" t="s">
        <v>381</v>
      </c>
      <c r="W2179" t="s">
        <v>2038</v>
      </c>
      <c r="X2179" t="s">
        <v>2038</v>
      </c>
      <c r="AC2179" s="13">
        <v>44560</v>
      </c>
      <c r="AD2179" s="13">
        <v>44560</v>
      </c>
      <c r="AI2179">
        <v>-78</v>
      </c>
      <c r="AN2179" t="s">
        <v>31</v>
      </c>
      <c r="AO2179">
        <v>0</v>
      </c>
      <c r="AS2179" t="s">
        <v>526</v>
      </c>
      <c r="AX2179" t="s">
        <v>57</v>
      </c>
      <c r="AY2179" t="s">
        <v>386</v>
      </c>
      <c r="BF2179">
        <v>0</v>
      </c>
      <c r="BK2179" t="s">
        <v>31</v>
      </c>
      <c r="BS2179" t="s">
        <v>412</v>
      </c>
      <c r="CI2179" t="s">
        <v>388</v>
      </c>
      <c r="CJ2179" s="14">
        <v>45015</v>
      </c>
      <c r="CK2179">
        <v>1</v>
      </c>
    </row>
    <row r="2180" spans="1:89">
      <c r="A2180" t="s">
        <v>1872</v>
      </c>
      <c r="B2180" t="s">
        <v>374</v>
      </c>
      <c r="C2180" t="s">
        <v>1873</v>
      </c>
      <c r="D2180" t="s">
        <v>2039</v>
      </c>
      <c r="E2180" t="s">
        <v>2040</v>
      </c>
      <c r="F2180" s="13">
        <v>44638.758668981478</v>
      </c>
      <c r="G2180" t="s">
        <v>641</v>
      </c>
      <c r="H2180" t="s">
        <v>642</v>
      </c>
      <c r="I2180" s="13">
        <v>44638.758668981478</v>
      </c>
      <c r="K2180" t="s">
        <v>412</v>
      </c>
      <c r="M2180" s="13">
        <v>44612</v>
      </c>
      <c r="R2180">
        <v>0</v>
      </c>
      <c r="S2180" t="s">
        <v>380</v>
      </c>
      <c r="T2180" t="s">
        <v>57</v>
      </c>
      <c r="V2180" t="s">
        <v>381</v>
      </c>
      <c r="W2180" t="s">
        <v>2041</v>
      </c>
      <c r="X2180" t="s">
        <v>2041</v>
      </c>
      <c r="AC2180" s="13">
        <v>44612</v>
      </c>
      <c r="AD2180" s="13">
        <v>44612</v>
      </c>
      <c r="AI2180">
        <v>-26</v>
      </c>
      <c r="AN2180" t="s">
        <v>31</v>
      </c>
      <c r="AO2180">
        <v>0</v>
      </c>
      <c r="AS2180" t="s">
        <v>385</v>
      </c>
      <c r="AX2180" t="s">
        <v>57</v>
      </c>
      <c r="AY2180" t="s">
        <v>386</v>
      </c>
      <c r="BF2180">
        <v>0</v>
      </c>
      <c r="BK2180" t="s">
        <v>31</v>
      </c>
      <c r="BS2180" t="s">
        <v>412</v>
      </c>
      <c r="CI2180" t="s">
        <v>388</v>
      </c>
      <c r="CJ2180" s="14">
        <v>45015</v>
      </c>
      <c r="CK2180">
        <v>1</v>
      </c>
    </row>
    <row r="2181" spans="1:89">
      <c r="A2181" t="s">
        <v>1831</v>
      </c>
      <c r="B2181" t="s">
        <v>374</v>
      </c>
      <c r="C2181" t="s">
        <v>1832</v>
      </c>
      <c r="D2181" t="s">
        <v>2042</v>
      </c>
      <c r="E2181" t="s">
        <v>2043</v>
      </c>
      <c r="F2181" s="13">
        <v>44638.758657407408</v>
      </c>
      <c r="G2181" t="s">
        <v>641</v>
      </c>
      <c r="H2181" t="s">
        <v>642</v>
      </c>
      <c r="I2181" s="13">
        <v>44638.758657407408</v>
      </c>
      <c r="K2181" t="s">
        <v>412</v>
      </c>
      <c r="M2181" s="13">
        <v>44616</v>
      </c>
      <c r="R2181">
        <v>0</v>
      </c>
      <c r="S2181" t="s">
        <v>380</v>
      </c>
      <c r="T2181" t="s">
        <v>57</v>
      </c>
      <c r="V2181" t="s">
        <v>381</v>
      </c>
      <c r="W2181" t="s">
        <v>2044</v>
      </c>
      <c r="X2181" t="s">
        <v>2044</v>
      </c>
      <c r="AC2181" s="13">
        <v>44616</v>
      </c>
      <c r="AD2181" s="13">
        <v>44616</v>
      </c>
      <c r="AI2181">
        <v>-22</v>
      </c>
      <c r="AN2181" t="s">
        <v>31</v>
      </c>
      <c r="AO2181">
        <v>0</v>
      </c>
      <c r="AS2181" t="s">
        <v>385</v>
      </c>
      <c r="AX2181" t="s">
        <v>57</v>
      </c>
      <c r="AY2181" t="s">
        <v>386</v>
      </c>
      <c r="BF2181">
        <v>0</v>
      </c>
      <c r="BK2181" t="s">
        <v>31</v>
      </c>
      <c r="BS2181" t="s">
        <v>412</v>
      </c>
      <c r="CI2181" t="s">
        <v>388</v>
      </c>
      <c r="CJ2181" s="14">
        <v>45015</v>
      </c>
      <c r="CK2181">
        <v>1</v>
      </c>
    </row>
    <row r="2182" spans="1:89">
      <c r="A2182" t="s">
        <v>1769</v>
      </c>
      <c r="B2182" t="s">
        <v>374</v>
      </c>
      <c r="C2182" t="s">
        <v>1770</v>
      </c>
      <c r="D2182" t="s">
        <v>2045</v>
      </c>
      <c r="E2182" t="s">
        <v>2046</v>
      </c>
      <c r="F2182" s="13">
        <v>44638.758657407408</v>
      </c>
      <c r="G2182" t="s">
        <v>641</v>
      </c>
      <c r="H2182" t="s">
        <v>642</v>
      </c>
      <c r="I2182" s="13">
        <v>44638.758657407408</v>
      </c>
      <c r="K2182" t="s">
        <v>412</v>
      </c>
      <c r="M2182" s="13">
        <v>44651</v>
      </c>
      <c r="R2182">
        <v>0</v>
      </c>
      <c r="S2182" t="s">
        <v>380</v>
      </c>
      <c r="T2182" t="s">
        <v>57</v>
      </c>
      <c r="V2182" t="s">
        <v>381</v>
      </c>
      <c r="W2182" t="s">
        <v>1713</v>
      </c>
      <c r="X2182" t="s">
        <v>1713</v>
      </c>
      <c r="AC2182" s="13">
        <v>44651</v>
      </c>
      <c r="AD2182" s="13">
        <v>44651</v>
      </c>
      <c r="AI2182">
        <v>13</v>
      </c>
      <c r="AN2182" t="s">
        <v>31</v>
      </c>
      <c r="AO2182">
        <v>0</v>
      </c>
      <c r="AS2182" t="s">
        <v>385</v>
      </c>
      <c r="AX2182" t="s">
        <v>57</v>
      </c>
      <c r="AY2182" t="s">
        <v>386</v>
      </c>
      <c r="BF2182">
        <v>0</v>
      </c>
      <c r="BK2182" t="s">
        <v>31</v>
      </c>
      <c r="BS2182" t="s">
        <v>412</v>
      </c>
      <c r="CI2182" t="s">
        <v>388</v>
      </c>
      <c r="CJ2182" s="14">
        <v>45015</v>
      </c>
      <c r="CK2182">
        <v>1</v>
      </c>
    </row>
    <row r="2183" spans="1:89">
      <c r="A2183" t="s">
        <v>2047</v>
      </c>
      <c r="B2183" t="s">
        <v>374</v>
      </c>
      <c r="C2183" t="s">
        <v>2048</v>
      </c>
      <c r="D2183" t="s">
        <v>2049</v>
      </c>
      <c r="E2183" t="s">
        <v>2050</v>
      </c>
      <c r="F2183" s="13">
        <v>44638.758645833332</v>
      </c>
      <c r="G2183" t="s">
        <v>641</v>
      </c>
      <c r="H2183" t="s">
        <v>642</v>
      </c>
      <c r="I2183" s="13">
        <v>44638.758645833332</v>
      </c>
      <c r="K2183" t="s">
        <v>412</v>
      </c>
      <c r="M2183" s="13">
        <v>44591</v>
      </c>
      <c r="R2183">
        <v>0</v>
      </c>
      <c r="S2183" t="s">
        <v>380</v>
      </c>
      <c r="T2183" t="s">
        <v>57</v>
      </c>
      <c r="V2183" t="s">
        <v>381</v>
      </c>
      <c r="W2183" t="s">
        <v>2051</v>
      </c>
      <c r="X2183" t="s">
        <v>2051</v>
      </c>
      <c r="AC2183" s="13">
        <v>44591</v>
      </c>
      <c r="AD2183" s="13">
        <v>44591</v>
      </c>
      <c r="AI2183">
        <v>-47</v>
      </c>
      <c r="AN2183" t="s">
        <v>31</v>
      </c>
      <c r="AO2183">
        <v>0</v>
      </c>
      <c r="AS2183" t="s">
        <v>392</v>
      </c>
      <c r="AX2183" t="s">
        <v>57</v>
      </c>
      <c r="AY2183" t="s">
        <v>386</v>
      </c>
      <c r="BF2183">
        <v>0</v>
      </c>
      <c r="BK2183" t="s">
        <v>31</v>
      </c>
      <c r="BS2183" t="s">
        <v>412</v>
      </c>
      <c r="CI2183" t="s">
        <v>388</v>
      </c>
      <c r="CJ2183" s="14">
        <v>45015</v>
      </c>
      <c r="CK2183">
        <v>1</v>
      </c>
    </row>
    <row r="2184" spans="1:89">
      <c r="A2184" t="s">
        <v>2047</v>
      </c>
      <c r="B2184" t="s">
        <v>374</v>
      </c>
      <c r="C2184" t="s">
        <v>2048</v>
      </c>
      <c r="D2184" t="s">
        <v>2052</v>
      </c>
      <c r="E2184" t="s">
        <v>2053</v>
      </c>
      <c r="F2184" s="13">
        <v>44638.758645833332</v>
      </c>
      <c r="G2184" t="s">
        <v>641</v>
      </c>
      <c r="H2184" t="s">
        <v>642</v>
      </c>
      <c r="I2184" s="13">
        <v>44638.758645833332</v>
      </c>
      <c r="K2184" t="s">
        <v>412</v>
      </c>
      <c r="M2184" s="13">
        <v>44681</v>
      </c>
      <c r="R2184">
        <v>0</v>
      </c>
      <c r="S2184" t="s">
        <v>380</v>
      </c>
      <c r="T2184" t="s">
        <v>57</v>
      </c>
      <c r="V2184" t="s">
        <v>381</v>
      </c>
      <c r="W2184" t="s">
        <v>2051</v>
      </c>
      <c r="X2184" t="s">
        <v>2051</v>
      </c>
      <c r="AC2184" s="13">
        <v>44681</v>
      </c>
      <c r="AD2184" s="13">
        <v>44681</v>
      </c>
      <c r="AI2184">
        <v>43</v>
      </c>
      <c r="AN2184" t="s">
        <v>31</v>
      </c>
      <c r="AO2184">
        <v>0</v>
      </c>
      <c r="AS2184" t="s">
        <v>392</v>
      </c>
      <c r="AX2184" t="s">
        <v>57</v>
      </c>
      <c r="AY2184" t="s">
        <v>386</v>
      </c>
      <c r="BF2184">
        <v>0</v>
      </c>
      <c r="BK2184" t="s">
        <v>31</v>
      </c>
      <c r="BS2184" t="s">
        <v>412</v>
      </c>
      <c r="CI2184" t="s">
        <v>388</v>
      </c>
      <c r="CJ2184" s="14">
        <v>45015</v>
      </c>
      <c r="CK2184">
        <v>1</v>
      </c>
    </row>
    <row r="2185" spans="1:89">
      <c r="A2185" t="s">
        <v>2047</v>
      </c>
      <c r="B2185" t="s">
        <v>374</v>
      </c>
      <c r="C2185" t="s">
        <v>2048</v>
      </c>
      <c r="D2185" t="s">
        <v>2054</v>
      </c>
      <c r="E2185" t="s">
        <v>2055</v>
      </c>
      <c r="F2185" s="13">
        <v>44638.758634259262</v>
      </c>
      <c r="G2185" t="s">
        <v>641</v>
      </c>
      <c r="H2185" t="s">
        <v>642</v>
      </c>
      <c r="I2185" s="13">
        <v>44638.758634259262</v>
      </c>
      <c r="K2185" t="s">
        <v>412</v>
      </c>
      <c r="M2185" s="13">
        <v>44650</v>
      </c>
      <c r="R2185">
        <v>0</v>
      </c>
      <c r="S2185" t="s">
        <v>380</v>
      </c>
      <c r="T2185" t="s">
        <v>57</v>
      </c>
      <c r="V2185" t="s">
        <v>381</v>
      </c>
      <c r="W2185" t="s">
        <v>2051</v>
      </c>
      <c r="X2185" t="s">
        <v>2051</v>
      </c>
      <c r="AC2185" s="13">
        <v>44650</v>
      </c>
      <c r="AD2185" s="13">
        <v>44650</v>
      </c>
      <c r="AI2185">
        <v>12</v>
      </c>
      <c r="AN2185" t="s">
        <v>31</v>
      </c>
      <c r="AO2185">
        <v>0</v>
      </c>
      <c r="AS2185" t="s">
        <v>392</v>
      </c>
      <c r="AX2185" t="s">
        <v>57</v>
      </c>
      <c r="AY2185" t="s">
        <v>386</v>
      </c>
      <c r="BF2185">
        <v>0</v>
      </c>
      <c r="BK2185" t="s">
        <v>31</v>
      </c>
      <c r="BS2185" t="s">
        <v>412</v>
      </c>
      <c r="CI2185" t="s">
        <v>388</v>
      </c>
      <c r="CJ2185" s="14">
        <v>45015</v>
      </c>
      <c r="CK2185">
        <v>1</v>
      </c>
    </row>
    <row r="2186" spans="1:89">
      <c r="A2186" t="s">
        <v>637</v>
      </c>
      <c r="B2186" t="s">
        <v>374</v>
      </c>
      <c r="C2186" t="s">
        <v>638</v>
      </c>
      <c r="D2186" t="s">
        <v>2056</v>
      </c>
      <c r="E2186" t="s">
        <v>640</v>
      </c>
      <c r="F2186" s="13">
        <v>44638.751273148147</v>
      </c>
      <c r="G2186" t="s">
        <v>641</v>
      </c>
      <c r="H2186" t="s">
        <v>642</v>
      </c>
      <c r="I2186" s="13">
        <v>44833.703101851854</v>
      </c>
      <c r="K2186" t="s">
        <v>412</v>
      </c>
      <c r="M2186" s="13">
        <v>44742</v>
      </c>
      <c r="R2186">
        <v>0</v>
      </c>
      <c r="S2186" t="s">
        <v>380</v>
      </c>
      <c r="T2186" t="s">
        <v>57</v>
      </c>
      <c r="V2186" t="s">
        <v>381</v>
      </c>
      <c r="W2186" t="s">
        <v>643</v>
      </c>
      <c r="X2186" t="s">
        <v>643</v>
      </c>
      <c r="AC2186" s="13">
        <v>44834</v>
      </c>
      <c r="AD2186" s="13">
        <v>44834</v>
      </c>
      <c r="AI2186">
        <v>104</v>
      </c>
      <c r="AN2186" t="s">
        <v>31</v>
      </c>
      <c r="AO2186">
        <v>0</v>
      </c>
      <c r="AS2186" t="s">
        <v>538</v>
      </c>
      <c r="AX2186" t="s">
        <v>57</v>
      </c>
      <c r="AY2186" t="s">
        <v>442</v>
      </c>
      <c r="AZ2186" t="s">
        <v>644</v>
      </c>
      <c r="BF2186">
        <v>0</v>
      </c>
      <c r="BK2186" t="s">
        <v>31</v>
      </c>
      <c r="BS2186" t="s">
        <v>412</v>
      </c>
      <c r="CI2186" t="s">
        <v>388</v>
      </c>
      <c r="CJ2186" s="14">
        <v>45015</v>
      </c>
      <c r="CK2186">
        <v>1</v>
      </c>
    </row>
    <row r="2187" spans="1:89">
      <c r="A2187" t="s">
        <v>637</v>
      </c>
      <c r="B2187" t="s">
        <v>374</v>
      </c>
      <c r="C2187" t="s">
        <v>638</v>
      </c>
      <c r="D2187" t="s">
        <v>2057</v>
      </c>
      <c r="E2187" t="s">
        <v>646</v>
      </c>
      <c r="F2187" s="13">
        <v>44638.751261574071</v>
      </c>
      <c r="G2187" t="s">
        <v>641</v>
      </c>
      <c r="H2187" t="s">
        <v>642</v>
      </c>
      <c r="I2187" s="13">
        <v>44833.703101851854</v>
      </c>
      <c r="K2187" t="s">
        <v>412</v>
      </c>
      <c r="M2187" s="13">
        <v>44620</v>
      </c>
      <c r="R2187">
        <v>0</v>
      </c>
      <c r="S2187" t="s">
        <v>416</v>
      </c>
      <c r="T2187" t="s">
        <v>57</v>
      </c>
      <c r="V2187" t="s">
        <v>381</v>
      </c>
      <c r="W2187" t="s">
        <v>647</v>
      </c>
      <c r="X2187" t="s">
        <v>647</v>
      </c>
      <c r="AC2187" s="13">
        <v>44711</v>
      </c>
      <c r="AD2187" s="13">
        <v>44711</v>
      </c>
      <c r="AI2187">
        <v>-18</v>
      </c>
      <c r="AN2187" t="s">
        <v>31</v>
      </c>
      <c r="AO2187">
        <v>0</v>
      </c>
      <c r="AS2187" t="s">
        <v>648</v>
      </c>
      <c r="AX2187" t="s">
        <v>31</v>
      </c>
      <c r="AY2187" t="s">
        <v>386</v>
      </c>
      <c r="AZ2187" t="s">
        <v>649</v>
      </c>
      <c r="BF2187">
        <v>0</v>
      </c>
      <c r="BK2187" t="s">
        <v>31</v>
      </c>
      <c r="BS2187" t="s">
        <v>412</v>
      </c>
      <c r="CI2187" t="s">
        <v>388</v>
      </c>
      <c r="CJ2187" s="14">
        <v>45015</v>
      </c>
      <c r="CK2187">
        <v>1</v>
      </c>
    </row>
    <row r="2188" spans="1:89">
      <c r="A2188" t="s">
        <v>637</v>
      </c>
      <c r="B2188" t="s">
        <v>374</v>
      </c>
      <c r="C2188" t="s">
        <v>638</v>
      </c>
      <c r="D2188" t="s">
        <v>2058</v>
      </c>
      <c r="E2188" t="s">
        <v>651</v>
      </c>
      <c r="F2188" s="13">
        <v>44638.751261574071</v>
      </c>
      <c r="G2188" t="s">
        <v>641</v>
      </c>
      <c r="H2188" t="s">
        <v>642</v>
      </c>
      <c r="I2188" s="13">
        <v>44833.703101851854</v>
      </c>
      <c r="K2188" t="s">
        <v>412</v>
      </c>
      <c r="M2188" s="13">
        <v>44620</v>
      </c>
      <c r="R2188">
        <v>0</v>
      </c>
      <c r="S2188" t="s">
        <v>416</v>
      </c>
      <c r="T2188" t="s">
        <v>57</v>
      </c>
      <c r="V2188" t="s">
        <v>381</v>
      </c>
      <c r="W2188" t="s">
        <v>647</v>
      </c>
      <c r="X2188" t="s">
        <v>647</v>
      </c>
      <c r="AC2188" s="13">
        <v>44711</v>
      </c>
      <c r="AD2188" s="13">
        <v>44711</v>
      </c>
      <c r="AI2188">
        <v>-18</v>
      </c>
      <c r="AN2188" t="s">
        <v>31</v>
      </c>
      <c r="AO2188">
        <v>0</v>
      </c>
      <c r="AS2188" t="s">
        <v>392</v>
      </c>
      <c r="AX2188" t="s">
        <v>31</v>
      </c>
      <c r="AY2188" t="s">
        <v>386</v>
      </c>
      <c r="AZ2188" t="s">
        <v>652</v>
      </c>
      <c r="BF2188">
        <v>0</v>
      </c>
      <c r="BK2188" t="s">
        <v>31</v>
      </c>
      <c r="BS2188" t="s">
        <v>412</v>
      </c>
      <c r="CI2188" t="s">
        <v>388</v>
      </c>
      <c r="CJ2188" s="14">
        <v>45015</v>
      </c>
      <c r="CK2188">
        <v>1</v>
      </c>
    </row>
    <row r="2189" spans="1:89">
      <c r="A2189" t="s">
        <v>637</v>
      </c>
      <c r="B2189" t="s">
        <v>374</v>
      </c>
      <c r="C2189" t="s">
        <v>638</v>
      </c>
      <c r="D2189" t="s">
        <v>2059</v>
      </c>
      <c r="E2189" t="s">
        <v>654</v>
      </c>
      <c r="F2189" s="13">
        <v>44638.751250000001</v>
      </c>
      <c r="G2189" t="s">
        <v>641</v>
      </c>
      <c r="H2189" t="s">
        <v>642</v>
      </c>
      <c r="I2189" s="13">
        <v>44833.703101851854</v>
      </c>
      <c r="K2189" t="s">
        <v>412</v>
      </c>
      <c r="M2189" s="13">
        <v>44620</v>
      </c>
      <c r="R2189">
        <v>0</v>
      </c>
      <c r="S2189" t="s">
        <v>380</v>
      </c>
      <c r="T2189" t="s">
        <v>57</v>
      </c>
      <c r="V2189" t="s">
        <v>381</v>
      </c>
      <c r="W2189" t="s">
        <v>647</v>
      </c>
      <c r="X2189" t="s">
        <v>647</v>
      </c>
      <c r="AC2189" s="13">
        <v>44711</v>
      </c>
      <c r="AD2189" s="13">
        <v>44711</v>
      </c>
      <c r="AI2189">
        <v>-18</v>
      </c>
      <c r="AN2189" t="s">
        <v>31</v>
      </c>
      <c r="AO2189">
        <v>0</v>
      </c>
      <c r="AS2189" t="s">
        <v>385</v>
      </c>
      <c r="AX2189" t="s">
        <v>31</v>
      </c>
      <c r="AY2189" t="s">
        <v>442</v>
      </c>
      <c r="AZ2189" t="s">
        <v>655</v>
      </c>
      <c r="BF2189">
        <v>0</v>
      </c>
      <c r="BK2189" t="s">
        <v>31</v>
      </c>
      <c r="BS2189" t="s">
        <v>412</v>
      </c>
      <c r="CI2189" t="s">
        <v>388</v>
      </c>
      <c r="CJ2189" s="14">
        <v>45015</v>
      </c>
      <c r="CK2189">
        <v>1</v>
      </c>
    </row>
    <row r="2190" spans="1:89">
      <c r="A2190" t="s">
        <v>637</v>
      </c>
      <c r="B2190" t="s">
        <v>374</v>
      </c>
      <c r="C2190" t="s">
        <v>638</v>
      </c>
      <c r="D2190" t="s">
        <v>2060</v>
      </c>
      <c r="E2190" t="s">
        <v>657</v>
      </c>
      <c r="F2190" s="13">
        <v>44638.751250000001</v>
      </c>
      <c r="G2190" t="s">
        <v>641</v>
      </c>
      <c r="H2190" t="s">
        <v>642</v>
      </c>
      <c r="I2190" s="13">
        <v>44833.703101851854</v>
      </c>
      <c r="K2190" t="s">
        <v>412</v>
      </c>
      <c r="M2190" s="13">
        <v>44620</v>
      </c>
      <c r="R2190">
        <v>0</v>
      </c>
      <c r="S2190" t="s">
        <v>380</v>
      </c>
      <c r="T2190" t="s">
        <v>57</v>
      </c>
      <c r="V2190" t="s">
        <v>381</v>
      </c>
      <c r="W2190" t="s">
        <v>647</v>
      </c>
      <c r="X2190" t="s">
        <v>647</v>
      </c>
      <c r="AC2190" s="13">
        <v>44711</v>
      </c>
      <c r="AD2190" s="13">
        <v>44711</v>
      </c>
      <c r="AI2190">
        <v>-18</v>
      </c>
      <c r="AN2190" t="s">
        <v>31</v>
      </c>
      <c r="AO2190">
        <v>0</v>
      </c>
      <c r="AS2190" t="s">
        <v>385</v>
      </c>
      <c r="AX2190" t="s">
        <v>31</v>
      </c>
      <c r="AY2190" t="s">
        <v>442</v>
      </c>
      <c r="AZ2190" t="s">
        <v>658</v>
      </c>
      <c r="BF2190">
        <v>0</v>
      </c>
      <c r="BK2190" t="s">
        <v>31</v>
      </c>
      <c r="BS2190" t="s">
        <v>412</v>
      </c>
      <c r="CI2190" t="s">
        <v>388</v>
      </c>
      <c r="CJ2190" s="14">
        <v>45015</v>
      </c>
      <c r="CK2190">
        <v>1</v>
      </c>
    </row>
    <row r="2191" spans="1:89">
      <c r="A2191" t="s">
        <v>637</v>
      </c>
      <c r="B2191" t="s">
        <v>374</v>
      </c>
      <c r="C2191" t="s">
        <v>638</v>
      </c>
      <c r="D2191" t="s">
        <v>2061</v>
      </c>
      <c r="E2191" t="s">
        <v>660</v>
      </c>
      <c r="F2191" s="13">
        <v>44638.751238425924</v>
      </c>
      <c r="G2191" t="s">
        <v>641</v>
      </c>
      <c r="H2191" t="s">
        <v>642</v>
      </c>
      <c r="I2191" s="13">
        <v>44833.703101851854</v>
      </c>
      <c r="K2191" t="s">
        <v>412</v>
      </c>
      <c r="M2191" s="13">
        <v>44620</v>
      </c>
      <c r="R2191">
        <v>0</v>
      </c>
      <c r="S2191" t="s">
        <v>380</v>
      </c>
      <c r="T2191" t="s">
        <v>57</v>
      </c>
      <c r="V2191" t="s">
        <v>381</v>
      </c>
      <c r="W2191" t="s">
        <v>647</v>
      </c>
      <c r="X2191" t="s">
        <v>647</v>
      </c>
      <c r="AC2191" s="13">
        <v>44711</v>
      </c>
      <c r="AD2191" s="13">
        <v>44711</v>
      </c>
      <c r="AI2191">
        <v>-18</v>
      </c>
      <c r="AN2191" t="s">
        <v>31</v>
      </c>
      <c r="AO2191">
        <v>0</v>
      </c>
      <c r="AS2191" t="s">
        <v>526</v>
      </c>
      <c r="AX2191" t="s">
        <v>31</v>
      </c>
      <c r="AY2191" t="s">
        <v>442</v>
      </c>
      <c r="AZ2191" t="s">
        <v>661</v>
      </c>
      <c r="BF2191">
        <v>0</v>
      </c>
      <c r="BK2191" t="s">
        <v>31</v>
      </c>
      <c r="BS2191" t="s">
        <v>412</v>
      </c>
      <c r="CI2191" t="s">
        <v>388</v>
      </c>
      <c r="CJ2191" s="14">
        <v>45015</v>
      </c>
      <c r="CK2191">
        <v>1</v>
      </c>
    </row>
    <row r="2192" spans="1:89">
      <c r="A2192" t="s">
        <v>637</v>
      </c>
      <c r="B2192" t="s">
        <v>374</v>
      </c>
      <c r="C2192" t="s">
        <v>638</v>
      </c>
      <c r="D2192" t="s">
        <v>2062</v>
      </c>
      <c r="E2192" t="s">
        <v>663</v>
      </c>
      <c r="F2192" s="13">
        <v>44638.751238425924</v>
      </c>
      <c r="G2192" t="s">
        <v>641</v>
      </c>
      <c r="H2192" t="s">
        <v>642</v>
      </c>
      <c r="I2192" s="13">
        <v>44833.703101851854</v>
      </c>
      <c r="K2192" t="s">
        <v>412</v>
      </c>
      <c r="M2192" s="13">
        <v>44620</v>
      </c>
      <c r="R2192">
        <v>0</v>
      </c>
      <c r="S2192" t="s">
        <v>380</v>
      </c>
      <c r="T2192" t="s">
        <v>57</v>
      </c>
      <c r="V2192" t="s">
        <v>381</v>
      </c>
      <c r="W2192" t="s">
        <v>647</v>
      </c>
      <c r="X2192" t="s">
        <v>647</v>
      </c>
      <c r="AC2192" s="13">
        <v>44711</v>
      </c>
      <c r="AD2192" s="13">
        <v>44711</v>
      </c>
      <c r="AI2192">
        <v>-18</v>
      </c>
      <c r="AN2192" t="s">
        <v>31</v>
      </c>
      <c r="AO2192">
        <v>0</v>
      </c>
      <c r="AS2192" t="s">
        <v>648</v>
      </c>
      <c r="AX2192" t="s">
        <v>31</v>
      </c>
      <c r="AY2192" t="s">
        <v>442</v>
      </c>
      <c r="AZ2192" t="s">
        <v>648</v>
      </c>
      <c r="BF2192">
        <v>0</v>
      </c>
      <c r="BK2192" t="s">
        <v>31</v>
      </c>
      <c r="BS2192" t="s">
        <v>412</v>
      </c>
      <c r="CI2192" t="s">
        <v>388</v>
      </c>
      <c r="CJ2192" s="14">
        <v>45015</v>
      </c>
      <c r="CK2192">
        <v>1</v>
      </c>
    </row>
    <row r="2193" spans="1:89">
      <c r="A2193" t="s">
        <v>637</v>
      </c>
      <c r="B2193" t="s">
        <v>374</v>
      </c>
      <c r="C2193" t="s">
        <v>638</v>
      </c>
      <c r="D2193" t="s">
        <v>2063</v>
      </c>
      <c r="E2193" t="s">
        <v>665</v>
      </c>
      <c r="F2193" s="13">
        <v>44638.751238425924</v>
      </c>
      <c r="G2193" t="s">
        <v>641</v>
      </c>
      <c r="H2193" t="s">
        <v>642</v>
      </c>
      <c r="I2193" s="13">
        <v>44833.703101851854</v>
      </c>
      <c r="K2193" t="s">
        <v>412</v>
      </c>
      <c r="M2193" s="13">
        <v>44620</v>
      </c>
      <c r="R2193">
        <v>0</v>
      </c>
      <c r="S2193" t="s">
        <v>380</v>
      </c>
      <c r="T2193" t="s">
        <v>57</v>
      </c>
      <c r="V2193" t="s">
        <v>381</v>
      </c>
      <c r="W2193" t="s">
        <v>647</v>
      </c>
      <c r="X2193" t="s">
        <v>647</v>
      </c>
      <c r="AC2193" s="13">
        <v>44711</v>
      </c>
      <c r="AD2193" s="13">
        <v>44711</v>
      </c>
      <c r="AI2193">
        <v>-18</v>
      </c>
      <c r="AN2193" t="s">
        <v>31</v>
      </c>
      <c r="AO2193">
        <v>0</v>
      </c>
      <c r="AS2193" t="s">
        <v>385</v>
      </c>
      <c r="AX2193" t="s">
        <v>31</v>
      </c>
      <c r="AY2193" t="s">
        <v>442</v>
      </c>
      <c r="AZ2193" t="s">
        <v>666</v>
      </c>
      <c r="BF2193">
        <v>0</v>
      </c>
      <c r="BK2193" t="s">
        <v>31</v>
      </c>
      <c r="BS2193" t="s">
        <v>412</v>
      </c>
      <c r="CI2193" t="s">
        <v>388</v>
      </c>
      <c r="CJ2193" s="14">
        <v>45015</v>
      </c>
      <c r="CK2193">
        <v>1</v>
      </c>
    </row>
    <row r="2194" spans="1:89">
      <c r="A2194" t="s">
        <v>1181</v>
      </c>
      <c r="B2194" t="s">
        <v>374</v>
      </c>
      <c r="C2194" t="s">
        <v>1182</v>
      </c>
      <c r="D2194" t="s">
        <v>2064</v>
      </c>
      <c r="E2194" t="s">
        <v>671</v>
      </c>
      <c r="F2194" s="13">
        <v>44638.751226851855</v>
      </c>
      <c r="G2194" t="s">
        <v>641</v>
      </c>
      <c r="H2194" t="s">
        <v>642</v>
      </c>
      <c r="I2194" s="13">
        <v>44833.703101851854</v>
      </c>
      <c r="K2194" t="s">
        <v>412</v>
      </c>
      <c r="M2194" s="13">
        <v>44620</v>
      </c>
      <c r="R2194">
        <v>0</v>
      </c>
      <c r="S2194" t="s">
        <v>380</v>
      </c>
      <c r="T2194" t="s">
        <v>57</v>
      </c>
      <c r="V2194" t="s">
        <v>381</v>
      </c>
      <c r="W2194" t="s">
        <v>647</v>
      </c>
      <c r="X2194" t="s">
        <v>647</v>
      </c>
      <c r="AC2194" s="13">
        <v>44711</v>
      </c>
      <c r="AD2194" s="13">
        <v>44711</v>
      </c>
      <c r="AI2194">
        <v>-18</v>
      </c>
      <c r="AN2194" t="s">
        <v>31</v>
      </c>
      <c r="AO2194">
        <v>0</v>
      </c>
      <c r="AS2194" t="s">
        <v>538</v>
      </c>
      <c r="AX2194" t="s">
        <v>31</v>
      </c>
      <c r="AY2194" t="s">
        <v>442</v>
      </c>
      <c r="AZ2194" t="s">
        <v>672</v>
      </c>
      <c r="BF2194">
        <v>0</v>
      </c>
      <c r="BK2194" t="s">
        <v>31</v>
      </c>
      <c r="BS2194" t="s">
        <v>412</v>
      </c>
      <c r="CI2194" t="s">
        <v>388</v>
      </c>
      <c r="CJ2194" s="14">
        <v>45015</v>
      </c>
      <c r="CK2194">
        <v>1</v>
      </c>
    </row>
    <row r="2195" spans="1:89">
      <c r="A2195" t="s">
        <v>1181</v>
      </c>
      <c r="B2195" t="s">
        <v>374</v>
      </c>
      <c r="C2195" t="s">
        <v>1182</v>
      </c>
      <c r="D2195" t="s">
        <v>2065</v>
      </c>
      <c r="E2195" t="s">
        <v>668</v>
      </c>
      <c r="F2195" s="13">
        <v>44638.751226851855</v>
      </c>
      <c r="G2195" t="s">
        <v>641</v>
      </c>
      <c r="H2195" t="s">
        <v>642</v>
      </c>
      <c r="I2195" s="13">
        <v>44833.703101851854</v>
      </c>
      <c r="K2195" t="s">
        <v>412</v>
      </c>
      <c r="M2195" s="13">
        <v>44620</v>
      </c>
      <c r="R2195">
        <v>0</v>
      </c>
      <c r="S2195" t="s">
        <v>380</v>
      </c>
      <c r="T2195" t="s">
        <v>57</v>
      </c>
      <c r="V2195" t="s">
        <v>381</v>
      </c>
      <c r="W2195" t="s">
        <v>647</v>
      </c>
      <c r="X2195" t="s">
        <v>647</v>
      </c>
      <c r="AC2195" s="13">
        <v>44711</v>
      </c>
      <c r="AD2195" s="13">
        <v>44711</v>
      </c>
      <c r="AI2195">
        <v>-18</v>
      </c>
      <c r="AN2195" t="s">
        <v>31</v>
      </c>
      <c r="AO2195">
        <v>0</v>
      </c>
      <c r="AS2195" t="s">
        <v>648</v>
      </c>
      <c r="AX2195" t="s">
        <v>31</v>
      </c>
      <c r="AY2195" t="s">
        <v>442</v>
      </c>
      <c r="AZ2195" t="s">
        <v>669</v>
      </c>
      <c r="BF2195">
        <v>0</v>
      </c>
      <c r="BK2195" t="s">
        <v>31</v>
      </c>
      <c r="BS2195" t="s">
        <v>412</v>
      </c>
      <c r="CI2195" t="s">
        <v>388</v>
      </c>
      <c r="CJ2195" s="14">
        <v>45015</v>
      </c>
      <c r="CK2195">
        <v>1</v>
      </c>
    </row>
    <row r="2196" spans="1:89">
      <c r="A2196" t="s">
        <v>2066</v>
      </c>
      <c r="B2196" t="s">
        <v>374</v>
      </c>
      <c r="C2196" t="s">
        <v>2067</v>
      </c>
      <c r="D2196" t="s">
        <v>2068</v>
      </c>
      <c r="E2196" t="s">
        <v>2069</v>
      </c>
      <c r="F2196" s="13">
        <v>44638.441678240742</v>
      </c>
      <c r="G2196" t="s">
        <v>2070</v>
      </c>
      <c r="H2196" t="s">
        <v>2071</v>
      </c>
      <c r="I2196" s="13">
        <v>45012.044259259259</v>
      </c>
      <c r="K2196" t="s">
        <v>415</v>
      </c>
      <c r="M2196" s="13">
        <v>44651</v>
      </c>
      <c r="R2196">
        <v>0</v>
      </c>
      <c r="S2196" t="s">
        <v>380</v>
      </c>
      <c r="T2196" t="s">
        <v>57</v>
      </c>
      <c r="V2196" t="s">
        <v>478</v>
      </c>
      <c r="W2196" t="s">
        <v>2072</v>
      </c>
      <c r="X2196" t="s">
        <v>2072</v>
      </c>
      <c r="AC2196" s="13">
        <v>44742</v>
      </c>
      <c r="AD2196" s="13">
        <v>44651</v>
      </c>
      <c r="AF2196" t="s">
        <v>451</v>
      </c>
      <c r="AI2196">
        <v>-361</v>
      </c>
      <c r="AL2196" t="s">
        <v>2073</v>
      </c>
      <c r="AN2196" t="s">
        <v>31</v>
      </c>
      <c r="AO2196">
        <v>0</v>
      </c>
      <c r="AS2196" t="s">
        <v>385</v>
      </c>
      <c r="AX2196" t="s">
        <v>57</v>
      </c>
      <c r="AY2196" t="s">
        <v>442</v>
      </c>
      <c r="AZ2196" t="s">
        <v>2074</v>
      </c>
      <c r="BF2196">
        <v>0</v>
      </c>
      <c r="BK2196" t="s">
        <v>31</v>
      </c>
      <c r="BS2196" t="s">
        <v>419</v>
      </c>
      <c r="BT2196" t="s">
        <v>419</v>
      </c>
      <c r="CI2196" t="s">
        <v>388</v>
      </c>
      <c r="CJ2196" s="14">
        <v>45015</v>
      </c>
      <c r="CK2196">
        <v>1</v>
      </c>
    </row>
    <row r="2197" spans="1:89">
      <c r="A2197" t="s">
        <v>2075</v>
      </c>
      <c r="B2197" t="s">
        <v>374</v>
      </c>
      <c r="C2197" t="s">
        <v>2076</v>
      </c>
      <c r="D2197" t="s">
        <v>2077</v>
      </c>
      <c r="E2197" t="s">
        <v>2078</v>
      </c>
      <c r="F2197" s="13">
        <v>44637.628877314812</v>
      </c>
      <c r="G2197" t="s">
        <v>2079</v>
      </c>
      <c r="H2197" t="s">
        <v>2080</v>
      </c>
      <c r="I2197" s="13">
        <v>45012.044247685182</v>
      </c>
      <c r="K2197" t="s">
        <v>415</v>
      </c>
      <c r="M2197" s="13">
        <v>44673</v>
      </c>
      <c r="R2197">
        <v>0</v>
      </c>
      <c r="S2197" t="s">
        <v>380</v>
      </c>
      <c r="T2197" t="s">
        <v>57</v>
      </c>
      <c r="V2197" t="s">
        <v>478</v>
      </c>
      <c r="W2197" t="s">
        <v>2081</v>
      </c>
      <c r="X2197" t="s">
        <v>2081</v>
      </c>
      <c r="AF2197" t="s">
        <v>451</v>
      </c>
      <c r="AI2197">
        <v>-339</v>
      </c>
      <c r="AL2197" t="s">
        <v>2082</v>
      </c>
      <c r="AN2197" t="s">
        <v>31</v>
      </c>
      <c r="AO2197">
        <v>0</v>
      </c>
      <c r="AS2197" t="s">
        <v>385</v>
      </c>
      <c r="AX2197" t="s">
        <v>57</v>
      </c>
      <c r="AY2197" t="s">
        <v>386</v>
      </c>
      <c r="AZ2197" t="s">
        <v>2083</v>
      </c>
      <c r="BF2197">
        <v>0</v>
      </c>
      <c r="BK2197" t="s">
        <v>31</v>
      </c>
      <c r="BS2197" t="s">
        <v>419</v>
      </c>
      <c r="BT2197" t="s">
        <v>419</v>
      </c>
      <c r="CI2197" t="s">
        <v>388</v>
      </c>
      <c r="CJ2197" s="14">
        <v>45015</v>
      </c>
      <c r="CK2197">
        <v>1</v>
      </c>
    </row>
    <row r="2198" spans="1:89">
      <c r="A2198" t="s">
        <v>1655</v>
      </c>
      <c r="B2198" t="s">
        <v>374</v>
      </c>
      <c r="C2198" t="s">
        <v>1656</v>
      </c>
      <c r="D2198" t="s">
        <v>2084</v>
      </c>
      <c r="E2198" t="s">
        <v>2085</v>
      </c>
      <c r="F2198" s="13">
        <v>44637.545694444445</v>
      </c>
      <c r="G2198" t="s">
        <v>1659</v>
      </c>
      <c r="H2198" t="s">
        <v>1660</v>
      </c>
      <c r="I2198" s="13">
        <v>45012.044247685182</v>
      </c>
      <c r="K2198" t="s">
        <v>415</v>
      </c>
      <c r="M2198" s="13">
        <v>44742</v>
      </c>
      <c r="R2198">
        <v>0</v>
      </c>
      <c r="S2198" t="s">
        <v>380</v>
      </c>
      <c r="T2198" t="s">
        <v>57</v>
      </c>
      <c r="V2198" t="s">
        <v>478</v>
      </c>
      <c r="W2198" t="s">
        <v>2086</v>
      </c>
      <c r="X2198" t="s">
        <v>2086</v>
      </c>
      <c r="AF2198" t="s">
        <v>451</v>
      </c>
      <c r="AI2198">
        <v>-270</v>
      </c>
      <c r="AL2198" t="s">
        <v>2087</v>
      </c>
      <c r="AN2198" t="s">
        <v>31</v>
      </c>
      <c r="AO2198">
        <v>0</v>
      </c>
      <c r="AS2198" t="s">
        <v>385</v>
      </c>
      <c r="AX2198" t="s">
        <v>31</v>
      </c>
      <c r="AY2198" t="s">
        <v>442</v>
      </c>
      <c r="AZ2198" t="s">
        <v>2088</v>
      </c>
      <c r="BE2198" t="s">
        <v>1364</v>
      </c>
      <c r="BF2198">
        <v>0</v>
      </c>
      <c r="BK2198" t="s">
        <v>31</v>
      </c>
      <c r="BS2198" t="s">
        <v>419</v>
      </c>
      <c r="BT2198" t="s">
        <v>419</v>
      </c>
      <c r="CI2198" t="s">
        <v>388</v>
      </c>
      <c r="CJ2198" s="14">
        <v>45015</v>
      </c>
      <c r="CK2198">
        <v>1</v>
      </c>
    </row>
    <row r="2199" spans="1:89">
      <c r="A2199" t="s">
        <v>2089</v>
      </c>
      <c r="B2199" t="s">
        <v>374</v>
      </c>
      <c r="C2199" t="s">
        <v>2090</v>
      </c>
      <c r="D2199" t="s">
        <v>2091</v>
      </c>
      <c r="E2199" t="s">
        <v>2092</v>
      </c>
      <c r="F2199" s="13">
        <v>44637.512175925927</v>
      </c>
      <c r="G2199" t="s">
        <v>2079</v>
      </c>
      <c r="H2199" t="s">
        <v>2080</v>
      </c>
      <c r="I2199" s="13">
        <v>45012.044247685182</v>
      </c>
      <c r="K2199" t="s">
        <v>415</v>
      </c>
      <c r="M2199" s="13">
        <v>44666</v>
      </c>
      <c r="R2199">
        <v>0</v>
      </c>
      <c r="S2199" t="s">
        <v>380</v>
      </c>
      <c r="T2199" t="s">
        <v>57</v>
      </c>
      <c r="V2199" t="s">
        <v>478</v>
      </c>
      <c r="W2199" t="s">
        <v>2093</v>
      </c>
      <c r="X2199" t="s">
        <v>2093</v>
      </c>
      <c r="AF2199" t="s">
        <v>451</v>
      </c>
      <c r="AI2199">
        <v>-346</v>
      </c>
      <c r="AL2199" t="s">
        <v>2094</v>
      </c>
      <c r="AN2199" t="s">
        <v>31</v>
      </c>
      <c r="AO2199">
        <v>0</v>
      </c>
      <c r="AS2199" t="s">
        <v>702</v>
      </c>
      <c r="AX2199" t="s">
        <v>57</v>
      </c>
      <c r="AY2199" t="s">
        <v>386</v>
      </c>
      <c r="AZ2199" t="s">
        <v>2095</v>
      </c>
      <c r="BF2199">
        <v>0</v>
      </c>
      <c r="BK2199" t="s">
        <v>31</v>
      </c>
      <c r="BS2199" t="s">
        <v>419</v>
      </c>
      <c r="BT2199" t="s">
        <v>419</v>
      </c>
      <c r="CI2199" t="s">
        <v>388</v>
      </c>
      <c r="CJ2199" s="14">
        <v>45015</v>
      </c>
      <c r="CK2199">
        <v>1</v>
      </c>
    </row>
    <row r="2200" spans="1:89">
      <c r="A2200" t="s">
        <v>2096</v>
      </c>
      <c r="B2200" t="s">
        <v>374</v>
      </c>
      <c r="C2200" t="s">
        <v>2097</v>
      </c>
      <c r="D2200" t="s">
        <v>2098</v>
      </c>
      <c r="E2200" t="s">
        <v>2099</v>
      </c>
      <c r="F2200" s="13">
        <v>44637.236168981479</v>
      </c>
      <c r="G2200" t="s">
        <v>2100</v>
      </c>
      <c r="H2200" t="s">
        <v>2101</v>
      </c>
      <c r="I2200" s="13">
        <v>45012.044236111113</v>
      </c>
      <c r="K2200" t="s">
        <v>415</v>
      </c>
      <c r="M2200" s="13">
        <v>44681</v>
      </c>
      <c r="R2200">
        <v>0</v>
      </c>
      <c r="S2200" t="s">
        <v>380</v>
      </c>
      <c r="T2200" t="s">
        <v>57</v>
      </c>
      <c r="V2200" t="s">
        <v>478</v>
      </c>
      <c r="W2200" t="s">
        <v>2102</v>
      </c>
      <c r="X2200" t="s">
        <v>2102</v>
      </c>
      <c r="AC2200" s="13">
        <v>44681</v>
      </c>
      <c r="AD2200" s="13">
        <v>44681</v>
      </c>
      <c r="AF2200" t="s">
        <v>451</v>
      </c>
      <c r="AI2200">
        <v>-331</v>
      </c>
      <c r="AL2200" t="s">
        <v>2103</v>
      </c>
      <c r="AN2200" t="s">
        <v>31</v>
      </c>
      <c r="AO2200">
        <v>0</v>
      </c>
      <c r="AS2200" t="s">
        <v>385</v>
      </c>
      <c r="AX2200" t="s">
        <v>57</v>
      </c>
      <c r="AY2200" t="s">
        <v>442</v>
      </c>
      <c r="AZ2200" t="s">
        <v>2104</v>
      </c>
      <c r="BF2200">
        <v>0</v>
      </c>
      <c r="BK2200" t="s">
        <v>31</v>
      </c>
      <c r="BS2200" t="s">
        <v>419</v>
      </c>
      <c r="BT2200" t="s">
        <v>419</v>
      </c>
      <c r="CI2200" t="s">
        <v>388</v>
      </c>
      <c r="CJ2200" s="14">
        <v>45015</v>
      </c>
      <c r="CK2200">
        <v>1</v>
      </c>
    </row>
    <row r="2201" spans="1:89">
      <c r="A2201" t="s">
        <v>2105</v>
      </c>
      <c r="B2201" t="s">
        <v>374</v>
      </c>
      <c r="C2201" t="s">
        <v>1990</v>
      </c>
      <c r="D2201" t="s">
        <v>2106</v>
      </c>
      <c r="E2201" t="s">
        <v>2107</v>
      </c>
      <c r="F2201" s="13">
        <v>44636.812071759261</v>
      </c>
      <c r="G2201" t="s">
        <v>2108</v>
      </c>
      <c r="H2201" t="s">
        <v>2109</v>
      </c>
      <c r="I2201" s="13">
        <v>45012.044236111113</v>
      </c>
      <c r="K2201" t="s">
        <v>415</v>
      </c>
      <c r="M2201" s="13">
        <v>45107</v>
      </c>
      <c r="R2201">
        <v>0</v>
      </c>
      <c r="S2201" t="s">
        <v>380</v>
      </c>
      <c r="T2201" t="s">
        <v>57</v>
      </c>
      <c r="V2201" t="s">
        <v>381</v>
      </c>
      <c r="W2201" t="s">
        <v>2110</v>
      </c>
      <c r="X2201" t="s">
        <v>2110</v>
      </c>
      <c r="AF2201" t="s">
        <v>451</v>
      </c>
      <c r="AI2201">
        <v>95</v>
      </c>
      <c r="AL2201" t="s">
        <v>2111</v>
      </c>
      <c r="AN2201" t="s">
        <v>31</v>
      </c>
      <c r="AO2201">
        <v>0</v>
      </c>
      <c r="AS2201" t="s">
        <v>385</v>
      </c>
      <c r="AX2201" t="s">
        <v>31</v>
      </c>
      <c r="AY2201" t="s">
        <v>442</v>
      </c>
      <c r="AZ2201" t="s">
        <v>2112</v>
      </c>
      <c r="BF2201">
        <v>0</v>
      </c>
      <c r="BK2201" t="s">
        <v>31</v>
      </c>
      <c r="BS2201" t="s">
        <v>419</v>
      </c>
      <c r="BT2201" t="s">
        <v>419</v>
      </c>
      <c r="CI2201" t="s">
        <v>388</v>
      </c>
      <c r="CJ2201" s="14">
        <v>45015</v>
      </c>
      <c r="CK2201">
        <v>1</v>
      </c>
    </row>
    <row r="2202" spans="1:89">
      <c r="A2202" t="s">
        <v>2113</v>
      </c>
      <c r="B2202" t="s">
        <v>374</v>
      </c>
      <c r="C2202" t="s">
        <v>2114</v>
      </c>
      <c r="D2202" t="s">
        <v>2115</v>
      </c>
      <c r="E2202" t="s">
        <v>2116</v>
      </c>
      <c r="F2202" s="13">
        <v>44636.791597222225</v>
      </c>
      <c r="G2202" t="s">
        <v>2108</v>
      </c>
      <c r="H2202" t="s">
        <v>2109</v>
      </c>
      <c r="I2202" s="13">
        <v>44655.415659722225</v>
      </c>
      <c r="K2202" t="s">
        <v>379</v>
      </c>
      <c r="M2202" s="13">
        <v>44651</v>
      </c>
      <c r="R2202">
        <v>100</v>
      </c>
      <c r="S2202" t="s">
        <v>380</v>
      </c>
      <c r="T2202" t="s">
        <v>57</v>
      </c>
      <c r="V2202" t="s">
        <v>478</v>
      </c>
      <c r="W2202" t="s">
        <v>2117</v>
      </c>
      <c r="X2202" t="s">
        <v>2117</v>
      </c>
      <c r="AF2202" t="s">
        <v>382</v>
      </c>
      <c r="AG2202" t="s">
        <v>2118</v>
      </c>
      <c r="AI2202">
        <v>-4</v>
      </c>
      <c r="AJ2202" s="13">
        <v>44655</v>
      </c>
      <c r="AL2202" t="s">
        <v>2119</v>
      </c>
      <c r="AN2202" t="s">
        <v>31</v>
      </c>
      <c r="AO2202">
        <v>0</v>
      </c>
      <c r="AR2202" t="s">
        <v>2118</v>
      </c>
      <c r="AS2202" t="s">
        <v>648</v>
      </c>
      <c r="AX2202" t="s">
        <v>31</v>
      </c>
      <c r="AY2202" t="s">
        <v>386</v>
      </c>
      <c r="AZ2202" t="s">
        <v>2120</v>
      </c>
      <c r="BF2202">
        <v>0</v>
      </c>
      <c r="BK2202" t="s">
        <v>31</v>
      </c>
      <c r="BS2202" t="s">
        <v>379</v>
      </c>
      <c r="BT2202" t="s">
        <v>379</v>
      </c>
      <c r="CI2202" t="s">
        <v>388</v>
      </c>
      <c r="CJ2202" s="14">
        <v>45015</v>
      </c>
      <c r="CK2202">
        <v>1</v>
      </c>
    </row>
    <row r="2203" spans="1:89">
      <c r="A2203" t="s">
        <v>2121</v>
      </c>
      <c r="B2203" t="s">
        <v>374</v>
      </c>
      <c r="C2203" t="s">
        <v>2122</v>
      </c>
      <c r="D2203" t="s">
        <v>2123</v>
      </c>
      <c r="E2203" t="s">
        <v>2124</v>
      </c>
      <c r="F2203" s="13">
        <v>44636.787615740737</v>
      </c>
      <c r="G2203" t="s">
        <v>2125</v>
      </c>
      <c r="H2203" t="s">
        <v>2126</v>
      </c>
      <c r="I2203" s="13">
        <v>45012.044236111113</v>
      </c>
      <c r="K2203" t="s">
        <v>415</v>
      </c>
      <c r="M2203" s="13">
        <v>44719</v>
      </c>
      <c r="R2203">
        <v>0</v>
      </c>
      <c r="S2203" t="s">
        <v>416</v>
      </c>
      <c r="T2203" t="s">
        <v>57</v>
      </c>
      <c r="V2203" t="s">
        <v>478</v>
      </c>
      <c r="W2203" t="s">
        <v>2127</v>
      </c>
      <c r="X2203" t="s">
        <v>2127</v>
      </c>
      <c r="AF2203" t="s">
        <v>451</v>
      </c>
      <c r="AI2203">
        <v>-293</v>
      </c>
      <c r="AL2203" t="s">
        <v>2128</v>
      </c>
      <c r="AN2203" t="s">
        <v>31</v>
      </c>
      <c r="AO2203">
        <v>0</v>
      </c>
      <c r="AS2203" t="s">
        <v>392</v>
      </c>
      <c r="AX2203" t="s">
        <v>31</v>
      </c>
      <c r="AY2203" t="s">
        <v>386</v>
      </c>
      <c r="AZ2203" t="s">
        <v>2129</v>
      </c>
      <c r="BF2203">
        <v>0</v>
      </c>
      <c r="BK2203" t="s">
        <v>31</v>
      </c>
      <c r="BS2203" t="s">
        <v>419</v>
      </c>
      <c r="BT2203" t="s">
        <v>419</v>
      </c>
      <c r="CI2203" t="s">
        <v>388</v>
      </c>
      <c r="CJ2203" s="14">
        <v>45015</v>
      </c>
      <c r="CK2203">
        <v>1</v>
      </c>
    </row>
    <row r="2204" spans="1:89">
      <c r="A2204" t="s">
        <v>2121</v>
      </c>
      <c r="B2204" t="s">
        <v>374</v>
      </c>
      <c r="C2204" t="s">
        <v>2122</v>
      </c>
      <c r="D2204" t="s">
        <v>2130</v>
      </c>
      <c r="E2204" t="s">
        <v>2131</v>
      </c>
      <c r="F2204" s="13">
        <v>44636.767118055555</v>
      </c>
      <c r="G2204" t="s">
        <v>2125</v>
      </c>
      <c r="H2204" t="s">
        <v>2126</v>
      </c>
      <c r="I2204" s="13">
        <v>44636.776921296296</v>
      </c>
      <c r="K2204" t="s">
        <v>412</v>
      </c>
      <c r="R2204">
        <v>0</v>
      </c>
      <c r="S2204" t="s">
        <v>416</v>
      </c>
      <c r="T2204" t="s">
        <v>57</v>
      </c>
      <c r="V2204" t="s">
        <v>381</v>
      </c>
      <c r="W2204" t="s">
        <v>2132</v>
      </c>
      <c r="X2204" t="s">
        <v>2132</v>
      </c>
      <c r="AI2204">
        <v>14</v>
      </c>
      <c r="AL2204" t="s">
        <v>2133</v>
      </c>
      <c r="AN2204" t="s">
        <v>31</v>
      </c>
      <c r="AO2204">
        <v>0</v>
      </c>
      <c r="AS2204" t="s">
        <v>385</v>
      </c>
      <c r="AX2204" t="s">
        <v>57</v>
      </c>
      <c r="AY2204" t="s">
        <v>442</v>
      </c>
      <c r="AZ2204" t="s">
        <v>2134</v>
      </c>
      <c r="BF2204">
        <v>0</v>
      </c>
      <c r="BK2204" t="s">
        <v>31</v>
      </c>
      <c r="BS2204" t="s">
        <v>412</v>
      </c>
      <c r="BT2204" t="s">
        <v>412</v>
      </c>
      <c r="CI2204" t="s">
        <v>388</v>
      </c>
      <c r="CJ2204" s="14">
        <v>45015</v>
      </c>
      <c r="CK2204">
        <v>1</v>
      </c>
    </row>
    <row r="2205" spans="1:89">
      <c r="A2205" t="s">
        <v>2121</v>
      </c>
      <c r="B2205" t="s">
        <v>374</v>
      </c>
      <c r="C2205" t="s">
        <v>2122</v>
      </c>
      <c r="D2205" t="s">
        <v>2135</v>
      </c>
      <c r="E2205" t="s">
        <v>2136</v>
      </c>
      <c r="F2205" s="13">
        <v>44636.741377314815</v>
      </c>
      <c r="G2205" t="s">
        <v>2125</v>
      </c>
      <c r="H2205" t="s">
        <v>2126</v>
      </c>
      <c r="I2205" s="13">
        <v>45012.044224537036</v>
      </c>
      <c r="K2205" t="s">
        <v>415</v>
      </c>
      <c r="M2205" s="13">
        <v>44957</v>
      </c>
      <c r="R2205">
        <v>0</v>
      </c>
      <c r="S2205" t="s">
        <v>380</v>
      </c>
      <c r="T2205" t="s">
        <v>57</v>
      </c>
      <c r="V2205" t="s">
        <v>478</v>
      </c>
      <c r="W2205" t="s">
        <v>2137</v>
      </c>
      <c r="X2205" t="s">
        <v>2137</v>
      </c>
      <c r="AF2205" t="s">
        <v>451</v>
      </c>
      <c r="AI2205">
        <v>-55</v>
      </c>
      <c r="AL2205" t="s">
        <v>2138</v>
      </c>
      <c r="AN2205" t="s">
        <v>57</v>
      </c>
      <c r="AO2205">
        <v>0</v>
      </c>
      <c r="AS2205" t="s">
        <v>392</v>
      </c>
      <c r="AX2205" t="s">
        <v>57</v>
      </c>
      <c r="AY2205" t="s">
        <v>442</v>
      </c>
      <c r="AZ2205" t="s">
        <v>2139</v>
      </c>
      <c r="BF2205">
        <v>0</v>
      </c>
      <c r="BK2205" t="s">
        <v>31</v>
      </c>
      <c r="BS2205" t="s">
        <v>419</v>
      </c>
      <c r="BT2205" t="s">
        <v>419</v>
      </c>
      <c r="CI2205" t="s">
        <v>388</v>
      </c>
      <c r="CJ2205" s="14">
        <v>45015</v>
      </c>
      <c r="CK2205">
        <v>1</v>
      </c>
    </row>
    <row r="2206" spans="1:89">
      <c r="A2206" t="s">
        <v>2121</v>
      </c>
      <c r="B2206" t="s">
        <v>374</v>
      </c>
      <c r="C2206" t="s">
        <v>2122</v>
      </c>
      <c r="D2206" t="s">
        <v>2140</v>
      </c>
      <c r="E2206" t="s">
        <v>2141</v>
      </c>
      <c r="F2206" s="13">
        <v>44636.739247685182</v>
      </c>
      <c r="G2206" t="s">
        <v>2125</v>
      </c>
      <c r="H2206" t="s">
        <v>2126</v>
      </c>
      <c r="I2206" s="13">
        <v>45012.044224537036</v>
      </c>
      <c r="K2206" t="s">
        <v>415</v>
      </c>
      <c r="M2206" s="13">
        <v>44957</v>
      </c>
      <c r="R2206">
        <v>0</v>
      </c>
      <c r="S2206" t="s">
        <v>380</v>
      </c>
      <c r="T2206" t="s">
        <v>57</v>
      </c>
      <c r="V2206" t="s">
        <v>478</v>
      </c>
      <c r="W2206" t="s">
        <v>2137</v>
      </c>
      <c r="X2206" t="s">
        <v>2137</v>
      </c>
      <c r="AF2206" t="s">
        <v>451</v>
      </c>
      <c r="AI2206">
        <v>-55</v>
      </c>
      <c r="AL2206" t="s">
        <v>2138</v>
      </c>
      <c r="AN2206" t="s">
        <v>57</v>
      </c>
      <c r="AO2206">
        <v>0</v>
      </c>
      <c r="AS2206" t="s">
        <v>392</v>
      </c>
      <c r="AX2206" t="s">
        <v>57</v>
      </c>
      <c r="AY2206" t="s">
        <v>442</v>
      </c>
      <c r="AZ2206" t="s">
        <v>2142</v>
      </c>
      <c r="BF2206">
        <v>0</v>
      </c>
      <c r="BK2206" t="s">
        <v>31</v>
      </c>
      <c r="BS2206" t="s">
        <v>419</v>
      </c>
      <c r="BT2206" t="s">
        <v>419</v>
      </c>
      <c r="CI2206" t="s">
        <v>388</v>
      </c>
      <c r="CJ2206" s="14">
        <v>45015</v>
      </c>
      <c r="CK2206">
        <v>1</v>
      </c>
    </row>
    <row r="2207" spans="1:89">
      <c r="A2207" t="s">
        <v>2121</v>
      </c>
      <c r="B2207" t="s">
        <v>374</v>
      </c>
      <c r="C2207" t="s">
        <v>2122</v>
      </c>
      <c r="D2207" t="s">
        <v>2143</v>
      </c>
      <c r="E2207" t="s">
        <v>2144</v>
      </c>
      <c r="F2207" s="13">
        <v>44636.736446759256</v>
      </c>
      <c r="G2207" t="s">
        <v>2125</v>
      </c>
      <c r="H2207" t="s">
        <v>2126</v>
      </c>
      <c r="I2207" s="13">
        <v>45012.044224537036</v>
      </c>
      <c r="K2207" t="s">
        <v>415</v>
      </c>
      <c r="M2207" s="13">
        <v>44957</v>
      </c>
      <c r="R2207">
        <v>0</v>
      </c>
      <c r="S2207" t="s">
        <v>380</v>
      </c>
      <c r="T2207" t="s">
        <v>57</v>
      </c>
      <c r="V2207" t="s">
        <v>478</v>
      </c>
      <c r="W2207" t="s">
        <v>2137</v>
      </c>
      <c r="X2207" t="s">
        <v>2137</v>
      </c>
      <c r="AF2207" t="s">
        <v>451</v>
      </c>
      <c r="AI2207">
        <v>-55</v>
      </c>
      <c r="AL2207" t="s">
        <v>2138</v>
      </c>
      <c r="AN2207" t="s">
        <v>57</v>
      </c>
      <c r="AO2207">
        <v>0</v>
      </c>
      <c r="AS2207" t="s">
        <v>392</v>
      </c>
      <c r="AX2207" t="s">
        <v>57</v>
      </c>
      <c r="AY2207" t="s">
        <v>442</v>
      </c>
      <c r="AZ2207" t="s">
        <v>2145</v>
      </c>
      <c r="BF2207">
        <v>0</v>
      </c>
      <c r="BK2207" t="s">
        <v>31</v>
      </c>
      <c r="BS2207" t="s">
        <v>419</v>
      </c>
      <c r="BT2207" t="s">
        <v>419</v>
      </c>
      <c r="CI2207" t="s">
        <v>388</v>
      </c>
      <c r="CJ2207" s="14">
        <v>45015</v>
      </c>
      <c r="CK2207">
        <v>1</v>
      </c>
    </row>
    <row r="2208" spans="1:89">
      <c r="A2208" t="s">
        <v>2146</v>
      </c>
      <c r="B2208" t="s">
        <v>374</v>
      </c>
      <c r="C2208" t="s">
        <v>698</v>
      </c>
      <c r="D2208" t="s">
        <v>2147</v>
      </c>
      <c r="E2208" t="s">
        <v>2148</v>
      </c>
      <c r="F2208" s="13">
        <v>44636.628229166665</v>
      </c>
      <c r="G2208" t="s">
        <v>2149</v>
      </c>
      <c r="H2208" t="s">
        <v>2150</v>
      </c>
      <c r="I2208" s="13">
        <v>45012.044212962966</v>
      </c>
      <c r="K2208" t="s">
        <v>415</v>
      </c>
      <c r="M2208" s="13">
        <v>44880</v>
      </c>
      <c r="R2208">
        <v>0</v>
      </c>
      <c r="S2208" t="s">
        <v>380</v>
      </c>
      <c r="T2208" t="s">
        <v>57</v>
      </c>
      <c r="V2208" t="s">
        <v>478</v>
      </c>
      <c r="W2208" t="s">
        <v>2151</v>
      </c>
      <c r="X2208" t="s">
        <v>2151</v>
      </c>
      <c r="AF2208" t="s">
        <v>451</v>
      </c>
      <c r="AI2208">
        <v>-132</v>
      </c>
      <c r="AL2208" t="s">
        <v>2152</v>
      </c>
      <c r="AN2208" t="s">
        <v>31</v>
      </c>
      <c r="AO2208">
        <v>0</v>
      </c>
      <c r="AS2208" t="s">
        <v>385</v>
      </c>
      <c r="AX2208" t="s">
        <v>31</v>
      </c>
      <c r="AY2208" t="s">
        <v>442</v>
      </c>
      <c r="AZ2208" t="s">
        <v>2153</v>
      </c>
      <c r="BE2208" t="s">
        <v>2154</v>
      </c>
      <c r="BF2208">
        <v>0</v>
      </c>
      <c r="BK2208" t="s">
        <v>31</v>
      </c>
      <c r="BS2208" t="s">
        <v>419</v>
      </c>
      <c r="BT2208" t="s">
        <v>419</v>
      </c>
      <c r="CI2208" t="s">
        <v>388</v>
      </c>
      <c r="CJ2208" s="14">
        <v>45015</v>
      </c>
      <c r="CK2208">
        <v>1</v>
      </c>
    </row>
    <row r="2209" spans="1:89">
      <c r="A2209" t="s">
        <v>2155</v>
      </c>
      <c r="B2209" t="s">
        <v>374</v>
      </c>
      <c r="C2209" t="s">
        <v>2156</v>
      </c>
      <c r="D2209" t="s">
        <v>2157</v>
      </c>
      <c r="E2209" t="s">
        <v>2158</v>
      </c>
      <c r="F2209" s="13">
        <v>44636.498240740744</v>
      </c>
      <c r="G2209" t="s">
        <v>2159</v>
      </c>
      <c r="H2209" t="s">
        <v>2160</v>
      </c>
      <c r="I2209" s="13">
        <v>45012.044212962966</v>
      </c>
      <c r="K2209" t="s">
        <v>415</v>
      </c>
      <c r="M2209" s="13">
        <v>44718</v>
      </c>
      <c r="R2209">
        <v>0</v>
      </c>
      <c r="S2209" t="s">
        <v>416</v>
      </c>
      <c r="T2209" t="s">
        <v>57</v>
      </c>
      <c r="V2209" t="s">
        <v>478</v>
      </c>
      <c r="W2209" t="s">
        <v>2161</v>
      </c>
      <c r="X2209" t="s">
        <v>2161</v>
      </c>
      <c r="AC2209" s="13">
        <v>44718</v>
      </c>
      <c r="AD2209" s="13">
        <v>44718</v>
      </c>
      <c r="AF2209" t="s">
        <v>451</v>
      </c>
      <c r="AI2209">
        <v>-294</v>
      </c>
      <c r="AL2209" t="s">
        <v>2162</v>
      </c>
      <c r="AN2209" t="s">
        <v>31</v>
      </c>
      <c r="AO2209">
        <v>0</v>
      </c>
      <c r="AS2209" t="s">
        <v>385</v>
      </c>
      <c r="AX2209" t="s">
        <v>57</v>
      </c>
      <c r="AY2209" t="s">
        <v>386</v>
      </c>
      <c r="AZ2209" t="s">
        <v>2163</v>
      </c>
      <c r="BF2209">
        <v>0</v>
      </c>
      <c r="BK2209" t="s">
        <v>31</v>
      </c>
      <c r="BS2209" t="s">
        <v>419</v>
      </c>
      <c r="BT2209" t="s">
        <v>419</v>
      </c>
      <c r="CI2209" t="s">
        <v>388</v>
      </c>
      <c r="CJ2209" s="14">
        <v>45015</v>
      </c>
      <c r="CK2209">
        <v>1</v>
      </c>
    </row>
    <row r="2210" spans="1:89">
      <c r="A2210" t="s">
        <v>2164</v>
      </c>
      <c r="B2210" t="s">
        <v>374</v>
      </c>
      <c r="C2210" t="s">
        <v>2165</v>
      </c>
      <c r="D2210" t="s">
        <v>2166</v>
      </c>
      <c r="E2210" t="s">
        <v>2167</v>
      </c>
      <c r="F2210" s="13">
        <v>44636.479328703703</v>
      </c>
      <c r="G2210" t="s">
        <v>2168</v>
      </c>
      <c r="H2210" t="s">
        <v>2169</v>
      </c>
      <c r="I2210" s="13">
        <v>45012.044212962966</v>
      </c>
      <c r="K2210" t="s">
        <v>415</v>
      </c>
      <c r="M2210" s="13">
        <v>44742</v>
      </c>
      <c r="R2210">
        <v>0</v>
      </c>
      <c r="S2210" t="s">
        <v>380</v>
      </c>
      <c r="T2210" t="s">
        <v>57</v>
      </c>
      <c r="V2210" t="s">
        <v>478</v>
      </c>
      <c r="W2210" t="s">
        <v>2170</v>
      </c>
      <c r="X2210" t="s">
        <v>2170</v>
      </c>
      <c r="AC2210" s="13">
        <v>44834</v>
      </c>
      <c r="AD2210" s="13">
        <v>44742</v>
      </c>
      <c r="AF2210" t="s">
        <v>451</v>
      </c>
      <c r="AI2210">
        <v>-270</v>
      </c>
      <c r="AL2210" t="s">
        <v>2171</v>
      </c>
      <c r="AN2210" t="s">
        <v>57</v>
      </c>
      <c r="AO2210">
        <v>0</v>
      </c>
      <c r="AS2210" t="s">
        <v>1720</v>
      </c>
      <c r="AX2210" t="s">
        <v>57</v>
      </c>
      <c r="AY2210" t="s">
        <v>386</v>
      </c>
      <c r="AZ2210" t="s">
        <v>2172</v>
      </c>
      <c r="BF2210">
        <v>0</v>
      </c>
      <c r="BK2210" t="s">
        <v>31</v>
      </c>
      <c r="BS2210" t="s">
        <v>419</v>
      </c>
      <c r="BT2210" t="s">
        <v>419</v>
      </c>
      <c r="CI2210" t="s">
        <v>388</v>
      </c>
      <c r="CJ2210" s="14">
        <v>45015</v>
      </c>
      <c r="CK2210">
        <v>1</v>
      </c>
    </row>
    <row r="2211" spans="1:89">
      <c r="A2211" t="s">
        <v>2173</v>
      </c>
      <c r="B2211" t="s">
        <v>374</v>
      </c>
      <c r="C2211" t="s">
        <v>2174</v>
      </c>
      <c r="D2211" t="s">
        <v>2175</v>
      </c>
      <c r="E2211" t="s">
        <v>2176</v>
      </c>
      <c r="F2211" s="13">
        <v>44636.415092592593</v>
      </c>
      <c r="G2211" t="s">
        <v>1483</v>
      </c>
      <c r="H2211" t="s">
        <v>1484</v>
      </c>
      <c r="I2211" s="13">
        <v>45012.04420138889</v>
      </c>
      <c r="K2211" t="s">
        <v>415</v>
      </c>
      <c r="M2211" s="13">
        <v>44684</v>
      </c>
      <c r="R2211">
        <v>0</v>
      </c>
      <c r="S2211" t="s">
        <v>380</v>
      </c>
      <c r="T2211" t="s">
        <v>57</v>
      </c>
      <c r="V2211" t="s">
        <v>478</v>
      </c>
      <c r="W2211" t="s">
        <v>2177</v>
      </c>
      <c r="X2211" t="s">
        <v>2177</v>
      </c>
      <c r="AC2211" s="13">
        <v>44676</v>
      </c>
      <c r="AD2211" s="13">
        <v>44624</v>
      </c>
      <c r="AF2211" t="s">
        <v>451</v>
      </c>
      <c r="AI2211">
        <v>-328</v>
      </c>
      <c r="AL2211" t="s">
        <v>2178</v>
      </c>
      <c r="AN2211" t="s">
        <v>31</v>
      </c>
      <c r="AO2211">
        <v>0</v>
      </c>
      <c r="AS2211" t="s">
        <v>648</v>
      </c>
      <c r="AX2211" t="s">
        <v>31</v>
      </c>
      <c r="AY2211" t="s">
        <v>386</v>
      </c>
      <c r="AZ2211" t="s">
        <v>2179</v>
      </c>
      <c r="BF2211">
        <v>0</v>
      </c>
      <c r="BK2211" t="s">
        <v>31</v>
      </c>
      <c r="BS2211" t="s">
        <v>419</v>
      </c>
      <c r="BT2211" t="s">
        <v>419</v>
      </c>
      <c r="CI2211" t="s">
        <v>388</v>
      </c>
      <c r="CJ2211" s="14">
        <v>45015</v>
      </c>
      <c r="CK2211">
        <v>1</v>
      </c>
    </row>
    <row r="2212" spans="1:89">
      <c r="A2212" t="s">
        <v>1415</v>
      </c>
      <c r="B2212" t="s">
        <v>374</v>
      </c>
      <c r="C2212" t="s">
        <v>1416</v>
      </c>
      <c r="D2212" t="s">
        <v>2180</v>
      </c>
      <c r="E2212" t="s">
        <v>2181</v>
      </c>
      <c r="F2212" s="13">
        <v>44636.357164351852</v>
      </c>
      <c r="G2212" t="s">
        <v>1418</v>
      </c>
      <c r="H2212" t="s">
        <v>1419</v>
      </c>
      <c r="I2212" s="13">
        <v>45012.04420138889</v>
      </c>
      <c r="K2212" t="s">
        <v>415</v>
      </c>
      <c r="M2212" s="13">
        <v>44834</v>
      </c>
      <c r="R2212">
        <v>0</v>
      </c>
      <c r="S2212" t="s">
        <v>380</v>
      </c>
      <c r="T2212" t="s">
        <v>57</v>
      </c>
      <c r="V2212" t="s">
        <v>478</v>
      </c>
      <c r="W2212" t="s">
        <v>2182</v>
      </c>
      <c r="X2212" t="s">
        <v>2182</v>
      </c>
      <c r="AF2212" t="s">
        <v>451</v>
      </c>
      <c r="AI2212">
        <v>-178</v>
      </c>
      <c r="AL2212" t="s">
        <v>2183</v>
      </c>
      <c r="AN2212" t="s">
        <v>31</v>
      </c>
      <c r="AO2212">
        <v>0</v>
      </c>
      <c r="AS2212" t="s">
        <v>385</v>
      </c>
      <c r="AX2212" t="s">
        <v>31</v>
      </c>
      <c r="AY2212" t="s">
        <v>442</v>
      </c>
      <c r="AZ2212" t="s">
        <v>2184</v>
      </c>
      <c r="BF2212">
        <v>0</v>
      </c>
      <c r="BK2212" t="s">
        <v>31</v>
      </c>
      <c r="BS2212" t="s">
        <v>419</v>
      </c>
      <c r="BT2212" t="s">
        <v>419</v>
      </c>
      <c r="CI2212" t="s">
        <v>388</v>
      </c>
      <c r="CJ2212" s="14">
        <v>45015</v>
      </c>
      <c r="CK2212">
        <v>1</v>
      </c>
    </row>
    <row r="2213" spans="1:89">
      <c r="A2213" t="s">
        <v>2096</v>
      </c>
      <c r="B2213" t="s">
        <v>374</v>
      </c>
      <c r="C2213" t="s">
        <v>2097</v>
      </c>
      <c r="D2213" t="s">
        <v>2185</v>
      </c>
      <c r="E2213" t="s">
        <v>2186</v>
      </c>
      <c r="F2213" s="13">
        <v>44636.264421296299</v>
      </c>
      <c r="G2213" t="s">
        <v>2100</v>
      </c>
      <c r="H2213" t="s">
        <v>2101</v>
      </c>
      <c r="I2213" s="13">
        <v>45012.04420138889</v>
      </c>
      <c r="K2213" t="s">
        <v>415</v>
      </c>
      <c r="M2213" s="13">
        <v>44742</v>
      </c>
      <c r="R2213">
        <v>0</v>
      </c>
      <c r="S2213" t="s">
        <v>380</v>
      </c>
      <c r="T2213" t="s">
        <v>57</v>
      </c>
      <c r="V2213" t="s">
        <v>478</v>
      </c>
      <c r="W2213" t="s">
        <v>2187</v>
      </c>
      <c r="X2213" t="s">
        <v>2187</v>
      </c>
      <c r="AC2213" s="13">
        <v>44742</v>
      </c>
      <c r="AD2213" s="13">
        <v>44742</v>
      </c>
      <c r="AF2213" t="s">
        <v>451</v>
      </c>
      <c r="AI2213">
        <v>-270</v>
      </c>
      <c r="AL2213" t="s">
        <v>2188</v>
      </c>
      <c r="AN2213" t="s">
        <v>31</v>
      </c>
      <c r="AO2213">
        <v>0</v>
      </c>
      <c r="AS2213" t="s">
        <v>702</v>
      </c>
      <c r="AX2213" t="s">
        <v>57</v>
      </c>
      <c r="AY2213" t="s">
        <v>442</v>
      </c>
      <c r="AZ2213" t="s">
        <v>2189</v>
      </c>
      <c r="BF2213">
        <v>0</v>
      </c>
      <c r="BK2213" t="s">
        <v>31</v>
      </c>
      <c r="BS2213" t="s">
        <v>419</v>
      </c>
      <c r="BT2213" t="s">
        <v>419</v>
      </c>
      <c r="CI2213" t="s">
        <v>388</v>
      </c>
      <c r="CJ2213" s="14">
        <v>45015</v>
      </c>
      <c r="CK2213">
        <v>1</v>
      </c>
    </row>
    <row r="2214" spans="1:89">
      <c r="A2214" t="s">
        <v>2190</v>
      </c>
      <c r="B2214" t="s">
        <v>374</v>
      </c>
      <c r="C2214" t="s">
        <v>2191</v>
      </c>
      <c r="D2214" t="s">
        <v>2192</v>
      </c>
      <c r="E2214" t="s">
        <v>2193</v>
      </c>
      <c r="F2214" s="13">
        <v>44635.547256944446</v>
      </c>
      <c r="G2214" t="s">
        <v>2100</v>
      </c>
      <c r="H2214" t="s">
        <v>2101</v>
      </c>
      <c r="I2214" s="13">
        <v>45012.044189814813</v>
      </c>
      <c r="K2214" t="s">
        <v>415</v>
      </c>
      <c r="M2214" s="13">
        <v>44742</v>
      </c>
      <c r="R2214">
        <v>0</v>
      </c>
      <c r="S2214" t="s">
        <v>380</v>
      </c>
      <c r="T2214" t="s">
        <v>57</v>
      </c>
      <c r="V2214" t="s">
        <v>478</v>
      </c>
      <c r="W2214" t="s">
        <v>2187</v>
      </c>
      <c r="X2214" t="s">
        <v>2187</v>
      </c>
      <c r="AC2214" s="13">
        <v>44742</v>
      </c>
      <c r="AD2214" s="13">
        <v>44742</v>
      </c>
      <c r="AF2214" t="s">
        <v>451</v>
      </c>
      <c r="AI2214">
        <v>-270</v>
      </c>
      <c r="AL2214" t="s">
        <v>2194</v>
      </c>
      <c r="AN2214" t="s">
        <v>31</v>
      </c>
      <c r="AO2214">
        <v>0</v>
      </c>
      <c r="AS2214" t="s">
        <v>385</v>
      </c>
      <c r="AX2214" t="s">
        <v>57</v>
      </c>
      <c r="AY2214" t="s">
        <v>442</v>
      </c>
      <c r="AZ2214" t="s">
        <v>2195</v>
      </c>
      <c r="BF2214">
        <v>0</v>
      </c>
      <c r="BK2214" t="s">
        <v>31</v>
      </c>
      <c r="BS2214" t="s">
        <v>419</v>
      </c>
      <c r="BT2214" t="s">
        <v>419</v>
      </c>
      <c r="CI2214" t="s">
        <v>388</v>
      </c>
      <c r="CJ2214" s="14">
        <v>45015</v>
      </c>
      <c r="CK2214">
        <v>1</v>
      </c>
    </row>
    <row r="2215" spans="1:89">
      <c r="A2215" t="s">
        <v>2196</v>
      </c>
      <c r="B2215" t="s">
        <v>374</v>
      </c>
      <c r="C2215" t="s">
        <v>2197</v>
      </c>
      <c r="D2215" t="s">
        <v>2198</v>
      </c>
      <c r="E2215" t="s">
        <v>2199</v>
      </c>
      <c r="F2215" s="13">
        <v>44635.432662037034</v>
      </c>
      <c r="G2215" t="s">
        <v>2200</v>
      </c>
      <c r="H2215" t="s">
        <v>2201</v>
      </c>
      <c r="I2215" s="13">
        <v>44635.432662037034</v>
      </c>
      <c r="K2215" t="s">
        <v>412</v>
      </c>
      <c r="R2215">
        <v>0</v>
      </c>
      <c r="S2215" t="s">
        <v>416</v>
      </c>
      <c r="V2215" t="s">
        <v>381</v>
      </c>
      <c r="W2215" t="s">
        <v>2202</v>
      </c>
      <c r="X2215" t="s">
        <v>2202</v>
      </c>
      <c r="AI2215">
        <v>45</v>
      </c>
      <c r="AL2215" t="s">
        <v>2203</v>
      </c>
      <c r="AN2215" t="s">
        <v>31</v>
      </c>
      <c r="AO2215">
        <v>0</v>
      </c>
      <c r="AZ2215" t="s">
        <v>2204</v>
      </c>
      <c r="BF2215">
        <v>0</v>
      </c>
      <c r="BK2215" t="s">
        <v>31</v>
      </c>
      <c r="BS2215" t="s">
        <v>412</v>
      </c>
      <c r="BT2215" t="s">
        <v>412</v>
      </c>
      <c r="CI2215" t="s">
        <v>388</v>
      </c>
      <c r="CJ2215" s="14">
        <v>45015</v>
      </c>
      <c r="CK2215">
        <v>1</v>
      </c>
    </row>
    <row r="2216" spans="1:89">
      <c r="A2216" t="s">
        <v>2196</v>
      </c>
      <c r="B2216" t="s">
        <v>374</v>
      </c>
      <c r="C2216" t="s">
        <v>2197</v>
      </c>
      <c r="D2216" t="s">
        <v>2205</v>
      </c>
      <c r="E2216" t="s">
        <v>2206</v>
      </c>
      <c r="F2216" s="13">
        <v>44635.431562500002</v>
      </c>
      <c r="G2216" t="s">
        <v>2200</v>
      </c>
      <c r="H2216" t="s">
        <v>2201</v>
      </c>
      <c r="I2216" s="13">
        <v>44635.431562500002</v>
      </c>
      <c r="K2216" t="s">
        <v>412</v>
      </c>
      <c r="R2216">
        <v>0</v>
      </c>
      <c r="S2216" t="s">
        <v>416</v>
      </c>
      <c r="V2216" t="s">
        <v>381</v>
      </c>
      <c r="W2216" t="s">
        <v>2202</v>
      </c>
      <c r="X2216" t="s">
        <v>2202</v>
      </c>
      <c r="AI2216">
        <v>45</v>
      </c>
      <c r="AL2216" t="s">
        <v>2203</v>
      </c>
      <c r="AN2216" t="s">
        <v>31</v>
      </c>
      <c r="AO2216">
        <v>0</v>
      </c>
      <c r="AZ2216" t="s">
        <v>2207</v>
      </c>
      <c r="BF2216">
        <v>0</v>
      </c>
      <c r="BK2216" t="s">
        <v>31</v>
      </c>
      <c r="BS2216" t="s">
        <v>412</v>
      </c>
      <c r="BT2216" t="s">
        <v>412</v>
      </c>
      <c r="CI2216" t="s">
        <v>388</v>
      </c>
      <c r="CJ2216" s="14">
        <v>45015</v>
      </c>
      <c r="CK2216">
        <v>1</v>
      </c>
    </row>
    <row r="2217" spans="1:89">
      <c r="A2217" t="s">
        <v>2196</v>
      </c>
      <c r="B2217" t="s">
        <v>374</v>
      </c>
      <c r="C2217" t="s">
        <v>2197</v>
      </c>
      <c r="D2217" t="s">
        <v>2208</v>
      </c>
      <c r="E2217" t="s">
        <v>2209</v>
      </c>
      <c r="F2217" s="13">
        <v>44635.415914351855</v>
      </c>
      <c r="G2217" t="s">
        <v>2200</v>
      </c>
      <c r="H2217" t="s">
        <v>2201</v>
      </c>
      <c r="I2217" s="13">
        <v>44635.415925925925</v>
      </c>
      <c r="K2217" t="s">
        <v>412</v>
      </c>
      <c r="R2217">
        <v>0</v>
      </c>
      <c r="S2217" t="s">
        <v>416</v>
      </c>
      <c r="V2217" t="s">
        <v>381</v>
      </c>
      <c r="W2217" t="s">
        <v>2202</v>
      </c>
      <c r="X2217" t="s">
        <v>2202</v>
      </c>
      <c r="AI2217">
        <v>45</v>
      </c>
      <c r="AL2217" t="s">
        <v>2203</v>
      </c>
      <c r="AN2217" t="s">
        <v>31</v>
      </c>
      <c r="AO2217">
        <v>0</v>
      </c>
      <c r="AZ2217" t="s">
        <v>2210</v>
      </c>
      <c r="BF2217">
        <v>0</v>
      </c>
      <c r="BK2217" t="s">
        <v>31</v>
      </c>
      <c r="BS2217" t="s">
        <v>412</v>
      </c>
      <c r="BT2217" t="s">
        <v>412</v>
      </c>
      <c r="CI2217" t="s">
        <v>388</v>
      </c>
      <c r="CJ2217" s="14">
        <v>45015</v>
      </c>
      <c r="CK2217">
        <v>1</v>
      </c>
    </row>
    <row r="2218" spans="1:89">
      <c r="A2218" t="s">
        <v>435</v>
      </c>
      <c r="B2218" t="s">
        <v>374</v>
      </c>
      <c r="C2218" t="s">
        <v>436</v>
      </c>
      <c r="D2218" t="s">
        <v>2211</v>
      </c>
      <c r="E2218" t="s">
        <v>2212</v>
      </c>
      <c r="F2218" s="13">
        <v>44630.701249999998</v>
      </c>
      <c r="G2218" t="s">
        <v>439</v>
      </c>
      <c r="H2218" t="s">
        <v>440</v>
      </c>
      <c r="I2218" s="13">
        <v>45012.044189814813</v>
      </c>
      <c r="K2218" t="s">
        <v>415</v>
      </c>
      <c r="M2218" s="13">
        <v>44719</v>
      </c>
      <c r="R2218">
        <v>0</v>
      </c>
      <c r="S2218" t="s">
        <v>416</v>
      </c>
      <c r="T2218" t="s">
        <v>57</v>
      </c>
      <c r="V2218" t="s">
        <v>478</v>
      </c>
      <c r="W2218" t="s">
        <v>440</v>
      </c>
      <c r="X2218" t="s">
        <v>440</v>
      </c>
      <c r="AF2218" t="s">
        <v>451</v>
      </c>
      <c r="AI2218">
        <v>-293</v>
      </c>
      <c r="AL2218" t="s">
        <v>2213</v>
      </c>
      <c r="AN2218" t="s">
        <v>31</v>
      </c>
      <c r="AO2218">
        <v>0</v>
      </c>
      <c r="AS2218" t="s">
        <v>392</v>
      </c>
      <c r="AX2218" t="s">
        <v>57</v>
      </c>
      <c r="AY2218" t="s">
        <v>442</v>
      </c>
      <c r="AZ2218" t="s">
        <v>2214</v>
      </c>
      <c r="BF2218">
        <v>0</v>
      </c>
      <c r="BK2218" t="s">
        <v>31</v>
      </c>
      <c r="BS2218" t="s">
        <v>419</v>
      </c>
      <c r="BT2218" t="s">
        <v>419</v>
      </c>
      <c r="CI2218" t="s">
        <v>388</v>
      </c>
      <c r="CJ2218" s="14">
        <v>45015</v>
      </c>
      <c r="CK2218">
        <v>1</v>
      </c>
    </row>
    <row r="2219" spans="1:89">
      <c r="A2219" t="s">
        <v>435</v>
      </c>
      <c r="B2219" t="s">
        <v>374</v>
      </c>
      <c r="C2219" t="s">
        <v>436</v>
      </c>
      <c r="D2219" t="s">
        <v>2215</v>
      </c>
      <c r="E2219" t="s">
        <v>2216</v>
      </c>
      <c r="F2219" s="13">
        <v>44630.676840277774</v>
      </c>
      <c r="G2219" t="s">
        <v>439</v>
      </c>
      <c r="H2219" t="s">
        <v>440</v>
      </c>
      <c r="I2219" s="13">
        <v>45012.044189814813</v>
      </c>
      <c r="K2219" t="s">
        <v>415</v>
      </c>
      <c r="M2219" s="13">
        <v>44719</v>
      </c>
      <c r="R2219">
        <v>0</v>
      </c>
      <c r="S2219" t="s">
        <v>416</v>
      </c>
      <c r="T2219" t="s">
        <v>57</v>
      </c>
      <c r="V2219" t="s">
        <v>478</v>
      </c>
      <c r="W2219" t="s">
        <v>440</v>
      </c>
      <c r="X2219" t="s">
        <v>440</v>
      </c>
      <c r="AF2219" t="s">
        <v>451</v>
      </c>
      <c r="AI2219">
        <v>-293</v>
      </c>
      <c r="AL2219" t="s">
        <v>2217</v>
      </c>
      <c r="AN2219" t="s">
        <v>31</v>
      </c>
      <c r="AO2219">
        <v>0</v>
      </c>
      <c r="AS2219" t="s">
        <v>392</v>
      </c>
      <c r="AX2219" t="s">
        <v>57</v>
      </c>
      <c r="AY2219" t="s">
        <v>442</v>
      </c>
      <c r="AZ2219" t="s">
        <v>2218</v>
      </c>
      <c r="BF2219">
        <v>0</v>
      </c>
      <c r="BK2219" t="s">
        <v>31</v>
      </c>
      <c r="BS2219" t="s">
        <v>419</v>
      </c>
      <c r="BT2219" t="s">
        <v>419</v>
      </c>
      <c r="CI2219" t="s">
        <v>388</v>
      </c>
      <c r="CJ2219" s="14">
        <v>45015</v>
      </c>
      <c r="CK2219">
        <v>1</v>
      </c>
    </row>
    <row r="2220" spans="1:89">
      <c r="A2220" t="s">
        <v>435</v>
      </c>
      <c r="B2220" t="s">
        <v>374</v>
      </c>
      <c r="C2220" t="s">
        <v>436</v>
      </c>
      <c r="D2220" t="s">
        <v>2219</v>
      </c>
      <c r="E2220" t="s">
        <v>2220</v>
      </c>
      <c r="F2220" s="13">
        <v>44630.61996527778</v>
      </c>
      <c r="G2220" t="s">
        <v>439</v>
      </c>
      <c r="H2220" t="s">
        <v>440</v>
      </c>
      <c r="I2220" s="13">
        <v>45012.044178240743</v>
      </c>
      <c r="K2220" t="s">
        <v>415</v>
      </c>
      <c r="M2220" s="13">
        <v>44720</v>
      </c>
      <c r="R2220">
        <v>0</v>
      </c>
      <c r="S2220" t="s">
        <v>416</v>
      </c>
      <c r="T2220" t="s">
        <v>57</v>
      </c>
      <c r="V2220" t="s">
        <v>478</v>
      </c>
      <c r="W2220" t="s">
        <v>440</v>
      </c>
      <c r="X2220" t="s">
        <v>440</v>
      </c>
      <c r="AF2220" t="s">
        <v>451</v>
      </c>
      <c r="AI2220">
        <v>-292</v>
      </c>
      <c r="AL2220" t="s">
        <v>2221</v>
      </c>
      <c r="AN2220" t="s">
        <v>31</v>
      </c>
      <c r="AO2220">
        <v>0</v>
      </c>
      <c r="AS2220" t="s">
        <v>392</v>
      </c>
      <c r="AX2220" t="s">
        <v>57</v>
      </c>
      <c r="AY2220" t="s">
        <v>442</v>
      </c>
      <c r="AZ2220" t="s">
        <v>2222</v>
      </c>
      <c r="BF2220">
        <v>0</v>
      </c>
      <c r="BK2220" t="s">
        <v>31</v>
      </c>
      <c r="BS2220" t="s">
        <v>419</v>
      </c>
      <c r="BT2220" t="s">
        <v>419</v>
      </c>
      <c r="CI2220" t="s">
        <v>388</v>
      </c>
      <c r="CJ2220" s="14">
        <v>45015</v>
      </c>
      <c r="CK2220">
        <v>1</v>
      </c>
    </row>
    <row r="2221" spans="1:89">
      <c r="A2221" t="s">
        <v>435</v>
      </c>
      <c r="B2221" t="s">
        <v>374</v>
      </c>
      <c r="C2221" t="s">
        <v>436</v>
      </c>
      <c r="D2221" t="s">
        <v>2223</v>
      </c>
      <c r="E2221" t="s">
        <v>2224</v>
      </c>
      <c r="F2221" s="13">
        <v>44630.518460648149</v>
      </c>
      <c r="G2221" t="s">
        <v>439</v>
      </c>
      <c r="H2221" t="s">
        <v>440</v>
      </c>
      <c r="I2221" s="13">
        <v>45012.044178240743</v>
      </c>
      <c r="K2221" t="s">
        <v>415</v>
      </c>
      <c r="M2221" s="13">
        <v>44708</v>
      </c>
      <c r="R2221">
        <v>0</v>
      </c>
      <c r="S2221" t="s">
        <v>416</v>
      </c>
      <c r="T2221" t="s">
        <v>57</v>
      </c>
      <c r="V2221" t="s">
        <v>478</v>
      </c>
      <c r="W2221" t="s">
        <v>440</v>
      </c>
      <c r="X2221" t="s">
        <v>440</v>
      </c>
      <c r="AF2221" t="s">
        <v>451</v>
      </c>
      <c r="AI2221">
        <v>-304</v>
      </c>
      <c r="AL2221" t="s">
        <v>2225</v>
      </c>
      <c r="AN2221" t="s">
        <v>31</v>
      </c>
      <c r="AO2221">
        <v>0</v>
      </c>
      <c r="AS2221" t="s">
        <v>392</v>
      </c>
      <c r="AX2221" t="s">
        <v>57</v>
      </c>
      <c r="AY2221" t="s">
        <v>442</v>
      </c>
      <c r="AZ2221" t="s">
        <v>2226</v>
      </c>
      <c r="BF2221">
        <v>0</v>
      </c>
      <c r="BK2221" t="s">
        <v>31</v>
      </c>
      <c r="BS2221" t="s">
        <v>419</v>
      </c>
      <c r="BT2221" t="s">
        <v>419</v>
      </c>
      <c r="CI2221" t="s">
        <v>388</v>
      </c>
      <c r="CJ2221" s="14">
        <v>45015</v>
      </c>
      <c r="CK2221">
        <v>1</v>
      </c>
    </row>
    <row r="2222" spans="1:89">
      <c r="A2222" t="s">
        <v>2227</v>
      </c>
      <c r="B2222" t="s">
        <v>374</v>
      </c>
      <c r="C2222" t="s">
        <v>2228</v>
      </c>
      <c r="D2222" t="s">
        <v>2229</v>
      </c>
      <c r="E2222" t="s">
        <v>2230</v>
      </c>
      <c r="F2222" s="13">
        <v>44630.5075</v>
      </c>
      <c r="G2222" t="s">
        <v>2231</v>
      </c>
      <c r="H2222" t="s">
        <v>2232</v>
      </c>
      <c r="I2222" s="13">
        <v>45012.044178240743</v>
      </c>
      <c r="K2222" t="s">
        <v>415</v>
      </c>
      <c r="M2222" s="13">
        <v>44848</v>
      </c>
      <c r="R2222">
        <v>0</v>
      </c>
      <c r="S2222" t="s">
        <v>380</v>
      </c>
      <c r="T2222" t="s">
        <v>57</v>
      </c>
      <c r="V2222" t="s">
        <v>478</v>
      </c>
      <c r="W2222" t="s">
        <v>2233</v>
      </c>
      <c r="X2222" t="s">
        <v>2233</v>
      </c>
      <c r="AF2222" t="s">
        <v>451</v>
      </c>
      <c r="AI2222">
        <v>-164</v>
      </c>
      <c r="AL2222" t="s">
        <v>2234</v>
      </c>
      <c r="AN2222" t="s">
        <v>31</v>
      </c>
      <c r="AO2222">
        <v>0</v>
      </c>
      <c r="AS2222" t="s">
        <v>385</v>
      </c>
      <c r="AX2222" t="s">
        <v>31</v>
      </c>
      <c r="AY2222" t="s">
        <v>386</v>
      </c>
      <c r="AZ2222" t="s">
        <v>2235</v>
      </c>
      <c r="BF2222">
        <v>0</v>
      </c>
      <c r="BK2222" t="s">
        <v>31</v>
      </c>
      <c r="BS2222" t="s">
        <v>419</v>
      </c>
      <c r="BT2222" t="s">
        <v>419</v>
      </c>
      <c r="CI2222" t="s">
        <v>388</v>
      </c>
      <c r="CJ2222" s="14">
        <v>45015</v>
      </c>
      <c r="CK2222">
        <v>1</v>
      </c>
    </row>
    <row r="2223" spans="1:89">
      <c r="A2223" t="s">
        <v>435</v>
      </c>
      <c r="B2223" t="s">
        <v>374</v>
      </c>
      <c r="C2223" t="s">
        <v>436</v>
      </c>
      <c r="D2223" t="s">
        <v>2236</v>
      </c>
      <c r="E2223" t="s">
        <v>2237</v>
      </c>
      <c r="F2223" s="13">
        <v>44630.470138888886</v>
      </c>
      <c r="G2223" t="s">
        <v>439</v>
      </c>
      <c r="H2223" t="s">
        <v>440</v>
      </c>
      <c r="I2223" s="13">
        <v>45012.044166666667</v>
      </c>
      <c r="K2223" t="s">
        <v>415</v>
      </c>
      <c r="M2223" s="13">
        <v>44742</v>
      </c>
      <c r="R2223">
        <v>0</v>
      </c>
      <c r="S2223" t="s">
        <v>416</v>
      </c>
      <c r="T2223" t="s">
        <v>57</v>
      </c>
      <c r="V2223" t="s">
        <v>478</v>
      </c>
      <c r="W2223" t="s">
        <v>440</v>
      </c>
      <c r="X2223" t="s">
        <v>440</v>
      </c>
      <c r="AF2223" t="s">
        <v>451</v>
      </c>
      <c r="AI2223">
        <v>-270</v>
      </c>
      <c r="AL2223" t="s">
        <v>2238</v>
      </c>
      <c r="AN2223" t="s">
        <v>31</v>
      </c>
      <c r="AO2223">
        <v>0</v>
      </c>
      <c r="AS2223" t="s">
        <v>392</v>
      </c>
      <c r="AX2223" t="s">
        <v>57</v>
      </c>
      <c r="AY2223" t="s">
        <v>442</v>
      </c>
      <c r="AZ2223" t="s">
        <v>2239</v>
      </c>
      <c r="BF2223">
        <v>0</v>
      </c>
      <c r="BK2223" t="s">
        <v>31</v>
      </c>
      <c r="BS2223" t="s">
        <v>419</v>
      </c>
      <c r="BT2223" t="s">
        <v>419</v>
      </c>
      <c r="CI2223" t="s">
        <v>388</v>
      </c>
      <c r="CJ2223" s="14">
        <v>45015</v>
      </c>
      <c r="CK2223">
        <v>1</v>
      </c>
    </row>
    <row r="2224" spans="1:89">
      <c r="A2224" t="s">
        <v>2121</v>
      </c>
      <c r="B2224" t="s">
        <v>374</v>
      </c>
      <c r="C2224" t="s">
        <v>2122</v>
      </c>
      <c r="D2224" t="s">
        <v>2240</v>
      </c>
      <c r="E2224" t="s">
        <v>2241</v>
      </c>
      <c r="F2224" s="13">
        <v>44630.440706018519</v>
      </c>
      <c r="G2224" t="s">
        <v>2125</v>
      </c>
      <c r="H2224" t="s">
        <v>2126</v>
      </c>
      <c r="I2224" s="13">
        <v>45012.044166666667</v>
      </c>
      <c r="K2224" t="s">
        <v>415</v>
      </c>
      <c r="M2224" s="13">
        <v>44712</v>
      </c>
      <c r="R2224">
        <v>0</v>
      </c>
      <c r="S2224" t="s">
        <v>416</v>
      </c>
      <c r="T2224" t="s">
        <v>57</v>
      </c>
      <c r="V2224" t="s">
        <v>478</v>
      </c>
      <c r="W2224" t="s">
        <v>2127</v>
      </c>
      <c r="X2224" t="s">
        <v>2127</v>
      </c>
      <c r="AC2224" s="13">
        <v>45777</v>
      </c>
      <c r="AD2224" s="13">
        <v>45657</v>
      </c>
      <c r="AF2224" t="s">
        <v>451</v>
      </c>
      <c r="AI2224">
        <v>-300</v>
      </c>
      <c r="AL2224" t="s">
        <v>2242</v>
      </c>
      <c r="AN2224" t="s">
        <v>31</v>
      </c>
      <c r="AO2224">
        <v>0</v>
      </c>
      <c r="AS2224" t="s">
        <v>392</v>
      </c>
      <c r="AX2224" t="s">
        <v>57</v>
      </c>
      <c r="AY2224" t="s">
        <v>442</v>
      </c>
      <c r="AZ2224" t="s">
        <v>2243</v>
      </c>
      <c r="BF2224">
        <v>0</v>
      </c>
      <c r="BK2224" t="s">
        <v>31</v>
      </c>
      <c r="BS2224" t="s">
        <v>419</v>
      </c>
      <c r="BT2224" t="s">
        <v>419</v>
      </c>
      <c r="CI2224" t="s">
        <v>388</v>
      </c>
      <c r="CJ2224" s="14">
        <v>45015</v>
      </c>
      <c r="CK2224">
        <v>1</v>
      </c>
    </row>
    <row r="2225" spans="1:89">
      <c r="A2225" t="s">
        <v>2244</v>
      </c>
      <c r="B2225" t="s">
        <v>374</v>
      </c>
      <c r="C2225" t="s">
        <v>2245</v>
      </c>
      <c r="D2225" t="s">
        <v>2246</v>
      </c>
      <c r="E2225" t="s">
        <v>2247</v>
      </c>
      <c r="F2225" s="13">
        <v>44629.441805555558</v>
      </c>
      <c r="G2225" t="s">
        <v>2248</v>
      </c>
      <c r="H2225" t="s">
        <v>2249</v>
      </c>
      <c r="I2225" s="13">
        <v>45012.044166666667</v>
      </c>
      <c r="K2225" t="s">
        <v>415</v>
      </c>
      <c r="M2225" s="13">
        <v>44681</v>
      </c>
      <c r="R2225">
        <v>0</v>
      </c>
      <c r="S2225" t="s">
        <v>416</v>
      </c>
      <c r="T2225" t="s">
        <v>57</v>
      </c>
      <c r="V2225" t="s">
        <v>478</v>
      </c>
      <c r="W2225" t="s">
        <v>2250</v>
      </c>
      <c r="X2225" t="s">
        <v>2250</v>
      </c>
      <c r="AF2225" t="s">
        <v>451</v>
      </c>
      <c r="AI2225">
        <v>-331</v>
      </c>
      <c r="AL2225" t="s">
        <v>2251</v>
      </c>
      <c r="AN2225" t="s">
        <v>31</v>
      </c>
      <c r="AO2225">
        <v>0</v>
      </c>
      <c r="AS2225" t="s">
        <v>385</v>
      </c>
      <c r="AX2225" t="s">
        <v>31</v>
      </c>
      <c r="AY2225" t="s">
        <v>442</v>
      </c>
      <c r="AZ2225" t="s">
        <v>2252</v>
      </c>
      <c r="BF2225">
        <v>0</v>
      </c>
      <c r="BK2225" t="s">
        <v>31</v>
      </c>
      <c r="BS2225" t="s">
        <v>419</v>
      </c>
      <c r="BT2225" t="s">
        <v>419</v>
      </c>
      <c r="CI2225" t="s">
        <v>388</v>
      </c>
      <c r="CJ2225" s="14">
        <v>45015</v>
      </c>
      <c r="CK2225">
        <v>1</v>
      </c>
    </row>
    <row r="2226" spans="1:89">
      <c r="A2226" t="s">
        <v>2253</v>
      </c>
      <c r="B2226" t="s">
        <v>374</v>
      </c>
      <c r="C2226" t="s">
        <v>2254</v>
      </c>
      <c r="D2226" t="s">
        <v>2255</v>
      </c>
      <c r="E2226" t="s">
        <v>2256</v>
      </c>
      <c r="F2226" s="13">
        <v>44629.439085648148</v>
      </c>
      <c r="G2226" t="s">
        <v>2257</v>
      </c>
      <c r="H2226" t="s">
        <v>2258</v>
      </c>
      <c r="I2226" s="13">
        <v>44629.439791666664</v>
      </c>
      <c r="K2226" t="s">
        <v>412</v>
      </c>
      <c r="R2226">
        <v>0</v>
      </c>
      <c r="S2226" t="s">
        <v>380</v>
      </c>
      <c r="T2226" t="s">
        <v>57</v>
      </c>
      <c r="V2226" t="s">
        <v>381</v>
      </c>
      <c r="W2226" t="s">
        <v>2259</v>
      </c>
      <c r="X2226" t="s">
        <v>2259</v>
      </c>
      <c r="AI2226">
        <v>113</v>
      </c>
      <c r="AL2226" t="s">
        <v>2260</v>
      </c>
      <c r="AN2226" t="s">
        <v>31</v>
      </c>
      <c r="AO2226">
        <v>0</v>
      </c>
      <c r="AS2226" t="s">
        <v>385</v>
      </c>
      <c r="AX2226" t="s">
        <v>57</v>
      </c>
      <c r="AY2226" t="s">
        <v>386</v>
      </c>
      <c r="AZ2226" t="s">
        <v>2261</v>
      </c>
      <c r="BF2226">
        <v>0</v>
      </c>
      <c r="BK2226" t="s">
        <v>31</v>
      </c>
      <c r="BS2226" t="s">
        <v>412</v>
      </c>
      <c r="BT2226" t="s">
        <v>412</v>
      </c>
      <c r="CI2226" t="s">
        <v>388</v>
      </c>
      <c r="CJ2226" s="14">
        <v>45015</v>
      </c>
      <c r="CK2226">
        <v>1</v>
      </c>
    </row>
    <row r="2227" spans="1:89">
      <c r="A2227" t="s">
        <v>1479</v>
      </c>
      <c r="B2227" t="s">
        <v>374</v>
      </c>
      <c r="C2227" t="s">
        <v>1480</v>
      </c>
      <c r="D2227" t="s">
        <v>2262</v>
      </c>
      <c r="E2227" t="s">
        <v>2263</v>
      </c>
      <c r="F2227" s="13">
        <v>44629.43886574074</v>
      </c>
      <c r="G2227" t="s">
        <v>1483</v>
      </c>
      <c r="H2227" t="s">
        <v>1484</v>
      </c>
      <c r="I2227" s="13">
        <v>45012.044166666667</v>
      </c>
      <c r="K2227" t="s">
        <v>415</v>
      </c>
      <c r="M2227" s="13">
        <v>44669</v>
      </c>
      <c r="R2227">
        <v>0</v>
      </c>
      <c r="S2227" t="s">
        <v>380</v>
      </c>
      <c r="T2227" t="s">
        <v>57</v>
      </c>
      <c r="V2227" t="s">
        <v>478</v>
      </c>
      <c r="W2227" t="s">
        <v>2264</v>
      </c>
      <c r="X2227" t="s">
        <v>2264</v>
      </c>
      <c r="AC2227" s="13">
        <v>44669</v>
      </c>
      <c r="AD2227" s="13">
        <v>44593</v>
      </c>
      <c r="AF2227" t="s">
        <v>451</v>
      </c>
      <c r="AI2227">
        <v>-343</v>
      </c>
      <c r="AL2227" t="s">
        <v>2265</v>
      </c>
      <c r="AN2227" t="s">
        <v>31</v>
      </c>
      <c r="AO2227">
        <v>0</v>
      </c>
      <c r="AS2227" t="s">
        <v>648</v>
      </c>
      <c r="AX2227" t="s">
        <v>31</v>
      </c>
      <c r="AY2227" t="s">
        <v>386</v>
      </c>
      <c r="AZ2227" t="s">
        <v>2266</v>
      </c>
      <c r="BF2227">
        <v>0</v>
      </c>
      <c r="BK2227" t="s">
        <v>31</v>
      </c>
      <c r="BS2227" t="s">
        <v>419</v>
      </c>
      <c r="BT2227" t="s">
        <v>419</v>
      </c>
      <c r="CI2227" t="s">
        <v>388</v>
      </c>
      <c r="CJ2227" s="14">
        <v>45015</v>
      </c>
      <c r="CK2227">
        <v>1</v>
      </c>
    </row>
    <row r="2228" spans="1:89">
      <c r="A2228" t="s">
        <v>2267</v>
      </c>
      <c r="B2228" t="s">
        <v>374</v>
      </c>
      <c r="C2228" t="s">
        <v>2268</v>
      </c>
      <c r="D2228" t="s">
        <v>2269</v>
      </c>
      <c r="E2228" t="s">
        <v>2270</v>
      </c>
      <c r="F2228" s="13">
        <v>44629.380740740744</v>
      </c>
      <c r="G2228" t="s">
        <v>2271</v>
      </c>
      <c r="H2228" t="s">
        <v>2272</v>
      </c>
      <c r="I2228" s="13">
        <v>45012.04415509259</v>
      </c>
      <c r="K2228" t="s">
        <v>415</v>
      </c>
      <c r="M2228" s="13">
        <v>44711</v>
      </c>
      <c r="R2228">
        <v>0</v>
      </c>
      <c r="S2228" t="s">
        <v>380</v>
      </c>
      <c r="T2228" t="s">
        <v>57</v>
      </c>
      <c r="V2228" t="s">
        <v>478</v>
      </c>
      <c r="W2228" t="s">
        <v>2273</v>
      </c>
      <c r="X2228" t="s">
        <v>2273</v>
      </c>
      <c r="AF2228" t="s">
        <v>451</v>
      </c>
      <c r="AI2228">
        <v>-301</v>
      </c>
      <c r="AL2228" t="s">
        <v>2274</v>
      </c>
      <c r="AN2228" t="s">
        <v>31</v>
      </c>
      <c r="AO2228">
        <v>0</v>
      </c>
      <c r="AS2228" t="s">
        <v>392</v>
      </c>
      <c r="AX2228" t="s">
        <v>31</v>
      </c>
      <c r="AY2228" t="s">
        <v>386</v>
      </c>
      <c r="AZ2228" t="s">
        <v>2275</v>
      </c>
      <c r="BF2228">
        <v>0</v>
      </c>
      <c r="BK2228" t="s">
        <v>31</v>
      </c>
      <c r="BS2228" t="s">
        <v>419</v>
      </c>
      <c r="BT2228" t="s">
        <v>419</v>
      </c>
      <c r="CI2228" t="s">
        <v>388</v>
      </c>
      <c r="CJ2228" s="14">
        <v>45015</v>
      </c>
      <c r="CK2228">
        <v>1</v>
      </c>
    </row>
    <row r="2229" spans="1:89">
      <c r="A2229" t="s">
        <v>454</v>
      </c>
      <c r="B2229" t="s">
        <v>374</v>
      </c>
      <c r="C2229" t="s">
        <v>455</v>
      </c>
      <c r="D2229" t="s">
        <v>2276</v>
      </c>
      <c r="E2229" t="s">
        <v>1623</v>
      </c>
      <c r="F2229" s="13">
        <v>44628.468206018515</v>
      </c>
      <c r="G2229" t="s">
        <v>1591</v>
      </c>
      <c r="H2229" t="s">
        <v>1592</v>
      </c>
      <c r="I2229" s="13">
        <v>44628.469918981478</v>
      </c>
      <c r="K2229" t="s">
        <v>412</v>
      </c>
      <c r="R2229">
        <v>0</v>
      </c>
      <c r="S2229" t="s">
        <v>380</v>
      </c>
      <c r="T2229" t="s">
        <v>57</v>
      </c>
      <c r="V2229" t="s">
        <v>381</v>
      </c>
      <c r="W2229" t="s">
        <v>2277</v>
      </c>
      <c r="X2229" t="s">
        <v>2277</v>
      </c>
      <c r="AI2229">
        <v>68</v>
      </c>
      <c r="AL2229" t="s">
        <v>1624</v>
      </c>
      <c r="AN2229" t="s">
        <v>31</v>
      </c>
      <c r="AO2229">
        <v>0</v>
      </c>
      <c r="AS2229" t="s">
        <v>702</v>
      </c>
      <c r="AX2229" t="s">
        <v>31</v>
      </c>
      <c r="AY2229" t="s">
        <v>442</v>
      </c>
      <c r="AZ2229" t="s">
        <v>2278</v>
      </c>
      <c r="BF2229">
        <v>0</v>
      </c>
      <c r="BK2229" t="s">
        <v>31</v>
      </c>
      <c r="BS2229" t="s">
        <v>412</v>
      </c>
      <c r="BT2229" t="s">
        <v>412</v>
      </c>
      <c r="CI2229" t="s">
        <v>388</v>
      </c>
      <c r="CJ2229" s="14">
        <v>45015</v>
      </c>
      <c r="CK2229">
        <v>1</v>
      </c>
    </row>
    <row r="2230" spans="1:89">
      <c r="A2230" t="s">
        <v>2155</v>
      </c>
      <c r="B2230" t="s">
        <v>374</v>
      </c>
      <c r="C2230" t="s">
        <v>2156</v>
      </c>
      <c r="D2230" t="s">
        <v>2279</v>
      </c>
      <c r="E2230" t="s">
        <v>2158</v>
      </c>
      <c r="F2230" s="13">
        <v>44628.446759259263</v>
      </c>
      <c r="G2230" t="s">
        <v>2159</v>
      </c>
      <c r="H2230" t="s">
        <v>2160</v>
      </c>
      <c r="I2230" s="13">
        <v>44636.508414351854</v>
      </c>
      <c r="K2230" t="s">
        <v>409</v>
      </c>
      <c r="R2230">
        <v>0</v>
      </c>
      <c r="S2230" t="s">
        <v>416</v>
      </c>
      <c r="V2230" t="s">
        <v>381</v>
      </c>
      <c r="W2230" t="s">
        <v>2280</v>
      </c>
      <c r="X2230" t="s">
        <v>2280</v>
      </c>
      <c r="AI2230">
        <v>87</v>
      </c>
      <c r="AL2230" t="s">
        <v>2162</v>
      </c>
      <c r="AN2230" t="s">
        <v>31</v>
      </c>
      <c r="AO2230">
        <v>0</v>
      </c>
      <c r="AZ2230" t="s">
        <v>2281</v>
      </c>
      <c r="BF2230">
        <v>0</v>
      </c>
      <c r="BK2230" t="s">
        <v>31</v>
      </c>
      <c r="BS2230" t="s">
        <v>409</v>
      </c>
      <c r="BT2230" t="s">
        <v>409</v>
      </c>
      <c r="CI2230" t="s">
        <v>388</v>
      </c>
      <c r="CJ2230" s="14">
        <v>45015</v>
      </c>
      <c r="CK2230">
        <v>1</v>
      </c>
    </row>
    <row r="2231" spans="1:89">
      <c r="A2231" t="s">
        <v>711</v>
      </c>
      <c r="B2231" t="s">
        <v>374</v>
      </c>
      <c r="C2231" t="s">
        <v>712</v>
      </c>
      <c r="D2231" t="s">
        <v>2282</v>
      </c>
      <c r="E2231" t="s">
        <v>2283</v>
      </c>
      <c r="F2231" s="13">
        <v>44628.356747685182</v>
      </c>
      <c r="G2231" t="s">
        <v>2284</v>
      </c>
      <c r="H2231" t="s">
        <v>845</v>
      </c>
      <c r="I2231" s="13">
        <v>44628.358229166668</v>
      </c>
      <c r="R2231">
        <v>0</v>
      </c>
      <c r="S2231" t="s">
        <v>416</v>
      </c>
      <c r="T2231" t="s">
        <v>57</v>
      </c>
      <c r="V2231" t="s">
        <v>381</v>
      </c>
      <c r="W2231" t="s">
        <v>2285</v>
      </c>
      <c r="X2231" t="s">
        <v>2285</v>
      </c>
      <c r="AC2231" s="13">
        <v>44631</v>
      </c>
      <c r="AD2231" s="13">
        <v>44631</v>
      </c>
      <c r="AI2231">
        <v>3</v>
      </c>
      <c r="AN2231" t="s">
        <v>31</v>
      </c>
      <c r="AO2231">
        <v>0</v>
      </c>
      <c r="AS2231" t="s">
        <v>385</v>
      </c>
      <c r="AX2231" t="s">
        <v>57</v>
      </c>
      <c r="AY2231" t="s">
        <v>386</v>
      </c>
      <c r="AZ2231" t="s">
        <v>2286</v>
      </c>
      <c r="BF2231">
        <v>0</v>
      </c>
      <c r="BK2231" t="s">
        <v>31</v>
      </c>
      <c r="BS2231" t="s">
        <v>412</v>
      </c>
      <c r="CI2231" t="s">
        <v>388</v>
      </c>
      <c r="CJ2231" s="14">
        <v>45015</v>
      </c>
      <c r="CK2231">
        <v>1</v>
      </c>
    </row>
    <row r="2232" spans="1:89">
      <c r="A2232" t="s">
        <v>1497</v>
      </c>
      <c r="B2232" t="s">
        <v>374</v>
      </c>
      <c r="C2232" t="s">
        <v>1498</v>
      </c>
      <c r="D2232" t="s">
        <v>2287</v>
      </c>
      <c r="E2232" t="s">
        <v>2288</v>
      </c>
      <c r="F2232" s="13">
        <v>44627.594305555554</v>
      </c>
      <c r="G2232" t="s">
        <v>1501</v>
      </c>
      <c r="H2232" t="s">
        <v>1502</v>
      </c>
      <c r="I2232" s="13">
        <v>45012.04415509259</v>
      </c>
      <c r="K2232" t="s">
        <v>415</v>
      </c>
      <c r="M2232" s="13">
        <v>44680</v>
      </c>
      <c r="R2232">
        <v>0</v>
      </c>
      <c r="S2232" t="s">
        <v>416</v>
      </c>
      <c r="T2232" t="s">
        <v>57</v>
      </c>
      <c r="V2232" t="s">
        <v>478</v>
      </c>
      <c r="W2232" t="s">
        <v>2289</v>
      </c>
      <c r="X2232" t="s">
        <v>2289</v>
      </c>
      <c r="AF2232" t="s">
        <v>451</v>
      </c>
      <c r="AI2232">
        <v>-332</v>
      </c>
      <c r="AL2232" t="s">
        <v>2290</v>
      </c>
      <c r="AN2232" t="s">
        <v>31</v>
      </c>
      <c r="AO2232">
        <v>0</v>
      </c>
      <c r="AS2232" t="s">
        <v>392</v>
      </c>
      <c r="AX2232" t="s">
        <v>57</v>
      </c>
      <c r="AY2232" t="s">
        <v>442</v>
      </c>
      <c r="AZ2232" t="s">
        <v>2291</v>
      </c>
      <c r="BF2232">
        <v>0</v>
      </c>
      <c r="BK2232" t="s">
        <v>31</v>
      </c>
      <c r="BS2232" t="s">
        <v>419</v>
      </c>
      <c r="BT2232" t="s">
        <v>419</v>
      </c>
      <c r="CI2232" t="s">
        <v>388</v>
      </c>
      <c r="CJ2232" s="14">
        <v>45015</v>
      </c>
      <c r="CK2232">
        <v>1</v>
      </c>
    </row>
    <row r="2233" spans="1:89">
      <c r="A2233" t="s">
        <v>2292</v>
      </c>
      <c r="B2233" t="s">
        <v>374</v>
      </c>
      <c r="C2233" t="s">
        <v>2293</v>
      </c>
      <c r="D2233" t="s">
        <v>2294</v>
      </c>
      <c r="E2233" t="s">
        <v>2295</v>
      </c>
      <c r="F2233" s="13">
        <v>44622.540555555555</v>
      </c>
      <c r="G2233" t="s">
        <v>2296</v>
      </c>
      <c r="H2233" t="s">
        <v>2297</v>
      </c>
      <c r="I2233" s="13">
        <v>44622.541168981479</v>
      </c>
      <c r="K2233" t="s">
        <v>412</v>
      </c>
      <c r="R2233">
        <v>0</v>
      </c>
      <c r="S2233" t="s">
        <v>380</v>
      </c>
      <c r="T2233" t="s">
        <v>57</v>
      </c>
      <c r="V2233" t="s">
        <v>381</v>
      </c>
      <c r="W2233" t="s">
        <v>2298</v>
      </c>
      <c r="X2233" t="s">
        <v>2298</v>
      </c>
      <c r="AI2233">
        <v>58</v>
      </c>
      <c r="AL2233" t="s">
        <v>2299</v>
      </c>
      <c r="AN2233" t="s">
        <v>31</v>
      </c>
      <c r="AO2233">
        <v>0</v>
      </c>
      <c r="AS2233" t="s">
        <v>707</v>
      </c>
      <c r="AX2233" t="s">
        <v>57</v>
      </c>
      <c r="AY2233" t="s">
        <v>386</v>
      </c>
      <c r="AZ2233" t="s">
        <v>2300</v>
      </c>
      <c r="BE2233">
        <v>3.2</v>
      </c>
      <c r="BF2233">
        <v>0</v>
      </c>
      <c r="BK2233" t="s">
        <v>31</v>
      </c>
      <c r="BS2233" t="s">
        <v>412</v>
      </c>
      <c r="BT2233" t="s">
        <v>412</v>
      </c>
      <c r="CI2233" t="s">
        <v>388</v>
      </c>
      <c r="CJ2233" s="14">
        <v>45015</v>
      </c>
      <c r="CK2233">
        <v>1</v>
      </c>
    </row>
    <row r="2234" spans="1:89">
      <c r="A2234" t="s">
        <v>2292</v>
      </c>
      <c r="B2234" t="s">
        <v>374</v>
      </c>
      <c r="C2234" t="s">
        <v>2293</v>
      </c>
      <c r="D2234" t="s">
        <v>2301</v>
      </c>
      <c r="E2234" t="s">
        <v>2302</v>
      </c>
      <c r="F2234" s="13">
        <v>44622.537002314813</v>
      </c>
      <c r="G2234" t="s">
        <v>2296</v>
      </c>
      <c r="H2234" t="s">
        <v>2297</v>
      </c>
      <c r="I2234" s="13">
        <v>44622.538414351853</v>
      </c>
      <c r="K2234" t="s">
        <v>412</v>
      </c>
      <c r="R2234">
        <v>0</v>
      </c>
      <c r="S2234" t="s">
        <v>380</v>
      </c>
      <c r="T2234" t="s">
        <v>57</v>
      </c>
      <c r="V2234" t="s">
        <v>381</v>
      </c>
      <c r="W2234" t="s">
        <v>2298</v>
      </c>
      <c r="X2234" t="s">
        <v>2298</v>
      </c>
      <c r="AI2234">
        <v>29</v>
      </c>
      <c r="AL2234" t="s">
        <v>2299</v>
      </c>
      <c r="AN2234" t="s">
        <v>31</v>
      </c>
      <c r="AO2234">
        <v>0</v>
      </c>
      <c r="AS2234" t="s">
        <v>385</v>
      </c>
      <c r="AX2234" t="s">
        <v>57</v>
      </c>
      <c r="AY2234" t="s">
        <v>386</v>
      </c>
      <c r="AZ2234" t="s">
        <v>2303</v>
      </c>
      <c r="BE2234">
        <v>3.2</v>
      </c>
      <c r="BF2234">
        <v>0</v>
      </c>
      <c r="BK2234" t="s">
        <v>31</v>
      </c>
      <c r="BS2234" t="s">
        <v>412</v>
      </c>
      <c r="BT2234" t="s">
        <v>412</v>
      </c>
      <c r="CI2234" t="s">
        <v>388</v>
      </c>
      <c r="CJ2234" s="14">
        <v>45015</v>
      </c>
      <c r="CK2234">
        <v>1</v>
      </c>
    </row>
    <row r="2235" spans="1:89">
      <c r="A2235" t="s">
        <v>454</v>
      </c>
      <c r="B2235" t="s">
        <v>374</v>
      </c>
      <c r="C2235" t="s">
        <v>455</v>
      </c>
      <c r="D2235" t="s">
        <v>2304</v>
      </c>
      <c r="E2235" t="s">
        <v>2305</v>
      </c>
      <c r="F2235" s="13">
        <v>44622.000636574077</v>
      </c>
      <c r="G2235" t="s">
        <v>1264</v>
      </c>
      <c r="H2235" t="s">
        <v>1265</v>
      </c>
      <c r="I2235" s="13">
        <v>45012.04415509259</v>
      </c>
      <c r="K2235" t="s">
        <v>415</v>
      </c>
      <c r="M2235" s="13">
        <v>44819</v>
      </c>
      <c r="R2235">
        <v>0</v>
      </c>
      <c r="S2235" t="s">
        <v>380</v>
      </c>
      <c r="T2235" t="s">
        <v>57</v>
      </c>
      <c r="V2235" t="s">
        <v>478</v>
      </c>
      <c r="W2235" t="s">
        <v>2306</v>
      </c>
      <c r="X2235" t="s">
        <v>2306</v>
      </c>
      <c r="AF2235" t="s">
        <v>451</v>
      </c>
      <c r="AI2235">
        <v>-193</v>
      </c>
      <c r="AL2235" t="s">
        <v>2307</v>
      </c>
      <c r="AN2235" t="s">
        <v>31</v>
      </c>
      <c r="AO2235">
        <v>0</v>
      </c>
      <c r="AS2235" t="s">
        <v>392</v>
      </c>
      <c r="AX2235" t="s">
        <v>57</v>
      </c>
      <c r="AY2235" t="s">
        <v>442</v>
      </c>
      <c r="AZ2235" t="s">
        <v>2308</v>
      </c>
      <c r="BE2235" t="s">
        <v>2309</v>
      </c>
      <c r="BF2235">
        <v>0</v>
      </c>
      <c r="BK2235" t="s">
        <v>31</v>
      </c>
      <c r="BS2235" t="s">
        <v>419</v>
      </c>
      <c r="BT2235" t="s">
        <v>419</v>
      </c>
      <c r="CI2235" t="s">
        <v>388</v>
      </c>
      <c r="CJ2235" s="14">
        <v>45015</v>
      </c>
      <c r="CK2235">
        <v>1</v>
      </c>
    </row>
    <row r="2236" spans="1:89">
      <c r="A2236" t="s">
        <v>2310</v>
      </c>
      <c r="B2236" t="s">
        <v>374</v>
      </c>
      <c r="C2236" t="s">
        <v>607</v>
      </c>
      <c r="D2236" t="s">
        <v>2311</v>
      </c>
      <c r="E2236" t="s">
        <v>2312</v>
      </c>
      <c r="F2236" s="13">
        <v>44621.807881944442</v>
      </c>
      <c r="G2236" t="s">
        <v>2313</v>
      </c>
      <c r="H2236" t="s">
        <v>2314</v>
      </c>
      <c r="I2236" s="13">
        <v>44621.812430555554</v>
      </c>
      <c r="K2236" t="s">
        <v>412</v>
      </c>
      <c r="R2236">
        <v>0</v>
      </c>
      <c r="S2236" t="s">
        <v>380</v>
      </c>
      <c r="T2236" t="s">
        <v>57</v>
      </c>
      <c r="V2236" t="s">
        <v>381</v>
      </c>
      <c r="W2236" t="s">
        <v>2315</v>
      </c>
      <c r="X2236" t="s">
        <v>2315</v>
      </c>
      <c r="AC2236" s="13">
        <v>44742</v>
      </c>
      <c r="AD2236" s="13">
        <v>44742</v>
      </c>
      <c r="AI2236">
        <v>121</v>
      </c>
      <c r="AL2236" t="s">
        <v>2316</v>
      </c>
      <c r="AN2236" t="s">
        <v>31</v>
      </c>
      <c r="AO2236">
        <v>0</v>
      </c>
      <c r="AS2236" t="s">
        <v>744</v>
      </c>
      <c r="AX2236" t="s">
        <v>31</v>
      </c>
      <c r="AY2236" t="s">
        <v>442</v>
      </c>
      <c r="AZ2236" t="s">
        <v>2317</v>
      </c>
      <c r="BF2236">
        <v>0</v>
      </c>
      <c r="BK2236" t="s">
        <v>31</v>
      </c>
      <c r="BS2236" t="s">
        <v>412</v>
      </c>
      <c r="BT2236" t="s">
        <v>412</v>
      </c>
      <c r="CI2236" t="s">
        <v>388</v>
      </c>
      <c r="CJ2236" s="14">
        <v>45015</v>
      </c>
      <c r="CK2236">
        <v>1</v>
      </c>
    </row>
    <row r="2237" spans="1:89">
      <c r="A2237" t="s">
        <v>1655</v>
      </c>
      <c r="B2237" t="s">
        <v>374</v>
      </c>
      <c r="C2237" t="s">
        <v>1656</v>
      </c>
      <c r="D2237" t="s">
        <v>2318</v>
      </c>
      <c r="E2237" t="s">
        <v>2319</v>
      </c>
      <c r="F2237" s="13">
        <v>44621.80537037037</v>
      </c>
      <c r="G2237" t="s">
        <v>1659</v>
      </c>
      <c r="H2237" t="s">
        <v>1660</v>
      </c>
      <c r="I2237" s="13">
        <v>45012.04414351852</v>
      </c>
      <c r="K2237" t="s">
        <v>415</v>
      </c>
      <c r="M2237" s="13">
        <v>44650</v>
      </c>
      <c r="R2237">
        <v>100</v>
      </c>
      <c r="S2237" t="s">
        <v>380</v>
      </c>
      <c r="T2237" t="s">
        <v>57</v>
      </c>
      <c r="V2237" t="s">
        <v>478</v>
      </c>
      <c r="W2237" t="s">
        <v>1661</v>
      </c>
      <c r="X2237" t="s">
        <v>1661</v>
      </c>
      <c r="AB2237" t="s">
        <v>57</v>
      </c>
      <c r="AC2237" s="13">
        <v>44650</v>
      </c>
      <c r="AD2237" s="13">
        <v>44620</v>
      </c>
      <c r="AF2237" t="s">
        <v>382</v>
      </c>
      <c r="AG2237" t="s">
        <v>2320</v>
      </c>
      <c r="AI2237">
        <v>-362</v>
      </c>
      <c r="AJ2237" s="13">
        <v>44651</v>
      </c>
      <c r="AL2237" t="s">
        <v>1670</v>
      </c>
      <c r="AN2237" t="s">
        <v>31</v>
      </c>
      <c r="AO2237">
        <v>0</v>
      </c>
      <c r="AR2237" t="s">
        <v>2320</v>
      </c>
      <c r="AS2237" t="s">
        <v>385</v>
      </c>
      <c r="AX2237" t="s">
        <v>31</v>
      </c>
      <c r="AY2237" t="s">
        <v>442</v>
      </c>
      <c r="AZ2237" t="s">
        <v>2321</v>
      </c>
      <c r="BF2237">
        <v>0</v>
      </c>
      <c r="BK2237" t="s">
        <v>31</v>
      </c>
      <c r="BS2237" t="s">
        <v>1201</v>
      </c>
      <c r="BT2237" t="s">
        <v>1202</v>
      </c>
      <c r="CI2237" t="s">
        <v>388</v>
      </c>
      <c r="CJ2237" s="14">
        <v>45015</v>
      </c>
      <c r="CK2237">
        <v>1</v>
      </c>
    </row>
    <row r="2238" spans="1:89">
      <c r="A2238" t="s">
        <v>673</v>
      </c>
      <c r="B2238" t="s">
        <v>374</v>
      </c>
      <c r="C2238" t="s">
        <v>674</v>
      </c>
      <c r="D2238" t="s">
        <v>2322</v>
      </c>
      <c r="E2238" t="s">
        <v>2323</v>
      </c>
      <c r="F2238" s="13">
        <v>44621.722754629627</v>
      </c>
      <c r="G2238" t="s">
        <v>2324</v>
      </c>
      <c r="H2238" t="s">
        <v>2325</v>
      </c>
      <c r="I2238" s="13">
        <v>45012.04414351852</v>
      </c>
      <c r="K2238" t="s">
        <v>415</v>
      </c>
      <c r="M2238" s="13">
        <v>44895</v>
      </c>
      <c r="R2238">
        <v>0</v>
      </c>
      <c r="S2238" t="s">
        <v>380</v>
      </c>
      <c r="T2238" t="s">
        <v>57</v>
      </c>
      <c r="V2238" t="s">
        <v>478</v>
      </c>
      <c r="W2238" t="s">
        <v>2326</v>
      </c>
      <c r="X2238" t="s">
        <v>2326</v>
      </c>
      <c r="AF2238" t="s">
        <v>451</v>
      </c>
      <c r="AI2238">
        <v>-117</v>
      </c>
      <c r="AL2238" t="s">
        <v>2327</v>
      </c>
      <c r="AN2238" t="s">
        <v>31</v>
      </c>
      <c r="AO2238">
        <v>0</v>
      </c>
      <c r="AS2238" t="s">
        <v>385</v>
      </c>
      <c r="AX2238" t="s">
        <v>31</v>
      </c>
      <c r="AY2238" t="s">
        <v>442</v>
      </c>
      <c r="AZ2238" t="s">
        <v>2328</v>
      </c>
      <c r="BF2238">
        <v>0</v>
      </c>
      <c r="BK2238" t="s">
        <v>31</v>
      </c>
      <c r="BS2238" t="s">
        <v>419</v>
      </c>
      <c r="BT2238" t="s">
        <v>419</v>
      </c>
      <c r="CI2238" t="s">
        <v>388</v>
      </c>
      <c r="CJ2238" s="14">
        <v>45015</v>
      </c>
      <c r="CK2238">
        <v>1</v>
      </c>
    </row>
    <row r="2239" spans="1:89">
      <c r="A2239" t="s">
        <v>673</v>
      </c>
      <c r="B2239" t="s">
        <v>374</v>
      </c>
      <c r="C2239" t="s">
        <v>674</v>
      </c>
      <c r="D2239" t="s">
        <v>2329</v>
      </c>
      <c r="E2239" t="s">
        <v>2330</v>
      </c>
      <c r="F2239" s="13">
        <v>44621.721030092594</v>
      </c>
      <c r="G2239" t="s">
        <v>2324</v>
      </c>
      <c r="H2239" t="s">
        <v>2325</v>
      </c>
      <c r="I2239" s="13">
        <v>45012.044131944444</v>
      </c>
      <c r="K2239" t="s">
        <v>415</v>
      </c>
      <c r="M2239" s="13">
        <v>44651</v>
      </c>
      <c r="R2239">
        <v>0</v>
      </c>
      <c r="S2239" t="s">
        <v>380</v>
      </c>
      <c r="T2239" t="s">
        <v>57</v>
      </c>
      <c r="V2239" t="s">
        <v>478</v>
      </c>
      <c r="W2239" t="s">
        <v>2326</v>
      </c>
      <c r="X2239" t="s">
        <v>2326</v>
      </c>
      <c r="AF2239" t="s">
        <v>451</v>
      </c>
      <c r="AI2239">
        <v>-361</v>
      </c>
      <c r="AL2239" t="s">
        <v>2327</v>
      </c>
      <c r="AN2239" t="s">
        <v>31</v>
      </c>
      <c r="AO2239">
        <v>0</v>
      </c>
      <c r="AS2239" t="s">
        <v>385</v>
      </c>
      <c r="AX2239" t="s">
        <v>31</v>
      </c>
      <c r="AY2239" t="s">
        <v>386</v>
      </c>
      <c r="AZ2239" t="s">
        <v>2331</v>
      </c>
      <c r="BF2239">
        <v>0</v>
      </c>
      <c r="BK2239" t="s">
        <v>31</v>
      </c>
      <c r="BS2239" t="s">
        <v>419</v>
      </c>
      <c r="BT2239" t="s">
        <v>419</v>
      </c>
      <c r="CI2239" t="s">
        <v>388</v>
      </c>
      <c r="CJ2239" s="14">
        <v>45015</v>
      </c>
      <c r="CK2239">
        <v>1</v>
      </c>
    </row>
    <row r="2240" spans="1:89">
      <c r="A2240" t="s">
        <v>2332</v>
      </c>
      <c r="B2240" t="s">
        <v>374</v>
      </c>
      <c r="C2240" t="s">
        <v>2333</v>
      </c>
      <c r="D2240" t="s">
        <v>2334</v>
      </c>
      <c r="E2240" t="s">
        <v>2335</v>
      </c>
      <c r="F2240" s="13">
        <v>44621.682743055557</v>
      </c>
      <c r="G2240" t="s">
        <v>2336</v>
      </c>
      <c r="H2240" t="s">
        <v>2337</v>
      </c>
      <c r="I2240" s="13">
        <v>45012.044131944444</v>
      </c>
      <c r="K2240" t="s">
        <v>415</v>
      </c>
      <c r="M2240" s="13">
        <v>44742</v>
      </c>
      <c r="R2240">
        <v>0</v>
      </c>
      <c r="S2240" t="s">
        <v>380</v>
      </c>
      <c r="T2240" t="s">
        <v>57</v>
      </c>
      <c r="V2240" t="s">
        <v>478</v>
      </c>
      <c r="W2240" t="s">
        <v>2338</v>
      </c>
      <c r="X2240" t="s">
        <v>2338</v>
      </c>
      <c r="AF2240" t="s">
        <v>451</v>
      </c>
      <c r="AI2240">
        <v>-270</v>
      </c>
      <c r="AL2240" t="s">
        <v>2339</v>
      </c>
      <c r="AN2240" t="s">
        <v>31</v>
      </c>
      <c r="AO2240">
        <v>0</v>
      </c>
      <c r="AS2240" t="s">
        <v>526</v>
      </c>
      <c r="AX2240" t="s">
        <v>31</v>
      </c>
      <c r="AY2240" t="s">
        <v>442</v>
      </c>
      <c r="AZ2240" t="s">
        <v>2340</v>
      </c>
      <c r="BE2240" t="s">
        <v>2341</v>
      </c>
      <c r="BF2240">
        <v>0</v>
      </c>
      <c r="BK2240" t="s">
        <v>31</v>
      </c>
      <c r="BS2240" t="s">
        <v>419</v>
      </c>
      <c r="BT2240" t="s">
        <v>419</v>
      </c>
      <c r="CI2240" t="s">
        <v>388</v>
      </c>
      <c r="CJ2240" s="14">
        <v>45015</v>
      </c>
      <c r="CK2240">
        <v>1</v>
      </c>
    </row>
    <row r="2241" spans="1:89">
      <c r="A2241" t="s">
        <v>2342</v>
      </c>
      <c r="B2241" t="s">
        <v>374</v>
      </c>
      <c r="C2241" t="s">
        <v>2343</v>
      </c>
      <c r="D2241" t="s">
        <v>2344</v>
      </c>
      <c r="E2241" t="s">
        <v>2345</v>
      </c>
      <c r="F2241" s="13">
        <v>44621.635231481479</v>
      </c>
      <c r="G2241" t="s">
        <v>2346</v>
      </c>
      <c r="H2241" t="s">
        <v>2347</v>
      </c>
      <c r="I2241" s="13">
        <v>45012.044131944444</v>
      </c>
      <c r="K2241" t="s">
        <v>415</v>
      </c>
      <c r="M2241" s="13">
        <v>44712</v>
      </c>
      <c r="R2241">
        <v>0</v>
      </c>
      <c r="S2241" t="s">
        <v>380</v>
      </c>
      <c r="T2241" t="s">
        <v>57</v>
      </c>
      <c r="V2241" t="s">
        <v>478</v>
      </c>
      <c r="W2241" t="s">
        <v>2348</v>
      </c>
      <c r="X2241" t="s">
        <v>2348</v>
      </c>
      <c r="AF2241" t="s">
        <v>451</v>
      </c>
      <c r="AI2241">
        <v>-300</v>
      </c>
      <c r="AL2241" t="s">
        <v>2349</v>
      </c>
      <c r="AN2241" t="s">
        <v>31</v>
      </c>
      <c r="AO2241">
        <v>0</v>
      </c>
      <c r="AS2241" t="s">
        <v>385</v>
      </c>
      <c r="AX2241" t="s">
        <v>57</v>
      </c>
      <c r="AY2241" t="s">
        <v>442</v>
      </c>
      <c r="AZ2241" t="s">
        <v>2350</v>
      </c>
      <c r="BF2241">
        <v>0</v>
      </c>
      <c r="BK2241" t="s">
        <v>31</v>
      </c>
      <c r="BS2241" t="s">
        <v>419</v>
      </c>
      <c r="BT2241" t="s">
        <v>419</v>
      </c>
      <c r="CI2241" t="s">
        <v>388</v>
      </c>
      <c r="CJ2241" s="14">
        <v>45015</v>
      </c>
      <c r="CK2241">
        <v>1</v>
      </c>
    </row>
    <row r="2242" spans="1:89">
      <c r="A2242" t="s">
        <v>1655</v>
      </c>
      <c r="B2242" t="s">
        <v>374</v>
      </c>
      <c r="C2242" t="s">
        <v>1656</v>
      </c>
      <c r="D2242" t="s">
        <v>2351</v>
      </c>
      <c r="E2242" t="s">
        <v>2352</v>
      </c>
      <c r="F2242" s="13">
        <v>44621.624803240738</v>
      </c>
      <c r="G2242" t="s">
        <v>1659</v>
      </c>
      <c r="H2242" t="s">
        <v>1660</v>
      </c>
      <c r="I2242" s="13">
        <v>45012.044120370374</v>
      </c>
      <c r="K2242" t="s">
        <v>415</v>
      </c>
      <c r="M2242" s="13">
        <v>44681</v>
      </c>
      <c r="R2242">
        <v>0</v>
      </c>
      <c r="S2242" t="s">
        <v>380</v>
      </c>
      <c r="T2242" t="s">
        <v>57</v>
      </c>
      <c r="V2242" t="s">
        <v>478</v>
      </c>
      <c r="W2242" t="s">
        <v>2353</v>
      </c>
      <c r="X2242" t="s">
        <v>2353</v>
      </c>
      <c r="AC2242" s="13">
        <v>44681</v>
      </c>
      <c r="AD2242" s="13">
        <v>44681</v>
      </c>
      <c r="AF2242" t="s">
        <v>451</v>
      </c>
      <c r="AI2242">
        <v>-331</v>
      </c>
      <c r="AL2242" t="s">
        <v>2354</v>
      </c>
      <c r="AN2242" t="s">
        <v>31</v>
      </c>
      <c r="AO2242">
        <v>0</v>
      </c>
      <c r="AS2242" t="s">
        <v>385</v>
      </c>
      <c r="AX2242" t="s">
        <v>31</v>
      </c>
      <c r="AY2242" t="s">
        <v>386</v>
      </c>
      <c r="AZ2242" t="s">
        <v>2355</v>
      </c>
      <c r="BE2242" t="s">
        <v>1364</v>
      </c>
      <c r="BF2242">
        <v>0</v>
      </c>
      <c r="BK2242" t="s">
        <v>31</v>
      </c>
      <c r="BS2242" t="s">
        <v>419</v>
      </c>
      <c r="BT2242" t="s">
        <v>419</v>
      </c>
      <c r="CI2242" t="s">
        <v>388</v>
      </c>
      <c r="CJ2242" s="14">
        <v>45015</v>
      </c>
      <c r="CK2242">
        <v>1</v>
      </c>
    </row>
    <row r="2243" spans="1:89">
      <c r="A2243" t="s">
        <v>673</v>
      </c>
      <c r="B2243" t="s">
        <v>374</v>
      </c>
      <c r="C2243" t="s">
        <v>674</v>
      </c>
      <c r="D2243" t="s">
        <v>2356</v>
      </c>
      <c r="E2243" t="s">
        <v>2357</v>
      </c>
      <c r="F2243" s="13">
        <v>44621.426631944443</v>
      </c>
      <c r="G2243" t="s">
        <v>2358</v>
      </c>
      <c r="H2243" t="s">
        <v>2359</v>
      </c>
      <c r="I2243" s="13">
        <v>45012.044120370374</v>
      </c>
      <c r="K2243" t="s">
        <v>415</v>
      </c>
      <c r="M2243" s="13">
        <v>44651</v>
      </c>
      <c r="R2243">
        <v>0</v>
      </c>
      <c r="S2243" t="s">
        <v>380</v>
      </c>
      <c r="T2243" t="s">
        <v>57</v>
      </c>
      <c r="V2243" t="s">
        <v>478</v>
      </c>
      <c r="W2243" t="s">
        <v>2360</v>
      </c>
      <c r="X2243" t="s">
        <v>2360</v>
      </c>
      <c r="AF2243" t="s">
        <v>451</v>
      </c>
      <c r="AI2243">
        <v>-361</v>
      </c>
      <c r="AL2243" t="s">
        <v>2361</v>
      </c>
      <c r="AN2243" t="s">
        <v>31</v>
      </c>
      <c r="AO2243">
        <v>0</v>
      </c>
      <c r="AS2243" t="s">
        <v>538</v>
      </c>
      <c r="AX2243" t="s">
        <v>31</v>
      </c>
      <c r="AY2243" t="s">
        <v>442</v>
      </c>
      <c r="AZ2243" t="s">
        <v>2362</v>
      </c>
      <c r="BE2243" t="s">
        <v>2363</v>
      </c>
      <c r="BF2243">
        <v>0</v>
      </c>
      <c r="BK2243" t="s">
        <v>31</v>
      </c>
      <c r="BS2243" t="s">
        <v>419</v>
      </c>
      <c r="BT2243" t="s">
        <v>419</v>
      </c>
      <c r="CI2243" t="s">
        <v>388</v>
      </c>
      <c r="CJ2243" s="14">
        <v>45015</v>
      </c>
      <c r="CK2243">
        <v>1</v>
      </c>
    </row>
    <row r="2244" spans="1:89">
      <c r="A2244" t="s">
        <v>673</v>
      </c>
      <c r="B2244" t="s">
        <v>374</v>
      </c>
      <c r="C2244" t="s">
        <v>674</v>
      </c>
      <c r="D2244" t="s">
        <v>2364</v>
      </c>
      <c r="E2244" t="s">
        <v>2365</v>
      </c>
      <c r="F2244" s="13">
        <v>44621.405949074076</v>
      </c>
      <c r="G2244" t="s">
        <v>2358</v>
      </c>
      <c r="H2244" t="s">
        <v>2359</v>
      </c>
      <c r="I2244" s="13">
        <v>44621.406793981485</v>
      </c>
      <c r="K2244" t="s">
        <v>412</v>
      </c>
      <c r="R2244">
        <v>0</v>
      </c>
      <c r="S2244" t="s">
        <v>380</v>
      </c>
      <c r="T2244" t="s">
        <v>57</v>
      </c>
      <c r="V2244" t="s">
        <v>381</v>
      </c>
      <c r="W2244" t="s">
        <v>2359</v>
      </c>
      <c r="X2244" t="s">
        <v>2359</v>
      </c>
      <c r="AI2244">
        <v>60</v>
      </c>
      <c r="AL2244" t="s">
        <v>2366</v>
      </c>
      <c r="AN2244" t="s">
        <v>31</v>
      </c>
      <c r="AO2244">
        <v>0</v>
      </c>
      <c r="AS2244" t="s">
        <v>385</v>
      </c>
      <c r="AX2244" t="s">
        <v>31</v>
      </c>
      <c r="AY2244" t="s">
        <v>442</v>
      </c>
      <c r="AZ2244" t="s">
        <v>2367</v>
      </c>
      <c r="BF2244">
        <v>0</v>
      </c>
      <c r="BK2244" t="s">
        <v>31</v>
      </c>
      <c r="BS2244" t="s">
        <v>412</v>
      </c>
      <c r="BT2244" t="s">
        <v>412</v>
      </c>
      <c r="CI2244" t="s">
        <v>388</v>
      </c>
      <c r="CJ2244" s="14">
        <v>45015</v>
      </c>
      <c r="CK2244">
        <v>1</v>
      </c>
    </row>
    <row r="2245" spans="1:89">
      <c r="A2245" t="s">
        <v>2368</v>
      </c>
      <c r="B2245" t="s">
        <v>374</v>
      </c>
      <c r="C2245" t="s">
        <v>2369</v>
      </c>
      <c r="D2245" t="s">
        <v>2370</v>
      </c>
      <c r="E2245" t="s">
        <v>2371</v>
      </c>
      <c r="F2245" s="13">
        <v>44621.400127314817</v>
      </c>
      <c r="G2245" t="s">
        <v>2372</v>
      </c>
      <c r="H2245" t="s">
        <v>2373</v>
      </c>
      <c r="I2245" s="13">
        <v>44643.409305555557</v>
      </c>
      <c r="K2245" t="s">
        <v>379</v>
      </c>
      <c r="M2245" s="13">
        <v>44621</v>
      </c>
      <c r="R2245">
        <v>100</v>
      </c>
      <c r="S2245" t="s">
        <v>380</v>
      </c>
      <c r="T2245" t="s">
        <v>57</v>
      </c>
      <c r="V2245" t="s">
        <v>478</v>
      </c>
      <c r="W2245" t="s">
        <v>2374</v>
      </c>
      <c r="X2245" t="s">
        <v>2374</v>
      </c>
      <c r="AB2245" t="s">
        <v>57</v>
      </c>
      <c r="AF2245" t="s">
        <v>382</v>
      </c>
      <c r="AG2245" t="s">
        <v>2375</v>
      </c>
      <c r="AI2245">
        <v>-22</v>
      </c>
      <c r="AJ2245" s="13">
        <v>44628</v>
      </c>
      <c r="AL2245" t="s">
        <v>2376</v>
      </c>
      <c r="AN2245" t="s">
        <v>31</v>
      </c>
      <c r="AO2245">
        <v>0</v>
      </c>
      <c r="AR2245" t="s">
        <v>2375</v>
      </c>
      <c r="AS2245" t="s">
        <v>385</v>
      </c>
      <c r="AX2245" t="s">
        <v>57</v>
      </c>
      <c r="AY2245" t="s">
        <v>442</v>
      </c>
      <c r="AZ2245" t="s">
        <v>2377</v>
      </c>
      <c r="BC2245" t="s">
        <v>480</v>
      </c>
      <c r="BD2245" t="s">
        <v>2378</v>
      </c>
      <c r="BF2245">
        <v>0</v>
      </c>
      <c r="BK2245" t="s">
        <v>31</v>
      </c>
      <c r="BS2245" t="s">
        <v>379</v>
      </c>
      <c r="BT2245" t="s">
        <v>379</v>
      </c>
      <c r="CC2245" t="s">
        <v>2379</v>
      </c>
      <c r="CI2245" t="s">
        <v>388</v>
      </c>
      <c r="CJ2245" s="14">
        <v>45015</v>
      </c>
      <c r="CK2245">
        <v>1</v>
      </c>
    </row>
    <row r="2246" spans="1:89">
      <c r="A2246" t="s">
        <v>1535</v>
      </c>
      <c r="B2246" t="s">
        <v>374</v>
      </c>
      <c r="C2246" t="s">
        <v>1536</v>
      </c>
      <c r="D2246" t="s">
        <v>2380</v>
      </c>
      <c r="E2246" t="s">
        <v>2381</v>
      </c>
      <c r="F2246" s="13">
        <v>44621.380810185183</v>
      </c>
      <c r="G2246" t="s">
        <v>1539</v>
      </c>
      <c r="H2246" t="s">
        <v>1540</v>
      </c>
      <c r="I2246" s="13">
        <v>45012.044120370374</v>
      </c>
      <c r="K2246" t="s">
        <v>415</v>
      </c>
      <c r="M2246" s="13">
        <v>44640</v>
      </c>
      <c r="R2246">
        <v>0</v>
      </c>
      <c r="S2246" t="s">
        <v>380</v>
      </c>
      <c r="T2246" t="s">
        <v>57</v>
      </c>
      <c r="V2246" t="s">
        <v>478</v>
      </c>
      <c r="W2246" t="s">
        <v>1540</v>
      </c>
      <c r="X2246" t="s">
        <v>1540</v>
      </c>
      <c r="AC2246" s="13">
        <v>44652</v>
      </c>
      <c r="AD2246" s="13">
        <v>44651</v>
      </c>
      <c r="AF2246" t="s">
        <v>451</v>
      </c>
      <c r="AG2246" t="s">
        <v>2382</v>
      </c>
      <c r="AI2246">
        <v>-372</v>
      </c>
      <c r="AL2246" t="s">
        <v>2383</v>
      </c>
      <c r="AN2246" t="s">
        <v>31</v>
      </c>
      <c r="AO2246">
        <v>0</v>
      </c>
      <c r="AS2246" t="s">
        <v>392</v>
      </c>
      <c r="AX2246" t="s">
        <v>57</v>
      </c>
      <c r="AY2246" t="s">
        <v>386</v>
      </c>
      <c r="AZ2246" t="s">
        <v>2384</v>
      </c>
      <c r="BF2246">
        <v>0</v>
      </c>
      <c r="BK2246" t="s">
        <v>31</v>
      </c>
      <c r="BS2246" t="s">
        <v>419</v>
      </c>
      <c r="BT2246" t="s">
        <v>419</v>
      </c>
      <c r="CI2246" t="s">
        <v>388</v>
      </c>
      <c r="CJ2246" s="14">
        <v>45015</v>
      </c>
      <c r="CK2246">
        <v>1</v>
      </c>
    </row>
    <row r="2247" spans="1:89">
      <c r="A2247" t="s">
        <v>454</v>
      </c>
      <c r="B2247" t="s">
        <v>374</v>
      </c>
      <c r="C2247" t="s">
        <v>455</v>
      </c>
      <c r="D2247" t="s">
        <v>2385</v>
      </c>
      <c r="E2247" t="s">
        <v>2386</v>
      </c>
      <c r="F2247" s="13">
        <v>44620.996203703704</v>
      </c>
      <c r="G2247" t="s">
        <v>2387</v>
      </c>
      <c r="H2247" t="s">
        <v>2388</v>
      </c>
      <c r="I2247" s="13">
        <v>45012.044108796297</v>
      </c>
      <c r="K2247" t="s">
        <v>415</v>
      </c>
      <c r="M2247" s="13">
        <v>45169</v>
      </c>
      <c r="R2247">
        <v>0</v>
      </c>
      <c r="S2247" t="s">
        <v>380</v>
      </c>
      <c r="T2247" t="s">
        <v>57</v>
      </c>
      <c r="V2247" t="s">
        <v>381</v>
      </c>
      <c r="W2247" t="s">
        <v>2306</v>
      </c>
      <c r="X2247" t="s">
        <v>2306</v>
      </c>
      <c r="AF2247" t="s">
        <v>451</v>
      </c>
      <c r="AI2247">
        <v>157</v>
      </c>
      <c r="AL2247" t="s">
        <v>2389</v>
      </c>
      <c r="AN2247" t="s">
        <v>31</v>
      </c>
      <c r="AO2247">
        <v>0</v>
      </c>
      <c r="AS2247" t="s">
        <v>392</v>
      </c>
      <c r="AX2247" t="s">
        <v>57</v>
      </c>
      <c r="AY2247" t="s">
        <v>442</v>
      </c>
      <c r="AZ2247" t="s">
        <v>2390</v>
      </c>
      <c r="BE2247" t="s">
        <v>2391</v>
      </c>
      <c r="BF2247">
        <v>0</v>
      </c>
      <c r="BK2247" t="s">
        <v>31</v>
      </c>
      <c r="BS2247" t="s">
        <v>419</v>
      </c>
      <c r="BT2247" t="s">
        <v>419</v>
      </c>
      <c r="CI2247" t="s">
        <v>388</v>
      </c>
      <c r="CJ2247" s="14">
        <v>45015</v>
      </c>
      <c r="CK2247">
        <v>1</v>
      </c>
    </row>
    <row r="2248" spans="1:89">
      <c r="A2248" t="s">
        <v>454</v>
      </c>
      <c r="B2248" t="s">
        <v>374</v>
      </c>
      <c r="C2248" t="s">
        <v>455</v>
      </c>
      <c r="D2248" t="s">
        <v>2392</v>
      </c>
      <c r="E2248" t="s">
        <v>2393</v>
      </c>
      <c r="F2248" s="13">
        <v>44620.937708333331</v>
      </c>
      <c r="G2248" t="s">
        <v>2387</v>
      </c>
      <c r="H2248" t="s">
        <v>2388</v>
      </c>
      <c r="I2248" s="13">
        <v>45012.044108796297</v>
      </c>
      <c r="K2248" t="s">
        <v>415</v>
      </c>
      <c r="M2248" s="13">
        <v>44803</v>
      </c>
      <c r="R2248">
        <v>0</v>
      </c>
      <c r="S2248" t="s">
        <v>380</v>
      </c>
      <c r="T2248" t="s">
        <v>57</v>
      </c>
      <c r="V2248" t="s">
        <v>478</v>
      </c>
      <c r="W2248" t="s">
        <v>2306</v>
      </c>
      <c r="X2248" t="s">
        <v>2306</v>
      </c>
      <c r="AF2248" t="s">
        <v>451</v>
      </c>
      <c r="AI2248">
        <v>-209</v>
      </c>
      <c r="AL2248" t="s">
        <v>2394</v>
      </c>
      <c r="AN2248" t="s">
        <v>57</v>
      </c>
      <c r="AO2248">
        <v>0</v>
      </c>
      <c r="AS2248" t="s">
        <v>392</v>
      </c>
      <c r="AX2248" t="s">
        <v>57</v>
      </c>
      <c r="AY2248" t="s">
        <v>442</v>
      </c>
      <c r="AZ2248" t="s">
        <v>2395</v>
      </c>
      <c r="BE2248" t="s">
        <v>2396</v>
      </c>
      <c r="BF2248">
        <v>0</v>
      </c>
      <c r="BK2248" t="s">
        <v>31</v>
      </c>
      <c r="BS2248" t="s">
        <v>419</v>
      </c>
      <c r="BT2248" t="s">
        <v>419</v>
      </c>
      <c r="CI2248" t="s">
        <v>388</v>
      </c>
      <c r="CJ2248" s="14">
        <v>45015</v>
      </c>
      <c r="CK2248">
        <v>1</v>
      </c>
    </row>
    <row r="2249" spans="1:89">
      <c r="A2249" t="s">
        <v>454</v>
      </c>
      <c r="B2249" t="s">
        <v>374</v>
      </c>
      <c r="C2249" t="s">
        <v>455</v>
      </c>
      <c r="D2249" t="s">
        <v>2397</v>
      </c>
      <c r="E2249" t="s">
        <v>2398</v>
      </c>
      <c r="F2249" s="13">
        <v>44620.903287037036</v>
      </c>
      <c r="G2249" t="s">
        <v>2399</v>
      </c>
      <c r="H2249" t="s">
        <v>2400</v>
      </c>
      <c r="I2249" s="13">
        <v>45012.044108796297</v>
      </c>
      <c r="K2249" t="s">
        <v>415</v>
      </c>
      <c r="M2249" s="13">
        <v>44882</v>
      </c>
      <c r="R2249">
        <v>0</v>
      </c>
      <c r="S2249" t="s">
        <v>380</v>
      </c>
      <c r="T2249" t="s">
        <v>57</v>
      </c>
      <c r="V2249" t="s">
        <v>478</v>
      </c>
      <c r="W2249" t="s">
        <v>2401</v>
      </c>
      <c r="X2249" t="s">
        <v>2401</v>
      </c>
      <c r="AF2249" t="s">
        <v>451</v>
      </c>
      <c r="AI2249">
        <v>-130</v>
      </c>
      <c r="AL2249" t="s">
        <v>2402</v>
      </c>
      <c r="AN2249" t="s">
        <v>31</v>
      </c>
      <c r="AO2249">
        <v>0</v>
      </c>
      <c r="AS2249" t="s">
        <v>385</v>
      </c>
      <c r="AX2249" t="s">
        <v>57</v>
      </c>
      <c r="AY2249" t="s">
        <v>386</v>
      </c>
      <c r="AZ2249" t="s">
        <v>2403</v>
      </c>
      <c r="BE2249" t="s">
        <v>2404</v>
      </c>
      <c r="BF2249">
        <v>0</v>
      </c>
      <c r="BK2249" t="s">
        <v>31</v>
      </c>
      <c r="BS2249" t="s">
        <v>419</v>
      </c>
      <c r="BT2249" t="s">
        <v>419</v>
      </c>
      <c r="CI2249" t="s">
        <v>388</v>
      </c>
      <c r="CJ2249" s="14">
        <v>45015</v>
      </c>
      <c r="CK2249">
        <v>1</v>
      </c>
    </row>
    <row r="2250" spans="1:89">
      <c r="A2250" t="s">
        <v>454</v>
      </c>
      <c r="B2250" t="s">
        <v>374</v>
      </c>
      <c r="C2250" t="s">
        <v>455</v>
      </c>
      <c r="D2250" t="s">
        <v>2405</v>
      </c>
      <c r="E2250" t="s">
        <v>2406</v>
      </c>
      <c r="F2250" s="13">
        <v>44620.887777777774</v>
      </c>
      <c r="G2250" t="s">
        <v>2399</v>
      </c>
      <c r="H2250" t="s">
        <v>2400</v>
      </c>
      <c r="I2250" s="13">
        <v>45012.04409722222</v>
      </c>
      <c r="K2250" t="s">
        <v>415</v>
      </c>
      <c r="M2250" s="13">
        <v>44881</v>
      </c>
      <c r="R2250">
        <v>0</v>
      </c>
      <c r="S2250" t="s">
        <v>380</v>
      </c>
      <c r="T2250" t="s">
        <v>57</v>
      </c>
      <c r="V2250" t="s">
        <v>478</v>
      </c>
      <c r="W2250" t="s">
        <v>2401</v>
      </c>
      <c r="X2250" t="s">
        <v>2401</v>
      </c>
      <c r="AF2250" t="s">
        <v>451</v>
      </c>
      <c r="AI2250">
        <v>-131</v>
      </c>
      <c r="AL2250" t="s">
        <v>2407</v>
      </c>
      <c r="AN2250" t="s">
        <v>31</v>
      </c>
      <c r="AO2250">
        <v>0</v>
      </c>
      <c r="AS2250" t="s">
        <v>385</v>
      </c>
      <c r="AX2250" t="s">
        <v>57</v>
      </c>
      <c r="AY2250" t="s">
        <v>386</v>
      </c>
      <c r="AZ2250" t="s">
        <v>2408</v>
      </c>
      <c r="BE2250" t="s">
        <v>2409</v>
      </c>
      <c r="BF2250">
        <v>0</v>
      </c>
      <c r="BK2250" t="s">
        <v>31</v>
      </c>
      <c r="BS2250" t="s">
        <v>419</v>
      </c>
      <c r="BT2250" t="s">
        <v>419</v>
      </c>
      <c r="CI2250" t="s">
        <v>388</v>
      </c>
      <c r="CJ2250" s="14">
        <v>45015</v>
      </c>
      <c r="CK2250">
        <v>1</v>
      </c>
    </row>
    <row r="2251" spans="1:89">
      <c r="A2251" t="s">
        <v>454</v>
      </c>
      <c r="B2251" t="s">
        <v>374</v>
      </c>
      <c r="C2251" t="s">
        <v>455</v>
      </c>
      <c r="D2251" t="s">
        <v>2410</v>
      </c>
      <c r="E2251" t="s">
        <v>2411</v>
      </c>
      <c r="F2251" s="13">
        <v>44620.855370370373</v>
      </c>
      <c r="G2251" t="s">
        <v>2399</v>
      </c>
      <c r="H2251" t="s">
        <v>2400</v>
      </c>
      <c r="I2251" s="13">
        <v>45012.04409722222</v>
      </c>
      <c r="K2251" t="s">
        <v>415</v>
      </c>
      <c r="M2251" s="13">
        <v>44882</v>
      </c>
      <c r="R2251">
        <v>0</v>
      </c>
      <c r="S2251" t="s">
        <v>380</v>
      </c>
      <c r="T2251" t="s">
        <v>57</v>
      </c>
      <c r="V2251" t="s">
        <v>478</v>
      </c>
      <c r="W2251" t="s">
        <v>2401</v>
      </c>
      <c r="X2251" t="s">
        <v>2401</v>
      </c>
      <c r="AF2251" t="s">
        <v>451</v>
      </c>
      <c r="AI2251">
        <v>-130</v>
      </c>
      <c r="AL2251" t="s">
        <v>2412</v>
      </c>
      <c r="AN2251" t="s">
        <v>31</v>
      </c>
      <c r="AO2251">
        <v>0</v>
      </c>
      <c r="AS2251" t="s">
        <v>385</v>
      </c>
      <c r="AX2251" t="s">
        <v>57</v>
      </c>
      <c r="AY2251" t="s">
        <v>386</v>
      </c>
      <c r="AZ2251" t="s">
        <v>2413</v>
      </c>
      <c r="BE2251" t="s">
        <v>2414</v>
      </c>
      <c r="BF2251">
        <v>0</v>
      </c>
      <c r="BK2251" t="s">
        <v>31</v>
      </c>
      <c r="BS2251" t="s">
        <v>419</v>
      </c>
      <c r="BT2251" t="s">
        <v>419</v>
      </c>
      <c r="CI2251" t="s">
        <v>388</v>
      </c>
      <c r="CJ2251" s="14">
        <v>45015</v>
      </c>
      <c r="CK2251">
        <v>1</v>
      </c>
    </row>
    <row r="2252" spans="1:89">
      <c r="A2252" t="s">
        <v>454</v>
      </c>
      <c r="B2252" t="s">
        <v>374</v>
      </c>
      <c r="C2252" t="s">
        <v>455</v>
      </c>
      <c r="D2252" t="s">
        <v>2415</v>
      </c>
      <c r="E2252" t="s">
        <v>2416</v>
      </c>
      <c r="F2252" s="13">
        <v>44620.822314814817</v>
      </c>
      <c r="G2252" t="s">
        <v>2399</v>
      </c>
      <c r="H2252" t="s">
        <v>2400</v>
      </c>
      <c r="I2252" s="13">
        <v>45012.04409722222</v>
      </c>
      <c r="K2252" t="s">
        <v>415</v>
      </c>
      <c r="M2252" s="13">
        <v>44769</v>
      </c>
      <c r="R2252">
        <v>0</v>
      </c>
      <c r="S2252" t="s">
        <v>380</v>
      </c>
      <c r="T2252" t="s">
        <v>57</v>
      </c>
      <c r="V2252" t="s">
        <v>478</v>
      </c>
      <c r="W2252" t="s">
        <v>2417</v>
      </c>
      <c r="X2252" t="s">
        <v>2417</v>
      </c>
      <c r="AF2252" t="s">
        <v>451</v>
      </c>
      <c r="AI2252">
        <v>-243</v>
      </c>
      <c r="AL2252" t="s">
        <v>2418</v>
      </c>
      <c r="AN2252" t="s">
        <v>31</v>
      </c>
      <c r="AO2252">
        <v>0</v>
      </c>
      <c r="AS2252" t="s">
        <v>385</v>
      </c>
      <c r="AX2252" t="s">
        <v>57</v>
      </c>
      <c r="AY2252" t="s">
        <v>386</v>
      </c>
      <c r="AZ2252" t="s">
        <v>2419</v>
      </c>
      <c r="BE2252" t="s">
        <v>2420</v>
      </c>
      <c r="BF2252">
        <v>0</v>
      </c>
      <c r="BK2252" t="s">
        <v>31</v>
      </c>
      <c r="BS2252" t="s">
        <v>419</v>
      </c>
      <c r="BT2252" t="s">
        <v>419</v>
      </c>
      <c r="CI2252" t="s">
        <v>388</v>
      </c>
      <c r="CJ2252" s="14">
        <v>45015</v>
      </c>
      <c r="CK2252">
        <v>1</v>
      </c>
    </row>
    <row r="2253" spans="1:89">
      <c r="A2253" t="s">
        <v>697</v>
      </c>
      <c r="B2253" t="s">
        <v>374</v>
      </c>
      <c r="C2253" t="s">
        <v>698</v>
      </c>
      <c r="D2253" t="s">
        <v>2421</v>
      </c>
      <c r="E2253" t="s">
        <v>2422</v>
      </c>
      <c r="F2253" s="13">
        <v>44620.779594907406</v>
      </c>
      <c r="G2253" t="s">
        <v>2423</v>
      </c>
      <c r="H2253" t="s">
        <v>2424</v>
      </c>
      <c r="I2253" s="13">
        <v>45012.044085648151</v>
      </c>
      <c r="K2253" t="s">
        <v>415</v>
      </c>
      <c r="M2253" s="13">
        <v>44651</v>
      </c>
      <c r="R2253">
        <v>0</v>
      </c>
      <c r="S2253" t="s">
        <v>380</v>
      </c>
      <c r="T2253" t="s">
        <v>57</v>
      </c>
      <c r="V2253" t="s">
        <v>478</v>
      </c>
      <c r="W2253" t="s">
        <v>2425</v>
      </c>
      <c r="X2253" t="s">
        <v>2425</v>
      </c>
      <c r="AF2253" t="s">
        <v>451</v>
      </c>
      <c r="AI2253">
        <v>-361</v>
      </c>
      <c r="AL2253" t="s">
        <v>2426</v>
      </c>
      <c r="AN2253" t="s">
        <v>31</v>
      </c>
      <c r="AO2253">
        <v>0</v>
      </c>
      <c r="AS2253" t="s">
        <v>392</v>
      </c>
      <c r="AX2253" t="s">
        <v>31</v>
      </c>
      <c r="AY2253" t="s">
        <v>386</v>
      </c>
      <c r="AZ2253" t="s">
        <v>2427</v>
      </c>
      <c r="BF2253">
        <v>0</v>
      </c>
      <c r="BK2253" t="s">
        <v>31</v>
      </c>
      <c r="BS2253" t="s">
        <v>419</v>
      </c>
      <c r="BT2253" t="s">
        <v>419</v>
      </c>
      <c r="CI2253" t="s">
        <v>388</v>
      </c>
      <c r="CJ2253" s="14">
        <v>45015</v>
      </c>
      <c r="CK2253">
        <v>1</v>
      </c>
    </row>
    <row r="2254" spans="1:89">
      <c r="A2254" t="s">
        <v>697</v>
      </c>
      <c r="B2254" t="s">
        <v>374</v>
      </c>
      <c r="C2254" t="s">
        <v>698</v>
      </c>
      <c r="D2254" t="s">
        <v>2428</v>
      </c>
      <c r="E2254" t="s">
        <v>2429</v>
      </c>
      <c r="F2254" s="13">
        <v>44620.770682870374</v>
      </c>
      <c r="G2254" t="s">
        <v>2423</v>
      </c>
      <c r="H2254" t="s">
        <v>2424</v>
      </c>
      <c r="I2254" s="13">
        <v>45012.044085648151</v>
      </c>
      <c r="K2254" t="s">
        <v>415</v>
      </c>
      <c r="M2254" s="13">
        <v>44742</v>
      </c>
      <c r="R2254">
        <v>0</v>
      </c>
      <c r="S2254" t="s">
        <v>380</v>
      </c>
      <c r="T2254" t="s">
        <v>57</v>
      </c>
      <c r="V2254" t="s">
        <v>478</v>
      </c>
      <c r="W2254" t="s">
        <v>2425</v>
      </c>
      <c r="X2254" t="s">
        <v>2425</v>
      </c>
      <c r="AF2254" t="s">
        <v>451</v>
      </c>
      <c r="AI2254">
        <v>-270</v>
      </c>
      <c r="AL2254" t="s">
        <v>2430</v>
      </c>
      <c r="AN2254" t="s">
        <v>31</v>
      </c>
      <c r="AO2254">
        <v>0</v>
      </c>
      <c r="AS2254" t="s">
        <v>526</v>
      </c>
      <c r="AX2254" t="s">
        <v>31</v>
      </c>
      <c r="AY2254" t="s">
        <v>386</v>
      </c>
      <c r="AZ2254" t="s">
        <v>2431</v>
      </c>
      <c r="BF2254">
        <v>0</v>
      </c>
      <c r="BK2254" t="s">
        <v>31</v>
      </c>
      <c r="BS2254" t="s">
        <v>419</v>
      </c>
      <c r="BT2254" t="s">
        <v>419</v>
      </c>
      <c r="CI2254" t="s">
        <v>388</v>
      </c>
      <c r="CJ2254" s="14">
        <v>45015</v>
      </c>
      <c r="CK2254">
        <v>1</v>
      </c>
    </row>
    <row r="2255" spans="1:89">
      <c r="A2255" t="s">
        <v>454</v>
      </c>
      <c r="B2255" t="s">
        <v>374</v>
      </c>
      <c r="C2255" t="s">
        <v>455</v>
      </c>
      <c r="D2255" t="s">
        <v>2432</v>
      </c>
      <c r="E2255" t="s">
        <v>2433</v>
      </c>
      <c r="F2255" s="13">
        <v>44620.740208333336</v>
      </c>
      <c r="G2255" t="s">
        <v>2399</v>
      </c>
      <c r="H2255" t="s">
        <v>2400</v>
      </c>
      <c r="I2255" s="13">
        <v>45012.044085648151</v>
      </c>
      <c r="K2255" t="s">
        <v>415</v>
      </c>
      <c r="M2255" s="13">
        <v>44769</v>
      </c>
      <c r="R2255">
        <v>0</v>
      </c>
      <c r="S2255" t="s">
        <v>380</v>
      </c>
      <c r="T2255" t="s">
        <v>57</v>
      </c>
      <c r="V2255" t="s">
        <v>478</v>
      </c>
      <c r="W2255" t="s">
        <v>2417</v>
      </c>
      <c r="X2255" t="s">
        <v>2417</v>
      </c>
      <c r="AF2255" t="s">
        <v>451</v>
      </c>
      <c r="AI2255">
        <v>-243</v>
      </c>
      <c r="AL2255" t="s">
        <v>2434</v>
      </c>
      <c r="AN2255" t="s">
        <v>31</v>
      </c>
      <c r="AO2255">
        <v>0</v>
      </c>
      <c r="AS2255" t="s">
        <v>385</v>
      </c>
      <c r="AX2255" t="s">
        <v>57</v>
      </c>
      <c r="AY2255" t="s">
        <v>386</v>
      </c>
      <c r="AZ2255" t="s">
        <v>2435</v>
      </c>
      <c r="BE2255" t="s">
        <v>2436</v>
      </c>
      <c r="BF2255">
        <v>0</v>
      </c>
      <c r="BK2255" t="s">
        <v>31</v>
      </c>
      <c r="BS2255" t="s">
        <v>419</v>
      </c>
      <c r="BT2255" t="s">
        <v>419</v>
      </c>
      <c r="CI2255" t="s">
        <v>388</v>
      </c>
      <c r="CJ2255" s="14">
        <v>45015</v>
      </c>
      <c r="CK2255">
        <v>1</v>
      </c>
    </row>
    <row r="2256" spans="1:89">
      <c r="A2256" t="s">
        <v>2332</v>
      </c>
      <c r="B2256" t="s">
        <v>374</v>
      </c>
      <c r="C2256" t="s">
        <v>2333</v>
      </c>
      <c r="D2256" t="s">
        <v>2437</v>
      </c>
      <c r="E2256" t="e">
        <f>- Incorporate the Bankerâ€™s check in the monthly review process, as conducted by the CRAs. This review will confirm that the client data is correctly updated on the source system (i.e. COCL data extract) to confirm that all clients are correctly linked to a Banker and that there are no unmanaged clients.  - CRAs will update the Banker details on the source system where CIB clients were incorrectly or not linked to a Banker.</f>
        <v>#NAME?</v>
      </c>
      <c r="F2256" s="13">
        <v>44620.735821759263</v>
      </c>
      <c r="G2256" t="s">
        <v>2438</v>
      </c>
      <c r="H2256" t="s">
        <v>2439</v>
      </c>
      <c r="I2256" s="13">
        <v>45012.044074074074</v>
      </c>
      <c r="K2256" t="s">
        <v>415</v>
      </c>
      <c r="M2256" s="13">
        <v>44681</v>
      </c>
      <c r="R2256">
        <v>0</v>
      </c>
      <c r="S2256" t="s">
        <v>380</v>
      </c>
      <c r="T2256" t="s">
        <v>57</v>
      </c>
      <c r="V2256" t="s">
        <v>478</v>
      </c>
      <c r="W2256" t="s">
        <v>2440</v>
      </c>
      <c r="X2256" t="s">
        <v>2440</v>
      </c>
      <c r="AC2256" s="13">
        <v>44652</v>
      </c>
      <c r="AD2256" s="13">
        <v>44621</v>
      </c>
      <c r="AF2256" t="s">
        <v>451</v>
      </c>
      <c r="AI2256">
        <v>-331</v>
      </c>
      <c r="AL2256" t="s">
        <v>2441</v>
      </c>
      <c r="AN2256" t="s">
        <v>31</v>
      </c>
      <c r="AO2256">
        <v>0</v>
      </c>
      <c r="AS2256" t="s">
        <v>385</v>
      </c>
      <c r="AX2256" t="s">
        <v>57</v>
      </c>
      <c r="AY2256" t="s">
        <v>386</v>
      </c>
      <c r="AZ2256" t="s">
        <v>2442</v>
      </c>
      <c r="BE2256" t="s">
        <v>2443</v>
      </c>
      <c r="BF2256">
        <v>0</v>
      </c>
      <c r="BK2256" t="s">
        <v>31</v>
      </c>
      <c r="BS2256" t="s">
        <v>419</v>
      </c>
      <c r="BT2256" t="s">
        <v>419</v>
      </c>
      <c r="CI2256" t="s">
        <v>388</v>
      </c>
      <c r="CJ2256" s="14">
        <v>45015</v>
      </c>
      <c r="CK2256">
        <v>1</v>
      </c>
    </row>
    <row r="2257" spans="1:89">
      <c r="A2257" t="s">
        <v>2444</v>
      </c>
      <c r="B2257" t="s">
        <v>374</v>
      </c>
      <c r="C2257" t="s">
        <v>2445</v>
      </c>
      <c r="D2257" t="s">
        <v>2446</v>
      </c>
      <c r="E2257" t="s">
        <v>2447</v>
      </c>
      <c r="F2257" s="13">
        <v>44620.728726851848</v>
      </c>
      <c r="G2257" t="s">
        <v>1526</v>
      </c>
      <c r="H2257" t="s">
        <v>1527</v>
      </c>
      <c r="I2257" s="13">
        <v>44620.72928240741</v>
      </c>
      <c r="K2257" t="s">
        <v>412</v>
      </c>
      <c r="R2257">
        <v>0</v>
      </c>
      <c r="S2257" t="s">
        <v>380</v>
      </c>
      <c r="T2257" t="s">
        <v>57</v>
      </c>
      <c r="V2257" t="s">
        <v>381</v>
      </c>
      <c r="W2257" t="s">
        <v>2448</v>
      </c>
      <c r="X2257" t="s">
        <v>2448</v>
      </c>
      <c r="AI2257">
        <v>77</v>
      </c>
      <c r="AL2257" t="s">
        <v>2449</v>
      </c>
      <c r="AN2257" t="s">
        <v>31</v>
      </c>
      <c r="AO2257">
        <v>0</v>
      </c>
      <c r="AS2257" t="s">
        <v>538</v>
      </c>
      <c r="AX2257" t="s">
        <v>31</v>
      </c>
      <c r="AY2257" t="s">
        <v>442</v>
      </c>
      <c r="AZ2257" t="s">
        <v>2450</v>
      </c>
      <c r="BF2257">
        <v>0</v>
      </c>
      <c r="BK2257" t="s">
        <v>31</v>
      </c>
      <c r="BS2257" t="s">
        <v>412</v>
      </c>
      <c r="BT2257" t="s">
        <v>412</v>
      </c>
      <c r="CI2257" t="s">
        <v>388</v>
      </c>
      <c r="CJ2257" s="14">
        <v>45015</v>
      </c>
      <c r="CK2257">
        <v>1</v>
      </c>
    </row>
    <row r="2258" spans="1:89">
      <c r="A2258" t="s">
        <v>2451</v>
      </c>
      <c r="B2258" t="s">
        <v>374</v>
      </c>
      <c r="C2258" t="s">
        <v>2452</v>
      </c>
      <c r="D2258" t="s">
        <v>2453</v>
      </c>
      <c r="E2258" t="s">
        <v>2454</v>
      </c>
      <c r="F2258" s="13">
        <v>44620.713182870371</v>
      </c>
      <c r="G2258" t="s">
        <v>2455</v>
      </c>
      <c r="H2258" t="s">
        <v>2456</v>
      </c>
      <c r="I2258" s="13">
        <v>44620.713182870371</v>
      </c>
      <c r="K2258" t="s">
        <v>412</v>
      </c>
      <c r="R2258">
        <v>0</v>
      </c>
      <c r="S2258" t="s">
        <v>380</v>
      </c>
      <c r="V2258" t="s">
        <v>381</v>
      </c>
      <c r="W2258" t="s">
        <v>2457</v>
      </c>
      <c r="X2258" t="s">
        <v>2457</v>
      </c>
      <c r="AI2258">
        <v>31</v>
      </c>
      <c r="AL2258" t="s">
        <v>2458</v>
      </c>
      <c r="AN2258" t="s">
        <v>31</v>
      </c>
      <c r="AO2258">
        <v>0</v>
      </c>
      <c r="AZ2258" t="s">
        <v>2459</v>
      </c>
      <c r="BF2258">
        <v>0</v>
      </c>
      <c r="BK2258" t="s">
        <v>31</v>
      </c>
      <c r="BS2258" t="s">
        <v>412</v>
      </c>
      <c r="BT2258" t="s">
        <v>412</v>
      </c>
      <c r="CI2258" t="s">
        <v>388</v>
      </c>
      <c r="CJ2258" s="14">
        <v>45015</v>
      </c>
      <c r="CK2258">
        <v>1</v>
      </c>
    </row>
    <row r="2259" spans="1:89">
      <c r="A2259" t="s">
        <v>454</v>
      </c>
      <c r="B2259" t="s">
        <v>374</v>
      </c>
      <c r="C2259" t="s">
        <v>455</v>
      </c>
      <c r="D2259" t="s">
        <v>2460</v>
      </c>
      <c r="E2259" t="s">
        <v>2461</v>
      </c>
      <c r="F2259" s="13">
        <v>44620.708668981482</v>
      </c>
      <c r="G2259" t="s">
        <v>1264</v>
      </c>
      <c r="H2259" t="s">
        <v>1265</v>
      </c>
      <c r="I2259" s="13">
        <v>44620.719456018516</v>
      </c>
      <c r="K2259" t="s">
        <v>379</v>
      </c>
      <c r="M2259" s="13">
        <v>44620</v>
      </c>
      <c r="R2259">
        <v>100</v>
      </c>
      <c r="S2259" t="s">
        <v>380</v>
      </c>
      <c r="T2259" t="s">
        <v>57</v>
      </c>
      <c r="V2259" t="s">
        <v>381</v>
      </c>
      <c r="W2259" t="s">
        <v>2306</v>
      </c>
      <c r="X2259" t="s">
        <v>2306</v>
      </c>
      <c r="AF2259" t="s">
        <v>382</v>
      </c>
      <c r="AG2259" t="s">
        <v>2462</v>
      </c>
      <c r="AI2259">
        <v>0</v>
      </c>
      <c r="AL2259" t="s">
        <v>2463</v>
      </c>
      <c r="AN2259" t="s">
        <v>31</v>
      </c>
      <c r="AO2259">
        <v>0</v>
      </c>
      <c r="AS2259" t="s">
        <v>385</v>
      </c>
      <c r="AX2259" t="s">
        <v>57</v>
      </c>
      <c r="AY2259" t="s">
        <v>386</v>
      </c>
      <c r="AZ2259" t="s">
        <v>2464</v>
      </c>
      <c r="BF2259">
        <v>0</v>
      </c>
      <c r="BK2259" t="s">
        <v>31</v>
      </c>
      <c r="BS2259" t="s">
        <v>379</v>
      </c>
      <c r="BT2259" t="s">
        <v>379</v>
      </c>
      <c r="CI2259" t="s">
        <v>388</v>
      </c>
      <c r="CJ2259" s="14">
        <v>45015</v>
      </c>
      <c r="CK2259">
        <v>1</v>
      </c>
    </row>
    <row r="2260" spans="1:89">
      <c r="A2260" t="s">
        <v>2451</v>
      </c>
      <c r="B2260" t="s">
        <v>374</v>
      </c>
      <c r="C2260" t="s">
        <v>2452</v>
      </c>
      <c r="D2260" t="s">
        <v>2465</v>
      </c>
      <c r="E2260" t="s">
        <v>2466</v>
      </c>
      <c r="F2260" s="13">
        <v>44620.703148148146</v>
      </c>
      <c r="G2260" t="s">
        <v>2455</v>
      </c>
      <c r="H2260" t="s">
        <v>2456</v>
      </c>
      <c r="I2260" s="13">
        <v>44620.703148148146</v>
      </c>
      <c r="K2260" t="s">
        <v>412</v>
      </c>
      <c r="R2260">
        <v>0</v>
      </c>
      <c r="S2260" t="s">
        <v>380</v>
      </c>
      <c r="V2260" t="s">
        <v>381</v>
      </c>
      <c r="W2260" t="s">
        <v>2467</v>
      </c>
      <c r="X2260" t="s">
        <v>2467</v>
      </c>
      <c r="AI2260">
        <v>31</v>
      </c>
      <c r="AL2260" t="s">
        <v>2468</v>
      </c>
      <c r="AN2260" t="s">
        <v>31</v>
      </c>
      <c r="AO2260">
        <v>0</v>
      </c>
      <c r="AZ2260" t="s">
        <v>2469</v>
      </c>
      <c r="BF2260">
        <v>0</v>
      </c>
      <c r="BK2260" t="s">
        <v>31</v>
      </c>
      <c r="BS2260" t="s">
        <v>412</v>
      </c>
      <c r="BT2260" t="s">
        <v>412</v>
      </c>
      <c r="CI2260" t="s">
        <v>388</v>
      </c>
      <c r="CJ2260" s="14">
        <v>45015</v>
      </c>
      <c r="CK2260">
        <v>1</v>
      </c>
    </row>
    <row r="2261" spans="1:89">
      <c r="A2261" t="s">
        <v>2451</v>
      </c>
      <c r="B2261" t="s">
        <v>374</v>
      </c>
      <c r="C2261" t="s">
        <v>2452</v>
      </c>
      <c r="D2261" t="s">
        <v>2470</v>
      </c>
      <c r="E2261" t="s">
        <v>2471</v>
      </c>
      <c r="F2261" s="13">
        <v>44620.69327546296</v>
      </c>
      <c r="G2261" t="s">
        <v>2455</v>
      </c>
      <c r="H2261" t="s">
        <v>2456</v>
      </c>
      <c r="I2261" s="13">
        <v>44620.693287037036</v>
      </c>
      <c r="K2261" t="s">
        <v>412</v>
      </c>
      <c r="R2261">
        <v>0</v>
      </c>
      <c r="S2261" t="s">
        <v>380</v>
      </c>
      <c r="V2261" t="s">
        <v>381</v>
      </c>
      <c r="W2261" t="s">
        <v>2440</v>
      </c>
      <c r="X2261" t="s">
        <v>2440</v>
      </c>
      <c r="AI2261">
        <v>31</v>
      </c>
      <c r="AL2261" t="s">
        <v>2472</v>
      </c>
      <c r="AN2261" t="s">
        <v>31</v>
      </c>
      <c r="AO2261">
        <v>0</v>
      </c>
      <c r="AZ2261" t="s">
        <v>2473</v>
      </c>
      <c r="BF2261">
        <v>0</v>
      </c>
      <c r="BK2261" t="s">
        <v>31</v>
      </c>
      <c r="BS2261" t="s">
        <v>412</v>
      </c>
      <c r="BT2261" t="s">
        <v>412</v>
      </c>
      <c r="CI2261" t="s">
        <v>388</v>
      </c>
      <c r="CJ2261" s="14">
        <v>45015</v>
      </c>
      <c r="CK2261">
        <v>1</v>
      </c>
    </row>
    <row r="2262" spans="1:89">
      <c r="A2262" t="s">
        <v>454</v>
      </c>
      <c r="B2262" t="s">
        <v>374</v>
      </c>
      <c r="C2262" t="s">
        <v>455</v>
      </c>
      <c r="D2262" t="s">
        <v>2474</v>
      </c>
      <c r="E2262" t="s">
        <v>2475</v>
      </c>
      <c r="F2262" s="13">
        <v>44620.67695601852</v>
      </c>
      <c r="G2262" t="s">
        <v>2399</v>
      </c>
      <c r="H2262" t="s">
        <v>2400</v>
      </c>
      <c r="I2262" s="13">
        <v>45012.044074074074</v>
      </c>
      <c r="K2262" t="s">
        <v>415</v>
      </c>
      <c r="M2262" s="13">
        <v>44769</v>
      </c>
      <c r="R2262">
        <v>0</v>
      </c>
      <c r="S2262" t="s">
        <v>380</v>
      </c>
      <c r="T2262" t="s">
        <v>57</v>
      </c>
      <c r="V2262" t="s">
        <v>478</v>
      </c>
      <c r="W2262" t="s">
        <v>2417</v>
      </c>
      <c r="X2262" t="s">
        <v>2417</v>
      </c>
      <c r="AF2262" t="s">
        <v>451</v>
      </c>
      <c r="AI2262">
        <v>-243</v>
      </c>
      <c r="AL2262" t="s">
        <v>2476</v>
      </c>
      <c r="AN2262" t="s">
        <v>31</v>
      </c>
      <c r="AO2262">
        <v>0</v>
      </c>
      <c r="AS2262" t="s">
        <v>385</v>
      </c>
      <c r="AX2262" t="s">
        <v>57</v>
      </c>
      <c r="AY2262" t="s">
        <v>386</v>
      </c>
      <c r="AZ2262" t="s">
        <v>2477</v>
      </c>
      <c r="BE2262" t="s">
        <v>2478</v>
      </c>
      <c r="BF2262">
        <v>0</v>
      </c>
      <c r="BK2262" t="s">
        <v>31</v>
      </c>
      <c r="BS2262" t="s">
        <v>419</v>
      </c>
      <c r="BT2262" t="s">
        <v>419</v>
      </c>
      <c r="CI2262" t="s">
        <v>388</v>
      </c>
      <c r="CJ2262" s="14">
        <v>45015</v>
      </c>
      <c r="CK2262">
        <v>1</v>
      </c>
    </row>
    <row r="2263" spans="1:89">
      <c r="A2263" t="s">
        <v>1522</v>
      </c>
      <c r="B2263" t="s">
        <v>374</v>
      </c>
      <c r="C2263" t="s">
        <v>1523</v>
      </c>
      <c r="D2263" t="s">
        <v>2479</v>
      </c>
      <c r="E2263" t="s">
        <v>2480</v>
      </c>
      <c r="F2263" s="13">
        <v>44620.67114583333</v>
      </c>
      <c r="G2263" t="s">
        <v>1526</v>
      </c>
      <c r="H2263" t="s">
        <v>1527</v>
      </c>
      <c r="I2263" s="13">
        <v>44620.671770833331</v>
      </c>
      <c r="K2263" t="s">
        <v>412</v>
      </c>
      <c r="R2263">
        <v>0</v>
      </c>
      <c r="S2263" t="s">
        <v>380</v>
      </c>
      <c r="T2263" t="s">
        <v>57</v>
      </c>
      <c r="V2263" t="s">
        <v>381</v>
      </c>
      <c r="W2263" t="s">
        <v>2481</v>
      </c>
      <c r="X2263" t="s">
        <v>2481</v>
      </c>
      <c r="AI2263">
        <v>31</v>
      </c>
      <c r="AL2263" t="s">
        <v>2482</v>
      </c>
      <c r="AN2263" t="s">
        <v>31</v>
      </c>
      <c r="AO2263">
        <v>0</v>
      </c>
      <c r="AS2263" t="s">
        <v>538</v>
      </c>
      <c r="AX2263" t="s">
        <v>31</v>
      </c>
      <c r="AY2263" t="s">
        <v>442</v>
      </c>
      <c r="AZ2263" t="s">
        <v>2483</v>
      </c>
      <c r="BF2263">
        <v>0</v>
      </c>
      <c r="BK2263" t="s">
        <v>31</v>
      </c>
      <c r="BS2263" t="s">
        <v>412</v>
      </c>
      <c r="BT2263" t="s">
        <v>412</v>
      </c>
      <c r="CI2263" t="s">
        <v>388</v>
      </c>
      <c r="CJ2263" s="14">
        <v>45015</v>
      </c>
      <c r="CK2263">
        <v>1</v>
      </c>
    </row>
    <row r="2264" spans="1:89">
      <c r="A2264" t="s">
        <v>2484</v>
      </c>
      <c r="B2264" t="s">
        <v>374</v>
      </c>
      <c r="C2264" t="s">
        <v>2485</v>
      </c>
      <c r="D2264" t="s">
        <v>2486</v>
      </c>
      <c r="E2264" t="s">
        <v>2487</v>
      </c>
      <c r="F2264" s="13">
        <v>44620.663888888892</v>
      </c>
      <c r="G2264" t="s">
        <v>1526</v>
      </c>
      <c r="H2264" t="s">
        <v>1527</v>
      </c>
      <c r="I2264" s="13">
        <v>44620.664456018516</v>
      </c>
      <c r="K2264" t="s">
        <v>412</v>
      </c>
      <c r="R2264">
        <v>0</v>
      </c>
      <c r="S2264" t="s">
        <v>380</v>
      </c>
      <c r="T2264" t="s">
        <v>57</v>
      </c>
      <c r="V2264" t="s">
        <v>381</v>
      </c>
      <c r="W2264" t="s">
        <v>2481</v>
      </c>
      <c r="X2264" t="s">
        <v>2481</v>
      </c>
      <c r="AI2264">
        <v>31</v>
      </c>
      <c r="AL2264" t="s">
        <v>2488</v>
      </c>
      <c r="AN2264" t="s">
        <v>31</v>
      </c>
      <c r="AO2264">
        <v>0</v>
      </c>
      <c r="AS2264" t="s">
        <v>538</v>
      </c>
      <c r="AX2264" t="s">
        <v>31</v>
      </c>
      <c r="AY2264" t="s">
        <v>442</v>
      </c>
      <c r="AZ2264" t="s">
        <v>2483</v>
      </c>
      <c r="BF2264">
        <v>0</v>
      </c>
      <c r="BK2264" t="s">
        <v>31</v>
      </c>
      <c r="BS2264" t="s">
        <v>412</v>
      </c>
      <c r="BT2264" t="s">
        <v>412</v>
      </c>
      <c r="CI2264" t="s">
        <v>388</v>
      </c>
      <c r="CJ2264" s="14">
        <v>45015</v>
      </c>
      <c r="CK2264">
        <v>1</v>
      </c>
    </row>
    <row r="2265" spans="1:89">
      <c r="A2265" t="s">
        <v>2451</v>
      </c>
      <c r="B2265" t="s">
        <v>374</v>
      </c>
      <c r="C2265" t="s">
        <v>2452</v>
      </c>
      <c r="D2265" t="s">
        <v>2489</v>
      </c>
      <c r="E2265" t="s">
        <v>2490</v>
      </c>
      <c r="F2265" s="13">
        <v>44620.6637962963</v>
      </c>
      <c r="G2265" t="s">
        <v>2455</v>
      </c>
      <c r="H2265" t="s">
        <v>2456</v>
      </c>
      <c r="I2265" s="13">
        <v>44620.663807870369</v>
      </c>
      <c r="K2265" t="s">
        <v>412</v>
      </c>
      <c r="R2265">
        <v>0</v>
      </c>
      <c r="S2265" t="s">
        <v>380</v>
      </c>
      <c r="V2265" t="s">
        <v>381</v>
      </c>
      <c r="W2265" t="s">
        <v>2467</v>
      </c>
      <c r="X2265" t="s">
        <v>2467</v>
      </c>
      <c r="AI2265">
        <v>31</v>
      </c>
      <c r="AL2265" t="s">
        <v>2491</v>
      </c>
      <c r="AN2265" t="s">
        <v>31</v>
      </c>
      <c r="AO2265">
        <v>0</v>
      </c>
      <c r="AZ2265" t="s">
        <v>2492</v>
      </c>
      <c r="BF2265">
        <v>0</v>
      </c>
      <c r="BK2265" t="s">
        <v>31</v>
      </c>
      <c r="BS2265" t="s">
        <v>412</v>
      </c>
      <c r="BT2265" t="s">
        <v>412</v>
      </c>
      <c r="CI2265" t="s">
        <v>388</v>
      </c>
      <c r="CJ2265" s="14">
        <v>45015</v>
      </c>
      <c r="CK2265">
        <v>1</v>
      </c>
    </row>
    <row r="2266" spans="1:89">
      <c r="A2266" t="s">
        <v>2332</v>
      </c>
      <c r="B2266" t="s">
        <v>374</v>
      </c>
      <c r="C2266" t="s">
        <v>2333</v>
      </c>
      <c r="D2266" t="s">
        <v>2493</v>
      </c>
      <c r="E2266" t="s">
        <v>2494</v>
      </c>
      <c r="F2266" s="13">
        <v>44620.655925925923</v>
      </c>
      <c r="G2266" t="s">
        <v>2438</v>
      </c>
      <c r="H2266" t="s">
        <v>2439</v>
      </c>
      <c r="I2266" s="13">
        <v>45012.044074074074</v>
      </c>
      <c r="K2266" t="s">
        <v>415</v>
      </c>
      <c r="M2266" s="13">
        <v>44742</v>
      </c>
      <c r="R2266">
        <v>0</v>
      </c>
      <c r="S2266" t="s">
        <v>380</v>
      </c>
      <c r="T2266" t="s">
        <v>57</v>
      </c>
      <c r="V2266" t="s">
        <v>478</v>
      </c>
      <c r="W2266" t="s">
        <v>2440</v>
      </c>
      <c r="X2266" t="s">
        <v>2440</v>
      </c>
      <c r="AF2266" t="s">
        <v>451</v>
      </c>
      <c r="AI2266">
        <v>-270</v>
      </c>
      <c r="AL2266" t="s">
        <v>2495</v>
      </c>
      <c r="AN2266" t="s">
        <v>31</v>
      </c>
      <c r="AO2266">
        <v>0</v>
      </c>
      <c r="AS2266" t="s">
        <v>522</v>
      </c>
      <c r="AX2266" t="s">
        <v>57</v>
      </c>
      <c r="AY2266" t="s">
        <v>442</v>
      </c>
      <c r="AZ2266" t="s">
        <v>2496</v>
      </c>
      <c r="BE2266" t="s">
        <v>2443</v>
      </c>
      <c r="BF2266">
        <v>0</v>
      </c>
      <c r="BK2266" t="s">
        <v>31</v>
      </c>
      <c r="BS2266" t="s">
        <v>419</v>
      </c>
      <c r="BT2266" t="s">
        <v>419</v>
      </c>
      <c r="CI2266" t="s">
        <v>388</v>
      </c>
      <c r="CJ2266" s="14">
        <v>45015</v>
      </c>
      <c r="CK2266">
        <v>1</v>
      </c>
    </row>
    <row r="2267" spans="1:89">
      <c r="A2267" t="s">
        <v>2451</v>
      </c>
      <c r="B2267" t="s">
        <v>374</v>
      </c>
      <c r="C2267" t="s">
        <v>2452</v>
      </c>
      <c r="D2267" t="s">
        <v>2497</v>
      </c>
      <c r="E2267" t="s">
        <v>2498</v>
      </c>
      <c r="F2267" s="13">
        <v>44620.652465277781</v>
      </c>
      <c r="G2267" t="s">
        <v>2455</v>
      </c>
      <c r="H2267" t="s">
        <v>2456</v>
      </c>
      <c r="I2267" s="13">
        <v>44620.652465277781</v>
      </c>
      <c r="K2267" t="s">
        <v>412</v>
      </c>
      <c r="R2267">
        <v>0</v>
      </c>
      <c r="S2267" t="s">
        <v>380</v>
      </c>
      <c r="V2267" t="s">
        <v>381</v>
      </c>
      <c r="W2267" t="s">
        <v>2499</v>
      </c>
      <c r="X2267" t="s">
        <v>2499</v>
      </c>
      <c r="AI2267">
        <v>31</v>
      </c>
      <c r="AL2267" t="s">
        <v>2500</v>
      </c>
      <c r="AN2267" t="s">
        <v>31</v>
      </c>
      <c r="AO2267">
        <v>0</v>
      </c>
      <c r="AZ2267" t="s">
        <v>2501</v>
      </c>
      <c r="BF2267">
        <v>0</v>
      </c>
      <c r="BK2267" t="s">
        <v>31</v>
      </c>
      <c r="BS2267" t="s">
        <v>412</v>
      </c>
      <c r="BT2267" t="s">
        <v>412</v>
      </c>
      <c r="CI2267" t="s">
        <v>388</v>
      </c>
      <c r="CJ2267" s="14">
        <v>45015</v>
      </c>
      <c r="CK2267">
        <v>1</v>
      </c>
    </row>
    <row r="2268" spans="1:89">
      <c r="A2268" t="s">
        <v>2502</v>
      </c>
      <c r="B2268" t="s">
        <v>374</v>
      </c>
      <c r="C2268" t="s">
        <v>2503</v>
      </c>
      <c r="D2268" t="s">
        <v>2504</v>
      </c>
      <c r="E2268" t="s">
        <v>2505</v>
      </c>
      <c r="F2268" s="13">
        <v>44620.645752314813</v>
      </c>
      <c r="G2268" t="s">
        <v>2506</v>
      </c>
      <c r="H2268" t="s">
        <v>2507</v>
      </c>
      <c r="I2268" s="13">
        <v>44620.651701388888</v>
      </c>
      <c r="K2268" t="s">
        <v>379</v>
      </c>
      <c r="M2268" s="13">
        <v>44620</v>
      </c>
      <c r="R2268">
        <v>100</v>
      </c>
      <c r="S2268" t="s">
        <v>380</v>
      </c>
      <c r="T2268" t="s">
        <v>57</v>
      </c>
      <c r="V2268" t="s">
        <v>381</v>
      </c>
      <c r="W2268" t="s">
        <v>2507</v>
      </c>
      <c r="X2268" t="s">
        <v>2507</v>
      </c>
      <c r="AF2268" t="s">
        <v>382</v>
      </c>
      <c r="AG2268" t="s">
        <v>382</v>
      </c>
      <c r="AI2268">
        <v>0</v>
      </c>
      <c r="AL2268" t="s">
        <v>2508</v>
      </c>
      <c r="AN2268" t="s">
        <v>31</v>
      </c>
      <c r="AO2268">
        <v>0</v>
      </c>
      <c r="AS2268" t="s">
        <v>538</v>
      </c>
      <c r="AX2268" t="s">
        <v>57</v>
      </c>
      <c r="AY2268" t="s">
        <v>386</v>
      </c>
      <c r="AZ2268" t="s">
        <v>2509</v>
      </c>
      <c r="BF2268">
        <v>0</v>
      </c>
      <c r="BK2268" t="s">
        <v>31</v>
      </c>
      <c r="BS2268" t="s">
        <v>379</v>
      </c>
      <c r="BT2268" t="s">
        <v>379</v>
      </c>
      <c r="CI2268" t="s">
        <v>388</v>
      </c>
      <c r="CJ2268" s="14">
        <v>45015</v>
      </c>
      <c r="CK2268">
        <v>1</v>
      </c>
    </row>
    <row r="2269" spans="1:89">
      <c r="A2269" t="s">
        <v>2451</v>
      </c>
      <c r="B2269" t="s">
        <v>374</v>
      </c>
      <c r="C2269" t="s">
        <v>2452</v>
      </c>
      <c r="D2269" t="s">
        <v>2510</v>
      </c>
      <c r="E2269" t="s">
        <v>2511</v>
      </c>
      <c r="F2269" s="13">
        <v>44620.640706018516</v>
      </c>
      <c r="G2269" t="s">
        <v>2455</v>
      </c>
      <c r="H2269" t="s">
        <v>2456</v>
      </c>
      <c r="I2269" s="13">
        <v>44620.641504629632</v>
      </c>
      <c r="K2269" t="s">
        <v>412</v>
      </c>
      <c r="R2269">
        <v>0</v>
      </c>
      <c r="S2269" t="s">
        <v>380</v>
      </c>
      <c r="T2269" t="s">
        <v>57</v>
      </c>
      <c r="V2269" t="s">
        <v>381</v>
      </c>
      <c r="W2269" t="s">
        <v>2512</v>
      </c>
      <c r="X2269" t="s">
        <v>2512</v>
      </c>
      <c r="AC2269" s="13">
        <v>44562</v>
      </c>
      <c r="AD2269" s="13">
        <v>44562</v>
      </c>
      <c r="AI2269">
        <v>31</v>
      </c>
      <c r="AL2269" t="s">
        <v>2513</v>
      </c>
      <c r="AN2269" t="s">
        <v>31</v>
      </c>
      <c r="AO2269">
        <v>0</v>
      </c>
      <c r="AS2269" t="s">
        <v>392</v>
      </c>
      <c r="AX2269" t="s">
        <v>57</v>
      </c>
      <c r="AY2269" t="s">
        <v>442</v>
      </c>
      <c r="AZ2269" t="s">
        <v>2514</v>
      </c>
      <c r="BF2269">
        <v>0</v>
      </c>
      <c r="BK2269" t="s">
        <v>31</v>
      </c>
      <c r="BS2269" t="s">
        <v>412</v>
      </c>
      <c r="BT2269" t="s">
        <v>412</v>
      </c>
      <c r="CI2269" t="s">
        <v>388</v>
      </c>
      <c r="CJ2269" s="14">
        <v>45015</v>
      </c>
      <c r="CK2269">
        <v>1</v>
      </c>
    </row>
    <row r="2270" spans="1:89">
      <c r="A2270" t="s">
        <v>2227</v>
      </c>
      <c r="B2270" t="s">
        <v>374</v>
      </c>
      <c r="C2270" t="s">
        <v>2228</v>
      </c>
      <c r="D2270" t="s">
        <v>2515</v>
      </c>
      <c r="E2270" t="s">
        <v>2516</v>
      </c>
      <c r="F2270" s="13">
        <v>44620.598229166666</v>
      </c>
      <c r="G2270" t="s">
        <v>2231</v>
      </c>
      <c r="H2270" t="s">
        <v>2232</v>
      </c>
      <c r="I2270" s="13">
        <v>44972.596226851849</v>
      </c>
      <c r="K2270" t="s">
        <v>379</v>
      </c>
      <c r="M2270" s="13">
        <v>44848</v>
      </c>
      <c r="R2270">
        <v>100</v>
      </c>
      <c r="S2270" t="s">
        <v>380</v>
      </c>
      <c r="T2270" t="s">
        <v>57</v>
      </c>
      <c r="V2270" t="s">
        <v>381</v>
      </c>
      <c r="W2270" t="s">
        <v>2233</v>
      </c>
      <c r="X2270" t="s">
        <v>2233</v>
      </c>
      <c r="AF2270" t="s">
        <v>382</v>
      </c>
      <c r="AG2270" t="s">
        <v>2517</v>
      </c>
      <c r="AI2270">
        <v>228</v>
      </c>
      <c r="AL2270" t="s">
        <v>2518</v>
      </c>
      <c r="AN2270" t="s">
        <v>31</v>
      </c>
      <c r="AO2270">
        <v>0</v>
      </c>
      <c r="AS2270" t="s">
        <v>385</v>
      </c>
      <c r="AX2270" t="s">
        <v>57</v>
      </c>
      <c r="AY2270" t="s">
        <v>386</v>
      </c>
      <c r="AZ2270" t="s">
        <v>2519</v>
      </c>
      <c r="BF2270">
        <v>0</v>
      </c>
      <c r="BK2270" t="s">
        <v>31</v>
      </c>
      <c r="BS2270" t="s">
        <v>379</v>
      </c>
      <c r="BT2270" t="s">
        <v>379</v>
      </c>
      <c r="CI2270" t="s">
        <v>388</v>
      </c>
      <c r="CJ2270" s="14">
        <v>45015</v>
      </c>
      <c r="CK2270">
        <v>1</v>
      </c>
    </row>
    <row r="2271" spans="1:89">
      <c r="A2271" t="s">
        <v>1421</v>
      </c>
      <c r="B2271" t="s">
        <v>374</v>
      </c>
      <c r="C2271" t="s">
        <v>1422</v>
      </c>
      <c r="D2271" t="s">
        <v>2520</v>
      </c>
      <c r="E2271" t="s">
        <v>2521</v>
      </c>
      <c r="F2271" s="13">
        <v>44620.581793981481</v>
      </c>
      <c r="G2271" t="s">
        <v>2522</v>
      </c>
      <c r="H2271" t="s">
        <v>2523</v>
      </c>
      <c r="I2271" s="13">
        <v>45012.044074074074</v>
      </c>
      <c r="K2271" t="s">
        <v>415</v>
      </c>
      <c r="M2271" s="13">
        <v>44681</v>
      </c>
      <c r="R2271">
        <v>0</v>
      </c>
      <c r="S2271" t="s">
        <v>380</v>
      </c>
      <c r="T2271" t="s">
        <v>57</v>
      </c>
      <c r="V2271" t="s">
        <v>478</v>
      </c>
      <c r="W2271" t="s">
        <v>1425</v>
      </c>
      <c r="X2271" t="s">
        <v>1425</v>
      </c>
      <c r="AF2271" t="s">
        <v>451</v>
      </c>
      <c r="AI2271">
        <v>-331</v>
      </c>
      <c r="AL2271" t="s">
        <v>2524</v>
      </c>
      <c r="AN2271" t="s">
        <v>31</v>
      </c>
      <c r="AO2271">
        <v>0</v>
      </c>
      <c r="AS2271" t="s">
        <v>392</v>
      </c>
      <c r="AX2271" t="s">
        <v>57</v>
      </c>
      <c r="AY2271" t="s">
        <v>386</v>
      </c>
      <c r="AZ2271" t="s">
        <v>2525</v>
      </c>
      <c r="BF2271">
        <v>0</v>
      </c>
      <c r="BK2271" t="s">
        <v>31</v>
      </c>
      <c r="BS2271" t="s">
        <v>419</v>
      </c>
      <c r="BT2271" t="s">
        <v>419</v>
      </c>
      <c r="CI2271" t="s">
        <v>388</v>
      </c>
      <c r="CJ2271" s="14">
        <v>45015</v>
      </c>
      <c r="CK2271">
        <v>1</v>
      </c>
    </row>
    <row r="2272" spans="1:89">
      <c r="A2272" t="s">
        <v>567</v>
      </c>
      <c r="B2272" t="s">
        <v>374</v>
      </c>
      <c r="C2272" t="s">
        <v>568</v>
      </c>
      <c r="D2272" t="s">
        <v>2526</v>
      </c>
      <c r="E2272" t="s">
        <v>2527</v>
      </c>
      <c r="F2272" s="13">
        <v>44620.54347222222</v>
      </c>
      <c r="G2272" t="s">
        <v>2522</v>
      </c>
      <c r="H2272" t="s">
        <v>2523</v>
      </c>
      <c r="I2272" s="13">
        <v>45012.044062499997</v>
      </c>
      <c r="K2272" t="s">
        <v>415</v>
      </c>
      <c r="M2272" s="13">
        <v>44895</v>
      </c>
      <c r="R2272">
        <v>0</v>
      </c>
      <c r="S2272" t="s">
        <v>380</v>
      </c>
      <c r="T2272" t="s">
        <v>57</v>
      </c>
      <c r="V2272" t="s">
        <v>478</v>
      </c>
      <c r="W2272" t="s">
        <v>1425</v>
      </c>
      <c r="X2272" t="s">
        <v>1425</v>
      </c>
      <c r="AF2272" t="s">
        <v>451</v>
      </c>
      <c r="AI2272">
        <v>-117</v>
      </c>
      <c r="AL2272" t="s">
        <v>2528</v>
      </c>
      <c r="AN2272" t="s">
        <v>31</v>
      </c>
      <c r="AO2272">
        <v>0</v>
      </c>
      <c r="AS2272" t="s">
        <v>392</v>
      </c>
      <c r="AX2272" t="s">
        <v>57</v>
      </c>
      <c r="AY2272" t="s">
        <v>442</v>
      </c>
      <c r="AZ2272" t="s">
        <v>2529</v>
      </c>
      <c r="BF2272">
        <v>0</v>
      </c>
      <c r="BK2272" t="s">
        <v>31</v>
      </c>
      <c r="BS2272" t="s">
        <v>419</v>
      </c>
      <c r="BT2272" t="s">
        <v>419</v>
      </c>
      <c r="CI2272" t="s">
        <v>388</v>
      </c>
      <c r="CJ2272" s="14">
        <v>45015</v>
      </c>
      <c r="CK2272">
        <v>1</v>
      </c>
    </row>
    <row r="2273" spans="1:89">
      <c r="A2273" t="s">
        <v>454</v>
      </c>
      <c r="B2273" t="s">
        <v>374</v>
      </c>
      <c r="C2273" t="s">
        <v>455</v>
      </c>
      <c r="D2273" t="s">
        <v>2530</v>
      </c>
      <c r="E2273" t="s">
        <v>2531</v>
      </c>
      <c r="F2273" s="13">
        <v>44620.537997685184</v>
      </c>
      <c r="G2273" t="s">
        <v>2399</v>
      </c>
      <c r="H2273" t="s">
        <v>2400</v>
      </c>
      <c r="I2273" s="13">
        <v>45012.044062499997</v>
      </c>
      <c r="K2273" t="s">
        <v>415</v>
      </c>
      <c r="M2273" s="13">
        <v>44890</v>
      </c>
      <c r="R2273">
        <v>0</v>
      </c>
      <c r="S2273" t="s">
        <v>380</v>
      </c>
      <c r="T2273" t="s">
        <v>57</v>
      </c>
      <c r="V2273" t="s">
        <v>478</v>
      </c>
      <c r="W2273" t="s">
        <v>2417</v>
      </c>
      <c r="X2273" t="s">
        <v>2417</v>
      </c>
      <c r="AF2273" t="s">
        <v>451</v>
      </c>
      <c r="AI2273">
        <v>-122</v>
      </c>
      <c r="AL2273" t="s">
        <v>2532</v>
      </c>
      <c r="AN2273" t="s">
        <v>31</v>
      </c>
      <c r="AO2273">
        <v>0</v>
      </c>
      <c r="AS2273" t="s">
        <v>385</v>
      </c>
      <c r="AX2273" t="s">
        <v>57</v>
      </c>
      <c r="AY2273" t="s">
        <v>386</v>
      </c>
      <c r="AZ2273" t="s">
        <v>2533</v>
      </c>
      <c r="BF2273">
        <v>0</v>
      </c>
      <c r="BK2273" t="s">
        <v>31</v>
      </c>
      <c r="BS2273" t="s">
        <v>419</v>
      </c>
      <c r="BT2273" t="s">
        <v>419</v>
      </c>
      <c r="CI2273" t="s">
        <v>388</v>
      </c>
      <c r="CJ2273" s="14">
        <v>45015</v>
      </c>
      <c r="CK2273">
        <v>1</v>
      </c>
    </row>
    <row r="2274" spans="1:89">
      <c r="A2274" t="s">
        <v>1522</v>
      </c>
      <c r="B2274" t="s">
        <v>374</v>
      </c>
      <c r="C2274" t="s">
        <v>1523</v>
      </c>
      <c r="D2274" t="s">
        <v>2534</v>
      </c>
      <c r="E2274" t="s">
        <v>2535</v>
      </c>
      <c r="F2274" s="13">
        <v>44620.521423611113</v>
      </c>
      <c r="G2274" t="s">
        <v>1526</v>
      </c>
      <c r="H2274" t="s">
        <v>1527</v>
      </c>
      <c r="I2274" s="13">
        <v>44620.521956018521</v>
      </c>
      <c r="K2274" t="s">
        <v>412</v>
      </c>
      <c r="R2274">
        <v>0</v>
      </c>
      <c r="S2274" t="s">
        <v>380</v>
      </c>
      <c r="T2274" t="s">
        <v>57</v>
      </c>
      <c r="V2274" t="s">
        <v>381</v>
      </c>
      <c r="W2274" t="s">
        <v>2536</v>
      </c>
      <c r="X2274" t="s">
        <v>2536</v>
      </c>
      <c r="AI2274">
        <v>0</v>
      </c>
      <c r="AL2274" t="s">
        <v>2537</v>
      </c>
      <c r="AN2274" t="s">
        <v>31</v>
      </c>
      <c r="AO2274">
        <v>0</v>
      </c>
      <c r="AS2274" t="s">
        <v>385</v>
      </c>
      <c r="AX2274" t="s">
        <v>31</v>
      </c>
      <c r="AY2274" t="s">
        <v>386</v>
      </c>
      <c r="AZ2274" t="s">
        <v>2538</v>
      </c>
      <c r="BF2274">
        <v>0</v>
      </c>
      <c r="BK2274" t="s">
        <v>31</v>
      </c>
      <c r="BS2274" t="s">
        <v>412</v>
      </c>
      <c r="BT2274" t="s">
        <v>412</v>
      </c>
      <c r="CI2274" t="s">
        <v>388</v>
      </c>
      <c r="CJ2274" s="14">
        <v>45015</v>
      </c>
      <c r="CK2274">
        <v>1</v>
      </c>
    </row>
    <row r="2275" spans="1:89">
      <c r="A2275" t="s">
        <v>1497</v>
      </c>
      <c r="B2275" t="s">
        <v>374</v>
      </c>
      <c r="C2275" t="s">
        <v>1498</v>
      </c>
      <c r="D2275" t="s">
        <v>2539</v>
      </c>
      <c r="E2275" t="s">
        <v>2540</v>
      </c>
      <c r="F2275" s="13">
        <v>44620.514236111114</v>
      </c>
      <c r="G2275" t="s">
        <v>439</v>
      </c>
      <c r="H2275" t="s">
        <v>440</v>
      </c>
      <c r="I2275" s="13">
        <v>45012.044062499997</v>
      </c>
      <c r="K2275" t="s">
        <v>415</v>
      </c>
      <c r="M2275" s="13">
        <v>44691</v>
      </c>
      <c r="R2275">
        <v>0</v>
      </c>
      <c r="S2275" t="s">
        <v>416</v>
      </c>
      <c r="T2275" t="s">
        <v>31</v>
      </c>
      <c r="V2275" t="s">
        <v>478</v>
      </c>
      <c r="W2275" t="s">
        <v>440</v>
      </c>
      <c r="X2275" t="s">
        <v>440</v>
      </c>
      <c r="AF2275" t="s">
        <v>451</v>
      </c>
      <c r="AI2275">
        <v>-321</v>
      </c>
      <c r="AL2275" t="s">
        <v>2541</v>
      </c>
      <c r="AN2275" t="s">
        <v>31</v>
      </c>
      <c r="AO2275">
        <v>0</v>
      </c>
      <c r="AS2275" t="s">
        <v>392</v>
      </c>
      <c r="AX2275" t="s">
        <v>57</v>
      </c>
      <c r="AY2275" t="s">
        <v>442</v>
      </c>
      <c r="AZ2275" t="s">
        <v>2542</v>
      </c>
      <c r="BF2275">
        <v>0</v>
      </c>
      <c r="BK2275" t="s">
        <v>31</v>
      </c>
      <c r="BS2275" t="s">
        <v>419</v>
      </c>
      <c r="BT2275" t="s">
        <v>419</v>
      </c>
      <c r="CI2275" t="s">
        <v>388</v>
      </c>
      <c r="CJ2275" s="14">
        <v>45015</v>
      </c>
      <c r="CK2275">
        <v>1</v>
      </c>
    </row>
    <row r="2276" spans="1:89">
      <c r="A2276" t="s">
        <v>2543</v>
      </c>
      <c r="B2276" t="s">
        <v>374</v>
      </c>
      <c r="C2276" t="s">
        <v>2544</v>
      </c>
      <c r="D2276" t="s">
        <v>2545</v>
      </c>
      <c r="E2276" t="s">
        <v>2546</v>
      </c>
      <c r="F2276" s="13">
        <v>44620.485601851855</v>
      </c>
      <c r="G2276" t="s">
        <v>1526</v>
      </c>
      <c r="H2276" t="s">
        <v>1527</v>
      </c>
      <c r="I2276" s="13">
        <v>44620.486168981479</v>
      </c>
      <c r="K2276" t="s">
        <v>412</v>
      </c>
      <c r="R2276">
        <v>0</v>
      </c>
      <c r="S2276" t="s">
        <v>380</v>
      </c>
      <c r="T2276" t="s">
        <v>57</v>
      </c>
      <c r="V2276" t="s">
        <v>381</v>
      </c>
      <c r="W2276" t="s">
        <v>2547</v>
      </c>
      <c r="X2276" t="s">
        <v>2547</v>
      </c>
      <c r="AI2276">
        <v>122</v>
      </c>
      <c r="AL2276" t="s">
        <v>2548</v>
      </c>
      <c r="AN2276" t="s">
        <v>31</v>
      </c>
      <c r="AO2276">
        <v>0</v>
      </c>
      <c r="AS2276" t="s">
        <v>392</v>
      </c>
      <c r="AX2276" t="s">
        <v>31</v>
      </c>
      <c r="AY2276" t="s">
        <v>442</v>
      </c>
      <c r="AZ2276" t="s">
        <v>2549</v>
      </c>
      <c r="BF2276">
        <v>0</v>
      </c>
      <c r="BK2276" t="s">
        <v>31</v>
      </c>
      <c r="BS2276" t="s">
        <v>412</v>
      </c>
      <c r="BT2276" t="s">
        <v>412</v>
      </c>
      <c r="CI2276" t="s">
        <v>388</v>
      </c>
      <c r="CJ2276" s="14">
        <v>45015</v>
      </c>
      <c r="CK2276">
        <v>1</v>
      </c>
    </row>
    <row r="2277" spans="1:89">
      <c r="A2277" t="s">
        <v>2550</v>
      </c>
      <c r="B2277" t="s">
        <v>374</v>
      </c>
      <c r="C2277" t="s">
        <v>2551</v>
      </c>
      <c r="D2277" t="s">
        <v>2552</v>
      </c>
      <c r="E2277" t="s">
        <v>2553</v>
      </c>
      <c r="F2277" s="13">
        <v>44620.470543981479</v>
      </c>
      <c r="G2277" t="s">
        <v>1526</v>
      </c>
      <c r="H2277" t="s">
        <v>1527</v>
      </c>
      <c r="I2277" s="13">
        <v>44620.471076388887</v>
      </c>
      <c r="K2277" t="s">
        <v>412</v>
      </c>
      <c r="R2277">
        <v>0</v>
      </c>
      <c r="S2277" t="s">
        <v>380</v>
      </c>
      <c r="T2277" t="s">
        <v>57</v>
      </c>
      <c r="V2277" t="s">
        <v>381</v>
      </c>
      <c r="W2277" t="s">
        <v>2547</v>
      </c>
      <c r="X2277" t="s">
        <v>2547</v>
      </c>
      <c r="AI2277">
        <v>31</v>
      </c>
      <c r="AL2277" t="s">
        <v>2554</v>
      </c>
      <c r="AN2277" t="s">
        <v>31</v>
      </c>
      <c r="AO2277">
        <v>0</v>
      </c>
      <c r="AS2277" t="s">
        <v>392</v>
      </c>
      <c r="AX2277" t="s">
        <v>31</v>
      </c>
      <c r="AY2277" t="s">
        <v>442</v>
      </c>
      <c r="AZ2277" t="s">
        <v>2555</v>
      </c>
      <c r="BF2277">
        <v>0</v>
      </c>
      <c r="BK2277" t="s">
        <v>31</v>
      </c>
      <c r="BS2277" t="s">
        <v>412</v>
      </c>
      <c r="BT2277" t="s">
        <v>412</v>
      </c>
      <c r="CI2277" t="s">
        <v>388</v>
      </c>
      <c r="CJ2277" s="14">
        <v>45015</v>
      </c>
      <c r="CK2277">
        <v>1</v>
      </c>
    </row>
    <row r="2278" spans="1:89">
      <c r="A2278" t="s">
        <v>454</v>
      </c>
      <c r="B2278" t="s">
        <v>374</v>
      </c>
      <c r="C2278" t="s">
        <v>455</v>
      </c>
      <c r="D2278" t="s">
        <v>2556</v>
      </c>
      <c r="E2278" t="s">
        <v>2557</v>
      </c>
      <c r="F2278" s="13">
        <v>44620.463773148149</v>
      </c>
      <c r="G2278" t="s">
        <v>2399</v>
      </c>
      <c r="H2278" t="s">
        <v>2400</v>
      </c>
      <c r="I2278" s="13">
        <v>45012.044050925928</v>
      </c>
      <c r="K2278" t="s">
        <v>415</v>
      </c>
      <c r="M2278" s="13">
        <v>44769</v>
      </c>
      <c r="R2278">
        <v>0</v>
      </c>
      <c r="S2278" t="s">
        <v>380</v>
      </c>
      <c r="T2278" t="s">
        <v>57</v>
      </c>
      <c r="V2278" t="s">
        <v>478</v>
      </c>
      <c r="W2278" t="s">
        <v>2417</v>
      </c>
      <c r="X2278" t="s">
        <v>2417</v>
      </c>
      <c r="AF2278" t="s">
        <v>451</v>
      </c>
      <c r="AI2278">
        <v>-243</v>
      </c>
      <c r="AL2278" t="s">
        <v>2558</v>
      </c>
      <c r="AN2278" t="s">
        <v>31</v>
      </c>
      <c r="AO2278">
        <v>0</v>
      </c>
      <c r="AS2278" t="s">
        <v>385</v>
      </c>
      <c r="AX2278" t="s">
        <v>57</v>
      </c>
      <c r="AY2278" t="s">
        <v>386</v>
      </c>
      <c r="AZ2278" t="s">
        <v>2559</v>
      </c>
      <c r="BE2278" t="s">
        <v>2560</v>
      </c>
      <c r="BF2278">
        <v>0</v>
      </c>
      <c r="BK2278" t="s">
        <v>31</v>
      </c>
      <c r="BS2278" t="s">
        <v>419</v>
      </c>
      <c r="BT2278" t="s">
        <v>419</v>
      </c>
      <c r="CI2278" t="s">
        <v>388</v>
      </c>
      <c r="CJ2278" s="14">
        <v>45015</v>
      </c>
      <c r="CK2278">
        <v>1</v>
      </c>
    </row>
    <row r="2279" spans="1:89">
      <c r="A2279" t="s">
        <v>2550</v>
      </c>
      <c r="B2279" t="s">
        <v>374</v>
      </c>
      <c r="C2279" t="s">
        <v>2551</v>
      </c>
      <c r="D2279" t="s">
        <v>2561</v>
      </c>
      <c r="E2279" t="s">
        <v>2562</v>
      </c>
      <c r="F2279" s="13">
        <v>44620.460659722223</v>
      </c>
      <c r="G2279" t="s">
        <v>1526</v>
      </c>
      <c r="H2279" t="s">
        <v>1527</v>
      </c>
      <c r="I2279" s="13">
        <v>44620.4612037037</v>
      </c>
      <c r="K2279" t="s">
        <v>412</v>
      </c>
      <c r="R2279">
        <v>0</v>
      </c>
      <c r="S2279" t="s">
        <v>380</v>
      </c>
      <c r="T2279" t="s">
        <v>57</v>
      </c>
      <c r="V2279" t="s">
        <v>381</v>
      </c>
      <c r="W2279" t="s">
        <v>2547</v>
      </c>
      <c r="X2279" t="s">
        <v>2547</v>
      </c>
      <c r="AI2279">
        <v>0</v>
      </c>
      <c r="AL2279" t="s">
        <v>2563</v>
      </c>
      <c r="AN2279" t="s">
        <v>31</v>
      </c>
      <c r="AO2279">
        <v>0</v>
      </c>
      <c r="AS2279" t="s">
        <v>385</v>
      </c>
      <c r="AX2279" t="s">
        <v>31</v>
      </c>
      <c r="AY2279" t="s">
        <v>386</v>
      </c>
      <c r="AZ2279" t="s">
        <v>2564</v>
      </c>
      <c r="BF2279">
        <v>0</v>
      </c>
      <c r="BK2279" t="s">
        <v>31</v>
      </c>
      <c r="BS2279" t="s">
        <v>412</v>
      </c>
      <c r="BT2279" t="s">
        <v>412</v>
      </c>
      <c r="CI2279" t="s">
        <v>388</v>
      </c>
      <c r="CJ2279" s="14">
        <v>45015</v>
      </c>
      <c r="CK2279">
        <v>1</v>
      </c>
    </row>
    <row r="2280" spans="1:89">
      <c r="A2280" t="s">
        <v>2565</v>
      </c>
      <c r="B2280" t="s">
        <v>374</v>
      </c>
      <c r="C2280" t="s">
        <v>2566</v>
      </c>
      <c r="D2280" t="s">
        <v>2567</v>
      </c>
      <c r="E2280" t="s">
        <v>2568</v>
      </c>
      <c r="F2280" s="13">
        <v>44620.453194444446</v>
      </c>
      <c r="G2280" t="s">
        <v>2149</v>
      </c>
      <c r="H2280" t="s">
        <v>2150</v>
      </c>
      <c r="I2280" s="13">
        <v>45012.044050925928</v>
      </c>
      <c r="K2280" t="s">
        <v>415</v>
      </c>
      <c r="M2280" s="13">
        <v>44824</v>
      </c>
      <c r="R2280">
        <v>0</v>
      </c>
      <c r="S2280" t="s">
        <v>380</v>
      </c>
      <c r="T2280" t="s">
        <v>57</v>
      </c>
      <c r="V2280" t="s">
        <v>478</v>
      </c>
      <c r="W2280" t="s">
        <v>2569</v>
      </c>
      <c r="X2280" t="s">
        <v>2569</v>
      </c>
      <c r="AC2280" s="13">
        <v>44200</v>
      </c>
      <c r="AD2280" s="13">
        <v>44197</v>
      </c>
      <c r="AF2280" t="s">
        <v>451</v>
      </c>
      <c r="AI2280">
        <v>-188</v>
      </c>
      <c r="AL2280" t="s">
        <v>2570</v>
      </c>
      <c r="AN2280" t="s">
        <v>31</v>
      </c>
      <c r="AO2280">
        <v>0</v>
      </c>
      <c r="AS2280" t="s">
        <v>392</v>
      </c>
      <c r="AX2280" t="s">
        <v>31</v>
      </c>
      <c r="AY2280" t="s">
        <v>442</v>
      </c>
      <c r="AZ2280" t="s">
        <v>2571</v>
      </c>
      <c r="BE2280" t="s">
        <v>2572</v>
      </c>
      <c r="BF2280">
        <v>0</v>
      </c>
      <c r="BK2280" t="s">
        <v>31</v>
      </c>
      <c r="BS2280" t="s">
        <v>419</v>
      </c>
      <c r="BT2280" t="s">
        <v>419</v>
      </c>
      <c r="CI2280" t="s">
        <v>388</v>
      </c>
      <c r="CJ2280" s="14">
        <v>45015</v>
      </c>
      <c r="CK2280">
        <v>1</v>
      </c>
    </row>
    <row r="2281" spans="1:89">
      <c r="A2281" t="s">
        <v>2573</v>
      </c>
      <c r="B2281" t="s">
        <v>374</v>
      </c>
      <c r="C2281" t="s">
        <v>2574</v>
      </c>
      <c r="D2281" t="s">
        <v>2575</v>
      </c>
      <c r="E2281" t="s">
        <v>2576</v>
      </c>
      <c r="F2281" s="13">
        <v>44620.4455787037</v>
      </c>
      <c r="G2281" t="s">
        <v>2577</v>
      </c>
      <c r="H2281" t="s">
        <v>2578</v>
      </c>
      <c r="I2281" s="13">
        <v>45012.044050925928</v>
      </c>
      <c r="K2281" t="s">
        <v>415</v>
      </c>
      <c r="M2281" s="13">
        <v>44742</v>
      </c>
      <c r="R2281">
        <v>0</v>
      </c>
      <c r="S2281" t="s">
        <v>380</v>
      </c>
      <c r="T2281" t="s">
        <v>57</v>
      </c>
      <c r="V2281" t="s">
        <v>478</v>
      </c>
      <c r="W2281" t="s">
        <v>2578</v>
      </c>
      <c r="X2281" t="s">
        <v>2578</v>
      </c>
      <c r="AF2281" t="s">
        <v>451</v>
      </c>
      <c r="AI2281">
        <v>-270</v>
      </c>
      <c r="AL2281" t="s">
        <v>2579</v>
      </c>
      <c r="AN2281" t="s">
        <v>31</v>
      </c>
      <c r="AO2281">
        <v>0</v>
      </c>
      <c r="AS2281" t="s">
        <v>392</v>
      </c>
      <c r="AX2281" t="s">
        <v>31</v>
      </c>
      <c r="AY2281" t="s">
        <v>442</v>
      </c>
      <c r="AZ2281" t="s">
        <v>2580</v>
      </c>
      <c r="BF2281">
        <v>0</v>
      </c>
      <c r="BK2281" t="s">
        <v>31</v>
      </c>
      <c r="BS2281" t="s">
        <v>419</v>
      </c>
      <c r="BT2281" t="s">
        <v>419</v>
      </c>
      <c r="CI2281" t="s">
        <v>388</v>
      </c>
      <c r="CJ2281" s="14">
        <v>45015</v>
      </c>
      <c r="CK2281">
        <v>1</v>
      </c>
    </row>
    <row r="2282" spans="1:89">
      <c r="A2282" t="s">
        <v>2581</v>
      </c>
      <c r="B2282" t="s">
        <v>374</v>
      </c>
      <c r="C2282" t="s">
        <v>2582</v>
      </c>
      <c r="D2282" t="s">
        <v>2583</v>
      </c>
      <c r="E2282" t="s">
        <v>2584</v>
      </c>
      <c r="F2282" s="13">
        <v>44620.427476851852</v>
      </c>
      <c r="G2282" t="s">
        <v>2079</v>
      </c>
      <c r="H2282" t="s">
        <v>2080</v>
      </c>
      <c r="I2282" s="13">
        <v>45012.044050925928</v>
      </c>
      <c r="K2282" t="s">
        <v>415</v>
      </c>
      <c r="M2282" s="13">
        <v>44712</v>
      </c>
      <c r="R2282">
        <v>0</v>
      </c>
      <c r="S2282" t="s">
        <v>416</v>
      </c>
      <c r="T2282" t="s">
        <v>57</v>
      </c>
      <c r="V2282" t="s">
        <v>478</v>
      </c>
      <c r="W2282" t="s">
        <v>2585</v>
      </c>
      <c r="X2282" t="s">
        <v>2585</v>
      </c>
      <c r="AF2282" t="s">
        <v>451</v>
      </c>
      <c r="AI2282">
        <v>-300</v>
      </c>
      <c r="AL2282" t="s">
        <v>2586</v>
      </c>
      <c r="AN2282" t="s">
        <v>31</v>
      </c>
      <c r="AO2282">
        <v>0</v>
      </c>
      <c r="AS2282" t="s">
        <v>392</v>
      </c>
      <c r="AX2282" t="s">
        <v>57</v>
      </c>
      <c r="AY2282" t="s">
        <v>386</v>
      </c>
      <c r="AZ2282" t="s">
        <v>2587</v>
      </c>
      <c r="BF2282">
        <v>0</v>
      </c>
      <c r="BK2282" t="s">
        <v>31</v>
      </c>
      <c r="BS2282" t="s">
        <v>419</v>
      </c>
      <c r="BT2282" t="s">
        <v>419</v>
      </c>
      <c r="CI2282" t="s">
        <v>388</v>
      </c>
      <c r="CJ2282" s="14">
        <v>45015</v>
      </c>
      <c r="CK2282">
        <v>1</v>
      </c>
    </row>
    <row r="2283" spans="1:89">
      <c r="A2283" t="s">
        <v>2105</v>
      </c>
      <c r="B2283" t="s">
        <v>374</v>
      </c>
      <c r="C2283" t="s">
        <v>1990</v>
      </c>
      <c r="D2283" t="s">
        <v>2588</v>
      </c>
      <c r="E2283" t="s">
        <v>2589</v>
      </c>
      <c r="F2283" s="13">
        <v>44620.414189814815</v>
      </c>
      <c r="G2283" t="s">
        <v>2108</v>
      </c>
      <c r="H2283" t="s">
        <v>2109</v>
      </c>
      <c r="I2283" s="13">
        <v>44621.764432870368</v>
      </c>
      <c r="K2283" t="s">
        <v>409</v>
      </c>
      <c r="R2283">
        <v>0</v>
      </c>
      <c r="S2283" t="s">
        <v>380</v>
      </c>
      <c r="T2283" t="s">
        <v>57</v>
      </c>
      <c r="V2283" t="s">
        <v>381</v>
      </c>
      <c r="W2283" t="s">
        <v>2590</v>
      </c>
      <c r="X2283" t="s">
        <v>2590</v>
      </c>
      <c r="AI2283">
        <v>305</v>
      </c>
      <c r="AL2283" t="s">
        <v>2591</v>
      </c>
      <c r="AN2283" t="s">
        <v>31</v>
      </c>
      <c r="AO2283">
        <v>0</v>
      </c>
      <c r="AS2283" t="s">
        <v>526</v>
      </c>
      <c r="AX2283" t="s">
        <v>31</v>
      </c>
      <c r="AY2283" t="s">
        <v>442</v>
      </c>
      <c r="AZ2283" t="s">
        <v>2592</v>
      </c>
      <c r="BF2283">
        <v>0</v>
      </c>
      <c r="BK2283" t="s">
        <v>31</v>
      </c>
      <c r="BS2283" t="s">
        <v>409</v>
      </c>
      <c r="BT2283" t="s">
        <v>409</v>
      </c>
      <c r="CI2283" t="s">
        <v>388</v>
      </c>
      <c r="CJ2283" s="14">
        <v>45015</v>
      </c>
      <c r="CK2283">
        <v>1</v>
      </c>
    </row>
    <row r="2284" spans="1:89">
      <c r="A2284" t="s">
        <v>454</v>
      </c>
      <c r="B2284" t="s">
        <v>374</v>
      </c>
      <c r="C2284" t="s">
        <v>455</v>
      </c>
      <c r="D2284" t="s">
        <v>2593</v>
      </c>
      <c r="E2284" t="s">
        <v>2594</v>
      </c>
      <c r="F2284" s="13">
        <v>44620.396273148152</v>
      </c>
      <c r="G2284" t="s">
        <v>2399</v>
      </c>
      <c r="H2284" t="s">
        <v>2400</v>
      </c>
      <c r="I2284" s="13">
        <v>45012.044039351851</v>
      </c>
      <c r="K2284" t="s">
        <v>415</v>
      </c>
      <c r="M2284" s="13">
        <v>44769</v>
      </c>
      <c r="R2284">
        <v>0</v>
      </c>
      <c r="S2284" t="s">
        <v>380</v>
      </c>
      <c r="T2284" t="s">
        <v>57</v>
      </c>
      <c r="V2284" t="s">
        <v>478</v>
      </c>
      <c r="W2284" t="s">
        <v>2417</v>
      </c>
      <c r="X2284" t="s">
        <v>2417</v>
      </c>
      <c r="AF2284" t="s">
        <v>451</v>
      </c>
      <c r="AI2284">
        <v>-243</v>
      </c>
      <c r="AL2284" t="s">
        <v>2595</v>
      </c>
      <c r="AN2284" t="s">
        <v>31</v>
      </c>
      <c r="AO2284">
        <v>0</v>
      </c>
      <c r="AS2284" t="s">
        <v>385</v>
      </c>
      <c r="AX2284" t="s">
        <v>57</v>
      </c>
      <c r="AY2284" t="s">
        <v>386</v>
      </c>
      <c r="AZ2284" t="s">
        <v>2596</v>
      </c>
      <c r="BE2284" t="s">
        <v>2597</v>
      </c>
      <c r="BF2284">
        <v>0</v>
      </c>
      <c r="BK2284" t="s">
        <v>31</v>
      </c>
      <c r="BS2284" t="s">
        <v>419</v>
      </c>
      <c r="BT2284" t="s">
        <v>419</v>
      </c>
      <c r="CI2284" t="s">
        <v>388</v>
      </c>
      <c r="CJ2284" s="14">
        <v>45015</v>
      </c>
      <c r="CK2284">
        <v>1</v>
      </c>
    </row>
    <row r="2285" spans="1:89">
      <c r="A2285" t="s">
        <v>2105</v>
      </c>
      <c r="B2285" t="s">
        <v>374</v>
      </c>
      <c r="C2285" t="s">
        <v>1990</v>
      </c>
      <c r="D2285" t="s">
        <v>2598</v>
      </c>
      <c r="E2285" t="s">
        <v>2599</v>
      </c>
      <c r="F2285" s="13">
        <v>44620.361747685187</v>
      </c>
      <c r="G2285" t="s">
        <v>2108</v>
      </c>
      <c r="H2285" t="s">
        <v>2109</v>
      </c>
      <c r="I2285" s="13">
        <v>44620.651678240742</v>
      </c>
      <c r="K2285" t="s">
        <v>409</v>
      </c>
      <c r="R2285">
        <v>0</v>
      </c>
      <c r="S2285" t="s">
        <v>380</v>
      </c>
      <c r="T2285" t="s">
        <v>57</v>
      </c>
      <c r="V2285" t="s">
        <v>381</v>
      </c>
      <c r="W2285" t="s">
        <v>2600</v>
      </c>
      <c r="X2285" t="s">
        <v>2600</v>
      </c>
      <c r="AI2285">
        <v>487</v>
      </c>
      <c r="AL2285" t="s">
        <v>2601</v>
      </c>
      <c r="AN2285" t="s">
        <v>31</v>
      </c>
      <c r="AO2285">
        <v>0</v>
      </c>
      <c r="AS2285" t="s">
        <v>385</v>
      </c>
      <c r="AX2285" t="s">
        <v>31</v>
      </c>
      <c r="AY2285" t="s">
        <v>442</v>
      </c>
      <c r="AZ2285" t="s">
        <v>2602</v>
      </c>
      <c r="BF2285">
        <v>0</v>
      </c>
      <c r="BK2285" t="s">
        <v>31</v>
      </c>
      <c r="BS2285" t="s">
        <v>409</v>
      </c>
      <c r="BT2285" t="s">
        <v>409</v>
      </c>
      <c r="CI2285" t="s">
        <v>388</v>
      </c>
      <c r="CJ2285" s="14">
        <v>45015</v>
      </c>
      <c r="CK2285">
        <v>1</v>
      </c>
    </row>
    <row r="2286" spans="1:89">
      <c r="A2286" t="s">
        <v>2603</v>
      </c>
      <c r="B2286" t="s">
        <v>374</v>
      </c>
      <c r="C2286" t="s">
        <v>2604</v>
      </c>
      <c r="D2286" t="s">
        <v>2605</v>
      </c>
      <c r="E2286" t="s">
        <v>2606</v>
      </c>
      <c r="F2286" s="13">
        <v>44620.346898148149</v>
      </c>
      <c r="G2286" t="s">
        <v>2607</v>
      </c>
      <c r="H2286" t="s">
        <v>2608</v>
      </c>
      <c r="I2286" s="13">
        <v>45012.044039351851</v>
      </c>
      <c r="K2286" t="s">
        <v>415</v>
      </c>
      <c r="M2286" s="13">
        <v>44925</v>
      </c>
      <c r="R2286">
        <v>0</v>
      </c>
      <c r="S2286" t="s">
        <v>380</v>
      </c>
      <c r="T2286" t="s">
        <v>57</v>
      </c>
      <c r="V2286" t="s">
        <v>478</v>
      </c>
      <c r="W2286" t="s">
        <v>2609</v>
      </c>
      <c r="X2286" t="s">
        <v>2609</v>
      </c>
      <c r="AF2286" t="s">
        <v>451</v>
      </c>
      <c r="AI2286">
        <v>-87</v>
      </c>
      <c r="AL2286" t="s">
        <v>2610</v>
      </c>
      <c r="AN2286" t="s">
        <v>31</v>
      </c>
      <c r="AO2286">
        <v>0</v>
      </c>
      <c r="AS2286" t="s">
        <v>385</v>
      </c>
      <c r="AX2286" t="s">
        <v>31</v>
      </c>
      <c r="AY2286" t="s">
        <v>386</v>
      </c>
      <c r="AZ2286" t="s">
        <v>2606</v>
      </c>
      <c r="BF2286">
        <v>0</v>
      </c>
      <c r="BK2286" t="s">
        <v>31</v>
      </c>
      <c r="BS2286" t="s">
        <v>419</v>
      </c>
      <c r="BT2286" t="s">
        <v>419</v>
      </c>
      <c r="CI2286" t="s">
        <v>388</v>
      </c>
      <c r="CJ2286" s="14">
        <v>45015</v>
      </c>
      <c r="CK2286">
        <v>1</v>
      </c>
    </row>
    <row r="2287" spans="1:89">
      <c r="A2287" t="s">
        <v>2603</v>
      </c>
      <c r="B2287" t="s">
        <v>374</v>
      </c>
      <c r="C2287" t="s">
        <v>2604</v>
      </c>
      <c r="D2287" t="s">
        <v>2611</v>
      </c>
      <c r="E2287" t="s">
        <v>2612</v>
      </c>
      <c r="F2287" s="13">
        <v>44620.340648148151</v>
      </c>
      <c r="G2287" t="s">
        <v>2607</v>
      </c>
      <c r="H2287" t="s">
        <v>2608</v>
      </c>
      <c r="I2287" s="13">
        <v>45012.044039351851</v>
      </c>
      <c r="K2287" t="s">
        <v>415</v>
      </c>
      <c r="M2287" s="13">
        <v>44651</v>
      </c>
      <c r="R2287">
        <v>0</v>
      </c>
      <c r="S2287" t="s">
        <v>380</v>
      </c>
      <c r="T2287" t="s">
        <v>57</v>
      </c>
      <c r="V2287" t="s">
        <v>478</v>
      </c>
      <c r="W2287" t="s">
        <v>2609</v>
      </c>
      <c r="X2287" t="s">
        <v>2609</v>
      </c>
      <c r="AF2287" t="s">
        <v>451</v>
      </c>
      <c r="AI2287">
        <v>-361</v>
      </c>
      <c r="AL2287" t="s">
        <v>2613</v>
      </c>
      <c r="AN2287" t="s">
        <v>31</v>
      </c>
      <c r="AO2287">
        <v>0</v>
      </c>
      <c r="AS2287" t="s">
        <v>385</v>
      </c>
      <c r="AX2287" t="s">
        <v>31</v>
      </c>
      <c r="AY2287" t="s">
        <v>386</v>
      </c>
      <c r="AZ2287" t="s">
        <v>2612</v>
      </c>
      <c r="BF2287">
        <v>0</v>
      </c>
      <c r="BK2287" t="s">
        <v>31</v>
      </c>
      <c r="BS2287" t="s">
        <v>419</v>
      </c>
      <c r="BT2287" t="s">
        <v>419</v>
      </c>
      <c r="CI2287" t="s">
        <v>388</v>
      </c>
      <c r="CJ2287" s="14">
        <v>45015</v>
      </c>
      <c r="CK2287">
        <v>1</v>
      </c>
    </row>
    <row r="2288" spans="1:89">
      <c r="A2288" t="s">
        <v>2603</v>
      </c>
      <c r="B2288" t="s">
        <v>374</v>
      </c>
      <c r="C2288" t="s">
        <v>2604</v>
      </c>
      <c r="D2288" t="s">
        <v>2614</v>
      </c>
      <c r="E2288" t="s">
        <v>2615</v>
      </c>
      <c r="F2288" s="13">
        <v>44620.332719907405</v>
      </c>
      <c r="G2288" t="s">
        <v>2607</v>
      </c>
      <c r="H2288" t="s">
        <v>2608</v>
      </c>
      <c r="I2288" s="13">
        <v>45012.044027777774</v>
      </c>
      <c r="K2288" t="s">
        <v>415</v>
      </c>
      <c r="M2288" s="13">
        <v>44742</v>
      </c>
      <c r="R2288">
        <v>0</v>
      </c>
      <c r="S2288" t="s">
        <v>380</v>
      </c>
      <c r="T2288" t="s">
        <v>57</v>
      </c>
      <c r="V2288" t="s">
        <v>478</v>
      </c>
      <c r="W2288" t="s">
        <v>2616</v>
      </c>
      <c r="X2288" t="s">
        <v>2616</v>
      </c>
      <c r="AF2288" t="s">
        <v>451</v>
      </c>
      <c r="AI2288">
        <v>-270</v>
      </c>
      <c r="AL2288" t="s">
        <v>2617</v>
      </c>
      <c r="AN2288" t="s">
        <v>31</v>
      </c>
      <c r="AO2288">
        <v>0</v>
      </c>
      <c r="AS2288" t="s">
        <v>385</v>
      </c>
      <c r="AX2288" t="s">
        <v>31</v>
      </c>
      <c r="AY2288" t="s">
        <v>386</v>
      </c>
      <c r="AZ2288" t="s">
        <v>2615</v>
      </c>
      <c r="BF2288">
        <v>0</v>
      </c>
      <c r="BK2288" t="s">
        <v>31</v>
      </c>
      <c r="BS2288" t="s">
        <v>419</v>
      </c>
      <c r="BT2288" t="s">
        <v>419</v>
      </c>
      <c r="CI2288" t="s">
        <v>388</v>
      </c>
      <c r="CJ2288" s="14">
        <v>45015</v>
      </c>
      <c r="CK2288">
        <v>1</v>
      </c>
    </row>
    <row r="2289" spans="1:89">
      <c r="A2289" t="s">
        <v>2444</v>
      </c>
      <c r="B2289" t="s">
        <v>374</v>
      </c>
      <c r="C2289" t="s">
        <v>2445</v>
      </c>
      <c r="D2289" t="s">
        <v>2618</v>
      </c>
      <c r="E2289" t="s">
        <v>2619</v>
      </c>
      <c r="F2289" s="13">
        <v>44619.996770833335</v>
      </c>
      <c r="G2289" t="s">
        <v>1526</v>
      </c>
      <c r="H2289" t="s">
        <v>1527</v>
      </c>
      <c r="I2289" s="13">
        <v>44619.99800925926</v>
      </c>
      <c r="K2289" t="s">
        <v>412</v>
      </c>
      <c r="R2289">
        <v>0</v>
      </c>
      <c r="S2289" t="s">
        <v>380</v>
      </c>
      <c r="T2289" t="s">
        <v>57</v>
      </c>
      <c r="V2289" t="s">
        <v>381</v>
      </c>
      <c r="W2289" t="s">
        <v>2620</v>
      </c>
      <c r="X2289" t="s">
        <v>2620</v>
      </c>
      <c r="AC2289" s="13">
        <v>44834</v>
      </c>
      <c r="AD2289" s="13">
        <v>44834</v>
      </c>
      <c r="AI2289">
        <v>215</v>
      </c>
      <c r="AL2289" t="s">
        <v>2621</v>
      </c>
      <c r="AN2289" t="s">
        <v>31</v>
      </c>
      <c r="AO2289">
        <v>0</v>
      </c>
      <c r="AS2289" t="s">
        <v>385</v>
      </c>
      <c r="AX2289" t="s">
        <v>57</v>
      </c>
      <c r="AY2289" t="s">
        <v>442</v>
      </c>
      <c r="AZ2289" t="s">
        <v>2622</v>
      </c>
      <c r="BF2289">
        <v>0</v>
      </c>
      <c r="BK2289" t="s">
        <v>31</v>
      </c>
      <c r="BS2289" t="s">
        <v>412</v>
      </c>
      <c r="BT2289" t="s">
        <v>412</v>
      </c>
      <c r="CI2289" t="s">
        <v>388</v>
      </c>
      <c r="CJ2289" s="14">
        <v>45015</v>
      </c>
      <c r="CK2289">
        <v>1</v>
      </c>
    </row>
    <row r="2290" spans="1:89">
      <c r="A2290" t="s">
        <v>2444</v>
      </c>
      <c r="B2290" t="s">
        <v>374</v>
      </c>
      <c r="C2290" t="s">
        <v>2445</v>
      </c>
      <c r="D2290" t="s">
        <v>2623</v>
      </c>
      <c r="E2290" t="s">
        <v>2624</v>
      </c>
      <c r="F2290" s="13">
        <v>44619.987824074073</v>
      </c>
      <c r="G2290" t="s">
        <v>1526</v>
      </c>
      <c r="H2290" t="s">
        <v>1527</v>
      </c>
      <c r="I2290" s="13">
        <v>44619.988541666666</v>
      </c>
      <c r="K2290" t="s">
        <v>412</v>
      </c>
      <c r="R2290">
        <v>0</v>
      </c>
      <c r="S2290" t="s">
        <v>380</v>
      </c>
      <c r="T2290" t="s">
        <v>57</v>
      </c>
      <c r="V2290" t="s">
        <v>381</v>
      </c>
      <c r="W2290" t="s">
        <v>2625</v>
      </c>
      <c r="X2290" t="s">
        <v>2625</v>
      </c>
      <c r="AC2290" s="13">
        <v>44757</v>
      </c>
      <c r="AD2290" s="13">
        <v>44757</v>
      </c>
      <c r="AI2290">
        <v>138</v>
      </c>
      <c r="AL2290" t="s">
        <v>2626</v>
      </c>
      <c r="AN2290" t="s">
        <v>31</v>
      </c>
      <c r="AO2290">
        <v>0</v>
      </c>
      <c r="AS2290" t="s">
        <v>385</v>
      </c>
      <c r="AX2290" t="s">
        <v>57</v>
      </c>
      <c r="AY2290" t="s">
        <v>442</v>
      </c>
      <c r="AZ2290" t="s">
        <v>2627</v>
      </c>
      <c r="BF2290">
        <v>0</v>
      </c>
      <c r="BK2290" t="s">
        <v>31</v>
      </c>
      <c r="BS2290" t="s">
        <v>412</v>
      </c>
      <c r="BT2290" t="s">
        <v>412</v>
      </c>
      <c r="CI2290" t="s">
        <v>388</v>
      </c>
      <c r="CJ2290" s="14">
        <v>45015</v>
      </c>
      <c r="CK2290">
        <v>1</v>
      </c>
    </row>
    <row r="2291" spans="1:89">
      <c r="A2291" t="s">
        <v>2444</v>
      </c>
      <c r="B2291" t="s">
        <v>374</v>
      </c>
      <c r="C2291" t="s">
        <v>2445</v>
      </c>
      <c r="D2291" t="s">
        <v>2628</v>
      </c>
      <c r="E2291" t="s">
        <v>2629</v>
      </c>
      <c r="F2291" s="13">
        <v>44619.985300925924</v>
      </c>
      <c r="G2291" t="s">
        <v>1526</v>
      </c>
      <c r="H2291" t="s">
        <v>1527</v>
      </c>
      <c r="I2291" s="13">
        <v>44619.986388888887</v>
      </c>
      <c r="K2291" t="s">
        <v>412</v>
      </c>
      <c r="R2291">
        <v>0</v>
      </c>
      <c r="S2291" t="s">
        <v>380</v>
      </c>
      <c r="T2291" t="s">
        <v>57</v>
      </c>
      <c r="V2291" t="s">
        <v>381</v>
      </c>
      <c r="W2291" t="s">
        <v>2625</v>
      </c>
      <c r="X2291" t="s">
        <v>2625</v>
      </c>
      <c r="AC2291" s="13">
        <v>44757</v>
      </c>
      <c r="AD2291" s="13">
        <v>44757</v>
      </c>
      <c r="AI2291">
        <v>138</v>
      </c>
      <c r="AL2291" t="s">
        <v>2626</v>
      </c>
      <c r="AN2291" t="s">
        <v>31</v>
      </c>
      <c r="AO2291">
        <v>0</v>
      </c>
      <c r="AS2291" t="s">
        <v>385</v>
      </c>
      <c r="AX2291" t="s">
        <v>57</v>
      </c>
      <c r="AY2291" t="s">
        <v>442</v>
      </c>
      <c r="AZ2291" t="s">
        <v>2630</v>
      </c>
      <c r="BF2291">
        <v>0</v>
      </c>
      <c r="BK2291" t="s">
        <v>31</v>
      </c>
      <c r="BS2291" t="s">
        <v>412</v>
      </c>
      <c r="BT2291" t="s">
        <v>412</v>
      </c>
      <c r="CI2291" t="s">
        <v>388</v>
      </c>
      <c r="CJ2291" s="14">
        <v>45015</v>
      </c>
      <c r="CK2291">
        <v>1</v>
      </c>
    </row>
    <row r="2292" spans="1:89">
      <c r="A2292" t="s">
        <v>2444</v>
      </c>
      <c r="B2292" t="s">
        <v>374</v>
      </c>
      <c r="C2292" t="s">
        <v>2445</v>
      </c>
      <c r="D2292" t="s">
        <v>2631</v>
      </c>
      <c r="E2292" t="s">
        <v>2632</v>
      </c>
      <c r="F2292" s="13">
        <v>44619.982928240737</v>
      </c>
      <c r="G2292" t="s">
        <v>1526</v>
      </c>
      <c r="H2292" t="s">
        <v>1527</v>
      </c>
      <c r="I2292" s="13">
        <v>44619.983981481484</v>
      </c>
      <c r="K2292" t="s">
        <v>412</v>
      </c>
      <c r="R2292">
        <v>0</v>
      </c>
      <c r="S2292" t="s">
        <v>380</v>
      </c>
      <c r="T2292" t="s">
        <v>57</v>
      </c>
      <c r="V2292" t="s">
        <v>381</v>
      </c>
      <c r="W2292" t="s">
        <v>2633</v>
      </c>
      <c r="X2292" t="s">
        <v>2633</v>
      </c>
      <c r="AC2292" s="13">
        <v>44757</v>
      </c>
      <c r="AD2292" s="13">
        <v>44757</v>
      </c>
      <c r="AI2292">
        <v>138</v>
      </c>
      <c r="AL2292" t="s">
        <v>2626</v>
      </c>
      <c r="AN2292" t="s">
        <v>31</v>
      </c>
      <c r="AO2292">
        <v>0</v>
      </c>
      <c r="AS2292" t="s">
        <v>385</v>
      </c>
      <c r="AX2292" t="s">
        <v>57</v>
      </c>
      <c r="AY2292" t="s">
        <v>442</v>
      </c>
      <c r="AZ2292" t="s">
        <v>2634</v>
      </c>
      <c r="BF2292">
        <v>0</v>
      </c>
      <c r="BK2292" t="s">
        <v>31</v>
      </c>
      <c r="BS2292" t="s">
        <v>412</v>
      </c>
      <c r="BT2292" t="s">
        <v>412</v>
      </c>
      <c r="CI2292" t="s">
        <v>388</v>
      </c>
      <c r="CJ2292" s="14">
        <v>45015</v>
      </c>
      <c r="CK2292">
        <v>1</v>
      </c>
    </row>
    <row r="2293" spans="1:89">
      <c r="A2293" t="s">
        <v>2444</v>
      </c>
      <c r="B2293" t="s">
        <v>374</v>
      </c>
      <c r="C2293" t="s">
        <v>2445</v>
      </c>
      <c r="D2293" t="s">
        <v>2635</v>
      </c>
      <c r="E2293" t="s">
        <v>2636</v>
      </c>
      <c r="F2293" s="13">
        <v>44619.980717592596</v>
      </c>
      <c r="G2293" t="s">
        <v>1526</v>
      </c>
      <c r="H2293" t="s">
        <v>1527</v>
      </c>
      <c r="I2293" s="13">
        <v>44619.981678240743</v>
      </c>
      <c r="K2293" t="s">
        <v>412</v>
      </c>
      <c r="R2293">
        <v>0</v>
      </c>
      <c r="S2293" t="s">
        <v>380</v>
      </c>
      <c r="T2293" t="s">
        <v>57</v>
      </c>
      <c r="V2293" t="s">
        <v>381</v>
      </c>
      <c r="W2293" t="s">
        <v>2625</v>
      </c>
      <c r="X2293" t="s">
        <v>2625</v>
      </c>
      <c r="AC2293" s="13">
        <v>44757</v>
      </c>
      <c r="AD2293" s="13">
        <v>44757</v>
      </c>
      <c r="AI2293">
        <v>138</v>
      </c>
      <c r="AL2293" t="s">
        <v>2626</v>
      </c>
      <c r="AN2293" t="s">
        <v>31</v>
      </c>
      <c r="AO2293">
        <v>0</v>
      </c>
      <c r="AS2293" t="s">
        <v>385</v>
      </c>
      <c r="AX2293" t="s">
        <v>57</v>
      </c>
      <c r="AY2293" t="s">
        <v>442</v>
      </c>
      <c r="AZ2293" t="s">
        <v>2637</v>
      </c>
      <c r="BF2293">
        <v>0</v>
      </c>
      <c r="BK2293" t="s">
        <v>31</v>
      </c>
      <c r="BS2293" t="s">
        <v>412</v>
      </c>
      <c r="BT2293" t="s">
        <v>412</v>
      </c>
      <c r="CI2293" t="s">
        <v>388</v>
      </c>
      <c r="CJ2293" s="14">
        <v>45015</v>
      </c>
      <c r="CK2293">
        <v>1</v>
      </c>
    </row>
    <row r="2294" spans="1:89">
      <c r="A2294" t="s">
        <v>2444</v>
      </c>
      <c r="B2294" t="s">
        <v>374</v>
      </c>
      <c r="C2294" t="s">
        <v>2445</v>
      </c>
      <c r="D2294" t="s">
        <v>2638</v>
      </c>
      <c r="E2294" t="s">
        <v>2639</v>
      </c>
      <c r="F2294" s="13">
        <v>44619.973356481481</v>
      </c>
      <c r="G2294" t="s">
        <v>1526</v>
      </c>
      <c r="H2294" t="s">
        <v>1527</v>
      </c>
      <c r="I2294" s="13">
        <v>44619.974143518521</v>
      </c>
      <c r="K2294" t="s">
        <v>412</v>
      </c>
      <c r="R2294">
        <v>0</v>
      </c>
      <c r="S2294" t="s">
        <v>380</v>
      </c>
      <c r="T2294" t="s">
        <v>57</v>
      </c>
      <c r="V2294" t="s">
        <v>381</v>
      </c>
      <c r="W2294" t="s">
        <v>2640</v>
      </c>
      <c r="X2294" t="s">
        <v>2640</v>
      </c>
      <c r="AC2294" s="13">
        <v>44757</v>
      </c>
      <c r="AD2294" s="13">
        <v>44757</v>
      </c>
      <c r="AI2294">
        <v>138</v>
      </c>
      <c r="AL2294" t="s">
        <v>2626</v>
      </c>
      <c r="AN2294" t="s">
        <v>31</v>
      </c>
      <c r="AO2294">
        <v>0</v>
      </c>
      <c r="AS2294" t="s">
        <v>385</v>
      </c>
      <c r="AX2294" t="s">
        <v>57</v>
      </c>
      <c r="AY2294" t="s">
        <v>442</v>
      </c>
      <c r="AZ2294" t="s">
        <v>2641</v>
      </c>
      <c r="BF2294">
        <v>0</v>
      </c>
      <c r="BK2294" t="s">
        <v>31</v>
      </c>
      <c r="BS2294" t="s">
        <v>412</v>
      </c>
      <c r="BT2294" t="s">
        <v>412</v>
      </c>
      <c r="CI2294" t="s">
        <v>388</v>
      </c>
      <c r="CJ2294" s="14">
        <v>45015</v>
      </c>
      <c r="CK2294">
        <v>1</v>
      </c>
    </row>
    <row r="2295" spans="1:89">
      <c r="A2295" t="s">
        <v>2444</v>
      </c>
      <c r="B2295" t="s">
        <v>374</v>
      </c>
      <c r="C2295" t="s">
        <v>2445</v>
      </c>
      <c r="D2295" t="s">
        <v>2642</v>
      </c>
      <c r="E2295" t="s">
        <v>2643</v>
      </c>
      <c r="F2295" s="13">
        <v>44619.967303240737</v>
      </c>
      <c r="G2295" t="s">
        <v>1526</v>
      </c>
      <c r="H2295" t="s">
        <v>1527</v>
      </c>
      <c r="I2295" s="13">
        <v>44619.968553240738</v>
      </c>
      <c r="K2295" t="s">
        <v>412</v>
      </c>
      <c r="R2295">
        <v>0</v>
      </c>
      <c r="S2295" t="s">
        <v>380</v>
      </c>
      <c r="T2295" t="s">
        <v>57</v>
      </c>
      <c r="V2295" t="s">
        <v>381</v>
      </c>
      <c r="W2295" t="s">
        <v>2644</v>
      </c>
      <c r="X2295" t="s">
        <v>2644</v>
      </c>
      <c r="AC2295" s="13">
        <v>44757</v>
      </c>
      <c r="AD2295" s="13">
        <v>44757</v>
      </c>
      <c r="AI2295">
        <v>138</v>
      </c>
      <c r="AL2295" t="s">
        <v>2645</v>
      </c>
      <c r="AN2295" t="s">
        <v>31</v>
      </c>
      <c r="AO2295">
        <v>0</v>
      </c>
      <c r="AS2295" t="s">
        <v>392</v>
      </c>
      <c r="AX2295" t="s">
        <v>57</v>
      </c>
      <c r="AY2295" t="s">
        <v>442</v>
      </c>
      <c r="AZ2295" t="s">
        <v>2634</v>
      </c>
      <c r="BF2295">
        <v>0</v>
      </c>
      <c r="BK2295" t="s">
        <v>31</v>
      </c>
      <c r="BS2295" t="s">
        <v>412</v>
      </c>
      <c r="BT2295" t="s">
        <v>412</v>
      </c>
      <c r="CI2295" t="s">
        <v>388</v>
      </c>
      <c r="CJ2295" s="14">
        <v>45015</v>
      </c>
      <c r="CK2295">
        <v>1</v>
      </c>
    </row>
    <row r="2296" spans="1:89">
      <c r="A2296" t="s">
        <v>2444</v>
      </c>
      <c r="B2296" t="s">
        <v>374</v>
      </c>
      <c r="C2296" t="s">
        <v>2445</v>
      </c>
      <c r="D2296" t="s">
        <v>2646</v>
      </c>
      <c r="E2296" t="s">
        <v>2647</v>
      </c>
      <c r="F2296" s="13">
        <v>44619.964421296296</v>
      </c>
      <c r="G2296" t="s">
        <v>1526</v>
      </c>
      <c r="H2296" t="s">
        <v>1527</v>
      </c>
      <c r="I2296" s="13">
        <v>44619.965648148151</v>
      </c>
      <c r="K2296" t="s">
        <v>412</v>
      </c>
      <c r="R2296">
        <v>0</v>
      </c>
      <c r="S2296" t="s">
        <v>380</v>
      </c>
      <c r="T2296" t="s">
        <v>57</v>
      </c>
      <c r="V2296" t="s">
        <v>381</v>
      </c>
      <c r="W2296" t="s">
        <v>2644</v>
      </c>
      <c r="X2296" t="s">
        <v>2644</v>
      </c>
      <c r="AC2296" s="13">
        <v>44757</v>
      </c>
      <c r="AD2296" s="13">
        <v>44757</v>
      </c>
      <c r="AI2296">
        <v>138</v>
      </c>
      <c r="AL2296" t="s">
        <v>2645</v>
      </c>
      <c r="AN2296" t="s">
        <v>31</v>
      </c>
      <c r="AO2296">
        <v>0</v>
      </c>
      <c r="AS2296" t="s">
        <v>385</v>
      </c>
      <c r="AX2296" t="s">
        <v>57</v>
      </c>
      <c r="AY2296" t="s">
        <v>442</v>
      </c>
      <c r="AZ2296" t="s">
        <v>2648</v>
      </c>
      <c r="BF2296">
        <v>0</v>
      </c>
      <c r="BK2296" t="s">
        <v>31</v>
      </c>
      <c r="BS2296" t="s">
        <v>412</v>
      </c>
      <c r="BT2296" t="s">
        <v>412</v>
      </c>
      <c r="CI2296" t="s">
        <v>388</v>
      </c>
      <c r="CJ2296" s="14">
        <v>45015</v>
      </c>
      <c r="CK2296">
        <v>1</v>
      </c>
    </row>
    <row r="2297" spans="1:89">
      <c r="A2297" t="s">
        <v>2444</v>
      </c>
      <c r="B2297" t="s">
        <v>374</v>
      </c>
      <c r="C2297" t="s">
        <v>2445</v>
      </c>
      <c r="D2297" t="s">
        <v>2649</v>
      </c>
      <c r="E2297" t="s">
        <v>2643</v>
      </c>
      <c r="F2297" s="13">
        <v>44619.943854166668</v>
      </c>
      <c r="G2297" t="s">
        <v>1526</v>
      </c>
      <c r="H2297" t="s">
        <v>1527</v>
      </c>
      <c r="I2297" s="13">
        <v>44619.944756944446</v>
      </c>
      <c r="K2297" t="s">
        <v>412</v>
      </c>
      <c r="R2297">
        <v>0</v>
      </c>
      <c r="S2297" t="s">
        <v>380</v>
      </c>
      <c r="T2297" t="s">
        <v>57</v>
      </c>
      <c r="V2297" t="s">
        <v>381</v>
      </c>
      <c r="W2297" t="s">
        <v>2633</v>
      </c>
      <c r="X2297" t="s">
        <v>2633</v>
      </c>
      <c r="AC2297" s="13">
        <v>44782</v>
      </c>
      <c r="AD2297" s="13">
        <v>44782</v>
      </c>
      <c r="AI2297">
        <v>163</v>
      </c>
      <c r="AL2297" t="s">
        <v>2650</v>
      </c>
      <c r="AN2297" t="s">
        <v>31</v>
      </c>
      <c r="AO2297">
        <v>0</v>
      </c>
      <c r="AS2297" t="s">
        <v>392</v>
      </c>
      <c r="AX2297" t="s">
        <v>57</v>
      </c>
      <c r="AY2297" t="s">
        <v>442</v>
      </c>
      <c r="AZ2297" t="s">
        <v>2634</v>
      </c>
      <c r="BF2297">
        <v>0</v>
      </c>
      <c r="BK2297" t="s">
        <v>31</v>
      </c>
      <c r="BS2297" t="s">
        <v>412</v>
      </c>
      <c r="BT2297" t="s">
        <v>412</v>
      </c>
      <c r="CI2297" t="s">
        <v>388</v>
      </c>
      <c r="CJ2297" s="14">
        <v>45015</v>
      </c>
      <c r="CK2297">
        <v>1</v>
      </c>
    </row>
    <row r="2298" spans="1:89">
      <c r="A2298" t="s">
        <v>2444</v>
      </c>
      <c r="B2298" t="s">
        <v>374</v>
      </c>
      <c r="C2298" t="s">
        <v>2445</v>
      </c>
      <c r="D2298" t="s">
        <v>2651</v>
      </c>
      <c r="E2298" t="s">
        <v>2652</v>
      </c>
      <c r="F2298" s="13">
        <v>44619.940567129626</v>
      </c>
      <c r="G2298" t="s">
        <v>1526</v>
      </c>
      <c r="H2298" t="s">
        <v>1527</v>
      </c>
      <c r="I2298" s="13">
        <v>44619.942071759258</v>
      </c>
      <c r="K2298" t="s">
        <v>412</v>
      </c>
      <c r="R2298">
        <v>0</v>
      </c>
      <c r="S2298" t="s">
        <v>380</v>
      </c>
      <c r="T2298" t="s">
        <v>57</v>
      </c>
      <c r="V2298" t="s">
        <v>381</v>
      </c>
      <c r="W2298" t="s">
        <v>2633</v>
      </c>
      <c r="X2298" t="s">
        <v>2633</v>
      </c>
      <c r="AC2298" s="13">
        <v>44782</v>
      </c>
      <c r="AD2298" s="13">
        <v>44782</v>
      </c>
      <c r="AI2298">
        <v>163</v>
      </c>
      <c r="AL2298" t="s">
        <v>2650</v>
      </c>
      <c r="AN2298" t="s">
        <v>31</v>
      </c>
      <c r="AO2298">
        <v>0</v>
      </c>
      <c r="AS2298" t="s">
        <v>385</v>
      </c>
      <c r="AX2298" t="s">
        <v>57</v>
      </c>
      <c r="AY2298" t="s">
        <v>442</v>
      </c>
      <c r="AZ2298" t="s">
        <v>2653</v>
      </c>
      <c r="BE2298" t="s">
        <v>2654</v>
      </c>
      <c r="BF2298">
        <v>0</v>
      </c>
      <c r="BK2298" t="s">
        <v>31</v>
      </c>
      <c r="BS2298" t="s">
        <v>412</v>
      </c>
      <c r="BT2298" t="s">
        <v>412</v>
      </c>
      <c r="CI2298" t="s">
        <v>388</v>
      </c>
      <c r="CJ2298" s="14">
        <v>45015</v>
      </c>
      <c r="CK2298">
        <v>1</v>
      </c>
    </row>
    <row r="2299" spans="1:89">
      <c r="A2299" t="s">
        <v>1522</v>
      </c>
      <c r="B2299" t="s">
        <v>374</v>
      </c>
      <c r="C2299" t="s">
        <v>1523</v>
      </c>
      <c r="D2299" t="s">
        <v>2655</v>
      </c>
      <c r="E2299" t="s">
        <v>2656</v>
      </c>
      <c r="F2299" s="13">
        <v>44619.882094907407</v>
      </c>
      <c r="G2299" t="s">
        <v>1526</v>
      </c>
      <c r="H2299" t="s">
        <v>1527</v>
      </c>
      <c r="I2299" s="13">
        <v>44619.882708333331</v>
      </c>
      <c r="K2299" t="s">
        <v>412</v>
      </c>
      <c r="R2299">
        <v>0</v>
      </c>
      <c r="S2299" t="s">
        <v>380</v>
      </c>
      <c r="T2299" t="s">
        <v>57</v>
      </c>
      <c r="V2299" t="s">
        <v>381</v>
      </c>
      <c r="W2299" t="s">
        <v>2657</v>
      </c>
      <c r="X2299" t="s">
        <v>2657</v>
      </c>
      <c r="AI2299">
        <v>62</v>
      </c>
      <c r="AL2299" t="s">
        <v>2658</v>
      </c>
      <c r="AN2299" t="s">
        <v>31</v>
      </c>
      <c r="AO2299">
        <v>0</v>
      </c>
      <c r="AS2299" t="s">
        <v>385</v>
      </c>
      <c r="AX2299" t="s">
        <v>31</v>
      </c>
      <c r="AY2299" t="s">
        <v>386</v>
      </c>
      <c r="AZ2299" t="s">
        <v>2659</v>
      </c>
      <c r="BF2299">
        <v>0</v>
      </c>
      <c r="BK2299" t="s">
        <v>31</v>
      </c>
      <c r="BS2299" t="s">
        <v>412</v>
      </c>
      <c r="BT2299" t="s">
        <v>412</v>
      </c>
      <c r="CI2299" t="s">
        <v>388</v>
      </c>
      <c r="CJ2299" s="14">
        <v>45015</v>
      </c>
      <c r="CK2299">
        <v>1</v>
      </c>
    </row>
    <row r="2300" spans="1:89">
      <c r="A2300" t="s">
        <v>1522</v>
      </c>
      <c r="B2300" t="s">
        <v>374</v>
      </c>
      <c r="C2300" t="s">
        <v>1523</v>
      </c>
      <c r="D2300" t="s">
        <v>2660</v>
      </c>
      <c r="E2300" t="s">
        <v>2661</v>
      </c>
      <c r="F2300" s="13">
        <v>44619.879571759258</v>
      </c>
      <c r="G2300" t="s">
        <v>1526</v>
      </c>
      <c r="H2300" t="s">
        <v>1527</v>
      </c>
      <c r="I2300" s="13">
        <v>44619.880069444444</v>
      </c>
      <c r="K2300" t="s">
        <v>412</v>
      </c>
      <c r="R2300">
        <v>0</v>
      </c>
      <c r="S2300" t="s">
        <v>380</v>
      </c>
      <c r="T2300" t="s">
        <v>57</v>
      </c>
      <c r="V2300" t="s">
        <v>381</v>
      </c>
      <c r="W2300" t="s">
        <v>2662</v>
      </c>
      <c r="X2300" t="s">
        <v>2662</v>
      </c>
      <c r="AI2300">
        <v>62</v>
      </c>
      <c r="AL2300" t="s">
        <v>2658</v>
      </c>
      <c r="AN2300" t="s">
        <v>31</v>
      </c>
      <c r="AO2300">
        <v>0</v>
      </c>
      <c r="AS2300" t="s">
        <v>392</v>
      </c>
      <c r="AX2300" t="s">
        <v>31</v>
      </c>
      <c r="AY2300" t="s">
        <v>442</v>
      </c>
      <c r="AZ2300" t="s">
        <v>2663</v>
      </c>
      <c r="BF2300">
        <v>0</v>
      </c>
      <c r="BK2300" t="s">
        <v>31</v>
      </c>
      <c r="BS2300" t="s">
        <v>412</v>
      </c>
      <c r="BT2300" t="s">
        <v>412</v>
      </c>
      <c r="CI2300" t="s">
        <v>388</v>
      </c>
      <c r="CJ2300" s="14">
        <v>45015</v>
      </c>
      <c r="CK2300">
        <v>1</v>
      </c>
    </row>
    <row r="2301" spans="1:89">
      <c r="A2301" t="s">
        <v>1522</v>
      </c>
      <c r="B2301" t="s">
        <v>374</v>
      </c>
      <c r="C2301" t="s">
        <v>1523</v>
      </c>
      <c r="D2301" t="s">
        <v>2664</v>
      </c>
      <c r="E2301" t="s">
        <v>2665</v>
      </c>
      <c r="F2301" s="13">
        <v>44619.877430555556</v>
      </c>
      <c r="G2301" t="s">
        <v>1526</v>
      </c>
      <c r="H2301" t="s">
        <v>1527</v>
      </c>
      <c r="I2301" s="13">
        <v>44619.877939814818</v>
      </c>
      <c r="K2301" t="s">
        <v>412</v>
      </c>
      <c r="R2301">
        <v>0</v>
      </c>
      <c r="S2301" t="s">
        <v>380</v>
      </c>
      <c r="T2301" t="s">
        <v>57</v>
      </c>
      <c r="V2301" t="s">
        <v>381</v>
      </c>
      <c r="W2301" t="s">
        <v>2666</v>
      </c>
      <c r="X2301" t="s">
        <v>2666</v>
      </c>
      <c r="AI2301">
        <v>62</v>
      </c>
      <c r="AL2301" t="s">
        <v>2658</v>
      </c>
      <c r="AN2301" t="s">
        <v>31</v>
      </c>
      <c r="AO2301">
        <v>0</v>
      </c>
      <c r="AS2301" t="s">
        <v>392</v>
      </c>
      <c r="AX2301" t="s">
        <v>31</v>
      </c>
      <c r="AY2301" t="s">
        <v>442</v>
      </c>
      <c r="AZ2301" t="s">
        <v>2667</v>
      </c>
      <c r="BF2301">
        <v>0</v>
      </c>
      <c r="BK2301" t="s">
        <v>31</v>
      </c>
      <c r="BS2301" t="s">
        <v>412</v>
      </c>
      <c r="BT2301" t="s">
        <v>412</v>
      </c>
      <c r="CI2301" t="s">
        <v>388</v>
      </c>
      <c r="CJ2301" s="14">
        <v>45015</v>
      </c>
      <c r="CK2301">
        <v>1</v>
      </c>
    </row>
    <row r="2302" spans="1:89">
      <c r="A2302" t="s">
        <v>1522</v>
      </c>
      <c r="B2302" t="s">
        <v>374</v>
      </c>
      <c r="C2302" t="s">
        <v>1523</v>
      </c>
      <c r="D2302" t="s">
        <v>2668</v>
      </c>
      <c r="E2302" t="s">
        <v>2669</v>
      </c>
      <c r="F2302" s="13">
        <v>44619.875659722224</v>
      </c>
      <c r="G2302" t="s">
        <v>1526</v>
      </c>
      <c r="H2302" t="s">
        <v>1527</v>
      </c>
      <c r="I2302" s="13">
        <v>44619.876273148147</v>
      </c>
      <c r="K2302" t="s">
        <v>412</v>
      </c>
      <c r="R2302">
        <v>0</v>
      </c>
      <c r="S2302" t="s">
        <v>380</v>
      </c>
      <c r="T2302" t="s">
        <v>57</v>
      </c>
      <c r="V2302" t="s">
        <v>381</v>
      </c>
      <c r="W2302" t="s">
        <v>2670</v>
      </c>
      <c r="X2302" t="s">
        <v>2670</v>
      </c>
      <c r="AI2302">
        <v>62</v>
      </c>
      <c r="AL2302" t="s">
        <v>2658</v>
      </c>
      <c r="AN2302" t="s">
        <v>31</v>
      </c>
      <c r="AO2302">
        <v>0</v>
      </c>
      <c r="AS2302" t="s">
        <v>744</v>
      </c>
      <c r="AX2302" t="s">
        <v>31</v>
      </c>
      <c r="AY2302" t="s">
        <v>442</v>
      </c>
      <c r="AZ2302" t="s">
        <v>2671</v>
      </c>
      <c r="BF2302">
        <v>0</v>
      </c>
      <c r="BK2302" t="s">
        <v>31</v>
      </c>
      <c r="BS2302" t="s">
        <v>412</v>
      </c>
      <c r="BT2302" t="s">
        <v>412</v>
      </c>
      <c r="CI2302" t="s">
        <v>388</v>
      </c>
      <c r="CJ2302" s="14">
        <v>45015</v>
      </c>
      <c r="CK2302">
        <v>1</v>
      </c>
    </row>
    <row r="2303" spans="1:89">
      <c r="A2303" t="s">
        <v>1522</v>
      </c>
      <c r="B2303" t="s">
        <v>374</v>
      </c>
      <c r="C2303" t="s">
        <v>1523</v>
      </c>
      <c r="D2303" t="s">
        <v>2672</v>
      </c>
      <c r="E2303" t="s">
        <v>2673</v>
      </c>
      <c r="F2303" s="13">
        <v>44619.873611111114</v>
      </c>
      <c r="G2303" t="s">
        <v>1526</v>
      </c>
      <c r="H2303" t="s">
        <v>1527</v>
      </c>
      <c r="I2303" s="13">
        <v>44619.874386574076</v>
      </c>
      <c r="K2303" t="s">
        <v>412</v>
      </c>
      <c r="R2303">
        <v>0</v>
      </c>
      <c r="S2303" t="s">
        <v>380</v>
      </c>
      <c r="T2303" t="s">
        <v>57</v>
      </c>
      <c r="V2303" t="s">
        <v>381</v>
      </c>
      <c r="W2303" t="s">
        <v>2657</v>
      </c>
      <c r="X2303" t="s">
        <v>2657</v>
      </c>
      <c r="AI2303">
        <v>62</v>
      </c>
      <c r="AL2303" t="s">
        <v>2658</v>
      </c>
      <c r="AN2303" t="s">
        <v>31</v>
      </c>
      <c r="AO2303">
        <v>0</v>
      </c>
      <c r="AS2303" t="s">
        <v>385</v>
      </c>
      <c r="AX2303" t="s">
        <v>31</v>
      </c>
      <c r="AY2303" t="s">
        <v>386</v>
      </c>
      <c r="AZ2303" t="s">
        <v>2673</v>
      </c>
      <c r="BF2303">
        <v>0</v>
      </c>
      <c r="BK2303" t="s">
        <v>31</v>
      </c>
      <c r="BS2303" t="s">
        <v>412</v>
      </c>
      <c r="BT2303" t="s">
        <v>412</v>
      </c>
      <c r="CI2303" t="s">
        <v>388</v>
      </c>
      <c r="CJ2303" s="14">
        <v>45015</v>
      </c>
      <c r="CK2303">
        <v>1</v>
      </c>
    </row>
    <row r="2304" spans="1:89">
      <c r="A2304" t="s">
        <v>1522</v>
      </c>
      <c r="B2304" t="s">
        <v>374</v>
      </c>
      <c r="C2304" t="s">
        <v>1523</v>
      </c>
      <c r="D2304" t="s">
        <v>2674</v>
      </c>
      <c r="E2304" t="s">
        <v>2675</v>
      </c>
      <c r="F2304" s="13">
        <v>44619.872025462966</v>
      </c>
      <c r="G2304" t="s">
        <v>1526</v>
      </c>
      <c r="H2304" t="s">
        <v>1527</v>
      </c>
      <c r="I2304" s="13">
        <v>44619.872546296298</v>
      </c>
      <c r="K2304" t="s">
        <v>412</v>
      </c>
      <c r="R2304">
        <v>0</v>
      </c>
      <c r="S2304" t="s">
        <v>380</v>
      </c>
      <c r="T2304" t="s">
        <v>57</v>
      </c>
      <c r="V2304" t="s">
        <v>381</v>
      </c>
      <c r="W2304" t="s">
        <v>2657</v>
      </c>
      <c r="X2304" t="s">
        <v>2657</v>
      </c>
      <c r="AI2304">
        <v>62</v>
      </c>
      <c r="AL2304" t="s">
        <v>2658</v>
      </c>
      <c r="AN2304" t="s">
        <v>31</v>
      </c>
      <c r="AO2304">
        <v>0</v>
      </c>
      <c r="AS2304" t="s">
        <v>392</v>
      </c>
      <c r="AX2304" t="s">
        <v>31</v>
      </c>
      <c r="AY2304" t="s">
        <v>442</v>
      </c>
      <c r="AZ2304" t="s">
        <v>2676</v>
      </c>
      <c r="BF2304">
        <v>0</v>
      </c>
      <c r="BK2304" t="s">
        <v>31</v>
      </c>
      <c r="BS2304" t="s">
        <v>412</v>
      </c>
      <c r="BT2304" t="s">
        <v>412</v>
      </c>
      <c r="CI2304" t="s">
        <v>388</v>
      </c>
      <c r="CJ2304" s="14">
        <v>45015</v>
      </c>
      <c r="CK2304">
        <v>1</v>
      </c>
    </row>
    <row r="2305" spans="1:89">
      <c r="A2305" t="s">
        <v>1522</v>
      </c>
      <c r="B2305" t="s">
        <v>374</v>
      </c>
      <c r="C2305" t="s">
        <v>1523</v>
      </c>
      <c r="D2305" t="s">
        <v>2677</v>
      </c>
      <c r="E2305" t="s">
        <v>2678</v>
      </c>
      <c r="F2305" s="13">
        <v>44619.869791666664</v>
      </c>
      <c r="G2305" t="s">
        <v>1526</v>
      </c>
      <c r="H2305" t="s">
        <v>1527</v>
      </c>
      <c r="I2305" s="13">
        <v>44619.870497685188</v>
      </c>
      <c r="K2305" t="s">
        <v>412</v>
      </c>
      <c r="R2305">
        <v>0</v>
      </c>
      <c r="S2305" t="s">
        <v>380</v>
      </c>
      <c r="T2305" t="s">
        <v>57</v>
      </c>
      <c r="V2305" t="s">
        <v>381</v>
      </c>
      <c r="W2305" t="s">
        <v>2679</v>
      </c>
      <c r="X2305" t="s">
        <v>2679</v>
      </c>
      <c r="AI2305">
        <v>62</v>
      </c>
      <c r="AL2305" t="s">
        <v>2658</v>
      </c>
      <c r="AN2305" t="s">
        <v>31</v>
      </c>
      <c r="AO2305">
        <v>0</v>
      </c>
      <c r="AS2305" t="s">
        <v>538</v>
      </c>
      <c r="AX2305" t="s">
        <v>31</v>
      </c>
      <c r="AY2305" t="s">
        <v>386</v>
      </c>
      <c r="AZ2305" t="s">
        <v>2680</v>
      </c>
      <c r="BF2305">
        <v>0</v>
      </c>
      <c r="BK2305" t="s">
        <v>31</v>
      </c>
      <c r="BS2305" t="s">
        <v>412</v>
      </c>
      <c r="BT2305" t="s">
        <v>412</v>
      </c>
      <c r="CI2305" t="s">
        <v>388</v>
      </c>
      <c r="CJ2305" s="14">
        <v>45015</v>
      </c>
      <c r="CK2305">
        <v>1</v>
      </c>
    </row>
    <row r="2306" spans="1:89">
      <c r="A2306" t="s">
        <v>1522</v>
      </c>
      <c r="B2306" t="s">
        <v>374</v>
      </c>
      <c r="C2306" t="s">
        <v>1523</v>
      </c>
      <c r="D2306" t="s">
        <v>2681</v>
      </c>
      <c r="E2306" t="s">
        <v>2682</v>
      </c>
      <c r="F2306" s="13">
        <v>44619.867939814816</v>
      </c>
      <c r="G2306" t="s">
        <v>1526</v>
      </c>
      <c r="H2306" t="s">
        <v>1527</v>
      </c>
      <c r="I2306" s="13">
        <v>44619.86859953704</v>
      </c>
      <c r="K2306" t="s">
        <v>412</v>
      </c>
      <c r="R2306">
        <v>0</v>
      </c>
      <c r="S2306" t="s">
        <v>380</v>
      </c>
      <c r="T2306" t="s">
        <v>57</v>
      </c>
      <c r="V2306" t="s">
        <v>381</v>
      </c>
      <c r="W2306" t="s">
        <v>2679</v>
      </c>
      <c r="X2306" t="s">
        <v>2679</v>
      </c>
      <c r="AI2306">
        <v>62</v>
      </c>
      <c r="AL2306" t="s">
        <v>2658</v>
      </c>
      <c r="AN2306" t="s">
        <v>31</v>
      </c>
      <c r="AO2306">
        <v>0</v>
      </c>
      <c r="AS2306" t="s">
        <v>385</v>
      </c>
      <c r="AX2306" t="s">
        <v>31</v>
      </c>
      <c r="AY2306" t="s">
        <v>442</v>
      </c>
      <c r="AZ2306" t="s">
        <v>2683</v>
      </c>
      <c r="BF2306">
        <v>0</v>
      </c>
      <c r="BK2306" t="s">
        <v>31</v>
      </c>
      <c r="BS2306" t="s">
        <v>412</v>
      </c>
      <c r="BT2306" t="s">
        <v>412</v>
      </c>
      <c r="CI2306" t="s">
        <v>388</v>
      </c>
      <c r="CJ2306" s="14">
        <v>45015</v>
      </c>
      <c r="CK2306">
        <v>1</v>
      </c>
    </row>
    <row r="2307" spans="1:89">
      <c r="A2307" t="s">
        <v>1522</v>
      </c>
      <c r="B2307" t="s">
        <v>374</v>
      </c>
      <c r="C2307" t="s">
        <v>1523</v>
      </c>
      <c r="D2307" t="s">
        <v>2684</v>
      </c>
      <c r="E2307" t="s">
        <v>2685</v>
      </c>
      <c r="F2307" s="13">
        <v>44619.865162037036</v>
      </c>
      <c r="G2307" t="s">
        <v>1526</v>
      </c>
      <c r="H2307" t="s">
        <v>1527</v>
      </c>
      <c r="I2307" s="13">
        <v>44619.866412037038</v>
      </c>
      <c r="K2307" t="s">
        <v>412</v>
      </c>
      <c r="R2307">
        <v>0</v>
      </c>
      <c r="S2307" t="s">
        <v>380</v>
      </c>
      <c r="T2307" t="s">
        <v>57</v>
      </c>
      <c r="V2307" t="s">
        <v>381</v>
      </c>
      <c r="W2307" t="s">
        <v>2686</v>
      </c>
      <c r="X2307" t="s">
        <v>2686</v>
      </c>
      <c r="AI2307">
        <v>62</v>
      </c>
      <c r="AL2307" t="s">
        <v>2658</v>
      </c>
      <c r="AN2307" t="s">
        <v>31</v>
      </c>
      <c r="AO2307">
        <v>0</v>
      </c>
      <c r="AS2307" t="s">
        <v>707</v>
      </c>
      <c r="AX2307" t="s">
        <v>31</v>
      </c>
      <c r="AY2307" t="s">
        <v>386</v>
      </c>
      <c r="AZ2307" t="s">
        <v>2687</v>
      </c>
      <c r="BF2307">
        <v>0</v>
      </c>
      <c r="BK2307" t="s">
        <v>31</v>
      </c>
      <c r="BS2307" t="s">
        <v>412</v>
      </c>
      <c r="BT2307" t="s">
        <v>412</v>
      </c>
      <c r="CI2307" t="s">
        <v>388</v>
      </c>
      <c r="CJ2307" s="14">
        <v>45015</v>
      </c>
      <c r="CK2307">
        <v>1</v>
      </c>
    </row>
    <row r="2308" spans="1:89">
      <c r="A2308" t="s">
        <v>1522</v>
      </c>
      <c r="B2308" t="s">
        <v>374</v>
      </c>
      <c r="C2308" t="s">
        <v>1523</v>
      </c>
      <c r="D2308" t="s">
        <v>2688</v>
      </c>
      <c r="E2308" t="s">
        <v>2689</v>
      </c>
      <c r="F2308" s="13">
        <v>44619.863206018519</v>
      </c>
      <c r="G2308" t="s">
        <v>1526</v>
      </c>
      <c r="H2308" t="s">
        <v>1527</v>
      </c>
      <c r="I2308" s="13">
        <v>44619.864074074074</v>
      </c>
      <c r="K2308" t="s">
        <v>412</v>
      </c>
      <c r="R2308">
        <v>0</v>
      </c>
      <c r="S2308" t="s">
        <v>380</v>
      </c>
      <c r="T2308" t="s">
        <v>57</v>
      </c>
      <c r="V2308" t="s">
        <v>381</v>
      </c>
      <c r="W2308" t="s">
        <v>2686</v>
      </c>
      <c r="X2308" t="s">
        <v>2686</v>
      </c>
      <c r="AI2308">
        <v>62</v>
      </c>
      <c r="AL2308" t="s">
        <v>2658</v>
      </c>
      <c r="AN2308" t="s">
        <v>31</v>
      </c>
      <c r="AO2308">
        <v>0</v>
      </c>
      <c r="AS2308" t="s">
        <v>648</v>
      </c>
      <c r="AX2308" t="s">
        <v>31</v>
      </c>
      <c r="AY2308" t="s">
        <v>442</v>
      </c>
      <c r="AZ2308" t="s">
        <v>2690</v>
      </c>
      <c r="BF2308">
        <v>0</v>
      </c>
      <c r="BK2308" t="s">
        <v>31</v>
      </c>
      <c r="BS2308" t="s">
        <v>412</v>
      </c>
      <c r="BT2308" t="s">
        <v>412</v>
      </c>
      <c r="CI2308" t="s">
        <v>388</v>
      </c>
      <c r="CJ2308" s="14">
        <v>45015</v>
      </c>
      <c r="CK2308">
        <v>1</v>
      </c>
    </row>
    <row r="2309" spans="1:89">
      <c r="A2309" t="s">
        <v>1522</v>
      </c>
      <c r="B2309" t="s">
        <v>374</v>
      </c>
      <c r="C2309" t="s">
        <v>1523</v>
      </c>
      <c r="D2309" t="s">
        <v>2691</v>
      </c>
      <c r="E2309" t="s">
        <v>2656</v>
      </c>
      <c r="F2309" s="13">
        <v>44619.861168981479</v>
      </c>
      <c r="G2309" t="s">
        <v>1526</v>
      </c>
      <c r="H2309" t="s">
        <v>1527</v>
      </c>
      <c r="I2309" s="13">
        <v>44619.861747685187</v>
      </c>
      <c r="K2309" t="s">
        <v>412</v>
      </c>
      <c r="R2309">
        <v>0</v>
      </c>
      <c r="S2309" t="s">
        <v>380</v>
      </c>
      <c r="T2309" t="s">
        <v>57</v>
      </c>
      <c r="V2309" t="s">
        <v>381</v>
      </c>
      <c r="W2309" t="s">
        <v>2657</v>
      </c>
      <c r="X2309" t="s">
        <v>2657</v>
      </c>
      <c r="AI2309">
        <v>62</v>
      </c>
      <c r="AL2309" t="s">
        <v>2658</v>
      </c>
      <c r="AN2309" t="s">
        <v>31</v>
      </c>
      <c r="AO2309">
        <v>0</v>
      </c>
      <c r="AS2309" t="s">
        <v>648</v>
      </c>
      <c r="AX2309" t="s">
        <v>31</v>
      </c>
      <c r="AY2309" t="s">
        <v>442</v>
      </c>
      <c r="AZ2309" t="s">
        <v>2692</v>
      </c>
      <c r="BF2309">
        <v>0</v>
      </c>
      <c r="BK2309" t="s">
        <v>31</v>
      </c>
      <c r="BS2309" t="s">
        <v>412</v>
      </c>
      <c r="BT2309" t="s">
        <v>412</v>
      </c>
      <c r="CI2309" t="s">
        <v>388</v>
      </c>
      <c r="CJ2309" s="14">
        <v>45015</v>
      </c>
      <c r="CK2309">
        <v>1</v>
      </c>
    </row>
    <row r="2310" spans="1:89">
      <c r="A2310" t="s">
        <v>2693</v>
      </c>
      <c r="B2310" t="s">
        <v>374</v>
      </c>
      <c r="C2310" t="s">
        <v>2694</v>
      </c>
      <c r="D2310" t="s">
        <v>2695</v>
      </c>
      <c r="E2310" t="s">
        <v>2696</v>
      </c>
      <c r="F2310" s="13">
        <v>44619.849710648145</v>
      </c>
      <c r="G2310" t="s">
        <v>1526</v>
      </c>
      <c r="H2310" t="s">
        <v>1527</v>
      </c>
      <c r="I2310" s="13">
        <v>44619.850358796299</v>
      </c>
      <c r="K2310" t="s">
        <v>412</v>
      </c>
      <c r="R2310">
        <v>0</v>
      </c>
      <c r="S2310" t="s">
        <v>380</v>
      </c>
      <c r="T2310" t="s">
        <v>57</v>
      </c>
      <c r="V2310" t="s">
        <v>381</v>
      </c>
      <c r="W2310" t="s">
        <v>2697</v>
      </c>
      <c r="X2310" t="s">
        <v>2697</v>
      </c>
      <c r="AI2310">
        <v>154</v>
      </c>
      <c r="AL2310" t="s">
        <v>2698</v>
      </c>
      <c r="AN2310" t="s">
        <v>31</v>
      </c>
      <c r="AO2310">
        <v>0</v>
      </c>
      <c r="AS2310" t="s">
        <v>392</v>
      </c>
      <c r="AX2310" t="s">
        <v>31</v>
      </c>
      <c r="AY2310" t="s">
        <v>442</v>
      </c>
      <c r="AZ2310" t="s">
        <v>2699</v>
      </c>
      <c r="BF2310">
        <v>0</v>
      </c>
      <c r="BK2310" t="s">
        <v>31</v>
      </c>
      <c r="BS2310" t="s">
        <v>412</v>
      </c>
      <c r="BT2310" t="s">
        <v>412</v>
      </c>
      <c r="CI2310" t="s">
        <v>388</v>
      </c>
      <c r="CJ2310" s="14">
        <v>45015</v>
      </c>
      <c r="CK2310">
        <v>1</v>
      </c>
    </row>
    <row r="2311" spans="1:89">
      <c r="A2311" t="s">
        <v>2700</v>
      </c>
      <c r="B2311" t="s">
        <v>374</v>
      </c>
      <c r="C2311" t="s">
        <v>2701</v>
      </c>
      <c r="D2311" t="s">
        <v>2702</v>
      </c>
      <c r="E2311" t="s">
        <v>2703</v>
      </c>
      <c r="F2311" s="13">
        <v>44619.839861111112</v>
      </c>
      <c r="G2311" t="s">
        <v>1526</v>
      </c>
      <c r="H2311" t="s">
        <v>1527</v>
      </c>
      <c r="I2311" s="13">
        <v>44619.840555555558</v>
      </c>
      <c r="K2311" t="s">
        <v>412</v>
      </c>
      <c r="R2311">
        <v>0</v>
      </c>
      <c r="S2311" t="s">
        <v>380</v>
      </c>
      <c r="T2311" t="s">
        <v>57</v>
      </c>
      <c r="V2311" t="s">
        <v>381</v>
      </c>
      <c r="W2311" t="s">
        <v>2704</v>
      </c>
      <c r="X2311" t="s">
        <v>2704</v>
      </c>
      <c r="AI2311">
        <v>1</v>
      </c>
      <c r="AL2311" t="s">
        <v>2705</v>
      </c>
      <c r="AN2311" t="s">
        <v>31</v>
      </c>
      <c r="AO2311">
        <v>0</v>
      </c>
      <c r="AS2311" t="s">
        <v>461</v>
      </c>
      <c r="AX2311" t="s">
        <v>31</v>
      </c>
      <c r="AY2311" t="s">
        <v>442</v>
      </c>
      <c r="AZ2311" t="s">
        <v>2706</v>
      </c>
      <c r="BF2311">
        <v>0</v>
      </c>
      <c r="BK2311" t="s">
        <v>31</v>
      </c>
      <c r="BS2311" t="s">
        <v>412</v>
      </c>
      <c r="BT2311" t="s">
        <v>412</v>
      </c>
      <c r="CI2311" t="s">
        <v>388</v>
      </c>
      <c r="CJ2311" s="14">
        <v>45015</v>
      </c>
      <c r="CK2311">
        <v>1</v>
      </c>
    </row>
    <row r="2312" spans="1:89">
      <c r="A2312" t="s">
        <v>2700</v>
      </c>
      <c r="B2312" t="s">
        <v>374</v>
      </c>
      <c r="C2312" t="s">
        <v>2701</v>
      </c>
      <c r="D2312" t="s">
        <v>2707</v>
      </c>
      <c r="E2312" t="s">
        <v>2708</v>
      </c>
      <c r="F2312" s="13">
        <v>44619.832939814813</v>
      </c>
      <c r="G2312" t="s">
        <v>1526</v>
      </c>
      <c r="H2312" t="s">
        <v>1527</v>
      </c>
      <c r="I2312" s="13">
        <v>44619.833854166667</v>
      </c>
      <c r="K2312" t="s">
        <v>412</v>
      </c>
      <c r="R2312">
        <v>0</v>
      </c>
      <c r="S2312" t="s">
        <v>380</v>
      </c>
      <c r="T2312" t="s">
        <v>57</v>
      </c>
      <c r="V2312" t="s">
        <v>381</v>
      </c>
      <c r="W2312" t="s">
        <v>2704</v>
      </c>
      <c r="X2312" t="s">
        <v>2704</v>
      </c>
      <c r="AI2312">
        <v>2</v>
      </c>
      <c r="AL2312" t="s">
        <v>2709</v>
      </c>
      <c r="AN2312" t="s">
        <v>31</v>
      </c>
      <c r="AO2312">
        <v>0</v>
      </c>
      <c r="AS2312" t="s">
        <v>385</v>
      </c>
      <c r="AX2312" t="s">
        <v>31</v>
      </c>
      <c r="AY2312" t="s">
        <v>442</v>
      </c>
      <c r="AZ2312" t="s">
        <v>2710</v>
      </c>
      <c r="BF2312">
        <v>0</v>
      </c>
      <c r="BK2312" t="s">
        <v>31</v>
      </c>
      <c r="BS2312" t="s">
        <v>412</v>
      </c>
      <c r="BT2312" t="s">
        <v>412</v>
      </c>
      <c r="CI2312" t="s">
        <v>388</v>
      </c>
      <c r="CJ2312" s="14">
        <v>45015</v>
      </c>
      <c r="CK2312">
        <v>1</v>
      </c>
    </row>
    <row r="2313" spans="1:89">
      <c r="A2313" t="s">
        <v>2700</v>
      </c>
      <c r="B2313" t="s">
        <v>374</v>
      </c>
      <c r="C2313" t="s">
        <v>2701</v>
      </c>
      <c r="D2313" t="s">
        <v>2711</v>
      </c>
      <c r="E2313" t="s">
        <v>2712</v>
      </c>
      <c r="F2313" s="13">
        <v>44619.825590277775</v>
      </c>
      <c r="G2313" t="s">
        <v>1526</v>
      </c>
      <c r="H2313" t="s">
        <v>1527</v>
      </c>
      <c r="I2313" s="13">
        <v>44619.826145833336</v>
      </c>
      <c r="K2313" t="s">
        <v>412</v>
      </c>
      <c r="R2313">
        <v>0</v>
      </c>
      <c r="S2313" t="s">
        <v>380</v>
      </c>
      <c r="T2313" t="s">
        <v>57</v>
      </c>
      <c r="V2313" t="s">
        <v>381</v>
      </c>
      <c r="W2313" t="s">
        <v>2704</v>
      </c>
      <c r="X2313" t="s">
        <v>2704</v>
      </c>
      <c r="AI2313">
        <v>2</v>
      </c>
      <c r="AL2313" t="s">
        <v>2713</v>
      </c>
      <c r="AN2313" t="s">
        <v>31</v>
      </c>
      <c r="AO2313">
        <v>0</v>
      </c>
      <c r="AS2313" t="s">
        <v>522</v>
      </c>
      <c r="AX2313" t="s">
        <v>31</v>
      </c>
      <c r="AY2313" t="s">
        <v>442</v>
      </c>
      <c r="AZ2313" t="s">
        <v>2714</v>
      </c>
      <c r="BF2313">
        <v>0</v>
      </c>
      <c r="BK2313" t="s">
        <v>31</v>
      </c>
      <c r="BS2313" t="s">
        <v>412</v>
      </c>
      <c r="BT2313" t="s">
        <v>412</v>
      </c>
      <c r="CI2313" t="s">
        <v>388</v>
      </c>
      <c r="CJ2313" s="14">
        <v>45015</v>
      </c>
      <c r="CK2313">
        <v>1</v>
      </c>
    </row>
    <row r="2314" spans="1:89">
      <c r="A2314" t="s">
        <v>2700</v>
      </c>
      <c r="B2314" t="s">
        <v>374</v>
      </c>
      <c r="C2314" t="s">
        <v>2701</v>
      </c>
      <c r="D2314" t="s">
        <v>2715</v>
      </c>
      <c r="E2314" t="s">
        <v>2716</v>
      </c>
      <c r="F2314" s="13">
        <v>44619.818888888891</v>
      </c>
      <c r="G2314" t="s">
        <v>1526</v>
      </c>
      <c r="H2314" t="s">
        <v>1527</v>
      </c>
      <c r="I2314" s="13">
        <v>44619.819733796299</v>
      </c>
      <c r="K2314" t="s">
        <v>412</v>
      </c>
      <c r="R2314">
        <v>0</v>
      </c>
      <c r="S2314" t="s">
        <v>380</v>
      </c>
      <c r="T2314" t="s">
        <v>57</v>
      </c>
      <c r="V2314" t="s">
        <v>381</v>
      </c>
      <c r="W2314" t="s">
        <v>2704</v>
      </c>
      <c r="X2314" t="s">
        <v>2704</v>
      </c>
      <c r="AI2314">
        <v>29</v>
      </c>
      <c r="AL2314" t="s">
        <v>2717</v>
      </c>
      <c r="AN2314" t="s">
        <v>31</v>
      </c>
      <c r="AO2314">
        <v>0</v>
      </c>
      <c r="AS2314" t="s">
        <v>385</v>
      </c>
      <c r="AX2314" t="s">
        <v>31</v>
      </c>
      <c r="AY2314" t="s">
        <v>442</v>
      </c>
      <c r="AZ2314" t="s">
        <v>2718</v>
      </c>
      <c r="BF2314">
        <v>0</v>
      </c>
      <c r="BK2314" t="s">
        <v>31</v>
      </c>
      <c r="BS2314" t="s">
        <v>412</v>
      </c>
      <c r="BT2314" t="s">
        <v>412</v>
      </c>
      <c r="CI2314" t="s">
        <v>388</v>
      </c>
      <c r="CJ2314" s="14">
        <v>45015</v>
      </c>
      <c r="CK2314">
        <v>1</v>
      </c>
    </row>
    <row r="2315" spans="1:89">
      <c r="A2315" t="s">
        <v>2700</v>
      </c>
      <c r="B2315" t="s">
        <v>374</v>
      </c>
      <c r="C2315" t="s">
        <v>2701</v>
      </c>
      <c r="D2315" t="s">
        <v>2719</v>
      </c>
      <c r="E2315" t="s">
        <v>2720</v>
      </c>
      <c r="F2315" s="13">
        <v>44619.785949074074</v>
      </c>
      <c r="G2315" t="s">
        <v>1526</v>
      </c>
      <c r="H2315" t="s">
        <v>1527</v>
      </c>
      <c r="I2315" s="13">
        <v>44619.788599537038</v>
      </c>
      <c r="K2315" t="s">
        <v>412</v>
      </c>
      <c r="R2315">
        <v>0</v>
      </c>
      <c r="S2315" t="s">
        <v>380</v>
      </c>
      <c r="T2315" t="s">
        <v>57</v>
      </c>
      <c r="V2315" t="s">
        <v>381</v>
      </c>
      <c r="W2315" t="s">
        <v>2721</v>
      </c>
      <c r="X2315" t="s">
        <v>2721</v>
      </c>
      <c r="AI2315">
        <v>47</v>
      </c>
      <c r="AL2315" t="s">
        <v>2722</v>
      </c>
      <c r="AN2315" t="s">
        <v>31</v>
      </c>
      <c r="AO2315">
        <v>0</v>
      </c>
      <c r="AS2315" t="s">
        <v>385</v>
      </c>
      <c r="AX2315" t="s">
        <v>31</v>
      </c>
      <c r="AY2315" t="s">
        <v>386</v>
      </c>
      <c r="AZ2315" t="s">
        <v>2723</v>
      </c>
      <c r="BE2315" t="s">
        <v>2724</v>
      </c>
      <c r="BF2315">
        <v>0</v>
      </c>
      <c r="BK2315" t="s">
        <v>31</v>
      </c>
      <c r="BS2315" t="s">
        <v>412</v>
      </c>
      <c r="BT2315" t="s">
        <v>412</v>
      </c>
      <c r="CI2315" t="s">
        <v>388</v>
      </c>
      <c r="CJ2315" s="14">
        <v>45015</v>
      </c>
      <c r="CK2315">
        <v>1</v>
      </c>
    </row>
    <row r="2316" spans="1:89">
      <c r="A2316" t="s">
        <v>2725</v>
      </c>
      <c r="B2316" t="s">
        <v>374</v>
      </c>
      <c r="C2316" t="s">
        <v>2726</v>
      </c>
      <c r="D2316" t="s">
        <v>2727</v>
      </c>
      <c r="E2316" t="s">
        <v>2728</v>
      </c>
      <c r="F2316" s="13">
        <v>44618.468761574077</v>
      </c>
      <c r="G2316" t="s">
        <v>2729</v>
      </c>
      <c r="H2316" t="s">
        <v>2730</v>
      </c>
      <c r="I2316" s="13">
        <v>45012.044027777774</v>
      </c>
      <c r="K2316" t="s">
        <v>415</v>
      </c>
      <c r="M2316" s="13">
        <v>44926</v>
      </c>
      <c r="R2316">
        <v>0</v>
      </c>
      <c r="S2316" t="s">
        <v>380</v>
      </c>
      <c r="T2316" t="s">
        <v>57</v>
      </c>
      <c r="V2316" t="s">
        <v>478</v>
      </c>
      <c r="W2316" t="s">
        <v>2731</v>
      </c>
      <c r="X2316" t="s">
        <v>2731</v>
      </c>
      <c r="AF2316" t="s">
        <v>451</v>
      </c>
      <c r="AI2316">
        <v>-86</v>
      </c>
      <c r="AL2316" t="s">
        <v>2732</v>
      </c>
      <c r="AN2316" t="s">
        <v>31</v>
      </c>
      <c r="AO2316">
        <v>0</v>
      </c>
      <c r="AS2316" t="s">
        <v>392</v>
      </c>
      <c r="AX2316" t="s">
        <v>57</v>
      </c>
      <c r="AY2316" t="s">
        <v>386</v>
      </c>
      <c r="AZ2316" t="s">
        <v>2733</v>
      </c>
      <c r="BE2316">
        <v>6</v>
      </c>
      <c r="BF2316">
        <v>0</v>
      </c>
      <c r="BK2316" t="s">
        <v>31</v>
      </c>
      <c r="BS2316" t="s">
        <v>419</v>
      </c>
      <c r="BT2316" t="s">
        <v>419</v>
      </c>
      <c r="CI2316" t="s">
        <v>388</v>
      </c>
      <c r="CJ2316" s="14">
        <v>45015</v>
      </c>
      <c r="CK2316">
        <v>1</v>
      </c>
    </row>
    <row r="2317" spans="1:89">
      <c r="A2317" t="s">
        <v>2725</v>
      </c>
      <c r="B2317" t="s">
        <v>374</v>
      </c>
      <c r="C2317" t="s">
        <v>2726</v>
      </c>
      <c r="D2317" t="s">
        <v>2734</v>
      </c>
      <c r="E2317" t="s">
        <v>2735</v>
      </c>
      <c r="F2317" s="13">
        <v>44618.457881944443</v>
      </c>
      <c r="G2317" t="s">
        <v>2729</v>
      </c>
      <c r="H2317" t="s">
        <v>2730</v>
      </c>
      <c r="I2317" s="13">
        <v>45012.044027777774</v>
      </c>
      <c r="K2317" t="s">
        <v>415</v>
      </c>
      <c r="M2317" s="13">
        <v>44651</v>
      </c>
      <c r="R2317">
        <v>0</v>
      </c>
      <c r="S2317" t="s">
        <v>380</v>
      </c>
      <c r="T2317" t="s">
        <v>57</v>
      </c>
      <c r="V2317" t="s">
        <v>478</v>
      </c>
      <c r="W2317" t="s">
        <v>2731</v>
      </c>
      <c r="X2317" t="s">
        <v>2731</v>
      </c>
      <c r="Y2317" t="s">
        <v>480</v>
      </c>
      <c r="AE2317" t="s">
        <v>2736</v>
      </c>
      <c r="AF2317" t="s">
        <v>451</v>
      </c>
      <c r="AG2317" t="s">
        <v>2737</v>
      </c>
      <c r="AI2317">
        <v>-361</v>
      </c>
      <c r="AL2317" t="s">
        <v>2738</v>
      </c>
      <c r="AN2317" t="s">
        <v>31</v>
      </c>
      <c r="AO2317">
        <v>0</v>
      </c>
      <c r="AS2317" t="s">
        <v>385</v>
      </c>
      <c r="AT2317" t="s">
        <v>57</v>
      </c>
      <c r="AV2317" s="13">
        <v>44741</v>
      </c>
      <c r="AX2317" t="s">
        <v>57</v>
      </c>
      <c r="AY2317" t="s">
        <v>386</v>
      </c>
      <c r="AZ2317" t="s">
        <v>2739</v>
      </c>
      <c r="BE2317">
        <v>5</v>
      </c>
      <c r="BF2317">
        <v>0</v>
      </c>
      <c r="BK2317" t="s">
        <v>31</v>
      </c>
      <c r="BS2317" t="s">
        <v>484</v>
      </c>
      <c r="BT2317" t="s">
        <v>484</v>
      </c>
      <c r="CI2317" t="s">
        <v>388</v>
      </c>
      <c r="CJ2317" s="14">
        <v>45015</v>
      </c>
      <c r="CK2317">
        <v>1</v>
      </c>
    </row>
    <row r="2318" spans="1:89">
      <c r="A2318" t="s">
        <v>2740</v>
      </c>
      <c r="B2318" t="s">
        <v>374</v>
      </c>
      <c r="C2318" t="s">
        <v>2741</v>
      </c>
      <c r="D2318" t="s">
        <v>2742</v>
      </c>
      <c r="E2318" t="s">
        <v>2743</v>
      </c>
      <c r="F2318" s="13">
        <v>44618.449733796297</v>
      </c>
      <c r="G2318" t="s">
        <v>2729</v>
      </c>
      <c r="H2318" t="s">
        <v>2730</v>
      </c>
      <c r="I2318" s="13">
        <v>45012.044016203705</v>
      </c>
      <c r="K2318" t="s">
        <v>415</v>
      </c>
      <c r="M2318" s="13">
        <v>44651</v>
      </c>
      <c r="R2318">
        <v>0</v>
      </c>
      <c r="S2318" t="s">
        <v>380</v>
      </c>
      <c r="T2318" t="s">
        <v>57</v>
      </c>
      <c r="V2318" t="s">
        <v>478</v>
      </c>
      <c r="W2318" t="s">
        <v>2731</v>
      </c>
      <c r="X2318" t="s">
        <v>2731</v>
      </c>
      <c r="Y2318" t="s">
        <v>480</v>
      </c>
      <c r="AE2318" t="s">
        <v>2736</v>
      </c>
      <c r="AF2318" t="s">
        <v>451</v>
      </c>
      <c r="AG2318" t="s">
        <v>2737</v>
      </c>
      <c r="AI2318">
        <v>-361</v>
      </c>
      <c r="AL2318" t="s">
        <v>2744</v>
      </c>
      <c r="AN2318" t="s">
        <v>31</v>
      </c>
      <c r="AO2318">
        <v>0</v>
      </c>
      <c r="AS2318" t="s">
        <v>385</v>
      </c>
      <c r="AT2318" t="s">
        <v>57</v>
      </c>
      <c r="AV2318" s="13">
        <v>44741</v>
      </c>
      <c r="AX2318" t="s">
        <v>57</v>
      </c>
      <c r="AY2318" t="s">
        <v>386</v>
      </c>
      <c r="AZ2318" t="s">
        <v>2745</v>
      </c>
      <c r="BE2318">
        <v>4</v>
      </c>
      <c r="BF2318">
        <v>0</v>
      </c>
      <c r="BK2318" t="s">
        <v>31</v>
      </c>
      <c r="BS2318" t="s">
        <v>484</v>
      </c>
      <c r="BT2318" t="s">
        <v>484</v>
      </c>
      <c r="CI2318" t="s">
        <v>388</v>
      </c>
      <c r="CJ2318" s="14">
        <v>45015</v>
      </c>
      <c r="CK2318">
        <v>1</v>
      </c>
    </row>
    <row r="2319" spans="1:89">
      <c r="A2319" t="s">
        <v>2746</v>
      </c>
      <c r="B2319" t="s">
        <v>374</v>
      </c>
      <c r="C2319" t="s">
        <v>2747</v>
      </c>
      <c r="D2319" t="s">
        <v>2748</v>
      </c>
      <c r="E2319" t="s">
        <v>2749</v>
      </c>
      <c r="F2319" s="13">
        <v>44618.437916666669</v>
      </c>
      <c r="G2319" t="s">
        <v>2729</v>
      </c>
      <c r="H2319" t="s">
        <v>2730</v>
      </c>
      <c r="I2319" s="13">
        <v>45012.044016203705</v>
      </c>
      <c r="K2319" t="s">
        <v>415</v>
      </c>
      <c r="M2319" s="13">
        <v>44651</v>
      </c>
      <c r="R2319">
        <v>0</v>
      </c>
      <c r="S2319" t="s">
        <v>380</v>
      </c>
      <c r="T2319" t="s">
        <v>57</v>
      </c>
      <c r="V2319" t="s">
        <v>478</v>
      </c>
      <c r="W2319" t="s">
        <v>2731</v>
      </c>
      <c r="X2319" t="s">
        <v>2731</v>
      </c>
      <c r="Y2319" t="s">
        <v>480</v>
      </c>
      <c r="AE2319" t="s">
        <v>2750</v>
      </c>
      <c r="AF2319" t="s">
        <v>451</v>
      </c>
      <c r="AG2319" t="s">
        <v>2737</v>
      </c>
      <c r="AI2319">
        <v>-361</v>
      </c>
      <c r="AL2319" t="s">
        <v>2751</v>
      </c>
      <c r="AN2319" t="s">
        <v>31</v>
      </c>
      <c r="AO2319">
        <v>0</v>
      </c>
      <c r="AS2319" t="s">
        <v>385</v>
      </c>
      <c r="AT2319" t="s">
        <v>57</v>
      </c>
      <c r="AV2319" s="13">
        <v>44741</v>
      </c>
      <c r="AX2319" t="s">
        <v>57</v>
      </c>
      <c r="AY2319" t="s">
        <v>386</v>
      </c>
      <c r="AZ2319" t="s">
        <v>2752</v>
      </c>
      <c r="BE2319">
        <v>3</v>
      </c>
      <c r="BF2319">
        <v>0</v>
      </c>
      <c r="BK2319" t="s">
        <v>31</v>
      </c>
      <c r="BS2319" t="s">
        <v>484</v>
      </c>
      <c r="BT2319" t="s">
        <v>484</v>
      </c>
      <c r="CI2319" t="s">
        <v>388</v>
      </c>
      <c r="CJ2319" s="14">
        <v>45015</v>
      </c>
      <c r="CK2319">
        <v>1</v>
      </c>
    </row>
    <row r="2320" spans="1:89">
      <c r="A2320" t="s">
        <v>2753</v>
      </c>
      <c r="B2320" t="s">
        <v>374</v>
      </c>
      <c r="C2320" t="s">
        <v>2754</v>
      </c>
      <c r="D2320" t="s">
        <v>2755</v>
      </c>
      <c r="E2320" t="s">
        <v>2756</v>
      </c>
      <c r="F2320" s="13">
        <v>44618.431446759256</v>
      </c>
      <c r="G2320" t="s">
        <v>2729</v>
      </c>
      <c r="H2320" t="s">
        <v>2730</v>
      </c>
      <c r="I2320" s="13">
        <v>45012.044016203705</v>
      </c>
      <c r="K2320" t="s">
        <v>415</v>
      </c>
      <c r="M2320" s="13">
        <v>44651</v>
      </c>
      <c r="R2320">
        <v>0</v>
      </c>
      <c r="S2320" t="s">
        <v>380</v>
      </c>
      <c r="T2320" t="s">
        <v>57</v>
      </c>
      <c r="V2320" t="s">
        <v>478</v>
      </c>
      <c r="W2320" t="s">
        <v>2731</v>
      </c>
      <c r="X2320" t="s">
        <v>2731</v>
      </c>
      <c r="Y2320" t="s">
        <v>480</v>
      </c>
      <c r="AE2320" t="s">
        <v>2757</v>
      </c>
      <c r="AF2320" t="s">
        <v>451</v>
      </c>
      <c r="AG2320" t="s">
        <v>2758</v>
      </c>
      <c r="AI2320">
        <v>-361</v>
      </c>
      <c r="AL2320" t="s">
        <v>2759</v>
      </c>
      <c r="AN2320" t="s">
        <v>31</v>
      </c>
      <c r="AO2320">
        <v>0</v>
      </c>
      <c r="AS2320" t="s">
        <v>385</v>
      </c>
      <c r="AT2320" t="s">
        <v>57</v>
      </c>
      <c r="AV2320" s="13">
        <v>44741</v>
      </c>
      <c r="AX2320" t="s">
        <v>57</v>
      </c>
      <c r="AY2320" t="s">
        <v>386</v>
      </c>
      <c r="AZ2320" t="s">
        <v>2760</v>
      </c>
      <c r="BE2320">
        <v>2</v>
      </c>
      <c r="BF2320">
        <v>0</v>
      </c>
      <c r="BK2320" t="s">
        <v>31</v>
      </c>
      <c r="BS2320" t="s">
        <v>484</v>
      </c>
      <c r="BT2320" t="s">
        <v>484</v>
      </c>
      <c r="CI2320" t="s">
        <v>388</v>
      </c>
      <c r="CJ2320" s="14">
        <v>45015</v>
      </c>
      <c r="CK2320">
        <v>1</v>
      </c>
    </row>
    <row r="2321" spans="1:89">
      <c r="A2321" t="s">
        <v>2244</v>
      </c>
      <c r="B2321" t="s">
        <v>374</v>
      </c>
      <c r="C2321" t="s">
        <v>2245</v>
      </c>
      <c r="D2321" t="s">
        <v>2761</v>
      </c>
      <c r="E2321" t="s">
        <v>2466</v>
      </c>
      <c r="F2321" s="13">
        <v>44617.840937499997</v>
      </c>
      <c r="G2321" t="s">
        <v>2248</v>
      </c>
      <c r="H2321" t="s">
        <v>2249</v>
      </c>
      <c r="I2321" s="13">
        <v>45012.044004629628</v>
      </c>
      <c r="K2321" t="s">
        <v>415</v>
      </c>
      <c r="M2321" s="13">
        <v>44627</v>
      </c>
      <c r="R2321">
        <v>0</v>
      </c>
      <c r="S2321" t="s">
        <v>416</v>
      </c>
      <c r="T2321" t="s">
        <v>57</v>
      </c>
      <c r="V2321" t="s">
        <v>478</v>
      </c>
      <c r="W2321" t="s">
        <v>2762</v>
      </c>
      <c r="X2321" t="s">
        <v>2762</v>
      </c>
      <c r="Y2321" t="s">
        <v>480</v>
      </c>
      <c r="AF2321" t="s">
        <v>451</v>
      </c>
      <c r="AG2321" t="s">
        <v>2763</v>
      </c>
      <c r="AI2321">
        <v>-385</v>
      </c>
      <c r="AL2321" t="s">
        <v>2764</v>
      </c>
      <c r="AN2321" t="s">
        <v>31</v>
      </c>
      <c r="AO2321">
        <v>0</v>
      </c>
      <c r="AS2321" t="s">
        <v>385</v>
      </c>
      <c r="AT2321" t="s">
        <v>31</v>
      </c>
      <c r="AX2321" t="s">
        <v>31</v>
      </c>
      <c r="AY2321" t="s">
        <v>442</v>
      </c>
      <c r="AZ2321" t="s">
        <v>2765</v>
      </c>
      <c r="BF2321">
        <v>0</v>
      </c>
      <c r="BK2321" t="s">
        <v>31</v>
      </c>
      <c r="BS2321" t="s">
        <v>484</v>
      </c>
      <c r="BT2321" t="s">
        <v>484</v>
      </c>
      <c r="CI2321" t="s">
        <v>388</v>
      </c>
      <c r="CJ2321" s="14">
        <v>45015</v>
      </c>
      <c r="CK2321">
        <v>1</v>
      </c>
    </row>
    <row r="2322" spans="1:89">
      <c r="A2322" t="s">
        <v>2244</v>
      </c>
      <c r="B2322" t="s">
        <v>374</v>
      </c>
      <c r="C2322" t="s">
        <v>2245</v>
      </c>
      <c r="D2322" t="s">
        <v>2766</v>
      </c>
      <c r="E2322" t="s">
        <v>2767</v>
      </c>
      <c r="F2322" s="13">
        <v>44617.766712962963</v>
      </c>
      <c r="G2322" t="s">
        <v>2248</v>
      </c>
      <c r="H2322" t="s">
        <v>2249</v>
      </c>
      <c r="I2322" s="13">
        <v>45012.044004629628</v>
      </c>
      <c r="K2322" t="s">
        <v>415</v>
      </c>
      <c r="M2322" s="13">
        <v>44651</v>
      </c>
      <c r="R2322">
        <v>0</v>
      </c>
      <c r="S2322" t="s">
        <v>416</v>
      </c>
      <c r="T2322" t="s">
        <v>57</v>
      </c>
      <c r="V2322" t="s">
        <v>478</v>
      </c>
      <c r="W2322" t="s">
        <v>2768</v>
      </c>
      <c r="X2322" t="s">
        <v>2768</v>
      </c>
      <c r="AF2322" t="s">
        <v>451</v>
      </c>
      <c r="AI2322">
        <v>-361</v>
      </c>
      <c r="AL2322" t="s">
        <v>2769</v>
      </c>
      <c r="AN2322" t="s">
        <v>31</v>
      </c>
      <c r="AO2322">
        <v>0</v>
      </c>
      <c r="AS2322" t="s">
        <v>385</v>
      </c>
      <c r="AX2322" t="s">
        <v>31</v>
      </c>
      <c r="AY2322" t="s">
        <v>442</v>
      </c>
      <c r="AZ2322" t="s">
        <v>2770</v>
      </c>
      <c r="BF2322">
        <v>0</v>
      </c>
      <c r="BK2322" t="s">
        <v>31</v>
      </c>
      <c r="BS2322" t="s">
        <v>419</v>
      </c>
      <c r="BT2322" t="s">
        <v>419</v>
      </c>
      <c r="CI2322" t="s">
        <v>388</v>
      </c>
      <c r="CJ2322" s="14">
        <v>45015</v>
      </c>
      <c r="CK2322">
        <v>1</v>
      </c>
    </row>
    <row r="2323" spans="1:89">
      <c r="A2323" t="s">
        <v>2740</v>
      </c>
      <c r="B2323" t="s">
        <v>374</v>
      </c>
      <c r="C2323" t="s">
        <v>2741</v>
      </c>
      <c r="D2323" t="s">
        <v>2771</v>
      </c>
      <c r="E2323" t="s">
        <v>2772</v>
      </c>
      <c r="F2323" s="13">
        <v>44617.712245370371</v>
      </c>
      <c r="G2323" t="s">
        <v>2729</v>
      </c>
      <c r="H2323" t="s">
        <v>2730</v>
      </c>
      <c r="I2323" s="13">
        <v>45012.044004629628</v>
      </c>
      <c r="K2323" t="s">
        <v>415</v>
      </c>
      <c r="M2323" s="13">
        <v>44926</v>
      </c>
      <c r="R2323">
        <v>0</v>
      </c>
      <c r="S2323" t="s">
        <v>380</v>
      </c>
      <c r="T2323" t="s">
        <v>57</v>
      </c>
      <c r="V2323" t="s">
        <v>478</v>
      </c>
      <c r="W2323" t="s">
        <v>2731</v>
      </c>
      <c r="X2323" t="s">
        <v>2731</v>
      </c>
      <c r="AC2323" s="13">
        <v>45107</v>
      </c>
      <c r="AD2323" s="13">
        <v>44929</v>
      </c>
      <c r="AF2323" t="s">
        <v>451</v>
      </c>
      <c r="AI2323">
        <v>-86</v>
      </c>
      <c r="AL2323" t="s">
        <v>2773</v>
      </c>
      <c r="AN2323" t="s">
        <v>31</v>
      </c>
      <c r="AO2323">
        <v>0</v>
      </c>
      <c r="AS2323" t="s">
        <v>702</v>
      </c>
      <c r="AX2323" t="s">
        <v>57</v>
      </c>
      <c r="AY2323" t="s">
        <v>442</v>
      </c>
      <c r="AZ2323" t="s">
        <v>2774</v>
      </c>
      <c r="BE2323">
        <v>1</v>
      </c>
      <c r="BF2323">
        <v>0</v>
      </c>
      <c r="BK2323" t="s">
        <v>31</v>
      </c>
      <c r="BS2323" t="s">
        <v>419</v>
      </c>
      <c r="BT2323" t="s">
        <v>419</v>
      </c>
      <c r="CI2323" t="s">
        <v>388</v>
      </c>
      <c r="CJ2323" s="14">
        <v>45015</v>
      </c>
      <c r="CK2323">
        <v>1</v>
      </c>
    </row>
    <row r="2324" spans="1:89">
      <c r="A2324" t="s">
        <v>1655</v>
      </c>
      <c r="B2324" t="s">
        <v>374</v>
      </c>
      <c r="C2324" t="s">
        <v>1656</v>
      </c>
      <c r="D2324" t="s">
        <v>2775</v>
      </c>
      <c r="E2324" t="s">
        <v>2776</v>
      </c>
      <c r="F2324" s="13">
        <v>44617.710474537038</v>
      </c>
      <c r="G2324" t="s">
        <v>2777</v>
      </c>
      <c r="H2324" t="s">
        <v>2778</v>
      </c>
      <c r="I2324" s="13">
        <v>45012.043993055559</v>
      </c>
      <c r="K2324" t="s">
        <v>415</v>
      </c>
      <c r="M2324" s="13">
        <v>44712</v>
      </c>
      <c r="R2324">
        <v>0</v>
      </c>
      <c r="S2324" t="s">
        <v>380</v>
      </c>
      <c r="T2324" t="s">
        <v>57</v>
      </c>
      <c r="V2324" t="s">
        <v>478</v>
      </c>
      <c r="W2324" t="s">
        <v>2779</v>
      </c>
      <c r="X2324" t="s">
        <v>2779</v>
      </c>
      <c r="AF2324" t="s">
        <v>451</v>
      </c>
      <c r="AI2324">
        <v>-300</v>
      </c>
      <c r="AL2324" t="s">
        <v>2087</v>
      </c>
      <c r="AN2324" t="s">
        <v>31</v>
      </c>
      <c r="AO2324">
        <v>0</v>
      </c>
      <c r="AS2324" t="s">
        <v>385</v>
      </c>
      <c r="AX2324" t="s">
        <v>31</v>
      </c>
      <c r="AY2324" t="s">
        <v>442</v>
      </c>
      <c r="AZ2324" t="s">
        <v>2780</v>
      </c>
      <c r="BF2324">
        <v>0</v>
      </c>
      <c r="BK2324" t="s">
        <v>31</v>
      </c>
      <c r="BS2324" t="s">
        <v>419</v>
      </c>
      <c r="BT2324" t="s">
        <v>419</v>
      </c>
      <c r="CI2324" t="s">
        <v>388</v>
      </c>
      <c r="CJ2324" s="14">
        <v>45015</v>
      </c>
      <c r="CK2324">
        <v>1</v>
      </c>
    </row>
    <row r="2325" spans="1:89">
      <c r="A2325" t="s">
        <v>1655</v>
      </c>
      <c r="B2325" t="s">
        <v>374</v>
      </c>
      <c r="C2325" t="s">
        <v>1656</v>
      </c>
      <c r="D2325" t="s">
        <v>2781</v>
      </c>
      <c r="E2325" t="s">
        <v>2782</v>
      </c>
      <c r="F2325" s="13">
        <v>44617.708194444444</v>
      </c>
      <c r="G2325" t="s">
        <v>2777</v>
      </c>
      <c r="H2325" t="s">
        <v>2778</v>
      </c>
      <c r="I2325" s="13">
        <v>45012.043993055559</v>
      </c>
      <c r="K2325" t="s">
        <v>415</v>
      </c>
      <c r="M2325" s="13">
        <v>44650</v>
      </c>
      <c r="R2325">
        <v>0</v>
      </c>
      <c r="S2325" t="s">
        <v>380</v>
      </c>
      <c r="T2325" t="s">
        <v>57</v>
      </c>
      <c r="V2325" t="s">
        <v>478</v>
      </c>
      <c r="W2325" t="s">
        <v>2783</v>
      </c>
      <c r="X2325" t="s">
        <v>2783</v>
      </c>
      <c r="AF2325" t="s">
        <v>451</v>
      </c>
      <c r="AI2325">
        <v>-362</v>
      </c>
      <c r="AL2325" t="s">
        <v>2087</v>
      </c>
      <c r="AN2325" t="s">
        <v>31</v>
      </c>
      <c r="AO2325">
        <v>0</v>
      </c>
      <c r="AS2325" t="s">
        <v>538</v>
      </c>
      <c r="AX2325" t="s">
        <v>57</v>
      </c>
      <c r="AY2325" t="s">
        <v>442</v>
      </c>
      <c r="AZ2325" t="s">
        <v>2784</v>
      </c>
      <c r="BF2325">
        <v>0</v>
      </c>
      <c r="BK2325" t="s">
        <v>31</v>
      </c>
      <c r="BS2325" t="s">
        <v>419</v>
      </c>
      <c r="BT2325" t="s">
        <v>419</v>
      </c>
      <c r="CI2325" t="s">
        <v>388</v>
      </c>
      <c r="CJ2325" s="14">
        <v>45015</v>
      </c>
      <c r="CK2325">
        <v>1</v>
      </c>
    </row>
    <row r="2326" spans="1:89">
      <c r="A2326" t="s">
        <v>1655</v>
      </c>
      <c r="B2326" t="s">
        <v>374</v>
      </c>
      <c r="C2326" t="s">
        <v>1656</v>
      </c>
      <c r="D2326" t="s">
        <v>2785</v>
      </c>
      <c r="E2326" t="s">
        <v>2786</v>
      </c>
      <c r="F2326" s="13">
        <v>44617.664571759262</v>
      </c>
      <c r="G2326" t="s">
        <v>2777</v>
      </c>
      <c r="H2326" t="s">
        <v>2778</v>
      </c>
      <c r="I2326" s="13">
        <v>45012.043993055559</v>
      </c>
      <c r="K2326" t="s">
        <v>415</v>
      </c>
      <c r="M2326" s="13">
        <v>44651</v>
      </c>
      <c r="R2326">
        <v>0</v>
      </c>
      <c r="S2326" t="s">
        <v>380</v>
      </c>
      <c r="T2326" t="s">
        <v>57</v>
      </c>
      <c r="V2326" t="s">
        <v>478</v>
      </c>
      <c r="W2326" t="s">
        <v>2787</v>
      </c>
      <c r="X2326" t="s">
        <v>2787</v>
      </c>
      <c r="AC2326" s="13">
        <v>44651</v>
      </c>
      <c r="AD2326" s="13">
        <v>44621</v>
      </c>
      <c r="AF2326" t="s">
        <v>451</v>
      </c>
      <c r="AI2326">
        <v>-361</v>
      </c>
      <c r="AL2326" t="s">
        <v>2788</v>
      </c>
      <c r="AN2326" t="s">
        <v>31</v>
      </c>
      <c r="AO2326">
        <v>0</v>
      </c>
      <c r="AS2326" t="s">
        <v>707</v>
      </c>
      <c r="AX2326" t="s">
        <v>31</v>
      </c>
      <c r="AY2326" t="s">
        <v>386</v>
      </c>
      <c r="AZ2326" t="s">
        <v>2789</v>
      </c>
      <c r="BE2326" t="s">
        <v>1404</v>
      </c>
      <c r="BF2326">
        <v>0</v>
      </c>
      <c r="BK2326" t="s">
        <v>31</v>
      </c>
      <c r="BS2326" t="s">
        <v>419</v>
      </c>
      <c r="BT2326" t="s">
        <v>419</v>
      </c>
      <c r="CI2326" t="s">
        <v>388</v>
      </c>
      <c r="CJ2326" s="14">
        <v>45015</v>
      </c>
      <c r="CK2326">
        <v>1</v>
      </c>
    </row>
    <row r="2327" spans="1:89">
      <c r="A2327" t="s">
        <v>2244</v>
      </c>
      <c r="B2327" t="s">
        <v>374</v>
      </c>
      <c r="C2327" t="s">
        <v>2245</v>
      </c>
      <c r="D2327" t="s">
        <v>2790</v>
      </c>
      <c r="E2327" t="s">
        <v>2791</v>
      </c>
      <c r="F2327" s="13">
        <v>44617.660416666666</v>
      </c>
      <c r="G2327" t="s">
        <v>2248</v>
      </c>
      <c r="H2327" t="s">
        <v>2249</v>
      </c>
      <c r="I2327" s="13">
        <v>45012.043981481482</v>
      </c>
      <c r="K2327" t="s">
        <v>415</v>
      </c>
      <c r="M2327" s="13">
        <v>44651</v>
      </c>
      <c r="R2327">
        <v>20</v>
      </c>
      <c r="S2327" t="s">
        <v>416</v>
      </c>
      <c r="T2327" t="s">
        <v>57</v>
      </c>
      <c r="V2327" t="s">
        <v>478</v>
      </c>
      <c r="W2327" t="s">
        <v>2792</v>
      </c>
      <c r="X2327" t="s">
        <v>2792</v>
      </c>
      <c r="AF2327" t="s">
        <v>1301</v>
      </c>
      <c r="AG2327" t="s">
        <v>2793</v>
      </c>
      <c r="AI2327">
        <v>-361</v>
      </c>
      <c r="AJ2327" s="13">
        <v>44742</v>
      </c>
      <c r="AL2327" t="s">
        <v>2794</v>
      </c>
      <c r="AN2327" t="s">
        <v>31</v>
      </c>
      <c r="AO2327">
        <v>0</v>
      </c>
      <c r="AR2327" t="s">
        <v>2795</v>
      </c>
      <c r="AS2327" t="s">
        <v>385</v>
      </c>
      <c r="AX2327" t="s">
        <v>31</v>
      </c>
      <c r="AY2327" t="s">
        <v>442</v>
      </c>
      <c r="AZ2327" t="s">
        <v>2796</v>
      </c>
      <c r="BF2327">
        <v>0</v>
      </c>
      <c r="BK2327" t="s">
        <v>31</v>
      </c>
      <c r="BS2327" t="s">
        <v>419</v>
      </c>
      <c r="BT2327" t="s">
        <v>419</v>
      </c>
      <c r="CI2327" t="s">
        <v>388</v>
      </c>
      <c r="CJ2327" s="14">
        <v>45015</v>
      </c>
      <c r="CK2327">
        <v>1</v>
      </c>
    </row>
    <row r="2328" spans="1:89">
      <c r="A2328" t="s">
        <v>2797</v>
      </c>
      <c r="B2328" t="s">
        <v>374</v>
      </c>
      <c r="C2328" t="s">
        <v>2798</v>
      </c>
      <c r="D2328" t="s">
        <v>2799</v>
      </c>
      <c r="E2328" t="s">
        <v>2800</v>
      </c>
      <c r="F2328" s="13">
        <v>44617.6562037037</v>
      </c>
      <c r="G2328" t="s">
        <v>2801</v>
      </c>
      <c r="H2328" t="s">
        <v>2802</v>
      </c>
      <c r="I2328" s="13">
        <v>45012.043981481482</v>
      </c>
      <c r="K2328" t="s">
        <v>415</v>
      </c>
      <c r="M2328" s="13">
        <v>44651</v>
      </c>
      <c r="R2328">
        <v>0</v>
      </c>
      <c r="S2328" t="s">
        <v>380</v>
      </c>
      <c r="T2328" t="s">
        <v>57</v>
      </c>
      <c r="V2328" t="s">
        <v>478</v>
      </c>
      <c r="W2328" t="s">
        <v>2803</v>
      </c>
      <c r="X2328" t="s">
        <v>2803</v>
      </c>
      <c r="AC2328" s="13">
        <v>44561</v>
      </c>
      <c r="AD2328" s="13">
        <v>44561</v>
      </c>
      <c r="AF2328" t="s">
        <v>451</v>
      </c>
      <c r="AI2328">
        <v>-361</v>
      </c>
      <c r="AL2328" t="s">
        <v>2804</v>
      </c>
      <c r="AN2328" t="s">
        <v>31</v>
      </c>
      <c r="AO2328">
        <v>0</v>
      </c>
      <c r="AS2328" t="s">
        <v>385</v>
      </c>
      <c r="AX2328" t="s">
        <v>31</v>
      </c>
      <c r="AY2328" t="s">
        <v>442</v>
      </c>
      <c r="AZ2328" t="s">
        <v>2805</v>
      </c>
      <c r="BF2328">
        <v>0</v>
      </c>
      <c r="BK2328" t="s">
        <v>31</v>
      </c>
      <c r="BS2328" t="s">
        <v>419</v>
      </c>
      <c r="BT2328" t="s">
        <v>419</v>
      </c>
      <c r="CI2328" t="s">
        <v>388</v>
      </c>
      <c r="CJ2328" s="14">
        <v>45015</v>
      </c>
      <c r="CK2328">
        <v>1</v>
      </c>
    </row>
    <row r="2329" spans="1:89">
      <c r="A2329" t="s">
        <v>2797</v>
      </c>
      <c r="B2329" t="s">
        <v>374</v>
      </c>
      <c r="C2329" t="s">
        <v>2798</v>
      </c>
      <c r="D2329" t="s">
        <v>2806</v>
      </c>
      <c r="E2329" t="s">
        <v>2807</v>
      </c>
      <c r="F2329" s="13">
        <v>44617.647881944446</v>
      </c>
      <c r="G2329" t="s">
        <v>2801</v>
      </c>
      <c r="H2329" t="s">
        <v>2802</v>
      </c>
      <c r="I2329" s="13">
        <v>45012.043981481482</v>
      </c>
      <c r="K2329" t="s">
        <v>415</v>
      </c>
      <c r="M2329" s="13">
        <v>44651</v>
      </c>
      <c r="R2329">
        <v>0</v>
      </c>
      <c r="S2329" t="s">
        <v>380</v>
      </c>
      <c r="T2329" t="s">
        <v>57</v>
      </c>
      <c r="V2329" t="s">
        <v>478</v>
      </c>
      <c r="W2329" t="s">
        <v>2808</v>
      </c>
      <c r="X2329" t="s">
        <v>2808</v>
      </c>
      <c r="AC2329" s="13">
        <v>44561</v>
      </c>
      <c r="AD2329" s="13">
        <v>44561</v>
      </c>
      <c r="AF2329" t="s">
        <v>451</v>
      </c>
      <c r="AI2329">
        <v>-361</v>
      </c>
      <c r="AL2329" t="s">
        <v>2809</v>
      </c>
      <c r="AN2329" t="s">
        <v>31</v>
      </c>
      <c r="AO2329">
        <v>0</v>
      </c>
      <c r="AS2329" t="s">
        <v>385</v>
      </c>
      <c r="AX2329" t="s">
        <v>31</v>
      </c>
      <c r="AY2329" t="s">
        <v>442</v>
      </c>
      <c r="AZ2329" t="s">
        <v>2810</v>
      </c>
      <c r="BF2329">
        <v>0</v>
      </c>
      <c r="BK2329" t="s">
        <v>31</v>
      </c>
      <c r="BS2329" t="s">
        <v>419</v>
      </c>
      <c r="BT2329" t="s">
        <v>419</v>
      </c>
      <c r="CI2329" t="s">
        <v>388</v>
      </c>
      <c r="CJ2329" s="14">
        <v>45015</v>
      </c>
      <c r="CK2329">
        <v>1</v>
      </c>
    </row>
    <row r="2330" spans="1:89">
      <c r="A2330" t="s">
        <v>2797</v>
      </c>
      <c r="B2330" t="s">
        <v>374</v>
      </c>
      <c r="C2330" t="s">
        <v>2798</v>
      </c>
      <c r="D2330" t="s">
        <v>2811</v>
      </c>
      <c r="E2330" t="s">
        <v>2812</v>
      </c>
      <c r="F2330" s="13">
        <v>44617.639062499999</v>
      </c>
      <c r="G2330" t="s">
        <v>2801</v>
      </c>
      <c r="H2330" t="s">
        <v>2802</v>
      </c>
      <c r="I2330" s="13">
        <v>45012.043969907405</v>
      </c>
      <c r="K2330" t="s">
        <v>415</v>
      </c>
      <c r="M2330" s="13">
        <v>44651</v>
      </c>
      <c r="R2330">
        <v>0</v>
      </c>
      <c r="S2330" t="s">
        <v>380</v>
      </c>
      <c r="T2330" t="s">
        <v>57</v>
      </c>
      <c r="V2330" t="s">
        <v>478</v>
      </c>
      <c r="W2330" t="s">
        <v>2808</v>
      </c>
      <c r="X2330" t="s">
        <v>2808</v>
      </c>
      <c r="AC2330" s="13">
        <v>44561</v>
      </c>
      <c r="AD2330" s="13">
        <v>44561</v>
      </c>
      <c r="AF2330" t="s">
        <v>451</v>
      </c>
      <c r="AI2330">
        <v>-361</v>
      </c>
      <c r="AL2330" t="s">
        <v>2813</v>
      </c>
      <c r="AN2330" t="s">
        <v>31</v>
      </c>
      <c r="AO2330">
        <v>0</v>
      </c>
      <c r="AS2330" t="s">
        <v>385</v>
      </c>
      <c r="AX2330" t="s">
        <v>31</v>
      </c>
      <c r="AY2330" t="s">
        <v>442</v>
      </c>
      <c r="AZ2330" t="s">
        <v>2814</v>
      </c>
      <c r="BF2330">
        <v>0</v>
      </c>
      <c r="BK2330" t="s">
        <v>31</v>
      </c>
      <c r="BS2330" t="s">
        <v>419</v>
      </c>
      <c r="BT2330" t="s">
        <v>419</v>
      </c>
      <c r="CI2330" t="s">
        <v>388</v>
      </c>
      <c r="CJ2330" s="14">
        <v>45015</v>
      </c>
      <c r="CK2330">
        <v>1</v>
      </c>
    </row>
    <row r="2331" spans="1:89">
      <c r="A2331" t="s">
        <v>2797</v>
      </c>
      <c r="B2331" t="s">
        <v>374</v>
      </c>
      <c r="C2331" t="s">
        <v>2798</v>
      </c>
      <c r="D2331" t="s">
        <v>2815</v>
      </c>
      <c r="E2331" t="s">
        <v>2816</v>
      </c>
      <c r="F2331" s="13">
        <v>44617.632407407407</v>
      </c>
      <c r="G2331" t="s">
        <v>2801</v>
      </c>
      <c r="H2331" t="s">
        <v>2802</v>
      </c>
      <c r="I2331" s="13">
        <v>45012.043969907405</v>
      </c>
      <c r="K2331" t="s">
        <v>415</v>
      </c>
      <c r="M2331" s="13">
        <v>44651</v>
      </c>
      <c r="R2331">
        <v>0</v>
      </c>
      <c r="S2331" t="s">
        <v>380</v>
      </c>
      <c r="T2331" t="s">
        <v>57</v>
      </c>
      <c r="V2331" t="s">
        <v>478</v>
      </c>
      <c r="W2331" t="s">
        <v>2817</v>
      </c>
      <c r="X2331" t="s">
        <v>2817</v>
      </c>
      <c r="AC2331" s="13">
        <v>44561</v>
      </c>
      <c r="AD2331" s="13">
        <v>44561</v>
      </c>
      <c r="AF2331" t="s">
        <v>451</v>
      </c>
      <c r="AI2331">
        <v>-361</v>
      </c>
      <c r="AL2331" t="s">
        <v>2818</v>
      </c>
      <c r="AN2331" t="s">
        <v>31</v>
      </c>
      <c r="AO2331">
        <v>0</v>
      </c>
      <c r="AS2331" t="s">
        <v>385</v>
      </c>
      <c r="AX2331" t="s">
        <v>31</v>
      </c>
      <c r="AY2331" t="s">
        <v>442</v>
      </c>
      <c r="AZ2331" t="s">
        <v>2819</v>
      </c>
      <c r="BF2331">
        <v>0</v>
      </c>
      <c r="BK2331" t="s">
        <v>31</v>
      </c>
      <c r="BS2331" t="s">
        <v>419</v>
      </c>
      <c r="BT2331" t="s">
        <v>419</v>
      </c>
      <c r="CI2331" t="s">
        <v>388</v>
      </c>
      <c r="CJ2331" s="14">
        <v>45015</v>
      </c>
      <c r="CK2331">
        <v>1</v>
      </c>
    </row>
    <row r="2332" spans="1:89">
      <c r="A2332" t="s">
        <v>1655</v>
      </c>
      <c r="B2332" t="s">
        <v>374</v>
      </c>
      <c r="C2332" t="s">
        <v>1656</v>
      </c>
      <c r="D2332" t="s">
        <v>2820</v>
      </c>
      <c r="E2332" t="s">
        <v>2821</v>
      </c>
      <c r="F2332" s="13">
        <v>44617.623391203706</v>
      </c>
      <c r="G2332" t="s">
        <v>2777</v>
      </c>
      <c r="H2332" t="s">
        <v>2778</v>
      </c>
      <c r="I2332" s="13">
        <v>45012.043969907405</v>
      </c>
      <c r="K2332" t="s">
        <v>415</v>
      </c>
      <c r="M2332" s="13">
        <v>44834</v>
      </c>
      <c r="R2332">
        <v>0</v>
      </c>
      <c r="S2332" t="s">
        <v>380</v>
      </c>
      <c r="T2332" t="s">
        <v>57</v>
      </c>
      <c r="V2332" t="s">
        <v>478</v>
      </c>
      <c r="W2332" t="s">
        <v>2822</v>
      </c>
      <c r="X2332" t="s">
        <v>2822</v>
      </c>
      <c r="AC2332" s="13">
        <v>44834</v>
      </c>
      <c r="AD2332" s="13">
        <v>44742</v>
      </c>
      <c r="AF2332" t="s">
        <v>451</v>
      </c>
      <c r="AI2332">
        <v>-178</v>
      </c>
      <c r="AL2332" t="s">
        <v>2823</v>
      </c>
      <c r="AN2332" t="s">
        <v>31</v>
      </c>
      <c r="AO2332">
        <v>0</v>
      </c>
      <c r="AS2332" t="s">
        <v>392</v>
      </c>
      <c r="AX2332" t="s">
        <v>31</v>
      </c>
      <c r="AY2332" t="s">
        <v>442</v>
      </c>
      <c r="AZ2332" t="s">
        <v>2824</v>
      </c>
      <c r="BE2332" t="s">
        <v>2825</v>
      </c>
      <c r="BF2332">
        <v>0</v>
      </c>
      <c r="BK2332" t="s">
        <v>31</v>
      </c>
      <c r="BS2332" t="s">
        <v>419</v>
      </c>
      <c r="BT2332" t="s">
        <v>419</v>
      </c>
      <c r="CI2332" t="s">
        <v>388</v>
      </c>
      <c r="CJ2332" s="14">
        <v>45015</v>
      </c>
      <c r="CK2332">
        <v>1</v>
      </c>
    </row>
    <row r="2333" spans="1:89">
      <c r="A2333" t="s">
        <v>2797</v>
      </c>
      <c r="B2333" t="s">
        <v>374</v>
      </c>
      <c r="C2333" t="s">
        <v>2798</v>
      </c>
      <c r="D2333" t="s">
        <v>2826</v>
      </c>
      <c r="E2333" t="s">
        <v>2827</v>
      </c>
      <c r="F2333" s="13">
        <v>44617.622337962966</v>
      </c>
      <c r="G2333" t="s">
        <v>2801</v>
      </c>
      <c r="H2333" t="s">
        <v>2802</v>
      </c>
      <c r="I2333" s="13">
        <v>45012.043958333335</v>
      </c>
      <c r="K2333" t="s">
        <v>415</v>
      </c>
      <c r="M2333" s="13">
        <v>44651</v>
      </c>
      <c r="R2333">
        <v>0</v>
      </c>
      <c r="S2333" t="s">
        <v>380</v>
      </c>
      <c r="T2333" t="s">
        <v>57</v>
      </c>
      <c r="V2333" t="s">
        <v>478</v>
      </c>
      <c r="W2333" t="s">
        <v>2828</v>
      </c>
      <c r="X2333" t="s">
        <v>2828</v>
      </c>
      <c r="AC2333" s="13">
        <v>44561</v>
      </c>
      <c r="AD2333" s="13">
        <v>44561</v>
      </c>
      <c r="AF2333" t="s">
        <v>451</v>
      </c>
      <c r="AI2333">
        <v>-361</v>
      </c>
      <c r="AL2333" t="s">
        <v>2829</v>
      </c>
      <c r="AN2333" t="s">
        <v>31</v>
      </c>
      <c r="AO2333">
        <v>0</v>
      </c>
      <c r="AS2333" t="s">
        <v>538</v>
      </c>
      <c r="AX2333" t="s">
        <v>31</v>
      </c>
      <c r="AY2333" t="s">
        <v>442</v>
      </c>
      <c r="AZ2333" t="s">
        <v>2830</v>
      </c>
      <c r="BF2333">
        <v>0</v>
      </c>
      <c r="BK2333" t="s">
        <v>31</v>
      </c>
      <c r="BS2333" t="s">
        <v>419</v>
      </c>
      <c r="BT2333" t="s">
        <v>419</v>
      </c>
      <c r="CI2333" t="s">
        <v>388</v>
      </c>
      <c r="CJ2333" s="14">
        <v>45015</v>
      </c>
      <c r="CK2333">
        <v>1</v>
      </c>
    </row>
    <row r="2334" spans="1:89">
      <c r="A2334" t="s">
        <v>2797</v>
      </c>
      <c r="B2334" t="s">
        <v>374</v>
      </c>
      <c r="C2334" t="s">
        <v>2798</v>
      </c>
      <c r="D2334" t="s">
        <v>2831</v>
      </c>
      <c r="E2334" t="s">
        <v>2832</v>
      </c>
      <c r="F2334" s="13">
        <v>44617.600289351853</v>
      </c>
      <c r="G2334" t="s">
        <v>2801</v>
      </c>
      <c r="H2334" t="s">
        <v>2802</v>
      </c>
      <c r="I2334" s="13">
        <v>45012.043958333335</v>
      </c>
      <c r="K2334" t="s">
        <v>415</v>
      </c>
      <c r="M2334" s="13">
        <v>44651</v>
      </c>
      <c r="R2334">
        <v>0</v>
      </c>
      <c r="S2334" t="s">
        <v>380</v>
      </c>
      <c r="T2334" t="s">
        <v>57</v>
      </c>
      <c r="V2334" t="s">
        <v>478</v>
      </c>
      <c r="W2334" t="s">
        <v>2828</v>
      </c>
      <c r="X2334" t="s">
        <v>2828</v>
      </c>
      <c r="AC2334" s="13">
        <v>44561</v>
      </c>
      <c r="AD2334" s="13">
        <v>44561</v>
      </c>
      <c r="AF2334" t="s">
        <v>451</v>
      </c>
      <c r="AI2334">
        <v>-361</v>
      </c>
      <c r="AL2334" t="s">
        <v>2833</v>
      </c>
      <c r="AN2334" t="s">
        <v>31</v>
      </c>
      <c r="AO2334">
        <v>0</v>
      </c>
      <c r="AS2334" t="s">
        <v>526</v>
      </c>
      <c r="AX2334" t="s">
        <v>31</v>
      </c>
      <c r="AY2334" t="s">
        <v>442</v>
      </c>
      <c r="AZ2334" t="s">
        <v>2834</v>
      </c>
      <c r="BF2334">
        <v>0</v>
      </c>
      <c r="BK2334" t="s">
        <v>31</v>
      </c>
      <c r="BS2334" t="s">
        <v>419</v>
      </c>
      <c r="BT2334" t="s">
        <v>419</v>
      </c>
      <c r="CI2334" t="s">
        <v>388</v>
      </c>
      <c r="CJ2334" s="14">
        <v>45015</v>
      </c>
      <c r="CK2334">
        <v>1</v>
      </c>
    </row>
    <row r="2335" spans="1:89">
      <c r="A2335" t="s">
        <v>2835</v>
      </c>
      <c r="B2335" t="s">
        <v>374</v>
      </c>
      <c r="C2335" t="s">
        <v>2836</v>
      </c>
      <c r="D2335" t="s">
        <v>2837</v>
      </c>
      <c r="E2335" t="s">
        <v>2838</v>
      </c>
      <c r="F2335" s="13">
        <v>44617.594618055555</v>
      </c>
      <c r="G2335" t="s">
        <v>2346</v>
      </c>
      <c r="H2335" t="s">
        <v>2347</v>
      </c>
      <c r="I2335" s="13">
        <v>45012.043958333335</v>
      </c>
      <c r="K2335" t="s">
        <v>415</v>
      </c>
      <c r="M2335" s="13">
        <v>44712</v>
      </c>
      <c r="R2335">
        <v>0</v>
      </c>
      <c r="S2335" t="s">
        <v>380</v>
      </c>
      <c r="T2335" t="s">
        <v>57</v>
      </c>
      <c r="V2335" t="s">
        <v>478</v>
      </c>
      <c r="W2335" t="s">
        <v>2839</v>
      </c>
      <c r="X2335" t="s">
        <v>2839</v>
      </c>
      <c r="AC2335" s="13">
        <v>44804</v>
      </c>
      <c r="AD2335" s="13">
        <v>44713</v>
      </c>
      <c r="AF2335" t="s">
        <v>451</v>
      </c>
      <c r="AI2335">
        <v>-300</v>
      </c>
      <c r="AL2335" t="s">
        <v>2840</v>
      </c>
      <c r="AN2335" t="s">
        <v>31</v>
      </c>
      <c r="AO2335">
        <v>0</v>
      </c>
      <c r="AS2335" t="s">
        <v>538</v>
      </c>
      <c r="AX2335" t="s">
        <v>57</v>
      </c>
      <c r="AY2335" t="s">
        <v>442</v>
      </c>
      <c r="AZ2335" t="s">
        <v>2841</v>
      </c>
      <c r="BE2335">
        <v>1</v>
      </c>
      <c r="BF2335">
        <v>0</v>
      </c>
      <c r="BK2335" t="s">
        <v>31</v>
      </c>
      <c r="BS2335" t="s">
        <v>419</v>
      </c>
      <c r="BT2335" t="s">
        <v>419</v>
      </c>
      <c r="CI2335" t="s">
        <v>388</v>
      </c>
      <c r="CJ2335" s="14">
        <v>45015</v>
      </c>
      <c r="CK2335">
        <v>1</v>
      </c>
    </row>
    <row r="2336" spans="1:89">
      <c r="A2336" t="s">
        <v>2565</v>
      </c>
      <c r="B2336" t="s">
        <v>374</v>
      </c>
      <c r="C2336" t="s">
        <v>2566</v>
      </c>
      <c r="D2336" t="s">
        <v>2842</v>
      </c>
      <c r="E2336" t="s">
        <v>2843</v>
      </c>
      <c r="F2336" s="13">
        <v>44617.567407407405</v>
      </c>
      <c r="G2336" t="s">
        <v>2149</v>
      </c>
      <c r="H2336" t="s">
        <v>2150</v>
      </c>
      <c r="I2336" s="13">
        <v>45012.043958333335</v>
      </c>
      <c r="K2336" t="s">
        <v>415</v>
      </c>
      <c r="M2336" s="13">
        <v>44644</v>
      </c>
      <c r="R2336">
        <v>0</v>
      </c>
      <c r="S2336" t="s">
        <v>380</v>
      </c>
      <c r="T2336" t="s">
        <v>57</v>
      </c>
      <c r="V2336" t="s">
        <v>478</v>
      </c>
      <c r="W2336" t="s">
        <v>2844</v>
      </c>
      <c r="X2336" t="s">
        <v>2844</v>
      </c>
      <c r="AC2336" s="13">
        <v>44200</v>
      </c>
      <c r="AD2336" s="13">
        <v>44197</v>
      </c>
      <c r="AF2336" t="s">
        <v>451</v>
      </c>
      <c r="AI2336">
        <v>-368</v>
      </c>
      <c r="AL2336" t="s">
        <v>2845</v>
      </c>
      <c r="AN2336" t="s">
        <v>31</v>
      </c>
      <c r="AO2336">
        <v>0</v>
      </c>
      <c r="AS2336" t="s">
        <v>385</v>
      </c>
      <c r="AX2336" t="s">
        <v>31</v>
      </c>
      <c r="AY2336" t="s">
        <v>442</v>
      </c>
      <c r="AZ2336" t="s">
        <v>2846</v>
      </c>
      <c r="BE2336" t="s">
        <v>2847</v>
      </c>
      <c r="BF2336">
        <v>0</v>
      </c>
      <c r="BK2336" t="s">
        <v>31</v>
      </c>
      <c r="BS2336" t="s">
        <v>419</v>
      </c>
      <c r="BT2336" t="s">
        <v>419</v>
      </c>
      <c r="CI2336" t="s">
        <v>388</v>
      </c>
      <c r="CJ2336" s="14">
        <v>45015</v>
      </c>
      <c r="CK2336">
        <v>1</v>
      </c>
    </row>
    <row r="2337" spans="1:89">
      <c r="A2337" t="s">
        <v>2848</v>
      </c>
      <c r="B2337" t="s">
        <v>374</v>
      </c>
      <c r="C2337" t="s">
        <v>2849</v>
      </c>
      <c r="D2337" t="s">
        <v>2850</v>
      </c>
      <c r="E2337" t="s">
        <v>2851</v>
      </c>
      <c r="F2337" s="13">
        <v>44617.556516203702</v>
      </c>
      <c r="G2337" t="s">
        <v>1591</v>
      </c>
      <c r="H2337" t="s">
        <v>1592</v>
      </c>
      <c r="I2337" s="13">
        <v>44617.561053240737</v>
      </c>
      <c r="K2337" t="s">
        <v>412</v>
      </c>
      <c r="R2337">
        <v>0</v>
      </c>
      <c r="S2337" t="s">
        <v>380</v>
      </c>
      <c r="T2337" t="s">
        <v>57</v>
      </c>
      <c r="V2337" t="s">
        <v>381</v>
      </c>
      <c r="W2337" t="s">
        <v>2852</v>
      </c>
      <c r="X2337" t="s">
        <v>2852</v>
      </c>
      <c r="AC2337" s="13">
        <v>44696</v>
      </c>
      <c r="AD2337" s="13">
        <v>44607</v>
      </c>
      <c r="AI2337">
        <v>79</v>
      </c>
      <c r="AL2337" t="s">
        <v>2853</v>
      </c>
      <c r="AN2337" t="s">
        <v>31</v>
      </c>
      <c r="AO2337">
        <v>0</v>
      </c>
      <c r="AS2337" t="s">
        <v>702</v>
      </c>
      <c r="AX2337" t="s">
        <v>57</v>
      </c>
      <c r="AY2337" t="s">
        <v>386</v>
      </c>
      <c r="AZ2337" t="s">
        <v>2854</v>
      </c>
      <c r="BE2337" t="s">
        <v>2855</v>
      </c>
      <c r="BF2337">
        <v>0</v>
      </c>
      <c r="BK2337" t="s">
        <v>31</v>
      </c>
      <c r="BS2337" t="s">
        <v>412</v>
      </c>
      <c r="BT2337" t="s">
        <v>412</v>
      </c>
      <c r="CI2337" t="s">
        <v>388</v>
      </c>
      <c r="CJ2337" s="14">
        <v>45015</v>
      </c>
      <c r="CK2337">
        <v>1</v>
      </c>
    </row>
    <row r="2338" spans="1:89">
      <c r="A2338" t="s">
        <v>1655</v>
      </c>
      <c r="B2338" t="s">
        <v>374</v>
      </c>
      <c r="C2338" t="s">
        <v>1656</v>
      </c>
      <c r="D2338" t="s">
        <v>2856</v>
      </c>
      <c r="E2338" t="s">
        <v>2857</v>
      </c>
      <c r="F2338" s="13">
        <v>44617.521863425929</v>
      </c>
      <c r="G2338" t="s">
        <v>2777</v>
      </c>
      <c r="H2338" t="s">
        <v>2778</v>
      </c>
      <c r="I2338" s="13">
        <v>45012.043946759259</v>
      </c>
      <c r="K2338" t="s">
        <v>415</v>
      </c>
      <c r="M2338" s="13">
        <v>44680</v>
      </c>
      <c r="R2338">
        <v>0</v>
      </c>
      <c r="S2338" t="s">
        <v>380</v>
      </c>
      <c r="T2338" t="s">
        <v>57</v>
      </c>
      <c r="V2338" t="s">
        <v>478</v>
      </c>
      <c r="W2338" t="s">
        <v>1661</v>
      </c>
      <c r="X2338" t="s">
        <v>1661</v>
      </c>
      <c r="AC2338" s="13">
        <v>44680</v>
      </c>
      <c r="AD2338" s="13">
        <v>44592</v>
      </c>
      <c r="AF2338" t="s">
        <v>451</v>
      </c>
      <c r="AI2338">
        <v>-332</v>
      </c>
      <c r="AL2338" t="s">
        <v>2858</v>
      </c>
      <c r="AN2338" t="s">
        <v>31</v>
      </c>
      <c r="AO2338">
        <v>0</v>
      </c>
      <c r="AS2338" t="s">
        <v>385</v>
      </c>
      <c r="AX2338" t="s">
        <v>31</v>
      </c>
      <c r="AY2338" t="s">
        <v>442</v>
      </c>
      <c r="AZ2338" t="s">
        <v>2859</v>
      </c>
      <c r="BF2338">
        <v>0</v>
      </c>
      <c r="BK2338" t="s">
        <v>31</v>
      </c>
      <c r="BS2338" t="s">
        <v>419</v>
      </c>
      <c r="BT2338" t="s">
        <v>419</v>
      </c>
      <c r="CI2338" t="s">
        <v>388</v>
      </c>
      <c r="CJ2338" s="14">
        <v>45015</v>
      </c>
      <c r="CK2338">
        <v>1</v>
      </c>
    </row>
    <row r="2339" spans="1:89">
      <c r="A2339" t="s">
        <v>1655</v>
      </c>
      <c r="B2339" t="s">
        <v>374</v>
      </c>
      <c r="C2339" t="s">
        <v>1656</v>
      </c>
      <c r="D2339" t="s">
        <v>2860</v>
      </c>
      <c r="E2339" t="s">
        <v>2861</v>
      </c>
      <c r="F2339" s="13">
        <v>44617.51635416667</v>
      </c>
      <c r="G2339" t="s">
        <v>2777</v>
      </c>
      <c r="H2339" t="s">
        <v>2778</v>
      </c>
      <c r="I2339" s="13">
        <v>45012.043946759259</v>
      </c>
      <c r="K2339" t="s">
        <v>415</v>
      </c>
      <c r="M2339" s="13">
        <v>44834</v>
      </c>
      <c r="R2339">
        <v>0</v>
      </c>
      <c r="S2339" t="s">
        <v>380</v>
      </c>
      <c r="T2339" t="s">
        <v>57</v>
      </c>
      <c r="V2339" t="s">
        <v>478</v>
      </c>
      <c r="W2339" t="s">
        <v>1661</v>
      </c>
      <c r="X2339" t="s">
        <v>1661</v>
      </c>
      <c r="AC2339" s="13">
        <v>44834</v>
      </c>
      <c r="AD2339" s="13">
        <v>44285</v>
      </c>
      <c r="AF2339" t="s">
        <v>451</v>
      </c>
      <c r="AI2339">
        <v>-178</v>
      </c>
      <c r="AL2339" t="s">
        <v>2858</v>
      </c>
      <c r="AN2339" t="s">
        <v>31</v>
      </c>
      <c r="AO2339">
        <v>0</v>
      </c>
      <c r="AS2339" t="s">
        <v>385</v>
      </c>
      <c r="AX2339" t="s">
        <v>31</v>
      </c>
      <c r="AY2339" t="s">
        <v>442</v>
      </c>
      <c r="AZ2339" t="s">
        <v>1663</v>
      </c>
      <c r="BE2339" t="s">
        <v>2862</v>
      </c>
      <c r="BF2339">
        <v>0</v>
      </c>
      <c r="BK2339" t="s">
        <v>31</v>
      </c>
      <c r="BS2339" t="s">
        <v>419</v>
      </c>
      <c r="BT2339" t="s">
        <v>419</v>
      </c>
      <c r="CI2339" t="s">
        <v>388</v>
      </c>
      <c r="CJ2339" s="14">
        <v>45015</v>
      </c>
      <c r="CK2339">
        <v>1</v>
      </c>
    </row>
    <row r="2340" spans="1:89">
      <c r="A2340" t="s">
        <v>1655</v>
      </c>
      <c r="B2340" t="s">
        <v>374</v>
      </c>
      <c r="C2340" t="s">
        <v>1656</v>
      </c>
      <c r="D2340" t="s">
        <v>2863</v>
      </c>
      <c r="E2340" t="s">
        <v>2864</v>
      </c>
      <c r="F2340" s="13">
        <v>44617.509722222225</v>
      </c>
      <c r="G2340" t="s">
        <v>2777</v>
      </c>
      <c r="H2340" t="s">
        <v>2778</v>
      </c>
      <c r="I2340" s="13">
        <v>45012.043946759259</v>
      </c>
      <c r="K2340" t="s">
        <v>415</v>
      </c>
      <c r="M2340" s="13">
        <v>44834</v>
      </c>
      <c r="R2340">
        <v>0</v>
      </c>
      <c r="S2340" t="s">
        <v>380</v>
      </c>
      <c r="T2340" t="s">
        <v>57</v>
      </c>
      <c r="V2340" t="s">
        <v>478</v>
      </c>
      <c r="W2340" t="s">
        <v>1661</v>
      </c>
      <c r="X2340" t="s">
        <v>1661</v>
      </c>
      <c r="AC2340" s="13">
        <v>44834</v>
      </c>
      <c r="AD2340" s="13">
        <v>44603</v>
      </c>
      <c r="AF2340" t="s">
        <v>451</v>
      </c>
      <c r="AI2340">
        <v>-178</v>
      </c>
      <c r="AL2340" t="s">
        <v>2858</v>
      </c>
      <c r="AN2340" t="s">
        <v>31</v>
      </c>
      <c r="AO2340">
        <v>0</v>
      </c>
      <c r="AS2340" t="s">
        <v>385</v>
      </c>
      <c r="AX2340" t="s">
        <v>31</v>
      </c>
      <c r="AY2340" t="s">
        <v>442</v>
      </c>
      <c r="AZ2340" t="s">
        <v>1666</v>
      </c>
      <c r="BF2340">
        <v>0</v>
      </c>
      <c r="BK2340" t="s">
        <v>31</v>
      </c>
      <c r="BS2340" t="s">
        <v>419</v>
      </c>
      <c r="BT2340" t="s">
        <v>419</v>
      </c>
      <c r="CI2340" t="s">
        <v>388</v>
      </c>
      <c r="CJ2340" s="14">
        <v>45015</v>
      </c>
      <c r="CK2340">
        <v>1</v>
      </c>
    </row>
    <row r="2341" spans="1:89">
      <c r="A2341" t="s">
        <v>1655</v>
      </c>
      <c r="B2341" t="s">
        <v>374</v>
      </c>
      <c r="C2341" t="s">
        <v>1656</v>
      </c>
      <c r="D2341" t="s">
        <v>2865</v>
      </c>
      <c r="E2341" t="s">
        <v>2866</v>
      </c>
      <c r="F2341" s="13">
        <v>44617.461516203701</v>
      </c>
      <c r="G2341" t="s">
        <v>2777</v>
      </c>
      <c r="H2341" t="s">
        <v>2778</v>
      </c>
      <c r="I2341" s="13">
        <v>45012.043935185182</v>
      </c>
      <c r="K2341" t="s">
        <v>415</v>
      </c>
      <c r="M2341" s="13">
        <v>44650</v>
      </c>
      <c r="R2341">
        <v>100</v>
      </c>
      <c r="S2341" t="s">
        <v>380</v>
      </c>
      <c r="T2341" t="s">
        <v>57</v>
      </c>
      <c r="V2341" t="s">
        <v>478</v>
      </c>
      <c r="W2341" t="s">
        <v>1661</v>
      </c>
      <c r="X2341" t="s">
        <v>1661</v>
      </c>
      <c r="AB2341" t="s">
        <v>57</v>
      </c>
      <c r="AC2341" s="13">
        <v>44650</v>
      </c>
      <c r="AD2341" s="13">
        <v>44501</v>
      </c>
      <c r="AF2341" t="s">
        <v>382</v>
      </c>
      <c r="AG2341" t="s">
        <v>2867</v>
      </c>
      <c r="AI2341">
        <v>-362</v>
      </c>
      <c r="AJ2341" s="13">
        <v>44651</v>
      </c>
      <c r="AL2341" t="s">
        <v>1670</v>
      </c>
      <c r="AN2341" t="s">
        <v>31</v>
      </c>
      <c r="AO2341">
        <v>0</v>
      </c>
      <c r="AR2341" t="s">
        <v>2868</v>
      </c>
      <c r="AS2341" t="s">
        <v>385</v>
      </c>
      <c r="AX2341" t="s">
        <v>31</v>
      </c>
      <c r="AY2341" t="s">
        <v>442</v>
      </c>
      <c r="AZ2341" t="s">
        <v>2869</v>
      </c>
      <c r="BE2341" t="s">
        <v>2870</v>
      </c>
      <c r="BF2341">
        <v>0</v>
      </c>
      <c r="BK2341" t="s">
        <v>31</v>
      </c>
      <c r="BS2341" t="s">
        <v>1201</v>
      </c>
      <c r="BT2341" t="s">
        <v>1202</v>
      </c>
      <c r="CI2341" t="s">
        <v>388</v>
      </c>
      <c r="CJ2341" s="14">
        <v>45015</v>
      </c>
      <c r="CK2341">
        <v>1</v>
      </c>
    </row>
    <row r="2342" spans="1:89">
      <c r="A2342" t="s">
        <v>1655</v>
      </c>
      <c r="B2342" t="s">
        <v>374</v>
      </c>
      <c r="C2342" t="s">
        <v>1656</v>
      </c>
      <c r="D2342" t="s">
        <v>2871</v>
      </c>
      <c r="E2342" t="s">
        <v>2872</v>
      </c>
      <c r="F2342" s="13">
        <v>44617.375555555554</v>
      </c>
      <c r="G2342" t="s">
        <v>2777</v>
      </c>
      <c r="H2342" t="s">
        <v>2778</v>
      </c>
      <c r="I2342" s="13">
        <v>44617.375555555554</v>
      </c>
      <c r="K2342" t="s">
        <v>412</v>
      </c>
      <c r="R2342">
        <v>0</v>
      </c>
      <c r="S2342" t="s">
        <v>380</v>
      </c>
      <c r="V2342" t="s">
        <v>381</v>
      </c>
      <c r="W2342" t="s">
        <v>1661</v>
      </c>
      <c r="X2342" t="s">
        <v>1661</v>
      </c>
      <c r="AI2342">
        <v>217</v>
      </c>
      <c r="AL2342" t="s">
        <v>2873</v>
      </c>
      <c r="AN2342" t="s">
        <v>31</v>
      </c>
      <c r="AO2342">
        <v>0</v>
      </c>
      <c r="AZ2342" t="s">
        <v>2874</v>
      </c>
      <c r="BF2342">
        <v>0</v>
      </c>
      <c r="BK2342" t="s">
        <v>31</v>
      </c>
      <c r="BS2342" t="s">
        <v>412</v>
      </c>
      <c r="BT2342" t="s">
        <v>412</v>
      </c>
      <c r="CI2342" t="s">
        <v>388</v>
      </c>
      <c r="CJ2342" s="14">
        <v>45015</v>
      </c>
      <c r="CK2342">
        <v>1</v>
      </c>
    </row>
    <row r="2343" spans="1:89">
      <c r="A2343" t="s">
        <v>1655</v>
      </c>
      <c r="B2343" t="s">
        <v>374</v>
      </c>
      <c r="C2343" t="s">
        <v>1656</v>
      </c>
      <c r="D2343" t="s">
        <v>2875</v>
      </c>
      <c r="E2343" t="s">
        <v>2876</v>
      </c>
      <c r="F2343" s="13">
        <v>44617.365335648145</v>
      </c>
      <c r="G2343" t="s">
        <v>2777</v>
      </c>
      <c r="H2343" t="s">
        <v>2778</v>
      </c>
      <c r="I2343" s="13">
        <v>45012.043935185182</v>
      </c>
      <c r="K2343" t="s">
        <v>415</v>
      </c>
      <c r="M2343" s="13">
        <v>44834</v>
      </c>
      <c r="R2343">
        <v>0</v>
      </c>
      <c r="S2343" t="s">
        <v>380</v>
      </c>
      <c r="T2343" t="s">
        <v>57</v>
      </c>
      <c r="V2343" t="s">
        <v>478</v>
      </c>
      <c r="W2343" t="s">
        <v>1661</v>
      </c>
      <c r="X2343" t="s">
        <v>1661</v>
      </c>
      <c r="AC2343" s="13">
        <v>44742</v>
      </c>
      <c r="AD2343" s="13">
        <v>44286</v>
      </c>
      <c r="AF2343" t="s">
        <v>451</v>
      </c>
      <c r="AI2343">
        <v>-178</v>
      </c>
      <c r="AL2343" t="s">
        <v>2858</v>
      </c>
      <c r="AN2343" t="s">
        <v>31</v>
      </c>
      <c r="AO2343">
        <v>0</v>
      </c>
      <c r="AS2343" t="s">
        <v>385</v>
      </c>
      <c r="AX2343" t="s">
        <v>31</v>
      </c>
      <c r="AY2343" t="s">
        <v>442</v>
      </c>
      <c r="AZ2343" t="s">
        <v>2877</v>
      </c>
      <c r="BE2343" t="s">
        <v>2862</v>
      </c>
      <c r="BF2343">
        <v>0</v>
      </c>
      <c r="BK2343" t="s">
        <v>31</v>
      </c>
      <c r="BS2343" t="s">
        <v>419</v>
      </c>
      <c r="BT2343" t="s">
        <v>419</v>
      </c>
      <c r="CI2343" t="s">
        <v>388</v>
      </c>
      <c r="CJ2343" s="14">
        <v>45015</v>
      </c>
      <c r="CK2343">
        <v>1</v>
      </c>
    </row>
    <row r="2344" spans="1:89">
      <c r="A2344" t="s">
        <v>2096</v>
      </c>
      <c r="B2344" t="s">
        <v>374</v>
      </c>
      <c r="C2344" t="s">
        <v>2097</v>
      </c>
      <c r="D2344" t="s">
        <v>2878</v>
      </c>
      <c r="E2344" t="s">
        <v>2879</v>
      </c>
      <c r="F2344" s="13">
        <v>44617.175486111111</v>
      </c>
      <c r="G2344" t="s">
        <v>2100</v>
      </c>
      <c r="H2344" t="s">
        <v>2101</v>
      </c>
      <c r="I2344" s="13">
        <v>45012.043935185182</v>
      </c>
      <c r="K2344" t="s">
        <v>415</v>
      </c>
      <c r="M2344" s="13">
        <v>44652</v>
      </c>
      <c r="R2344">
        <v>0</v>
      </c>
      <c r="S2344" t="s">
        <v>380</v>
      </c>
      <c r="T2344" t="s">
        <v>57</v>
      </c>
      <c r="V2344" t="s">
        <v>478</v>
      </c>
      <c r="W2344" t="s">
        <v>2187</v>
      </c>
      <c r="X2344" t="s">
        <v>2187</v>
      </c>
      <c r="AC2344" s="13">
        <v>44652</v>
      </c>
      <c r="AD2344" s="13">
        <v>44652</v>
      </c>
      <c r="AF2344" t="s">
        <v>451</v>
      </c>
      <c r="AG2344" t="s">
        <v>2880</v>
      </c>
      <c r="AI2344">
        <v>-360</v>
      </c>
      <c r="AL2344" t="s">
        <v>2881</v>
      </c>
      <c r="AN2344" t="s">
        <v>31</v>
      </c>
      <c r="AO2344">
        <v>0</v>
      </c>
      <c r="AS2344" t="s">
        <v>707</v>
      </c>
      <c r="AX2344" t="s">
        <v>57</v>
      </c>
      <c r="AY2344" t="s">
        <v>386</v>
      </c>
      <c r="AZ2344" t="s">
        <v>2882</v>
      </c>
      <c r="BE2344" t="s">
        <v>2883</v>
      </c>
      <c r="BF2344">
        <v>0</v>
      </c>
      <c r="BK2344" t="s">
        <v>31</v>
      </c>
      <c r="BS2344" t="s">
        <v>419</v>
      </c>
      <c r="BT2344" t="s">
        <v>419</v>
      </c>
      <c r="CI2344" t="s">
        <v>388</v>
      </c>
      <c r="CJ2344" s="14">
        <v>45015</v>
      </c>
      <c r="CK2344">
        <v>1</v>
      </c>
    </row>
    <row r="2345" spans="1:89">
      <c r="A2345" t="s">
        <v>2096</v>
      </c>
      <c r="B2345" t="s">
        <v>374</v>
      </c>
      <c r="C2345" t="s">
        <v>2097</v>
      </c>
      <c r="D2345" t="s">
        <v>2884</v>
      </c>
      <c r="E2345" t="s">
        <v>2885</v>
      </c>
      <c r="F2345" s="13">
        <v>44616.942627314813</v>
      </c>
      <c r="G2345" t="s">
        <v>2100</v>
      </c>
      <c r="H2345" t="s">
        <v>2101</v>
      </c>
      <c r="I2345" s="13">
        <v>45012.043935185182</v>
      </c>
      <c r="K2345" t="s">
        <v>415</v>
      </c>
      <c r="M2345" s="13">
        <v>44681</v>
      </c>
      <c r="R2345">
        <v>0</v>
      </c>
      <c r="S2345" t="s">
        <v>380</v>
      </c>
      <c r="T2345" t="s">
        <v>57</v>
      </c>
      <c r="V2345" t="s">
        <v>478</v>
      </c>
      <c r="W2345" t="s">
        <v>2187</v>
      </c>
      <c r="X2345" t="s">
        <v>2187</v>
      </c>
      <c r="AC2345" s="13">
        <v>44681</v>
      </c>
      <c r="AD2345" s="13">
        <v>44681</v>
      </c>
      <c r="AF2345" t="s">
        <v>451</v>
      </c>
      <c r="AI2345">
        <v>-331</v>
      </c>
      <c r="AL2345" t="s">
        <v>2886</v>
      </c>
      <c r="AN2345" t="s">
        <v>31</v>
      </c>
      <c r="AO2345">
        <v>0</v>
      </c>
      <c r="AS2345" t="s">
        <v>385</v>
      </c>
      <c r="AX2345" t="s">
        <v>57</v>
      </c>
      <c r="AY2345" t="s">
        <v>386</v>
      </c>
      <c r="AZ2345" t="s">
        <v>2887</v>
      </c>
      <c r="BF2345">
        <v>0</v>
      </c>
      <c r="BK2345" t="s">
        <v>31</v>
      </c>
      <c r="BS2345" t="s">
        <v>419</v>
      </c>
      <c r="BT2345" t="s">
        <v>419</v>
      </c>
      <c r="CI2345" t="s">
        <v>388</v>
      </c>
      <c r="CJ2345" s="14">
        <v>45015</v>
      </c>
      <c r="CK2345">
        <v>1</v>
      </c>
    </row>
    <row r="2346" spans="1:89">
      <c r="A2346" t="s">
        <v>2096</v>
      </c>
      <c r="B2346" t="s">
        <v>374</v>
      </c>
      <c r="C2346" t="s">
        <v>2097</v>
      </c>
      <c r="D2346" t="s">
        <v>2888</v>
      </c>
      <c r="E2346" t="s">
        <v>2889</v>
      </c>
      <c r="F2346" s="13">
        <v>44616.702905092592</v>
      </c>
      <c r="G2346" t="s">
        <v>2890</v>
      </c>
      <c r="H2346" t="s">
        <v>2891</v>
      </c>
      <c r="I2346" s="13">
        <v>45012.043923611112</v>
      </c>
      <c r="K2346" t="s">
        <v>415</v>
      </c>
      <c r="M2346" s="13">
        <v>44681</v>
      </c>
      <c r="R2346">
        <v>0</v>
      </c>
      <c r="S2346" t="s">
        <v>380</v>
      </c>
      <c r="T2346" t="s">
        <v>57</v>
      </c>
      <c r="V2346" t="s">
        <v>478</v>
      </c>
      <c r="W2346" t="s">
        <v>2187</v>
      </c>
      <c r="X2346" t="s">
        <v>2187</v>
      </c>
      <c r="AC2346" s="13">
        <v>44681</v>
      </c>
      <c r="AD2346" s="13">
        <v>44681</v>
      </c>
      <c r="AF2346" t="s">
        <v>451</v>
      </c>
      <c r="AI2346">
        <v>-331</v>
      </c>
      <c r="AL2346" t="s">
        <v>2892</v>
      </c>
      <c r="AN2346" t="s">
        <v>31</v>
      </c>
      <c r="AO2346">
        <v>0</v>
      </c>
      <c r="AS2346" t="s">
        <v>385</v>
      </c>
      <c r="AX2346" t="s">
        <v>57</v>
      </c>
      <c r="AY2346" t="s">
        <v>386</v>
      </c>
      <c r="AZ2346" t="s">
        <v>2893</v>
      </c>
      <c r="BF2346">
        <v>0</v>
      </c>
      <c r="BK2346" t="s">
        <v>31</v>
      </c>
      <c r="BS2346" t="s">
        <v>419</v>
      </c>
      <c r="BT2346" t="s">
        <v>419</v>
      </c>
      <c r="CI2346" t="s">
        <v>388</v>
      </c>
      <c r="CJ2346" s="14">
        <v>45015</v>
      </c>
      <c r="CK2346">
        <v>1</v>
      </c>
    </row>
    <row r="2347" spans="1:89">
      <c r="A2347" t="s">
        <v>2096</v>
      </c>
      <c r="B2347" t="s">
        <v>374</v>
      </c>
      <c r="C2347" t="s">
        <v>2097</v>
      </c>
      <c r="D2347" t="s">
        <v>2894</v>
      </c>
      <c r="E2347" t="s">
        <v>2895</v>
      </c>
      <c r="F2347" s="13">
        <v>44616.699675925927</v>
      </c>
      <c r="G2347" t="s">
        <v>2890</v>
      </c>
      <c r="H2347" t="s">
        <v>2891</v>
      </c>
      <c r="I2347" s="13">
        <v>45012.043923611112</v>
      </c>
      <c r="K2347" t="s">
        <v>415</v>
      </c>
      <c r="M2347" s="13">
        <v>44670</v>
      </c>
      <c r="R2347">
        <v>0</v>
      </c>
      <c r="S2347" t="s">
        <v>380</v>
      </c>
      <c r="T2347" t="s">
        <v>57</v>
      </c>
      <c r="V2347" t="s">
        <v>478</v>
      </c>
      <c r="W2347" t="s">
        <v>2187</v>
      </c>
      <c r="X2347" t="s">
        <v>2187</v>
      </c>
      <c r="AC2347" s="13">
        <v>44670</v>
      </c>
      <c r="AD2347" s="13">
        <v>44670</v>
      </c>
      <c r="AF2347" t="s">
        <v>451</v>
      </c>
      <c r="AI2347">
        <v>-342</v>
      </c>
      <c r="AL2347" t="s">
        <v>2896</v>
      </c>
      <c r="AN2347" t="s">
        <v>31</v>
      </c>
      <c r="AO2347">
        <v>0</v>
      </c>
      <c r="AS2347" t="s">
        <v>385</v>
      </c>
      <c r="AX2347" t="s">
        <v>57</v>
      </c>
      <c r="AY2347" t="s">
        <v>386</v>
      </c>
      <c r="AZ2347" t="s">
        <v>2897</v>
      </c>
      <c r="BF2347">
        <v>0</v>
      </c>
      <c r="BK2347" t="s">
        <v>31</v>
      </c>
      <c r="BS2347" t="s">
        <v>419</v>
      </c>
      <c r="BT2347" t="s">
        <v>419</v>
      </c>
      <c r="CI2347" t="s">
        <v>388</v>
      </c>
      <c r="CJ2347" s="14">
        <v>45015</v>
      </c>
      <c r="CK2347">
        <v>1</v>
      </c>
    </row>
    <row r="2348" spans="1:89">
      <c r="A2348" t="s">
        <v>2096</v>
      </c>
      <c r="B2348" t="s">
        <v>374</v>
      </c>
      <c r="C2348" t="s">
        <v>2097</v>
      </c>
      <c r="D2348" t="s">
        <v>2898</v>
      </c>
      <c r="E2348" t="s">
        <v>2885</v>
      </c>
      <c r="F2348" s="13">
        <v>44616.621458333335</v>
      </c>
      <c r="G2348" t="s">
        <v>2100</v>
      </c>
      <c r="H2348" t="s">
        <v>2101</v>
      </c>
      <c r="I2348" s="13">
        <v>44616.961493055554</v>
      </c>
      <c r="K2348" t="s">
        <v>409</v>
      </c>
      <c r="R2348">
        <v>0</v>
      </c>
      <c r="S2348" t="s">
        <v>380</v>
      </c>
      <c r="T2348" t="s">
        <v>57</v>
      </c>
      <c r="V2348" t="s">
        <v>381</v>
      </c>
      <c r="W2348" t="s">
        <v>2102</v>
      </c>
      <c r="X2348" t="s">
        <v>2102</v>
      </c>
      <c r="AC2348" s="13">
        <v>44681</v>
      </c>
      <c r="AD2348" s="13">
        <v>44681</v>
      </c>
      <c r="AI2348">
        <v>65</v>
      </c>
      <c r="AL2348" t="s">
        <v>2886</v>
      </c>
      <c r="AN2348" t="s">
        <v>31</v>
      </c>
      <c r="AO2348">
        <v>0</v>
      </c>
      <c r="AS2348" t="s">
        <v>385</v>
      </c>
      <c r="AX2348" t="s">
        <v>57</v>
      </c>
      <c r="AY2348" t="s">
        <v>386</v>
      </c>
      <c r="AZ2348" t="s">
        <v>2899</v>
      </c>
      <c r="BF2348">
        <v>0</v>
      </c>
      <c r="BK2348" t="s">
        <v>31</v>
      </c>
      <c r="BS2348" t="s">
        <v>409</v>
      </c>
      <c r="BT2348" t="s">
        <v>409</v>
      </c>
      <c r="CI2348" t="s">
        <v>388</v>
      </c>
      <c r="CJ2348" s="14">
        <v>45015</v>
      </c>
      <c r="CK2348">
        <v>1</v>
      </c>
    </row>
    <row r="2349" spans="1:89">
      <c r="A2349" t="s">
        <v>2096</v>
      </c>
      <c r="B2349" t="s">
        <v>374</v>
      </c>
      <c r="C2349" t="s">
        <v>2097</v>
      </c>
      <c r="D2349" t="s">
        <v>2900</v>
      </c>
      <c r="E2349" t="s">
        <v>2885</v>
      </c>
      <c r="F2349" s="13">
        <v>44616.610451388886</v>
      </c>
      <c r="G2349" t="s">
        <v>2100</v>
      </c>
      <c r="H2349" t="s">
        <v>2101</v>
      </c>
      <c r="I2349" s="13">
        <v>44616.624664351853</v>
      </c>
      <c r="K2349" t="s">
        <v>409</v>
      </c>
      <c r="R2349">
        <v>0</v>
      </c>
      <c r="S2349" t="s">
        <v>380</v>
      </c>
      <c r="T2349" t="s">
        <v>57</v>
      </c>
      <c r="V2349" t="s">
        <v>381</v>
      </c>
      <c r="W2349" t="s">
        <v>2187</v>
      </c>
      <c r="X2349" t="s">
        <v>2187</v>
      </c>
      <c r="AC2349" s="13">
        <v>44681</v>
      </c>
      <c r="AD2349" s="13">
        <v>44681</v>
      </c>
      <c r="AI2349">
        <v>65</v>
      </c>
      <c r="AL2349" t="s">
        <v>2886</v>
      </c>
      <c r="AN2349" t="s">
        <v>31</v>
      </c>
      <c r="AO2349">
        <v>0</v>
      </c>
      <c r="AS2349" t="s">
        <v>526</v>
      </c>
      <c r="AX2349" t="s">
        <v>57</v>
      </c>
      <c r="AY2349" t="s">
        <v>386</v>
      </c>
      <c r="AZ2349" t="s">
        <v>2901</v>
      </c>
      <c r="BE2349" t="s">
        <v>2902</v>
      </c>
      <c r="BF2349">
        <v>0</v>
      </c>
      <c r="BK2349" t="s">
        <v>31</v>
      </c>
      <c r="BS2349" t="s">
        <v>409</v>
      </c>
      <c r="BT2349" t="s">
        <v>409</v>
      </c>
      <c r="CI2349" t="s">
        <v>388</v>
      </c>
      <c r="CJ2349" s="14">
        <v>45015</v>
      </c>
      <c r="CK2349">
        <v>1</v>
      </c>
    </row>
    <row r="2350" spans="1:89">
      <c r="A2350" t="s">
        <v>2096</v>
      </c>
      <c r="B2350" t="s">
        <v>374</v>
      </c>
      <c r="C2350" t="s">
        <v>2097</v>
      </c>
      <c r="D2350" t="s">
        <v>2903</v>
      </c>
      <c r="E2350" t="s">
        <v>2904</v>
      </c>
      <c r="F2350" s="13">
        <v>44616.601666666669</v>
      </c>
      <c r="G2350" t="s">
        <v>2100</v>
      </c>
      <c r="H2350" t="s">
        <v>2101</v>
      </c>
      <c r="I2350" s="13">
        <v>45012.043923611112</v>
      </c>
      <c r="K2350" t="s">
        <v>415</v>
      </c>
      <c r="M2350" s="13">
        <v>44804</v>
      </c>
      <c r="R2350">
        <v>0</v>
      </c>
      <c r="S2350" t="s">
        <v>380</v>
      </c>
      <c r="T2350" t="s">
        <v>57</v>
      </c>
      <c r="V2350" t="s">
        <v>478</v>
      </c>
      <c r="W2350" t="s">
        <v>2187</v>
      </c>
      <c r="X2350" t="s">
        <v>2187</v>
      </c>
      <c r="AC2350" s="13">
        <v>44804</v>
      </c>
      <c r="AD2350" s="13">
        <v>44804</v>
      </c>
      <c r="AF2350" t="s">
        <v>451</v>
      </c>
      <c r="AI2350">
        <v>-208</v>
      </c>
      <c r="AL2350" t="s">
        <v>2905</v>
      </c>
      <c r="AN2350" t="s">
        <v>31</v>
      </c>
      <c r="AO2350">
        <v>0</v>
      </c>
      <c r="AS2350" t="s">
        <v>385</v>
      </c>
      <c r="AX2350" t="s">
        <v>57</v>
      </c>
      <c r="AY2350" t="s">
        <v>386</v>
      </c>
      <c r="AZ2350" t="s">
        <v>2906</v>
      </c>
      <c r="BE2350" t="s">
        <v>2907</v>
      </c>
      <c r="BF2350">
        <v>0</v>
      </c>
      <c r="BK2350" t="s">
        <v>31</v>
      </c>
      <c r="BS2350" t="s">
        <v>419</v>
      </c>
      <c r="BT2350" t="s">
        <v>419</v>
      </c>
      <c r="CI2350" t="s">
        <v>388</v>
      </c>
      <c r="CJ2350" s="14">
        <v>45015</v>
      </c>
      <c r="CK2350">
        <v>1</v>
      </c>
    </row>
    <row r="2351" spans="1:89">
      <c r="A2351" t="s">
        <v>2096</v>
      </c>
      <c r="B2351" t="s">
        <v>374</v>
      </c>
      <c r="C2351" t="s">
        <v>2097</v>
      </c>
      <c r="D2351" t="s">
        <v>2908</v>
      </c>
      <c r="E2351" t="s">
        <v>2909</v>
      </c>
      <c r="F2351" s="13">
        <v>44616.578009259261</v>
      </c>
      <c r="G2351" t="s">
        <v>2100</v>
      </c>
      <c r="H2351" t="s">
        <v>2101</v>
      </c>
      <c r="I2351" s="13">
        <v>45012.043912037036</v>
      </c>
      <c r="K2351" t="s">
        <v>415</v>
      </c>
      <c r="M2351" s="13">
        <v>44650</v>
      </c>
      <c r="R2351">
        <v>0</v>
      </c>
      <c r="S2351" t="s">
        <v>380</v>
      </c>
      <c r="T2351" t="s">
        <v>57</v>
      </c>
      <c r="V2351" t="s">
        <v>478</v>
      </c>
      <c r="W2351" t="s">
        <v>2187</v>
      </c>
      <c r="X2351" t="s">
        <v>2187</v>
      </c>
      <c r="AC2351" s="13">
        <v>44650</v>
      </c>
      <c r="AD2351" s="13">
        <v>44650</v>
      </c>
      <c r="AF2351" t="s">
        <v>451</v>
      </c>
      <c r="AI2351">
        <v>-362</v>
      </c>
      <c r="AL2351" t="s">
        <v>2910</v>
      </c>
      <c r="AN2351" t="s">
        <v>31</v>
      </c>
      <c r="AO2351">
        <v>0</v>
      </c>
      <c r="AS2351" t="s">
        <v>385</v>
      </c>
      <c r="AX2351" t="s">
        <v>57</v>
      </c>
      <c r="AY2351" t="s">
        <v>386</v>
      </c>
      <c r="AZ2351" t="s">
        <v>2911</v>
      </c>
      <c r="BE2351" t="s">
        <v>2912</v>
      </c>
      <c r="BF2351">
        <v>0</v>
      </c>
      <c r="BK2351" t="s">
        <v>31</v>
      </c>
      <c r="BS2351" t="s">
        <v>419</v>
      </c>
      <c r="BT2351" t="s">
        <v>419</v>
      </c>
      <c r="CI2351" t="s">
        <v>388</v>
      </c>
      <c r="CJ2351" s="14">
        <v>45015</v>
      </c>
      <c r="CK2351">
        <v>1</v>
      </c>
    </row>
    <row r="2352" spans="1:89">
      <c r="A2352" t="s">
        <v>2096</v>
      </c>
      <c r="B2352" t="s">
        <v>374</v>
      </c>
      <c r="C2352" t="s">
        <v>2097</v>
      </c>
      <c r="D2352" t="s">
        <v>2913</v>
      </c>
      <c r="E2352" t="s">
        <v>2914</v>
      </c>
      <c r="F2352" s="13">
        <v>44616.562928240739</v>
      </c>
      <c r="G2352" t="s">
        <v>2100</v>
      </c>
      <c r="H2352" t="s">
        <v>2101</v>
      </c>
      <c r="I2352" s="13">
        <v>45012.043912037036</v>
      </c>
      <c r="K2352" t="s">
        <v>415</v>
      </c>
      <c r="M2352" s="13">
        <v>44681</v>
      </c>
      <c r="R2352">
        <v>0</v>
      </c>
      <c r="S2352" t="s">
        <v>380</v>
      </c>
      <c r="T2352" t="s">
        <v>57</v>
      </c>
      <c r="V2352" t="s">
        <v>478</v>
      </c>
      <c r="W2352" t="s">
        <v>2187</v>
      </c>
      <c r="X2352" t="s">
        <v>2187</v>
      </c>
      <c r="AC2352" s="13">
        <v>44681</v>
      </c>
      <c r="AD2352" s="13">
        <v>44681</v>
      </c>
      <c r="AF2352" t="s">
        <v>451</v>
      </c>
      <c r="AI2352">
        <v>-331</v>
      </c>
      <c r="AL2352" t="s">
        <v>2915</v>
      </c>
      <c r="AN2352" t="s">
        <v>31</v>
      </c>
      <c r="AO2352">
        <v>0</v>
      </c>
      <c r="AS2352" t="s">
        <v>392</v>
      </c>
      <c r="AX2352" t="s">
        <v>57</v>
      </c>
      <c r="AY2352" t="s">
        <v>386</v>
      </c>
      <c r="AZ2352" t="s">
        <v>2916</v>
      </c>
      <c r="BE2352" t="s">
        <v>2917</v>
      </c>
      <c r="BF2352">
        <v>0</v>
      </c>
      <c r="BK2352" t="s">
        <v>31</v>
      </c>
      <c r="BS2352" t="s">
        <v>419</v>
      </c>
      <c r="BT2352" t="s">
        <v>419</v>
      </c>
      <c r="CI2352" t="s">
        <v>388</v>
      </c>
      <c r="CJ2352" s="14">
        <v>45015</v>
      </c>
      <c r="CK2352">
        <v>1</v>
      </c>
    </row>
    <row r="2353" spans="1:89">
      <c r="A2353" t="s">
        <v>2096</v>
      </c>
      <c r="B2353" t="s">
        <v>374</v>
      </c>
      <c r="C2353" t="s">
        <v>2097</v>
      </c>
      <c r="D2353" t="s">
        <v>2918</v>
      </c>
      <c r="E2353" t="s">
        <v>2919</v>
      </c>
      <c r="F2353" s="13">
        <v>44616.48945601852</v>
      </c>
      <c r="G2353" t="s">
        <v>2890</v>
      </c>
      <c r="H2353" t="s">
        <v>2891</v>
      </c>
      <c r="I2353" s="13">
        <v>45012.043912037036</v>
      </c>
      <c r="K2353" t="s">
        <v>415</v>
      </c>
      <c r="M2353" s="13">
        <v>44742</v>
      </c>
      <c r="R2353">
        <v>0</v>
      </c>
      <c r="S2353" t="s">
        <v>380</v>
      </c>
      <c r="T2353" t="s">
        <v>57</v>
      </c>
      <c r="V2353" t="s">
        <v>478</v>
      </c>
      <c r="W2353" t="s">
        <v>2187</v>
      </c>
      <c r="X2353" t="s">
        <v>2187</v>
      </c>
      <c r="AC2353" s="13">
        <v>44742</v>
      </c>
      <c r="AD2353" s="13">
        <v>44742</v>
      </c>
      <c r="AF2353" t="s">
        <v>451</v>
      </c>
      <c r="AI2353">
        <v>-270</v>
      </c>
      <c r="AL2353" t="s">
        <v>2920</v>
      </c>
      <c r="AN2353" t="s">
        <v>31</v>
      </c>
      <c r="AO2353">
        <v>0</v>
      </c>
      <c r="AS2353" t="s">
        <v>385</v>
      </c>
      <c r="AX2353" t="s">
        <v>57</v>
      </c>
      <c r="AY2353" t="s">
        <v>386</v>
      </c>
      <c r="AZ2353" t="s">
        <v>2921</v>
      </c>
      <c r="BE2353">
        <v>51</v>
      </c>
      <c r="BF2353">
        <v>0</v>
      </c>
      <c r="BK2353" t="s">
        <v>31</v>
      </c>
      <c r="BS2353" t="s">
        <v>419</v>
      </c>
      <c r="BT2353" t="s">
        <v>419</v>
      </c>
      <c r="CI2353" t="s">
        <v>388</v>
      </c>
      <c r="CJ2353" s="14">
        <v>45015</v>
      </c>
      <c r="CK2353">
        <v>1</v>
      </c>
    </row>
    <row r="2354" spans="1:89">
      <c r="A2354" t="s">
        <v>1497</v>
      </c>
      <c r="B2354" t="s">
        <v>374</v>
      </c>
      <c r="C2354" t="s">
        <v>1498</v>
      </c>
      <c r="D2354" t="s">
        <v>2922</v>
      </c>
      <c r="E2354" t="s">
        <v>2923</v>
      </c>
      <c r="F2354" s="13">
        <v>44616.414131944446</v>
      </c>
      <c r="G2354" t="s">
        <v>1501</v>
      </c>
      <c r="H2354" t="s">
        <v>1502</v>
      </c>
      <c r="I2354" s="13">
        <v>44616.415370370371</v>
      </c>
      <c r="K2354" t="s">
        <v>412</v>
      </c>
      <c r="R2354">
        <v>0</v>
      </c>
      <c r="S2354" t="s">
        <v>416</v>
      </c>
      <c r="T2354" t="s">
        <v>57</v>
      </c>
      <c r="V2354" t="s">
        <v>381</v>
      </c>
      <c r="W2354" t="s">
        <v>2924</v>
      </c>
      <c r="X2354" t="s">
        <v>2924</v>
      </c>
      <c r="AI2354">
        <v>85</v>
      </c>
      <c r="AL2354" t="s">
        <v>2925</v>
      </c>
      <c r="AN2354" t="s">
        <v>31</v>
      </c>
      <c r="AO2354">
        <v>0</v>
      </c>
      <c r="AS2354" t="s">
        <v>392</v>
      </c>
      <c r="AX2354" t="s">
        <v>57</v>
      </c>
      <c r="AY2354" t="s">
        <v>442</v>
      </c>
      <c r="AZ2354" t="s">
        <v>2926</v>
      </c>
      <c r="BF2354">
        <v>0</v>
      </c>
      <c r="BK2354" t="s">
        <v>31</v>
      </c>
      <c r="BS2354" t="s">
        <v>412</v>
      </c>
      <c r="BT2354" t="s">
        <v>412</v>
      </c>
      <c r="CI2354" t="s">
        <v>388</v>
      </c>
      <c r="CJ2354" s="14">
        <v>45015</v>
      </c>
      <c r="CK2354">
        <v>1</v>
      </c>
    </row>
    <row r="2355" spans="1:89">
      <c r="A2355" t="s">
        <v>2927</v>
      </c>
      <c r="B2355" t="s">
        <v>374</v>
      </c>
      <c r="C2355" t="s">
        <v>2928</v>
      </c>
      <c r="D2355" t="s">
        <v>2929</v>
      </c>
      <c r="E2355" t="s">
        <v>2930</v>
      </c>
      <c r="F2355" s="13">
        <v>44616.411134259259</v>
      </c>
      <c r="G2355" t="s">
        <v>2931</v>
      </c>
      <c r="H2355" t="s">
        <v>2932</v>
      </c>
      <c r="I2355" s="13">
        <v>45012.043900462966</v>
      </c>
      <c r="K2355" t="s">
        <v>415</v>
      </c>
      <c r="M2355" s="13">
        <v>44620</v>
      </c>
      <c r="R2355">
        <v>100</v>
      </c>
      <c r="S2355" t="s">
        <v>380</v>
      </c>
      <c r="T2355" t="s">
        <v>57</v>
      </c>
      <c r="V2355" t="s">
        <v>478</v>
      </c>
      <c r="W2355" t="s">
        <v>2933</v>
      </c>
      <c r="X2355" t="s">
        <v>2933</v>
      </c>
      <c r="AB2355" t="s">
        <v>57</v>
      </c>
      <c r="AF2355" t="s">
        <v>382</v>
      </c>
      <c r="AG2355" t="s">
        <v>2934</v>
      </c>
      <c r="AI2355">
        <v>-392</v>
      </c>
      <c r="AJ2355" s="13">
        <v>44651</v>
      </c>
      <c r="AL2355" t="s">
        <v>2935</v>
      </c>
      <c r="AN2355" t="s">
        <v>31</v>
      </c>
      <c r="AO2355">
        <v>0</v>
      </c>
      <c r="AR2355" t="s">
        <v>2936</v>
      </c>
      <c r="AS2355" t="s">
        <v>385</v>
      </c>
      <c r="AX2355" t="s">
        <v>31</v>
      </c>
      <c r="AY2355" t="s">
        <v>386</v>
      </c>
      <c r="AZ2355" t="s">
        <v>2937</v>
      </c>
      <c r="BC2355" t="s">
        <v>480</v>
      </c>
      <c r="BD2355" t="s">
        <v>2938</v>
      </c>
      <c r="BE2355" t="s">
        <v>2939</v>
      </c>
      <c r="BF2355">
        <v>0</v>
      </c>
      <c r="BK2355" t="s">
        <v>31</v>
      </c>
      <c r="BS2355" t="s">
        <v>2940</v>
      </c>
      <c r="BT2355" t="s">
        <v>2941</v>
      </c>
      <c r="CI2355" t="s">
        <v>388</v>
      </c>
      <c r="CJ2355" s="14">
        <v>45015</v>
      </c>
      <c r="CK2355">
        <v>1</v>
      </c>
    </row>
    <row r="2356" spans="1:89">
      <c r="A2356" t="s">
        <v>2927</v>
      </c>
      <c r="B2356" t="s">
        <v>374</v>
      </c>
      <c r="C2356" t="s">
        <v>2928</v>
      </c>
      <c r="D2356" t="s">
        <v>2942</v>
      </c>
      <c r="E2356" t="s">
        <v>2943</v>
      </c>
      <c r="F2356" s="13">
        <v>44616.397766203707</v>
      </c>
      <c r="G2356" t="s">
        <v>2931</v>
      </c>
      <c r="H2356" t="s">
        <v>2932</v>
      </c>
      <c r="I2356" s="13">
        <v>45012.043900462966</v>
      </c>
      <c r="K2356" t="s">
        <v>415</v>
      </c>
      <c r="M2356" s="13">
        <v>44681</v>
      </c>
      <c r="R2356">
        <v>80</v>
      </c>
      <c r="S2356" t="s">
        <v>416</v>
      </c>
      <c r="T2356" t="s">
        <v>57</v>
      </c>
      <c r="V2356" t="s">
        <v>478</v>
      </c>
      <c r="W2356" t="s">
        <v>2944</v>
      </c>
      <c r="X2356" t="s">
        <v>2944</v>
      </c>
      <c r="AF2356" t="s">
        <v>451</v>
      </c>
      <c r="AG2356" t="s">
        <v>2945</v>
      </c>
      <c r="AI2356">
        <v>-331</v>
      </c>
      <c r="AL2356" t="s">
        <v>2946</v>
      </c>
      <c r="AN2356" t="s">
        <v>31</v>
      </c>
      <c r="AO2356">
        <v>0</v>
      </c>
      <c r="AS2356" t="s">
        <v>385</v>
      </c>
      <c r="AX2356" t="s">
        <v>31</v>
      </c>
      <c r="AY2356" t="s">
        <v>442</v>
      </c>
      <c r="AZ2356" t="s">
        <v>2947</v>
      </c>
      <c r="BF2356">
        <v>0</v>
      </c>
      <c r="BK2356" t="s">
        <v>31</v>
      </c>
      <c r="BS2356" t="s">
        <v>419</v>
      </c>
      <c r="BT2356" t="s">
        <v>419</v>
      </c>
      <c r="CI2356" t="s">
        <v>388</v>
      </c>
      <c r="CJ2356" s="14">
        <v>45015</v>
      </c>
      <c r="CK2356">
        <v>1</v>
      </c>
    </row>
    <row r="2357" spans="1:89">
      <c r="A2357" t="s">
        <v>2444</v>
      </c>
      <c r="B2357" t="s">
        <v>374</v>
      </c>
      <c r="C2357" t="s">
        <v>2445</v>
      </c>
      <c r="D2357" t="s">
        <v>2948</v>
      </c>
      <c r="E2357" t="s">
        <v>2949</v>
      </c>
      <c r="F2357" s="13">
        <v>44616.393055555556</v>
      </c>
      <c r="G2357" t="s">
        <v>1526</v>
      </c>
      <c r="H2357" t="s">
        <v>1527</v>
      </c>
      <c r="I2357" s="13">
        <v>44616.39403935185</v>
      </c>
      <c r="K2357" t="s">
        <v>412</v>
      </c>
      <c r="R2357">
        <v>0</v>
      </c>
      <c r="S2357" t="s">
        <v>380</v>
      </c>
      <c r="T2357" t="s">
        <v>57</v>
      </c>
      <c r="V2357" t="s">
        <v>381</v>
      </c>
      <c r="W2357" t="s">
        <v>2950</v>
      </c>
      <c r="X2357" t="s">
        <v>2950</v>
      </c>
      <c r="AC2357" s="13">
        <v>44666</v>
      </c>
      <c r="AD2357" s="13">
        <v>44666</v>
      </c>
      <c r="AI2357">
        <v>50</v>
      </c>
      <c r="AL2357" t="s">
        <v>2951</v>
      </c>
      <c r="AN2357" t="s">
        <v>31</v>
      </c>
      <c r="AO2357">
        <v>0</v>
      </c>
      <c r="AS2357" t="s">
        <v>648</v>
      </c>
      <c r="AX2357" t="s">
        <v>31</v>
      </c>
      <c r="AY2357" t="s">
        <v>386</v>
      </c>
      <c r="AZ2357" t="s">
        <v>2952</v>
      </c>
      <c r="BF2357">
        <v>0</v>
      </c>
      <c r="BK2357" t="s">
        <v>31</v>
      </c>
      <c r="BS2357" t="s">
        <v>412</v>
      </c>
      <c r="BT2357" t="s">
        <v>412</v>
      </c>
      <c r="CI2357" t="s">
        <v>388</v>
      </c>
      <c r="CJ2357" s="14">
        <v>45015</v>
      </c>
      <c r="CK2357">
        <v>1</v>
      </c>
    </row>
    <row r="2358" spans="1:89">
      <c r="A2358" t="s">
        <v>2096</v>
      </c>
      <c r="B2358" t="s">
        <v>374</v>
      </c>
      <c r="C2358" t="s">
        <v>2097</v>
      </c>
      <c r="D2358" t="s">
        <v>2953</v>
      </c>
      <c r="E2358" t="s">
        <v>2954</v>
      </c>
      <c r="F2358" s="13">
        <v>44616.369745370372</v>
      </c>
      <c r="G2358" t="s">
        <v>2890</v>
      </c>
      <c r="H2358" t="s">
        <v>2891</v>
      </c>
      <c r="I2358" s="13">
        <v>45012.043900462966</v>
      </c>
      <c r="K2358" t="s">
        <v>415</v>
      </c>
      <c r="M2358" s="13">
        <v>44727</v>
      </c>
      <c r="R2358">
        <v>0</v>
      </c>
      <c r="S2358" t="s">
        <v>380</v>
      </c>
      <c r="T2358" t="s">
        <v>57</v>
      </c>
      <c r="V2358" t="s">
        <v>478</v>
      </c>
      <c r="W2358" t="s">
        <v>2955</v>
      </c>
      <c r="X2358" t="s">
        <v>2955</v>
      </c>
      <c r="AC2358" s="13">
        <v>44727</v>
      </c>
      <c r="AD2358" s="13">
        <v>44727</v>
      </c>
      <c r="AF2358" t="s">
        <v>451</v>
      </c>
      <c r="AI2358">
        <v>-285</v>
      </c>
      <c r="AL2358" t="s">
        <v>2956</v>
      </c>
      <c r="AN2358" t="s">
        <v>31</v>
      </c>
      <c r="AO2358">
        <v>0</v>
      </c>
      <c r="AS2358" t="s">
        <v>385</v>
      </c>
      <c r="AX2358" t="s">
        <v>57</v>
      </c>
      <c r="AY2358" t="s">
        <v>386</v>
      </c>
      <c r="AZ2358" t="s">
        <v>2957</v>
      </c>
      <c r="BE2358" t="s">
        <v>2958</v>
      </c>
      <c r="BF2358">
        <v>0</v>
      </c>
      <c r="BK2358" t="s">
        <v>31</v>
      </c>
      <c r="BS2358" t="s">
        <v>419</v>
      </c>
      <c r="BT2358" t="s">
        <v>419</v>
      </c>
      <c r="CI2358" t="s">
        <v>388</v>
      </c>
      <c r="CJ2358" s="14">
        <v>45015</v>
      </c>
      <c r="CK2358">
        <v>1</v>
      </c>
    </row>
    <row r="2359" spans="1:89">
      <c r="A2359" t="s">
        <v>2444</v>
      </c>
      <c r="B2359" t="s">
        <v>374</v>
      </c>
      <c r="C2359" t="s">
        <v>2445</v>
      </c>
      <c r="D2359" t="s">
        <v>2959</v>
      </c>
      <c r="E2359" t="s">
        <v>2960</v>
      </c>
      <c r="F2359" s="13">
        <v>44616.349143518521</v>
      </c>
      <c r="G2359" t="s">
        <v>1526</v>
      </c>
      <c r="H2359" t="s">
        <v>1527</v>
      </c>
      <c r="I2359" s="13">
        <v>44616.349733796298</v>
      </c>
      <c r="K2359" t="s">
        <v>412</v>
      </c>
      <c r="R2359">
        <v>0</v>
      </c>
      <c r="S2359" t="s">
        <v>416</v>
      </c>
      <c r="T2359" t="s">
        <v>57</v>
      </c>
      <c r="V2359" t="s">
        <v>381</v>
      </c>
      <c r="W2359" t="s">
        <v>2961</v>
      </c>
      <c r="X2359" t="s">
        <v>2961</v>
      </c>
      <c r="AI2359">
        <v>19</v>
      </c>
      <c r="AL2359" t="s">
        <v>2962</v>
      </c>
      <c r="AN2359" t="s">
        <v>31</v>
      </c>
      <c r="AO2359">
        <v>0</v>
      </c>
      <c r="AS2359" t="s">
        <v>538</v>
      </c>
      <c r="AX2359" t="s">
        <v>31</v>
      </c>
      <c r="AY2359" t="s">
        <v>442</v>
      </c>
      <c r="AZ2359" t="s">
        <v>2963</v>
      </c>
      <c r="BF2359">
        <v>0</v>
      </c>
      <c r="BK2359" t="s">
        <v>31</v>
      </c>
      <c r="BS2359" t="s">
        <v>412</v>
      </c>
      <c r="BT2359" t="s">
        <v>412</v>
      </c>
      <c r="CI2359" t="s">
        <v>388</v>
      </c>
      <c r="CJ2359" s="14">
        <v>45015</v>
      </c>
      <c r="CK2359">
        <v>1</v>
      </c>
    </row>
    <row r="2360" spans="1:89">
      <c r="A2360" t="s">
        <v>2444</v>
      </c>
      <c r="B2360" t="s">
        <v>374</v>
      </c>
      <c r="C2360" t="s">
        <v>2445</v>
      </c>
      <c r="D2360" t="s">
        <v>2964</v>
      </c>
      <c r="E2360" t="s">
        <v>2965</v>
      </c>
      <c r="F2360" s="13">
        <v>44616.346770833334</v>
      </c>
      <c r="G2360" t="s">
        <v>1526</v>
      </c>
      <c r="H2360" t="s">
        <v>1527</v>
      </c>
      <c r="I2360" s="13">
        <v>44616.34752314815</v>
      </c>
      <c r="K2360" t="s">
        <v>412</v>
      </c>
      <c r="R2360">
        <v>0</v>
      </c>
      <c r="S2360" t="s">
        <v>380</v>
      </c>
      <c r="T2360" t="s">
        <v>57</v>
      </c>
      <c r="V2360" t="s">
        <v>381</v>
      </c>
      <c r="W2360" t="s">
        <v>2961</v>
      </c>
      <c r="X2360" t="s">
        <v>2961</v>
      </c>
      <c r="AI2360">
        <v>110</v>
      </c>
      <c r="AL2360" t="s">
        <v>2962</v>
      </c>
      <c r="AN2360" t="s">
        <v>31</v>
      </c>
      <c r="AO2360">
        <v>0</v>
      </c>
      <c r="AS2360" t="s">
        <v>538</v>
      </c>
      <c r="AX2360" t="s">
        <v>31</v>
      </c>
      <c r="AY2360" t="s">
        <v>442</v>
      </c>
      <c r="AZ2360" t="s">
        <v>2963</v>
      </c>
      <c r="BF2360">
        <v>0</v>
      </c>
      <c r="BK2360" t="s">
        <v>31</v>
      </c>
      <c r="BS2360" t="s">
        <v>412</v>
      </c>
      <c r="BT2360" t="s">
        <v>412</v>
      </c>
      <c r="CI2360" t="s">
        <v>388</v>
      </c>
      <c r="CJ2360" s="14">
        <v>45015</v>
      </c>
      <c r="CK2360">
        <v>1</v>
      </c>
    </row>
    <row r="2361" spans="1:89">
      <c r="A2361" t="s">
        <v>2096</v>
      </c>
      <c r="B2361" t="s">
        <v>374</v>
      </c>
      <c r="C2361" t="s">
        <v>2097</v>
      </c>
      <c r="D2361" t="s">
        <v>2966</v>
      </c>
      <c r="E2361" t="s">
        <v>2967</v>
      </c>
      <c r="F2361" s="13">
        <v>44616.334548611114</v>
      </c>
      <c r="G2361" t="s">
        <v>2890</v>
      </c>
      <c r="H2361" t="s">
        <v>2891</v>
      </c>
      <c r="I2361" s="13">
        <v>44616.341724537036</v>
      </c>
      <c r="K2361" t="s">
        <v>409</v>
      </c>
      <c r="R2361">
        <v>0</v>
      </c>
      <c r="S2361" t="s">
        <v>380</v>
      </c>
      <c r="T2361" t="s">
        <v>57</v>
      </c>
      <c r="V2361" t="s">
        <v>381</v>
      </c>
      <c r="W2361" t="s">
        <v>2955</v>
      </c>
      <c r="X2361" t="s">
        <v>2955</v>
      </c>
      <c r="AC2361" s="13">
        <v>44727</v>
      </c>
      <c r="AD2361" s="13">
        <v>44727</v>
      </c>
      <c r="AI2361">
        <v>111</v>
      </c>
      <c r="AL2361" t="s">
        <v>2968</v>
      </c>
      <c r="AN2361" t="s">
        <v>31</v>
      </c>
      <c r="AO2361">
        <v>0</v>
      </c>
      <c r="AS2361" t="s">
        <v>385</v>
      </c>
      <c r="AX2361" t="s">
        <v>57</v>
      </c>
      <c r="AY2361" t="s">
        <v>386</v>
      </c>
      <c r="AZ2361" t="s">
        <v>2957</v>
      </c>
      <c r="BE2361" t="s">
        <v>2958</v>
      </c>
      <c r="BF2361">
        <v>0</v>
      </c>
      <c r="BK2361" t="s">
        <v>31</v>
      </c>
      <c r="BS2361" t="s">
        <v>409</v>
      </c>
      <c r="BT2361" t="s">
        <v>409</v>
      </c>
      <c r="CI2361" t="s">
        <v>388</v>
      </c>
      <c r="CJ2361" s="14">
        <v>45015</v>
      </c>
      <c r="CK2361">
        <v>1</v>
      </c>
    </row>
    <row r="2362" spans="1:89">
      <c r="A2362" t="s">
        <v>2444</v>
      </c>
      <c r="B2362" t="s">
        <v>374</v>
      </c>
      <c r="C2362" t="s">
        <v>2445</v>
      </c>
      <c r="D2362" t="s">
        <v>2969</v>
      </c>
      <c r="E2362" t="s">
        <v>2970</v>
      </c>
      <c r="F2362" s="13">
        <v>44616.318472222221</v>
      </c>
      <c r="G2362" t="s">
        <v>1526</v>
      </c>
      <c r="H2362" t="s">
        <v>1527</v>
      </c>
      <c r="I2362" s="13">
        <v>44616.320509259262</v>
      </c>
      <c r="K2362" t="s">
        <v>412</v>
      </c>
      <c r="R2362">
        <v>0</v>
      </c>
      <c r="S2362" t="s">
        <v>380</v>
      </c>
      <c r="T2362" t="s">
        <v>57</v>
      </c>
      <c r="V2362" t="s">
        <v>381</v>
      </c>
      <c r="W2362" t="s">
        <v>2971</v>
      </c>
      <c r="X2362" t="s">
        <v>2971</v>
      </c>
      <c r="AC2362" s="13">
        <v>44643</v>
      </c>
      <c r="AD2362" s="13">
        <v>44643</v>
      </c>
      <c r="AI2362">
        <v>27</v>
      </c>
      <c r="AL2362" t="s">
        <v>2972</v>
      </c>
      <c r="AN2362" t="s">
        <v>31</v>
      </c>
      <c r="AO2362">
        <v>0</v>
      </c>
      <c r="AS2362" t="s">
        <v>538</v>
      </c>
      <c r="AX2362" t="s">
        <v>31</v>
      </c>
      <c r="AY2362" t="s">
        <v>442</v>
      </c>
      <c r="AZ2362" t="s">
        <v>2973</v>
      </c>
      <c r="BE2362" t="s">
        <v>2466</v>
      </c>
      <c r="BF2362">
        <v>0</v>
      </c>
      <c r="BK2362" t="s">
        <v>31</v>
      </c>
      <c r="BS2362" t="s">
        <v>412</v>
      </c>
      <c r="BT2362" t="s">
        <v>412</v>
      </c>
      <c r="CI2362" t="s">
        <v>388</v>
      </c>
      <c r="CJ2362" s="14">
        <v>45015</v>
      </c>
      <c r="CK2362">
        <v>1</v>
      </c>
    </row>
    <row r="2363" spans="1:89">
      <c r="A2363" t="s">
        <v>2096</v>
      </c>
      <c r="B2363" t="s">
        <v>374</v>
      </c>
      <c r="C2363" t="s">
        <v>2097</v>
      </c>
      <c r="D2363" t="s">
        <v>2974</v>
      </c>
      <c r="E2363" t="s">
        <v>2975</v>
      </c>
      <c r="F2363" s="13">
        <v>44616.217870370368</v>
      </c>
      <c r="G2363" t="s">
        <v>2100</v>
      </c>
      <c r="H2363" t="s">
        <v>2101</v>
      </c>
      <c r="I2363" s="13">
        <v>45012.043900462966</v>
      </c>
      <c r="K2363" t="s">
        <v>415</v>
      </c>
      <c r="M2363" s="13">
        <v>44681</v>
      </c>
      <c r="R2363">
        <v>0</v>
      </c>
      <c r="S2363" t="s">
        <v>380</v>
      </c>
      <c r="T2363" t="s">
        <v>57</v>
      </c>
      <c r="V2363" t="s">
        <v>478</v>
      </c>
      <c r="W2363" t="s">
        <v>2187</v>
      </c>
      <c r="X2363" t="s">
        <v>2187</v>
      </c>
      <c r="AC2363" s="13">
        <v>44681</v>
      </c>
      <c r="AD2363" s="13">
        <v>44681</v>
      </c>
      <c r="AF2363" t="s">
        <v>451</v>
      </c>
      <c r="AI2363">
        <v>-331</v>
      </c>
      <c r="AL2363" t="s">
        <v>2976</v>
      </c>
      <c r="AN2363" t="s">
        <v>31</v>
      </c>
      <c r="AO2363">
        <v>0</v>
      </c>
      <c r="AS2363" t="s">
        <v>648</v>
      </c>
      <c r="AX2363" t="s">
        <v>57</v>
      </c>
      <c r="AY2363" t="s">
        <v>386</v>
      </c>
      <c r="AZ2363" t="s">
        <v>2977</v>
      </c>
      <c r="BF2363">
        <v>0</v>
      </c>
      <c r="BK2363" t="s">
        <v>31</v>
      </c>
      <c r="BS2363" t="s">
        <v>419</v>
      </c>
      <c r="BT2363" t="s">
        <v>419</v>
      </c>
      <c r="CI2363" t="s">
        <v>388</v>
      </c>
      <c r="CJ2363" s="14">
        <v>45015</v>
      </c>
      <c r="CK2363">
        <v>1</v>
      </c>
    </row>
    <row r="2364" spans="1:89">
      <c r="A2364" t="s">
        <v>1522</v>
      </c>
      <c r="B2364" t="s">
        <v>374</v>
      </c>
      <c r="C2364" t="s">
        <v>1523</v>
      </c>
      <c r="D2364" t="s">
        <v>2978</v>
      </c>
      <c r="E2364" t="s">
        <v>2979</v>
      </c>
      <c r="F2364" s="13">
        <v>44615.913206018522</v>
      </c>
      <c r="G2364" t="s">
        <v>1526</v>
      </c>
      <c r="H2364" t="s">
        <v>1527</v>
      </c>
      <c r="I2364" s="13">
        <v>44615.915023148147</v>
      </c>
      <c r="K2364" t="s">
        <v>412</v>
      </c>
      <c r="R2364">
        <v>0</v>
      </c>
      <c r="S2364" t="s">
        <v>380</v>
      </c>
      <c r="T2364" t="s">
        <v>57</v>
      </c>
      <c r="V2364" t="s">
        <v>381</v>
      </c>
      <c r="W2364" t="s">
        <v>2980</v>
      </c>
      <c r="X2364" t="s">
        <v>2980</v>
      </c>
      <c r="AC2364" s="13">
        <v>44697</v>
      </c>
      <c r="AD2364" s="13">
        <v>44697</v>
      </c>
      <c r="AI2364">
        <v>82</v>
      </c>
      <c r="AL2364" t="s">
        <v>2981</v>
      </c>
      <c r="AN2364" t="s">
        <v>31</v>
      </c>
      <c r="AO2364">
        <v>0</v>
      </c>
      <c r="AS2364" t="s">
        <v>385</v>
      </c>
      <c r="AX2364" t="s">
        <v>31</v>
      </c>
      <c r="AY2364" t="s">
        <v>442</v>
      </c>
      <c r="AZ2364" t="s">
        <v>2982</v>
      </c>
      <c r="BF2364">
        <v>0</v>
      </c>
      <c r="BK2364" t="s">
        <v>31</v>
      </c>
      <c r="BS2364" t="s">
        <v>412</v>
      </c>
      <c r="BT2364" t="s">
        <v>412</v>
      </c>
      <c r="CI2364" t="s">
        <v>388</v>
      </c>
      <c r="CJ2364" s="14">
        <v>45015</v>
      </c>
      <c r="CK2364">
        <v>1</v>
      </c>
    </row>
    <row r="2365" spans="1:89">
      <c r="A2365" t="s">
        <v>2927</v>
      </c>
      <c r="B2365" t="s">
        <v>374</v>
      </c>
      <c r="C2365" t="s">
        <v>2928</v>
      </c>
      <c r="D2365" t="s">
        <v>2983</v>
      </c>
      <c r="E2365" t="s">
        <v>2984</v>
      </c>
      <c r="F2365" s="13">
        <v>44615.626435185186</v>
      </c>
      <c r="G2365" t="s">
        <v>2985</v>
      </c>
      <c r="H2365" t="s">
        <v>2986</v>
      </c>
      <c r="I2365" s="13">
        <v>45012.043888888889</v>
      </c>
      <c r="K2365" t="s">
        <v>415</v>
      </c>
      <c r="M2365" s="13">
        <v>44925</v>
      </c>
      <c r="R2365">
        <v>25</v>
      </c>
      <c r="S2365" t="s">
        <v>380</v>
      </c>
      <c r="T2365" t="s">
        <v>57</v>
      </c>
      <c r="V2365" t="s">
        <v>478</v>
      </c>
      <c r="W2365" t="s">
        <v>2987</v>
      </c>
      <c r="X2365" t="s">
        <v>2987</v>
      </c>
      <c r="AF2365" t="s">
        <v>451</v>
      </c>
      <c r="AG2365" t="s">
        <v>2988</v>
      </c>
      <c r="AI2365">
        <v>-87</v>
      </c>
      <c r="AL2365" t="s">
        <v>2989</v>
      </c>
      <c r="AN2365" t="s">
        <v>31</v>
      </c>
      <c r="AO2365">
        <v>0</v>
      </c>
      <c r="AS2365" t="s">
        <v>461</v>
      </c>
      <c r="AX2365" t="s">
        <v>31</v>
      </c>
      <c r="AY2365" t="s">
        <v>442</v>
      </c>
      <c r="AZ2365" t="s">
        <v>2990</v>
      </c>
      <c r="BF2365">
        <v>0</v>
      </c>
      <c r="BK2365" t="s">
        <v>31</v>
      </c>
      <c r="BS2365" t="s">
        <v>419</v>
      </c>
      <c r="BT2365" t="s">
        <v>419</v>
      </c>
      <c r="CI2365" t="s">
        <v>388</v>
      </c>
      <c r="CJ2365" s="14">
        <v>45015</v>
      </c>
      <c r="CK2365">
        <v>1</v>
      </c>
    </row>
    <row r="2366" spans="1:89">
      <c r="A2366" t="s">
        <v>2927</v>
      </c>
      <c r="B2366" t="s">
        <v>374</v>
      </c>
      <c r="C2366" t="s">
        <v>2928</v>
      </c>
      <c r="D2366" t="s">
        <v>2991</v>
      </c>
      <c r="E2366" t="s">
        <v>2992</v>
      </c>
      <c r="F2366" s="13">
        <v>44615.615520833337</v>
      </c>
      <c r="G2366" t="s">
        <v>2985</v>
      </c>
      <c r="H2366" t="s">
        <v>2986</v>
      </c>
      <c r="I2366" s="13">
        <v>45012.043888888889</v>
      </c>
      <c r="K2366" t="s">
        <v>415</v>
      </c>
      <c r="M2366" s="13">
        <v>44925</v>
      </c>
      <c r="R2366">
        <v>10</v>
      </c>
      <c r="S2366" t="s">
        <v>380</v>
      </c>
      <c r="T2366" t="s">
        <v>57</v>
      </c>
      <c r="V2366" t="s">
        <v>478</v>
      </c>
      <c r="W2366" t="s">
        <v>2993</v>
      </c>
      <c r="X2366" t="s">
        <v>2993</v>
      </c>
      <c r="AF2366" t="s">
        <v>451</v>
      </c>
      <c r="AG2366" t="s">
        <v>2994</v>
      </c>
      <c r="AI2366">
        <v>-87</v>
      </c>
      <c r="AL2366" t="s">
        <v>2995</v>
      </c>
      <c r="AN2366" t="s">
        <v>31</v>
      </c>
      <c r="AO2366">
        <v>0</v>
      </c>
      <c r="AS2366" t="s">
        <v>392</v>
      </c>
      <c r="AX2366" t="s">
        <v>31</v>
      </c>
      <c r="AY2366" t="s">
        <v>442</v>
      </c>
      <c r="AZ2366" t="s">
        <v>2996</v>
      </c>
      <c r="BF2366">
        <v>0</v>
      </c>
      <c r="BK2366" t="s">
        <v>31</v>
      </c>
      <c r="BS2366" t="s">
        <v>419</v>
      </c>
      <c r="BT2366" t="s">
        <v>419</v>
      </c>
      <c r="CI2366" t="s">
        <v>388</v>
      </c>
      <c r="CJ2366" s="14">
        <v>45015</v>
      </c>
      <c r="CK2366">
        <v>1</v>
      </c>
    </row>
    <row r="2367" spans="1:89">
      <c r="A2367" t="s">
        <v>2096</v>
      </c>
      <c r="B2367" t="s">
        <v>374</v>
      </c>
      <c r="C2367" t="s">
        <v>2097</v>
      </c>
      <c r="D2367" t="s">
        <v>2997</v>
      </c>
      <c r="E2367" t="s">
        <v>2998</v>
      </c>
      <c r="F2367" s="13">
        <v>44615.593402777777</v>
      </c>
      <c r="G2367" t="s">
        <v>2890</v>
      </c>
      <c r="H2367" t="s">
        <v>2891</v>
      </c>
      <c r="I2367" s="13">
        <v>45012.043888888889</v>
      </c>
      <c r="K2367" t="s">
        <v>415</v>
      </c>
      <c r="M2367" s="13">
        <v>44681</v>
      </c>
      <c r="R2367">
        <v>0</v>
      </c>
      <c r="S2367" t="s">
        <v>380</v>
      </c>
      <c r="T2367" t="s">
        <v>57</v>
      </c>
      <c r="V2367" t="s">
        <v>478</v>
      </c>
      <c r="W2367" t="s">
        <v>2187</v>
      </c>
      <c r="X2367" t="s">
        <v>2187</v>
      </c>
      <c r="AC2367" s="13">
        <v>44681</v>
      </c>
      <c r="AD2367" s="13">
        <v>44681</v>
      </c>
      <c r="AF2367" t="s">
        <v>451</v>
      </c>
      <c r="AI2367">
        <v>-331</v>
      </c>
      <c r="AL2367" t="s">
        <v>2999</v>
      </c>
      <c r="AN2367" t="s">
        <v>31</v>
      </c>
      <c r="AO2367">
        <v>0</v>
      </c>
      <c r="AS2367" t="s">
        <v>385</v>
      </c>
      <c r="AX2367" t="s">
        <v>57</v>
      </c>
      <c r="AY2367" t="s">
        <v>386</v>
      </c>
      <c r="AZ2367" t="s">
        <v>3000</v>
      </c>
      <c r="BE2367">
        <v>55</v>
      </c>
      <c r="BF2367">
        <v>0</v>
      </c>
      <c r="BK2367" t="s">
        <v>31</v>
      </c>
      <c r="BS2367" t="s">
        <v>419</v>
      </c>
      <c r="BT2367" t="s">
        <v>419</v>
      </c>
      <c r="CI2367" t="s">
        <v>388</v>
      </c>
      <c r="CJ2367" s="14">
        <v>45015</v>
      </c>
      <c r="CK2367">
        <v>1</v>
      </c>
    </row>
    <row r="2368" spans="1:89">
      <c r="A2368" t="s">
        <v>2927</v>
      </c>
      <c r="B2368" t="s">
        <v>374</v>
      </c>
      <c r="C2368" t="s">
        <v>2928</v>
      </c>
      <c r="D2368" t="s">
        <v>3001</v>
      </c>
      <c r="E2368" t="s">
        <v>3002</v>
      </c>
      <c r="F2368" s="13">
        <v>44615.580185185187</v>
      </c>
      <c r="G2368" t="s">
        <v>3003</v>
      </c>
      <c r="H2368" t="s">
        <v>3004</v>
      </c>
      <c r="I2368" s="13">
        <v>44959.443726851852</v>
      </c>
      <c r="K2368" t="s">
        <v>379</v>
      </c>
      <c r="M2368" s="13">
        <v>44895</v>
      </c>
      <c r="R2368">
        <v>100</v>
      </c>
      <c r="S2368" t="s">
        <v>380</v>
      </c>
      <c r="T2368" t="s">
        <v>57</v>
      </c>
      <c r="V2368" t="s">
        <v>478</v>
      </c>
      <c r="W2368" t="s">
        <v>2326</v>
      </c>
      <c r="X2368" t="s">
        <v>2326</v>
      </c>
      <c r="AF2368" t="s">
        <v>382</v>
      </c>
      <c r="AG2368" t="s">
        <v>3005</v>
      </c>
      <c r="AI2368">
        <v>-64</v>
      </c>
      <c r="AJ2368" s="13">
        <v>44959</v>
      </c>
      <c r="AL2368" t="s">
        <v>3006</v>
      </c>
      <c r="AN2368" t="s">
        <v>31</v>
      </c>
      <c r="AO2368">
        <v>0</v>
      </c>
      <c r="AR2368" t="s">
        <v>3007</v>
      </c>
      <c r="AS2368" t="s">
        <v>385</v>
      </c>
      <c r="AX2368" t="s">
        <v>31</v>
      </c>
      <c r="AY2368" t="s">
        <v>442</v>
      </c>
      <c r="AZ2368" t="s">
        <v>3008</v>
      </c>
      <c r="BF2368">
        <v>0</v>
      </c>
      <c r="BK2368" t="s">
        <v>31</v>
      </c>
      <c r="BS2368" t="s">
        <v>379</v>
      </c>
      <c r="BT2368" t="s">
        <v>379</v>
      </c>
      <c r="CI2368" t="s">
        <v>388</v>
      </c>
      <c r="CJ2368" s="14">
        <v>45015</v>
      </c>
      <c r="CK2368">
        <v>1</v>
      </c>
    </row>
    <row r="2369" spans="1:89">
      <c r="A2369" t="s">
        <v>2927</v>
      </c>
      <c r="B2369" t="s">
        <v>374</v>
      </c>
      <c r="C2369" t="s">
        <v>2928</v>
      </c>
      <c r="D2369" t="s">
        <v>3009</v>
      </c>
      <c r="E2369" t="s">
        <v>3010</v>
      </c>
      <c r="F2369" s="13">
        <v>44615.577152777776</v>
      </c>
      <c r="G2369" t="s">
        <v>2985</v>
      </c>
      <c r="H2369" t="s">
        <v>2986</v>
      </c>
      <c r="I2369" s="13">
        <v>45012.043888888889</v>
      </c>
      <c r="K2369" t="s">
        <v>415</v>
      </c>
      <c r="M2369" s="13">
        <v>44712</v>
      </c>
      <c r="R2369">
        <v>95</v>
      </c>
      <c r="S2369" t="s">
        <v>380</v>
      </c>
      <c r="T2369" t="s">
        <v>57</v>
      </c>
      <c r="V2369" t="s">
        <v>478</v>
      </c>
      <c r="W2369" t="s">
        <v>3011</v>
      </c>
      <c r="X2369" t="s">
        <v>3011</v>
      </c>
      <c r="AF2369" t="s">
        <v>451</v>
      </c>
      <c r="AG2369" t="s">
        <v>3012</v>
      </c>
      <c r="AI2369">
        <v>-300</v>
      </c>
      <c r="AL2369" t="s">
        <v>3013</v>
      </c>
      <c r="AN2369" t="s">
        <v>31</v>
      </c>
      <c r="AO2369">
        <v>0</v>
      </c>
      <c r="AS2369" t="s">
        <v>392</v>
      </c>
      <c r="AX2369" t="s">
        <v>31</v>
      </c>
      <c r="AY2369" t="s">
        <v>442</v>
      </c>
      <c r="AZ2369" t="s">
        <v>3014</v>
      </c>
      <c r="BF2369">
        <v>0</v>
      </c>
      <c r="BK2369" t="s">
        <v>31</v>
      </c>
      <c r="BS2369" t="s">
        <v>419</v>
      </c>
      <c r="BT2369" t="s">
        <v>419</v>
      </c>
      <c r="CI2369" t="s">
        <v>388</v>
      </c>
      <c r="CJ2369" s="14">
        <v>45015</v>
      </c>
      <c r="CK2369">
        <v>1</v>
      </c>
    </row>
    <row r="2370" spans="1:89">
      <c r="A2370" t="s">
        <v>2927</v>
      </c>
      <c r="B2370" t="s">
        <v>374</v>
      </c>
      <c r="C2370" t="s">
        <v>2928</v>
      </c>
      <c r="D2370" t="s">
        <v>3015</v>
      </c>
      <c r="E2370" t="s">
        <v>3016</v>
      </c>
      <c r="F2370" s="13">
        <v>44615.568981481483</v>
      </c>
      <c r="G2370" t="s">
        <v>2931</v>
      </c>
      <c r="H2370" t="s">
        <v>2932</v>
      </c>
      <c r="I2370" s="13">
        <v>45012.043877314813</v>
      </c>
      <c r="K2370" t="s">
        <v>415</v>
      </c>
      <c r="M2370" s="13">
        <v>44651</v>
      </c>
      <c r="R2370">
        <v>80</v>
      </c>
      <c r="S2370" t="s">
        <v>380</v>
      </c>
      <c r="T2370" t="s">
        <v>57</v>
      </c>
      <c r="V2370" t="s">
        <v>478</v>
      </c>
      <c r="W2370" t="s">
        <v>3017</v>
      </c>
      <c r="X2370" t="s">
        <v>3017</v>
      </c>
      <c r="AF2370" t="s">
        <v>451</v>
      </c>
      <c r="AG2370" t="s">
        <v>3018</v>
      </c>
      <c r="AI2370">
        <v>-361</v>
      </c>
      <c r="AL2370" t="s">
        <v>3019</v>
      </c>
      <c r="AN2370" t="s">
        <v>31</v>
      </c>
      <c r="AO2370">
        <v>0</v>
      </c>
      <c r="AS2370" t="s">
        <v>385</v>
      </c>
      <c r="AX2370" t="s">
        <v>31</v>
      </c>
      <c r="AY2370" t="s">
        <v>386</v>
      </c>
      <c r="AZ2370" t="s">
        <v>3020</v>
      </c>
      <c r="BF2370">
        <v>0</v>
      </c>
      <c r="BK2370" t="s">
        <v>31</v>
      </c>
      <c r="BS2370" t="s">
        <v>419</v>
      </c>
      <c r="BT2370" t="s">
        <v>419</v>
      </c>
      <c r="CI2370" t="s">
        <v>388</v>
      </c>
      <c r="CJ2370" s="14">
        <v>45015</v>
      </c>
      <c r="CK2370">
        <v>1</v>
      </c>
    </row>
    <row r="2371" spans="1:89">
      <c r="A2371" t="s">
        <v>2927</v>
      </c>
      <c r="B2371" t="s">
        <v>374</v>
      </c>
      <c r="C2371" t="s">
        <v>2928</v>
      </c>
      <c r="D2371" t="s">
        <v>3021</v>
      </c>
      <c r="E2371" t="s">
        <v>3022</v>
      </c>
      <c r="F2371" s="13">
        <v>44615.552349537036</v>
      </c>
      <c r="G2371" t="s">
        <v>3003</v>
      </c>
      <c r="H2371" t="s">
        <v>3004</v>
      </c>
      <c r="I2371" s="13">
        <v>45012.043877314813</v>
      </c>
      <c r="K2371" t="s">
        <v>415</v>
      </c>
      <c r="M2371" s="13">
        <v>44713</v>
      </c>
      <c r="R2371">
        <v>50</v>
      </c>
      <c r="S2371" t="s">
        <v>380</v>
      </c>
      <c r="T2371" t="s">
        <v>57</v>
      </c>
      <c r="V2371" t="s">
        <v>478</v>
      </c>
      <c r="W2371" t="s">
        <v>3023</v>
      </c>
      <c r="X2371" t="s">
        <v>3023</v>
      </c>
      <c r="AF2371" t="s">
        <v>451</v>
      </c>
      <c r="AG2371" t="s">
        <v>3024</v>
      </c>
      <c r="AI2371">
        <v>-299</v>
      </c>
      <c r="AL2371" t="s">
        <v>3025</v>
      </c>
      <c r="AN2371" t="s">
        <v>31</v>
      </c>
      <c r="AO2371">
        <v>0</v>
      </c>
      <c r="AS2371" t="s">
        <v>385</v>
      </c>
      <c r="AX2371" t="s">
        <v>31</v>
      </c>
      <c r="AY2371" t="s">
        <v>386</v>
      </c>
      <c r="AZ2371" t="s">
        <v>3026</v>
      </c>
      <c r="BF2371">
        <v>0</v>
      </c>
      <c r="BK2371" t="s">
        <v>31</v>
      </c>
      <c r="BS2371" t="s">
        <v>419</v>
      </c>
      <c r="BT2371" t="s">
        <v>419</v>
      </c>
      <c r="CI2371" t="s">
        <v>388</v>
      </c>
      <c r="CJ2371" s="14">
        <v>45015</v>
      </c>
      <c r="CK2371">
        <v>1</v>
      </c>
    </row>
    <row r="2372" spans="1:89">
      <c r="A2372" t="s">
        <v>2927</v>
      </c>
      <c r="B2372" t="s">
        <v>374</v>
      </c>
      <c r="C2372" t="s">
        <v>2928</v>
      </c>
      <c r="D2372" t="s">
        <v>3027</v>
      </c>
      <c r="E2372" t="s">
        <v>3028</v>
      </c>
      <c r="F2372" s="13">
        <v>44615.552303240744</v>
      </c>
      <c r="G2372" t="s">
        <v>2931</v>
      </c>
      <c r="H2372" t="s">
        <v>2932</v>
      </c>
      <c r="I2372" s="13">
        <v>45012.043877314813</v>
      </c>
      <c r="K2372" t="s">
        <v>415</v>
      </c>
      <c r="M2372" s="13">
        <v>44651</v>
      </c>
      <c r="R2372">
        <v>80</v>
      </c>
      <c r="S2372" t="s">
        <v>380</v>
      </c>
      <c r="T2372" t="s">
        <v>57</v>
      </c>
      <c r="V2372" t="s">
        <v>478</v>
      </c>
      <c r="W2372" t="s">
        <v>3029</v>
      </c>
      <c r="X2372" t="s">
        <v>3029</v>
      </c>
      <c r="AF2372" t="s">
        <v>451</v>
      </c>
      <c r="AG2372" t="s">
        <v>3030</v>
      </c>
      <c r="AI2372">
        <v>-361</v>
      </c>
      <c r="AL2372" t="s">
        <v>3031</v>
      </c>
      <c r="AN2372" t="s">
        <v>31</v>
      </c>
      <c r="AO2372">
        <v>0</v>
      </c>
      <c r="AS2372" t="s">
        <v>385</v>
      </c>
      <c r="AX2372" t="s">
        <v>31</v>
      </c>
      <c r="AY2372" t="s">
        <v>386</v>
      </c>
      <c r="AZ2372" t="s">
        <v>3032</v>
      </c>
      <c r="BE2372" t="s">
        <v>3033</v>
      </c>
      <c r="BF2372">
        <v>0</v>
      </c>
      <c r="BK2372" t="s">
        <v>31</v>
      </c>
      <c r="BS2372" t="s">
        <v>419</v>
      </c>
      <c r="BT2372" t="s">
        <v>419</v>
      </c>
      <c r="CI2372" t="s">
        <v>388</v>
      </c>
      <c r="CJ2372" s="14">
        <v>45015</v>
      </c>
      <c r="CK2372">
        <v>1</v>
      </c>
    </row>
    <row r="2373" spans="1:89">
      <c r="A2373" t="s">
        <v>1655</v>
      </c>
      <c r="B2373" t="s">
        <v>374</v>
      </c>
      <c r="C2373" t="s">
        <v>1656</v>
      </c>
      <c r="D2373" t="s">
        <v>3034</v>
      </c>
      <c r="E2373" t="s">
        <v>3035</v>
      </c>
      <c r="F2373" s="13">
        <v>44615.488622685189</v>
      </c>
      <c r="G2373" t="s">
        <v>2777</v>
      </c>
      <c r="H2373" t="s">
        <v>2778</v>
      </c>
      <c r="I2373" s="13">
        <v>45012.043865740743</v>
      </c>
      <c r="K2373" t="s">
        <v>415</v>
      </c>
      <c r="M2373" s="13">
        <v>44834</v>
      </c>
      <c r="R2373">
        <v>0</v>
      </c>
      <c r="S2373" t="s">
        <v>380</v>
      </c>
      <c r="T2373" t="s">
        <v>57</v>
      </c>
      <c r="V2373" t="s">
        <v>478</v>
      </c>
      <c r="W2373" t="s">
        <v>2353</v>
      </c>
      <c r="X2373" t="s">
        <v>2353</v>
      </c>
      <c r="AC2373" s="13">
        <v>44925</v>
      </c>
      <c r="AD2373" s="13">
        <v>44895</v>
      </c>
      <c r="AF2373" t="s">
        <v>451</v>
      </c>
      <c r="AI2373">
        <v>-178</v>
      </c>
      <c r="AL2373" t="s">
        <v>2354</v>
      </c>
      <c r="AN2373" t="s">
        <v>31</v>
      </c>
      <c r="AO2373">
        <v>0</v>
      </c>
      <c r="AS2373" t="s">
        <v>392</v>
      </c>
      <c r="AX2373" t="s">
        <v>31</v>
      </c>
      <c r="AY2373" t="s">
        <v>442</v>
      </c>
      <c r="AZ2373" t="s">
        <v>3036</v>
      </c>
      <c r="BE2373" t="s">
        <v>3037</v>
      </c>
      <c r="BF2373">
        <v>0</v>
      </c>
      <c r="BK2373" t="s">
        <v>31</v>
      </c>
      <c r="BS2373" t="s">
        <v>419</v>
      </c>
      <c r="BT2373" t="s">
        <v>419</v>
      </c>
      <c r="CI2373" t="s">
        <v>388</v>
      </c>
      <c r="CJ2373" s="14">
        <v>45015</v>
      </c>
      <c r="CK2373">
        <v>1</v>
      </c>
    </row>
    <row r="2374" spans="1:89">
      <c r="A2374" t="s">
        <v>2927</v>
      </c>
      <c r="B2374" t="s">
        <v>374</v>
      </c>
      <c r="C2374" t="s">
        <v>2928</v>
      </c>
      <c r="D2374" t="s">
        <v>3038</v>
      </c>
      <c r="E2374" t="s">
        <v>3039</v>
      </c>
      <c r="F2374" s="13">
        <v>44615.468900462962</v>
      </c>
      <c r="G2374" t="s">
        <v>2931</v>
      </c>
      <c r="H2374" t="s">
        <v>2932</v>
      </c>
      <c r="I2374" s="13">
        <v>45012.043865740743</v>
      </c>
      <c r="K2374" t="s">
        <v>415</v>
      </c>
      <c r="M2374" s="13">
        <v>44651</v>
      </c>
      <c r="R2374">
        <v>80</v>
      </c>
      <c r="S2374" t="s">
        <v>380</v>
      </c>
      <c r="T2374" t="s">
        <v>57</v>
      </c>
      <c r="V2374" t="s">
        <v>478</v>
      </c>
      <c r="W2374" t="s">
        <v>3029</v>
      </c>
      <c r="X2374" t="s">
        <v>3029</v>
      </c>
      <c r="AF2374" t="s">
        <v>451</v>
      </c>
      <c r="AG2374" t="s">
        <v>3040</v>
      </c>
      <c r="AI2374">
        <v>-361</v>
      </c>
      <c r="AL2374" t="s">
        <v>3041</v>
      </c>
      <c r="AN2374" t="s">
        <v>31</v>
      </c>
      <c r="AO2374">
        <v>0</v>
      </c>
      <c r="AS2374" t="s">
        <v>385</v>
      </c>
      <c r="AX2374" t="s">
        <v>31</v>
      </c>
      <c r="AY2374" t="s">
        <v>386</v>
      </c>
      <c r="AZ2374" t="s">
        <v>3042</v>
      </c>
      <c r="BF2374">
        <v>0</v>
      </c>
      <c r="BK2374" t="s">
        <v>31</v>
      </c>
      <c r="BS2374" t="s">
        <v>419</v>
      </c>
      <c r="BT2374" t="s">
        <v>419</v>
      </c>
      <c r="CI2374" t="s">
        <v>388</v>
      </c>
      <c r="CJ2374" s="14">
        <v>45015</v>
      </c>
      <c r="CK2374">
        <v>1</v>
      </c>
    </row>
    <row r="2375" spans="1:89">
      <c r="A2375" t="s">
        <v>2927</v>
      </c>
      <c r="B2375" t="s">
        <v>374</v>
      </c>
      <c r="C2375" t="s">
        <v>2928</v>
      </c>
      <c r="D2375" t="s">
        <v>3043</v>
      </c>
      <c r="E2375" t="s">
        <v>3044</v>
      </c>
      <c r="F2375" s="13">
        <v>44615.440416666665</v>
      </c>
      <c r="G2375" t="s">
        <v>3003</v>
      </c>
      <c r="H2375" t="s">
        <v>3004</v>
      </c>
      <c r="I2375" s="13">
        <v>45012.043865740743</v>
      </c>
      <c r="K2375" t="s">
        <v>415</v>
      </c>
      <c r="M2375" s="13">
        <v>44651</v>
      </c>
      <c r="R2375">
        <v>90</v>
      </c>
      <c r="S2375" t="s">
        <v>380</v>
      </c>
      <c r="T2375" t="s">
        <v>57</v>
      </c>
      <c r="V2375" t="s">
        <v>478</v>
      </c>
      <c r="W2375" t="s">
        <v>3045</v>
      </c>
      <c r="X2375" t="s">
        <v>3045</v>
      </c>
      <c r="AF2375" t="s">
        <v>451</v>
      </c>
      <c r="AG2375" t="s">
        <v>3046</v>
      </c>
      <c r="AI2375">
        <v>-361</v>
      </c>
      <c r="AL2375" t="s">
        <v>3047</v>
      </c>
      <c r="AN2375" t="s">
        <v>31</v>
      </c>
      <c r="AO2375">
        <v>0</v>
      </c>
      <c r="AS2375" t="s">
        <v>385</v>
      </c>
      <c r="AX2375" t="s">
        <v>31</v>
      </c>
      <c r="AY2375" t="s">
        <v>386</v>
      </c>
      <c r="AZ2375" t="s">
        <v>3048</v>
      </c>
      <c r="BF2375">
        <v>0</v>
      </c>
      <c r="BK2375" t="s">
        <v>31</v>
      </c>
      <c r="BS2375" t="s">
        <v>419</v>
      </c>
      <c r="BT2375" t="s">
        <v>419</v>
      </c>
      <c r="CI2375" t="s">
        <v>388</v>
      </c>
      <c r="CJ2375" s="14">
        <v>45015</v>
      </c>
      <c r="CK2375">
        <v>1</v>
      </c>
    </row>
    <row r="2376" spans="1:89">
      <c r="A2376" t="s">
        <v>1655</v>
      </c>
      <c r="B2376" t="s">
        <v>374</v>
      </c>
      <c r="C2376" t="s">
        <v>1656</v>
      </c>
      <c r="D2376" t="s">
        <v>3049</v>
      </c>
      <c r="E2376" t="s">
        <v>3050</v>
      </c>
      <c r="F2376" s="13">
        <v>44615.407557870371</v>
      </c>
      <c r="G2376" t="s">
        <v>2777</v>
      </c>
      <c r="H2376" t="s">
        <v>2778</v>
      </c>
      <c r="I2376" s="13">
        <v>45012.043865740743</v>
      </c>
      <c r="K2376" t="s">
        <v>415</v>
      </c>
      <c r="M2376" s="13">
        <v>44774</v>
      </c>
      <c r="R2376">
        <v>0</v>
      </c>
      <c r="S2376" t="s">
        <v>380</v>
      </c>
      <c r="T2376" t="s">
        <v>57</v>
      </c>
      <c r="V2376" t="s">
        <v>478</v>
      </c>
      <c r="W2376" t="s">
        <v>2353</v>
      </c>
      <c r="X2376" t="s">
        <v>2353</v>
      </c>
      <c r="AC2376" s="13">
        <v>44742</v>
      </c>
      <c r="AD2376" s="13">
        <v>44071</v>
      </c>
      <c r="AF2376" t="s">
        <v>451</v>
      </c>
      <c r="AI2376">
        <v>-238</v>
      </c>
      <c r="AL2376" t="s">
        <v>2354</v>
      </c>
      <c r="AN2376" t="s">
        <v>31</v>
      </c>
      <c r="AO2376">
        <v>0</v>
      </c>
      <c r="AS2376" t="s">
        <v>392</v>
      </c>
      <c r="AX2376" t="s">
        <v>31</v>
      </c>
      <c r="AY2376" t="s">
        <v>386</v>
      </c>
      <c r="AZ2376" t="s">
        <v>3051</v>
      </c>
      <c r="BE2376" t="s">
        <v>1404</v>
      </c>
      <c r="BF2376">
        <v>0</v>
      </c>
      <c r="BK2376" t="s">
        <v>31</v>
      </c>
      <c r="BS2376" t="s">
        <v>419</v>
      </c>
      <c r="BT2376" t="s">
        <v>419</v>
      </c>
      <c r="CI2376" t="s">
        <v>388</v>
      </c>
      <c r="CJ2376" s="14">
        <v>45015</v>
      </c>
      <c r="CK2376">
        <v>1</v>
      </c>
    </row>
    <row r="2377" spans="1:89">
      <c r="A2377" t="s">
        <v>1655</v>
      </c>
      <c r="B2377" t="s">
        <v>374</v>
      </c>
      <c r="C2377" t="s">
        <v>1656</v>
      </c>
      <c r="D2377" t="s">
        <v>3052</v>
      </c>
      <c r="E2377" t="s">
        <v>3053</v>
      </c>
      <c r="F2377" s="13">
        <v>44615.392743055556</v>
      </c>
      <c r="G2377" t="s">
        <v>2777</v>
      </c>
      <c r="H2377" t="s">
        <v>2778</v>
      </c>
      <c r="I2377" s="13">
        <v>44623.670370370368</v>
      </c>
      <c r="K2377" t="s">
        <v>409</v>
      </c>
      <c r="R2377">
        <v>0</v>
      </c>
      <c r="S2377" t="s">
        <v>380</v>
      </c>
      <c r="V2377" t="s">
        <v>381</v>
      </c>
      <c r="W2377" t="s">
        <v>3054</v>
      </c>
      <c r="X2377" t="s">
        <v>3054</v>
      </c>
      <c r="AI2377">
        <v>36</v>
      </c>
      <c r="AL2377" t="s">
        <v>3055</v>
      </c>
      <c r="AN2377" t="s">
        <v>31</v>
      </c>
      <c r="AO2377">
        <v>0</v>
      </c>
      <c r="AZ2377" t="s">
        <v>3056</v>
      </c>
      <c r="BF2377">
        <v>0</v>
      </c>
      <c r="BK2377" t="s">
        <v>31</v>
      </c>
      <c r="BS2377" t="s">
        <v>409</v>
      </c>
      <c r="BT2377" t="s">
        <v>409</v>
      </c>
      <c r="CI2377" t="s">
        <v>388</v>
      </c>
      <c r="CJ2377" s="14">
        <v>45015</v>
      </c>
      <c r="CK2377">
        <v>1</v>
      </c>
    </row>
    <row r="2378" spans="1:89">
      <c r="A2378" t="s">
        <v>2927</v>
      </c>
      <c r="B2378" t="s">
        <v>374</v>
      </c>
      <c r="C2378" t="s">
        <v>2928</v>
      </c>
      <c r="D2378" t="s">
        <v>3057</v>
      </c>
      <c r="E2378" t="s">
        <v>3058</v>
      </c>
      <c r="F2378" s="13">
        <v>44615.391747685186</v>
      </c>
      <c r="G2378" t="s">
        <v>3003</v>
      </c>
      <c r="H2378" t="s">
        <v>3004</v>
      </c>
      <c r="I2378" s="13">
        <v>45012.043854166666</v>
      </c>
      <c r="K2378" t="s">
        <v>415</v>
      </c>
      <c r="M2378" s="13">
        <v>44621</v>
      </c>
      <c r="R2378">
        <v>80</v>
      </c>
      <c r="S2378" t="s">
        <v>416</v>
      </c>
      <c r="T2378" t="s">
        <v>57</v>
      </c>
      <c r="V2378" t="s">
        <v>478</v>
      </c>
      <c r="W2378" t="s">
        <v>3059</v>
      </c>
      <c r="X2378" t="s">
        <v>3059</v>
      </c>
      <c r="Y2378" t="s">
        <v>480</v>
      </c>
      <c r="AE2378" t="s">
        <v>3060</v>
      </c>
      <c r="AF2378" t="s">
        <v>451</v>
      </c>
      <c r="AG2378" t="s">
        <v>3061</v>
      </c>
      <c r="AI2378">
        <v>-391</v>
      </c>
      <c r="AL2378" t="s">
        <v>3062</v>
      </c>
      <c r="AN2378" t="s">
        <v>31</v>
      </c>
      <c r="AO2378">
        <v>0</v>
      </c>
      <c r="AS2378" t="s">
        <v>385</v>
      </c>
      <c r="AT2378" t="s">
        <v>57</v>
      </c>
      <c r="AV2378" s="13">
        <v>44681</v>
      </c>
      <c r="AX2378" t="s">
        <v>31</v>
      </c>
      <c r="AY2378" t="s">
        <v>442</v>
      </c>
      <c r="AZ2378" t="s">
        <v>3063</v>
      </c>
      <c r="BF2378">
        <v>0</v>
      </c>
      <c r="BK2378" t="s">
        <v>31</v>
      </c>
      <c r="BS2378" t="s">
        <v>484</v>
      </c>
      <c r="BT2378" t="s">
        <v>484</v>
      </c>
      <c r="CI2378" t="s">
        <v>388</v>
      </c>
      <c r="CJ2378" s="14">
        <v>45015</v>
      </c>
      <c r="CK2378">
        <v>1</v>
      </c>
    </row>
    <row r="2379" spans="1:89">
      <c r="A2379" t="s">
        <v>1655</v>
      </c>
      <c r="B2379" t="s">
        <v>374</v>
      </c>
      <c r="C2379" t="s">
        <v>1656</v>
      </c>
      <c r="D2379" t="s">
        <v>3064</v>
      </c>
      <c r="E2379" t="s">
        <v>3065</v>
      </c>
      <c r="F2379" s="13">
        <v>44614.947708333333</v>
      </c>
      <c r="G2379" t="s">
        <v>2777</v>
      </c>
      <c r="H2379" t="s">
        <v>2778</v>
      </c>
      <c r="I2379" s="13">
        <v>44623.670787037037</v>
      </c>
      <c r="K2379" t="s">
        <v>409</v>
      </c>
      <c r="R2379">
        <v>0</v>
      </c>
      <c r="S2379" t="s">
        <v>380</v>
      </c>
      <c r="V2379" t="s">
        <v>381</v>
      </c>
      <c r="W2379" t="s">
        <v>3054</v>
      </c>
      <c r="X2379" t="s">
        <v>3054</v>
      </c>
      <c r="AI2379">
        <v>37</v>
      </c>
      <c r="AL2379" t="s">
        <v>3066</v>
      </c>
      <c r="AN2379" t="s">
        <v>31</v>
      </c>
      <c r="AO2379">
        <v>0</v>
      </c>
      <c r="AZ2379" t="s">
        <v>3067</v>
      </c>
      <c r="BF2379">
        <v>0</v>
      </c>
      <c r="BK2379" t="s">
        <v>31</v>
      </c>
      <c r="BS2379" t="s">
        <v>409</v>
      </c>
      <c r="BT2379" t="s">
        <v>409</v>
      </c>
      <c r="CI2379" t="s">
        <v>388</v>
      </c>
      <c r="CJ2379" s="14">
        <v>45015</v>
      </c>
      <c r="CK2379">
        <v>1</v>
      </c>
    </row>
    <row r="2380" spans="1:89">
      <c r="A2380" t="s">
        <v>1655</v>
      </c>
      <c r="B2380" t="s">
        <v>374</v>
      </c>
      <c r="C2380" t="s">
        <v>1656</v>
      </c>
      <c r="D2380" t="s">
        <v>3068</v>
      </c>
      <c r="E2380" t="s">
        <v>3069</v>
      </c>
      <c r="F2380" s="13">
        <v>44614.695208333331</v>
      </c>
      <c r="G2380" t="s">
        <v>2777</v>
      </c>
      <c r="H2380" t="s">
        <v>2778</v>
      </c>
      <c r="I2380" s="13">
        <v>44622.506724537037</v>
      </c>
      <c r="K2380" t="s">
        <v>379</v>
      </c>
      <c r="M2380" s="13">
        <v>44620</v>
      </c>
      <c r="R2380">
        <v>100</v>
      </c>
      <c r="S2380" t="s">
        <v>380</v>
      </c>
      <c r="T2380" t="s">
        <v>57</v>
      </c>
      <c r="V2380" t="s">
        <v>478</v>
      </c>
      <c r="W2380" t="s">
        <v>2787</v>
      </c>
      <c r="X2380" t="s">
        <v>2787</v>
      </c>
      <c r="AC2380" s="13">
        <v>44680</v>
      </c>
      <c r="AD2380" s="13">
        <v>44651</v>
      </c>
      <c r="AF2380" t="s">
        <v>382</v>
      </c>
      <c r="AG2380" t="s">
        <v>3070</v>
      </c>
      <c r="AI2380">
        <v>-2</v>
      </c>
      <c r="AJ2380" s="13">
        <v>44621</v>
      </c>
      <c r="AL2380" t="s">
        <v>2788</v>
      </c>
      <c r="AN2380" t="s">
        <v>31</v>
      </c>
      <c r="AO2380">
        <v>0</v>
      </c>
      <c r="AR2380" t="s">
        <v>3071</v>
      </c>
      <c r="AS2380" t="s">
        <v>648</v>
      </c>
      <c r="AX2380" t="s">
        <v>31</v>
      </c>
      <c r="AY2380" t="s">
        <v>442</v>
      </c>
      <c r="AZ2380" t="s">
        <v>3072</v>
      </c>
      <c r="BE2380" t="s">
        <v>1404</v>
      </c>
      <c r="BF2380">
        <v>0</v>
      </c>
      <c r="BK2380" t="s">
        <v>31</v>
      </c>
      <c r="BS2380" t="s">
        <v>379</v>
      </c>
      <c r="BT2380" t="s">
        <v>379</v>
      </c>
      <c r="CI2380" t="s">
        <v>388</v>
      </c>
      <c r="CJ2380" s="14">
        <v>45015</v>
      </c>
      <c r="CK2380">
        <v>1</v>
      </c>
    </row>
    <row r="2381" spans="1:89">
      <c r="A2381" t="s">
        <v>2927</v>
      </c>
      <c r="B2381" t="s">
        <v>374</v>
      </c>
      <c r="C2381" t="s">
        <v>2928</v>
      </c>
      <c r="D2381" t="s">
        <v>3073</v>
      </c>
      <c r="E2381" t="s">
        <v>3074</v>
      </c>
      <c r="F2381" s="13">
        <v>44614.525671296295</v>
      </c>
      <c r="G2381" t="s">
        <v>3003</v>
      </c>
      <c r="H2381" t="s">
        <v>3004</v>
      </c>
      <c r="I2381" s="13">
        <v>45012.043854166666</v>
      </c>
      <c r="K2381" t="s">
        <v>415</v>
      </c>
      <c r="M2381" s="13">
        <v>44651</v>
      </c>
      <c r="R2381">
        <v>70</v>
      </c>
      <c r="S2381" t="s">
        <v>380</v>
      </c>
      <c r="T2381" t="s">
        <v>57</v>
      </c>
      <c r="V2381" t="s">
        <v>478</v>
      </c>
      <c r="W2381" t="s">
        <v>3075</v>
      </c>
      <c r="X2381" t="s">
        <v>3075</v>
      </c>
      <c r="Y2381" t="s">
        <v>480</v>
      </c>
      <c r="AE2381" t="s">
        <v>3076</v>
      </c>
      <c r="AF2381" t="s">
        <v>451</v>
      </c>
      <c r="AG2381" t="s">
        <v>3077</v>
      </c>
      <c r="AI2381">
        <v>-361</v>
      </c>
      <c r="AL2381" t="s">
        <v>3078</v>
      </c>
      <c r="AN2381" t="s">
        <v>31</v>
      </c>
      <c r="AO2381">
        <v>0</v>
      </c>
      <c r="AS2381" t="s">
        <v>522</v>
      </c>
      <c r="AT2381" t="s">
        <v>57</v>
      </c>
      <c r="AV2381" s="13">
        <v>44652</v>
      </c>
      <c r="AX2381" t="s">
        <v>31</v>
      </c>
      <c r="AY2381" t="s">
        <v>442</v>
      </c>
      <c r="AZ2381" t="s">
        <v>3079</v>
      </c>
      <c r="BF2381">
        <v>0</v>
      </c>
      <c r="BK2381" t="s">
        <v>31</v>
      </c>
      <c r="BS2381" t="s">
        <v>484</v>
      </c>
      <c r="BT2381" t="s">
        <v>484</v>
      </c>
      <c r="CI2381" t="s">
        <v>388</v>
      </c>
      <c r="CJ2381" s="14">
        <v>45015</v>
      </c>
      <c r="CK2381">
        <v>1</v>
      </c>
    </row>
    <row r="2382" spans="1:89">
      <c r="A2382" t="s">
        <v>3080</v>
      </c>
      <c r="B2382" t="s">
        <v>374</v>
      </c>
      <c r="C2382" t="s">
        <v>3081</v>
      </c>
      <c r="D2382" t="s">
        <v>3082</v>
      </c>
      <c r="E2382" t="s">
        <v>3083</v>
      </c>
      <c r="F2382" s="13">
        <v>44614.508622685185</v>
      </c>
      <c r="G2382" t="s">
        <v>3084</v>
      </c>
      <c r="H2382" t="s">
        <v>3085</v>
      </c>
      <c r="I2382" s="13">
        <v>45012.043854166666</v>
      </c>
      <c r="K2382" t="s">
        <v>415</v>
      </c>
      <c r="M2382" s="13">
        <v>44770</v>
      </c>
      <c r="R2382">
        <v>0</v>
      </c>
      <c r="S2382" t="s">
        <v>380</v>
      </c>
      <c r="T2382" t="s">
        <v>57</v>
      </c>
      <c r="V2382" t="s">
        <v>478</v>
      </c>
      <c r="W2382" t="s">
        <v>3085</v>
      </c>
      <c r="X2382" t="s">
        <v>3085</v>
      </c>
      <c r="AC2382" s="13">
        <v>44834</v>
      </c>
      <c r="AD2382" s="13">
        <v>44593</v>
      </c>
      <c r="AF2382" t="s">
        <v>451</v>
      </c>
      <c r="AI2382">
        <v>-242</v>
      </c>
      <c r="AL2382" t="s">
        <v>3086</v>
      </c>
      <c r="AN2382" t="s">
        <v>31</v>
      </c>
      <c r="AO2382">
        <v>0</v>
      </c>
      <c r="AS2382" t="s">
        <v>385</v>
      </c>
      <c r="AX2382" t="s">
        <v>31</v>
      </c>
      <c r="AY2382" t="s">
        <v>386</v>
      </c>
      <c r="AZ2382" t="s">
        <v>3087</v>
      </c>
      <c r="BF2382">
        <v>0</v>
      </c>
      <c r="BK2382" t="s">
        <v>31</v>
      </c>
      <c r="BS2382" t="s">
        <v>419</v>
      </c>
      <c r="BT2382" t="s">
        <v>419</v>
      </c>
      <c r="CI2382" t="s">
        <v>388</v>
      </c>
      <c r="CJ2382" s="14">
        <v>45015</v>
      </c>
      <c r="CK2382">
        <v>1</v>
      </c>
    </row>
    <row r="2383" spans="1:89">
      <c r="A2383" t="s">
        <v>3088</v>
      </c>
      <c r="B2383" t="s">
        <v>374</v>
      </c>
      <c r="C2383" t="s">
        <v>3089</v>
      </c>
      <c r="D2383" t="s">
        <v>3090</v>
      </c>
      <c r="E2383" t="s">
        <v>3091</v>
      </c>
      <c r="F2383" s="13">
        <v>44613.806342592594</v>
      </c>
      <c r="G2383" t="s">
        <v>3092</v>
      </c>
      <c r="H2383" t="s">
        <v>3093</v>
      </c>
      <c r="I2383" s="13">
        <v>45012.043854166666</v>
      </c>
      <c r="K2383" t="s">
        <v>415</v>
      </c>
      <c r="M2383" s="13">
        <v>44742</v>
      </c>
      <c r="R2383">
        <v>0</v>
      </c>
      <c r="S2383" t="s">
        <v>380</v>
      </c>
      <c r="T2383" t="s">
        <v>57</v>
      </c>
      <c r="V2383" t="s">
        <v>478</v>
      </c>
      <c r="W2383" t="s">
        <v>3094</v>
      </c>
      <c r="X2383" t="s">
        <v>3094</v>
      </c>
      <c r="AC2383" s="13">
        <v>44742</v>
      </c>
      <c r="AD2383" s="13">
        <v>44742</v>
      </c>
      <c r="AF2383" t="s">
        <v>451</v>
      </c>
      <c r="AI2383">
        <v>-270</v>
      </c>
      <c r="AL2383" t="s">
        <v>3095</v>
      </c>
      <c r="AN2383" t="s">
        <v>31</v>
      </c>
      <c r="AO2383">
        <v>0</v>
      </c>
      <c r="AS2383" t="s">
        <v>392</v>
      </c>
      <c r="AX2383" t="s">
        <v>57</v>
      </c>
      <c r="AY2383" t="s">
        <v>442</v>
      </c>
      <c r="AZ2383" t="s">
        <v>3096</v>
      </c>
      <c r="BF2383">
        <v>0</v>
      </c>
      <c r="BK2383" t="s">
        <v>31</v>
      </c>
      <c r="BS2383" t="s">
        <v>419</v>
      </c>
      <c r="BT2383" t="s">
        <v>419</v>
      </c>
      <c r="CI2383" t="s">
        <v>388</v>
      </c>
      <c r="CJ2383" s="14">
        <v>45015</v>
      </c>
      <c r="CK2383">
        <v>1</v>
      </c>
    </row>
    <row r="2384" spans="1:89">
      <c r="A2384" t="s">
        <v>2927</v>
      </c>
      <c r="B2384" t="s">
        <v>374</v>
      </c>
      <c r="C2384" t="s">
        <v>2928</v>
      </c>
      <c r="D2384" t="s">
        <v>3097</v>
      </c>
      <c r="E2384" t="s">
        <v>3098</v>
      </c>
      <c r="F2384" s="13">
        <v>44613.458090277774</v>
      </c>
      <c r="G2384" t="s">
        <v>2985</v>
      </c>
      <c r="H2384" t="s">
        <v>2986</v>
      </c>
      <c r="I2384" s="13">
        <v>45012.043842592589</v>
      </c>
      <c r="K2384" t="s">
        <v>415</v>
      </c>
      <c r="M2384" s="13">
        <v>44651</v>
      </c>
      <c r="R2384">
        <v>99</v>
      </c>
      <c r="S2384" t="s">
        <v>380</v>
      </c>
      <c r="T2384" t="s">
        <v>57</v>
      </c>
      <c r="V2384" t="s">
        <v>478</v>
      </c>
      <c r="W2384" t="s">
        <v>3099</v>
      </c>
      <c r="X2384" t="s">
        <v>3099</v>
      </c>
      <c r="AF2384" t="s">
        <v>451</v>
      </c>
      <c r="AG2384" t="s">
        <v>3100</v>
      </c>
      <c r="AI2384">
        <v>-361</v>
      </c>
      <c r="AL2384" t="s">
        <v>3101</v>
      </c>
      <c r="AN2384" t="s">
        <v>31</v>
      </c>
      <c r="AO2384">
        <v>0</v>
      </c>
      <c r="AS2384" t="s">
        <v>744</v>
      </c>
      <c r="AX2384" t="s">
        <v>31</v>
      </c>
      <c r="AY2384" t="s">
        <v>442</v>
      </c>
      <c r="AZ2384" t="s">
        <v>3102</v>
      </c>
      <c r="BF2384">
        <v>0</v>
      </c>
      <c r="BK2384" t="s">
        <v>31</v>
      </c>
      <c r="BS2384" t="s">
        <v>419</v>
      </c>
      <c r="BT2384" t="s">
        <v>419</v>
      </c>
      <c r="CI2384" t="s">
        <v>388</v>
      </c>
      <c r="CJ2384" s="14">
        <v>45015</v>
      </c>
      <c r="CK2384">
        <v>1</v>
      </c>
    </row>
    <row r="2385" spans="1:89">
      <c r="A2385" t="s">
        <v>3103</v>
      </c>
      <c r="B2385" t="s">
        <v>374</v>
      </c>
      <c r="C2385" t="s">
        <v>3104</v>
      </c>
      <c r="D2385" t="s">
        <v>3105</v>
      </c>
      <c r="E2385" t="s">
        <v>3106</v>
      </c>
      <c r="F2385" s="13">
        <v>44613.408877314818</v>
      </c>
      <c r="G2385" t="s">
        <v>3084</v>
      </c>
      <c r="H2385" t="s">
        <v>3085</v>
      </c>
      <c r="I2385" s="13">
        <v>44613.430902777778</v>
      </c>
      <c r="K2385" t="s">
        <v>409</v>
      </c>
      <c r="R2385">
        <v>0</v>
      </c>
      <c r="S2385" t="s">
        <v>380</v>
      </c>
      <c r="T2385" t="s">
        <v>57</v>
      </c>
      <c r="V2385" t="s">
        <v>381</v>
      </c>
      <c r="W2385" t="s">
        <v>3085</v>
      </c>
      <c r="X2385" t="s">
        <v>3085</v>
      </c>
      <c r="AC2385" s="13">
        <v>44742</v>
      </c>
      <c r="AD2385" s="13">
        <v>44593</v>
      </c>
      <c r="AI2385">
        <v>158</v>
      </c>
      <c r="AL2385" t="s">
        <v>3107</v>
      </c>
      <c r="AN2385" t="s">
        <v>31</v>
      </c>
      <c r="AO2385">
        <v>0</v>
      </c>
      <c r="AS2385" t="s">
        <v>385</v>
      </c>
      <c r="AX2385" t="s">
        <v>57</v>
      </c>
      <c r="AY2385" t="s">
        <v>386</v>
      </c>
      <c r="AZ2385" t="s">
        <v>3108</v>
      </c>
      <c r="BF2385">
        <v>0</v>
      </c>
      <c r="BK2385" t="s">
        <v>31</v>
      </c>
      <c r="BS2385" t="s">
        <v>409</v>
      </c>
      <c r="BT2385" t="s">
        <v>409</v>
      </c>
      <c r="CI2385" t="s">
        <v>388</v>
      </c>
      <c r="CJ2385" s="14">
        <v>45015</v>
      </c>
      <c r="CK2385">
        <v>1</v>
      </c>
    </row>
    <row r="2386" spans="1:89">
      <c r="A2386" t="s">
        <v>2310</v>
      </c>
      <c r="B2386" t="s">
        <v>374</v>
      </c>
      <c r="C2386" t="s">
        <v>607</v>
      </c>
      <c r="D2386" t="s">
        <v>3109</v>
      </c>
      <c r="E2386" t="s">
        <v>3110</v>
      </c>
      <c r="F2386" s="13">
        <v>44610.891273148147</v>
      </c>
      <c r="G2386" t="s">
        <v>2313</v>
      </c>
      <c r="H2386" t="s">
        <v>2314</v>
      </c>
      <c r="I2386" s="13">
        <v>44610.902951388889</v>
      </c>
      <c r="K2386" t="s">
        <v>409</v>
      </c>
      <c r="R2386">
        <v>0</v>
      </c>
      <c r="S2386" t="s">
        <v>380</v>
      </c>
      <c r="T2386" t="s">
        <v>57</v>
      </c>
      <c r="V2386" t="s">
        <v>381</v>
      </c>
      <c r="W2386" t="s">
        <v>3111</v>
      </c>
      <c r="X2386" t="s">
        <v>3111</v>
      </c>
      <c r="AI2386">
        <v>56</v>
      </c>
      <c r="AL2386" t="s">
        <v>2316</v>
      </c>
      <c r="AN2386" t="s">
        <v>31</v>
      </c>
      <c r="AO2386">
        <v>0</v>
      </c>
      <c r="AS2386" t="s">
        <v>744</v>
      </c>
      <c r="AX2386" t="s">
        <v>31</v>
      </c>
      <c r="AY2386" t="s">
        <v>386</v>
      </c>
      <c r="AZ2386" t="s">
        <v>3112</v>
      </c>
      <c r="BF2386">
        <v>0</v>
      </c>
      <c r="BK2386" t="s">
        <v>31</v>
      </c>
      <c r="BS2386" t="s">
        <v>409</v>
      </c>
      <c r="BT2386" t="s">
        <v>409</v>
      </c>
      <c r="CI2386" t="s">
        <v>388</v>
      </c>
      <c r="CJ2386" s="14">
        <v>45015</v>
      </c>
      <c r="CK2386">
        <v>1</v>
      </c>
    </row>
    <row r="2387" spans="1:89">
      <c r="A2387" t="s">
        <v>2565</v>
      </c>
      <c r="B2387" t="s">
        <v>374</v>
      </c>
      <c r="C2387" t="s">
        <v>2566</v>
      </c>
      <c r="D2387" t="s">
        <v>3113</v>
      </c>
      <c r="E2387" t="s">
        <v>3114</v>
      </c>
      <c r="F2387" s="13">
        <v>44610.659467592595</v>
      </c>
      <c r="G2387" t="s">
        <v>2149</v>
      </c>
      <c r="H2387" t="s">
        <v>2150</v>
      </c>
      <c r="I2387" s="13">
        <v>44617.565752314818</v>
      </c>
      <c r="K2387" t="s">
        <v>409</v>
      </c>
      <c r="R2387">
        <v>0</v>
      </c>
      <c r="S2387" t="s">
        <v>380</v>
      </c>
      <c r="T2387" t="s">
        <v>57</v>
      </c>
      <c r="V2387" t="s">
        <v>381</v>
      </c>
      <c r="W2387" t="s">
        <v>2844</v>
      </c>
      <c r="X2387" t="s">
        <v>2844</v>
      </c>
      <c r="AC2387" s="13">
        <v>44197</v>
      </c>
      <c r="AD2387" s="13">
        <v>44197</v>
      </c>
      <c r="AI2387">
        <v>34</v>
      </c>
      <c r="AL2387" t="s">
        <v>2845</v>
      </c>
      <c r="AN2387" t="s">
        <v>31</v>
      </c>
      <c r="AO2387">
        <v>0</v>
      </c>
      <c r="AS2387" t="s">
        <v>385</v>
      </c>
      <c r="AX2387" t="s">
        <v>31</v>
      </c>
      <c r="AY2387" t="s">
        <v>442</v>
      </c>
      <c r="AZ2387" t="s">
        <v>2846</v>
      </c>
      <c r="BE2387" t="s">
        <v>2847</v>
      </c>
      <c r="BF2387">
        <v>0</v>
      </c>
      <c r="BK2387" t="s">
        <v>31</v>
      </c>
      <c r="BS2387" t="s">
        <v>409</v>
      </c>
      <c r="BT2387" t="s">
        <v>409</v>
      </c>
      <c r="CI2387" t="s">
        <v>388</v>
      </c>
      <c r="CJ2387" s="14">
        <v>45015</v>
      </c>
      <c r="CK2387">
        <v>1</v>
      </c>
    </row>
    <row r="2388" spans="1:89">
      <c r="A2388" t="s">
        <v>3115</v>
      </c>
      <c r="B2388" t="s">
        <v>374</v>
      </c>
      <c r="C2388" t="s">
        <v>3116</v>
      </c>
      <c r="D2388" t="s">
        <v>3117</v>
      </c>
      <c r="E2388" t="s">
        <v>3118</v>
      </c>
      <c r="F2388" s="13">
        <v>44609.497789351852</v>
      </c>
      <c r="G2388" t="s">
        <v>2079</v>
      </c>
      <c r="H2388" t="s">
        <v>2080</v>
      </c>
      <c r="I2388" s="13">
        <v>45012.043842592589</v>
      </c>
      <c r="K2388" t="s">
        <v>415</v>
      </c>
      <c r="M2388" s="13">
        <v>44651</v>
      </c>
      <c r="R2388">
        <v>0</v>
      </c>
      <c r="S2388" t="s">
        <v>380</v>
      </c>
      <c r="T2388" t="s">
        <v>57</v>
      </c>
      <c r="V2388" t="s">
        <v>478</v>
      </c>
      <c r="W2388" t="s">
        <v>3119</v>
      </c>
      <c r="X2388" t="s">
        <v>3119</v>
      </c>
      <c r="AC2388" s="13">
        <v>44651</v>
      </c>
      <c r="AD2388" s="13">
        <v>44651</v>
      </c>
      <c r="AF2388" t="s">
        <v>451</v>
      </c>
      <c r="AI2388">
        <v>-361</v>
      </c>
      <c r="AL2388" t="s">
        <v>3120</v>
      </c>
      <c r="AN2388" t="s">
        <v>31</v>
      </c>
      <c r="AO2388">
        <v>0</v>
      </c>
      <c r="AS2388" t="s">
        <v>385</v>
      </c>
      <c r="AX2388" t="s">
        <v>57</v>
      </c>
      <c r="AY2388" t="s">
        <v>442</v>
      </c>
      <c r="AZ2388" t="s">
        <v>3121</v>
      </c>
      <c r="BF2388">
        <v>0</v>
      </c>
      <c r="BK2388" t="s">
        <v>31</v>
      </c>
      <c r="BS2388" t="s">
        <v>419</v>
      </c>
      <c r="BT2388" t="s">
        <v>419</v>
      </c>
      <c r="CI2388" t="s">
        <v>388</v>
      </c>
      <c r="CJ2388" s="14">
        <v>45015</v>
      </c>
      <c r="CK2388">
        <v>1</v>
      </c>
    </row>
    <row r="2389" spans="1:89">
      <c r="A2389" t="s">
        <v>2089</v>
      </c>
      <c r="B2389" t="s">
        <v>374</v>
      </c>
      <c r="C2389" t="s">
        <v>2090</v>
      </c>
      <c r="D2389" t="s">
        <v>3122</v>
      </c>
      <c r="E2389" t="s">
        <v>3123</v>
      </c>
      <c r="F2389" s="13">
        <v>44609.476782407408</v>
      </c>
      <c r="G2389" t="s">
        <v>2079</v>
      </c>
      <c r="H2389" t="s">
        <v>2080</v>
      </c>
      <c r="I2389" s="13">
        <v>44643.403483796297</v>
      </c>
      <c r="K2389" t="s">
        <v>379</v>
      </c>
      <c r="M2389" s="13">
        <v>44651</v>
      </c>
      <c r="R2389">
        <v>100</v>
      </c>
      <c r="S2389" t="s">
        <v>380</v>
      </c>
      <c r="T2389" t="s">
        <v>57</v>
      </c>
      <c r="V2389" t="s">
        <v>381</v>
      </c>
      <c r="W2389" t="s">
        <v>3124</v>
      </c>
      <c r="X2389" t="s">
        <v>3124</v>
      </c>
      <c r="AC2389" s="13">
        <v>44651</v>
      </c>
      <c r="AD2389" s="13">
        <v>44651</v>
      </c>
      <c r="AF2389" t="s">
        <v>382</v>
      </c>
      <c r="AG2389" t="s">
        <v>3125</v>
      </c>
      <c r="AI2389">
        <v>8</v>
      </c>
      <c r="AL2389" t="s">
        <v>3126</v>
      </c>
      <c r="AN2389" t="s">
        <v>31</v>
      </c>
      <c r="AO2389">
        <v>0</v>
      </c>
      <c r="AS2389" t="s">
        <v>385</v>
      </c>
      <c r="AX2389" t="s">
        <v>57</v>
      </c>
      <c r="AY2389" t="s">
        <v>442</v>
      </c>
      <c r="AZ2389" t="s">
        <v>3127</v>
      </c>
      <c r="BE2389" t="s">
        <v>1364</v>
      </c>
      <c r="BF2389">
        <v>0</v>
      </c>
      <c r="BK2389" t="s">
        <v>31</v>
      </c>
      <c r="BS2389" t="s">
        <v>379</v>
      </c>
      <c r="BT2389" t="s">
        <v>379</v>
      </c>
      <c r="CI2389" t="s">
        <v>388</v>
      </c>
      <c r="CJ2389" s="14">
        <v>45015</v>
      </c>
      <c r="CK2389">
        <v>1</v>
      </c>
    </row>
    <row r="2390" spans="1:89">
      <c r="A2390" t="s">
        <v>2146</v>
      </c>
      <c r="B2390" t="s">
        <v>374</v>
      </c>
      <c r="C2390" t="s">
        <v>698</v>
      </c>
      <c r="D2390" t="s">
        <v>3128</v>
      </c>
      <c r="E2390" t="s">
        <v>3129</v>
      </c>
      <c r="F2390" s="13">
        <v>44609.451342592591</v>
      </c>
      <c r="G2390" t="s">
        <v>2149</v>
      </c>
      <c r="H2390" t="s">
        <v>2150</v>
      </c>
      <c r="I2390" s="13">
        <v>45012.043842592589</v>
      </c>
      <c r="K2390" t="s">
        <v>415</v>
      </c>
      <c r="M2390" s="13">
        <v>44749</v>
      </c>
      <c r="R2390">
        <v>0</v>
      </c>
      <c r="S2390" t="s">
        <v>380</v>
      </c>
      <c r="T2390" t="s">
        <v>57</v>
      </c>
      <c r="V2390" t="s">
        <v>478</v>
      </c>
      <c r="W2390" t="s">
        <v>3130</v>
      </c>
      <c r="X2390" t="s">
        <v>3130</v>
      </c>
      <c r="AC2390" s="13">
        <v>44749</v>
      </c>
      <c r="AD2390" s="13">
        <v>44200</v>
      </c>
      <c r="AF2390" t="s">
        <v>451</v>
      </c>
      <c r="AI2390">
        <v>-263</v>
      </c>
      <c r="AL2390" t="s">
        <v>3131</v>
      </c>
      <c r="AN2390" t="s">
        <v>31</v>
      </c>
      <c r="AO2390">
        <v>0</v>
      </c>
      <c r="AS2390" t="s">
        <v>526</v>
      </c>
      <c r="AX2390" t="s">
        <v>31</v>
      </c>
      <c r="AY2390" t="s">
        <v>442</v>
      </c>
      <c r="AZ2390" t="s">
        <v>3132</v>
      </c>
      <c r="BE2390" t="s">
        <v>3133</v>
      </c>
      <c r="BF2390">
        <v>0</v>
      </c>
      <c r="BK2390" t="s">
        <v>31</v>
      </c>
      <c r="BS2390" t="s">
        <v>419</v>
      </c>
      <c r="BT2390" t="s">
        <v>419</v>
      </c>
      <c r="CI2390" t="s">
        <v>388</v>
      </c>
      <c r="CJ2390" s="14">
        <v>45015</v>
      </c>
      <c r="CK2390">
        <v>1</v>
      </c>
    </row>
    <row r="2391" spans="1:89">
      <c r="A2391" t="s">
        <v>2146</v>
      </c>
      <c r="B2391" t="s">
        <v>374</v>
      </c>
      <c r="C2391" t="s">
        <v>698</v>
      </c>
      <c r="D2391" t="s">
        <v>3134</v>
      </c>
      <c r="E2391" t="s">
        <v>3135</v>
      </c>
      <c r="F2391" s="13">
        <v>44609.450162037036</v>
      </c>
      <c r="G2391" t="s">
        <v>2149</v>
      </c>
      <c r="H2391" t="s">
        <v>2150</v>
      </c>
      <c r="I2391" s="13">
        <v>45012.04383101852</v>
      </c>
      <c r="K2391" t="s">
        <v>415</v>
      </c>
      <c r="M2391" s="13">
        <v>44658</v>
      </c>
      <c r="R2391">
        <v>0</v>
      </c>
      <c r="S2391" t="s">
        <v>380</v>
      </c>
      <c r="T2391" t="s">
        <v>57</v>
      </c>
      <c r="V2391" t="s">
        <v>478</v>
      </c>
      <c r="W2391" t="s">
        <v>3130</v>
      </c>
      <c r="X2391" t="s">
        <v>3130</v>
      </c>
      <c r="AF2391" t="s">
        <v>451</v>
      </c>
      <c r="AI2391">
        <v>-354</v>
      </c>
      <c r="AL2391" t="s">
        <v>3131</v>
      </c>
      <c r="AN2391" t="s">
        <v>31</v>
      </c>
      <c r="AO2391">
        <v>0</v>
      </c>
      <c r="AS2391" t="s">
        <v>392</v>
      </c>
      <c r="AX2391" t="s">
        <v>31</v>
      </c>
      <c r="AY2391" t="s">
        <v>442</v>
      </c>
      <c r="AZ2391" t="s">
        <v>3136</v>
      </c>
      <c r="BE2391" t="s">
        <v>3133</v>
      </c>
      <c r="BF2391">
        <v>0</v>
      </c>
      <c r="BK2391" t="s">
        <v>31</v>
      </c>
      <c r="BS2391" t="s">
        <v>419</v>
      </c>
      <c r="BT2391" t="s">
        <v>419</v>
      </c>
      <c r="CI2391" t="s">
        <v>388</v>
      </c>
      <c r="CJ2391" s="14">
        <v>45015</v>
      </c>
      <c r="CK2391">
        <v>1</v>
      </c>
    </row>
    <row r="2392" spans="1:89">
      <c r="A2392" t="s">
        <v>2146</v>
      </c>
      <c r="B2392" t="s">
        <v>374</v>
      </c>
      <c r="C2392" t="s">
        <v>698</v>
      </c>
      <c r="D2392" t="s">
        <v>3137</v>
      </c>
      <c r="E2392" t="s">
        <v>3138</v>
      </c>
      <c r="F2392" s="13">
        <v>44609.446956018517</v>
      </c>
      <c r="G2392" t="s">
        <v>2149</v>
      </c>
      <c r="H2392" t="s">
        <v>2150</v>
      </c>
      <c r="I2392" s="13">
        <v>45012.04383101852</v>
      </c>
      <c r="K2392" t="s">
        <v>415</v>
      </c>
      <c r="M2392" s="13">
        <v>44625</v>
      </c>
      <c r="R2392">
        <v>0</v>
      </c>
      <c r="S2392" t="s">
        <v>380</v>
      </c>
      <c r="T2392" t="s">
        <v>57</v>
      </c>
      <c r="V2392" t="s">
        <v>478</v>
      </c>
      <c r="W2392" t="s">
        <v>3130</v>
      </c>
      <c r="X2392" t="s">
        <v>3130</v>
      </c>
      <c r="AC2392" s="13">
        <v>44749</v>
      </c>
      <c r="AD2392" s="13">
        <v>44200</v>
      </c>
      <c r="AF2392" t="s">
        <v>451</v>
      </c>
      <c r="AI2392">
        <v>-387</v>
      </c>
      <c r="AL2392" t="s">
        <v>3131</v>
      </c>
      <c r="AN2392" t="s">
        <v>31</v>
      </c>
      <c r="AO2392">
        <v>0</v>
      </c>
      <c r="AS2392" t="s">
        <v>522</v>
      </c>
      <c r="AX2392" t="s">
        <v>31</v>
      </c>
      <c r="AY2392" t="s">
        <v>442</v>
      </c>
      <c r="AZ2392" t="s">
        <v>3139</v>
      </c>
      <c r="BE2392" t="s">
        <v>3133</v>
      </c>
      <c r="BF2392">
        <v>0</v>
      </c>
      <c r="BK2392" t="s">
        <v>31</v>
      </c>
      <c r="BS2392" t="s">
        <v>419</v>
      </c>
      <c r="BT2392" t="s">
        <v>419</v>
      </c>
      <c r="CI2392" t="s">
        <v>388</v>
      </c>
      <c r="CJ2392" s="14">
        <v>45015</v>
      </c>
      <c r="CK2392">
        <v>1</v>
      </c>
    </row>
    <row r="2393" spans="1:89">
      <c r="A2393" t="s">
        <v>1579</v>
      </c>
      <c r="B2393" t="s">
        <v>374</v>
      </c>
      <c r="C2393" t="s">
        <v>1580</v>
      </c>
      <c r="D2393" t="s">
        <v>3140</v>
      </c>
      <c r="E2393" t="s">
        <v>3141</v>
      </c>
      <c r="F2393" s="13">
        <v>44609.432349537034</v>
      </c>
      <c r="G2393" t="s">
        <v>1583</v>
      </c>
      <c r="H2393" t="s">
        <v>1584</v>
      </c>
      <c r="I2393" s="13">
        <v>45012.04383101852</v>
      </c>
      <c r="K2393" t="s">
        <v>415</v>
      </c>
      <c r="M2393" s="13">
        <v>44712</v>
      </c>
      <c r="R2393">
        <v>0</v>
      </c>
      <c r="S2393" t="s">
        <v>380</v>
      </c>
      <c r="T2393" t="s">
        <v>57</v>
      </c>
      <c r="V2393" t="s">
        <v>478</v>
      </c>
      <c r="W2393" t="s">
        <v>3142</v>
      </c>
      <c r="X2393" t="s">
        <v>3142</v>
      </c>
      <c r="AF2393" t="s">
        <v>451</v>
      </c>
      <c r="AI2393">
        <v>-300</v>
      </c>
      <c r="AL2393" t="s">
        <v>3143</v>
      </c>
      <c r="AN2393" t="s">
        <v>31</v>
      </c>
      <c r="AO2393">
        <v>0</v>
      </c>
      <c r="AS2393" t="s">
        <v>526</v>
      </c>
      <c r="AX2393" t="s">
        <v>31</v>
      </c>
      <c r="AY2393" t="s">
        <v>442</v>
      </c>
      <c r="AZ2393" t="s">
        <v>3144</v>
      </c>
      <c r="BF2393">
        <v>0</v>
      </c>
      <c r="BK2393" t="s">
        <v>31</v>
      </c>
      <c r="BS2393" t="s">
        <v>419</v>
      </c>
      <c r="BT2393" t="s">
        <v>419</v>
      </c>
      <c r="CI2393" t="s">
        <v>388</v>
      </c>
      <c r="CJ2393" s="14">
        <v>45015</v>
      </c>
      <c r="CK2393">
        <v>1</v>
      </c>
    </row>
    <row r="2394" spans="1:89">
      <c r="A2394" t="s">
        <v>1579</v>
      </c>
      <c r="B2394" t="s">
        <v>374</v>
      </c>
      <c r="C2394" t="s">
        <v>1580</v>
      </c>
      <c r="D2394" t="s">
        <v>3145</v>
      </c>
      <c r="E2394" t="s">
        <v>3146</v>
      </c>
      <c r="F2394" s="13">
        <v>44609.410092592596</v>
      </c>
      <c r="G2394" t="s">
        <v>1583</v>
      </c>
      <c r="H2394" t="s">
        <v>1584</v>
      </c>
      <c r="I2394" s="13">
        <v>45012.04383101852</v>
      </c>
      <c r="K2394" t="s">
        <v>415</v>
      </c>
      <c r="M2394" s="13">
        <v>44712</v>
      </c>
      <c r="R2394">
        <v>0</v>
      </c>
      <c r="S2394" t="s">
        <v>380</v>
      </c>
      <c r="T2394" t="s">
        <v>57</v>
      </c>
      <c r="V2394" t="s">
        <v>478</v>
      </c>
      <c r="W2394" t="s">
        <v>3142</v>
      </c>
      <c r="X2394" t="s">
        <v>3142</v>
      </c>
      <c r="AF2394" t="s">
        <v>451</v>
      </c>
      <c r="AI2394">
        <v>-300</v>
      </c>
      <c r="AL2394" t="s">
        <v>3147</v>
      </c>
      <c r="AN2394" t="s">
        <v>31</v>
      </c>
      <c r="AO2394">
        <v>0</v>
      </c>
      <c r="AS2394" t="s">
        <v>526</v>
      </c>
      <c r="AX2394" t="s">
        <v>31</v>
      </c>
      <c r="AY2394" t="s">
        <v>442</v>
      </c>
      <c r="AZ2394" t="s">
        <v>3148</v>
      </c>
      <c r="BF2394">
        <v>0</v>
      </c>
      <c r="BK2394" t="s">
        <v>31</v>
      </c>
      <c r="BS2394" t="s">
        <v>419</v>
      </c>
      <c r="BT2394" t="s">
        <v>419</v>
      </c>
      <c r="CI2394" t="s">
        <v>388</v>
      </c>
      <c r="CJ2394" s="14">
        <v>45015</v>
      </c>
      <c r="CK2394">
        <v>1</v>
      </c>
    </row>
    <row r="2395" spans="1:89">
      <c r="A2395" t="s">
        <v>1579</v>
      </c>
      <c r="B2395" t="s">
        <v>374</v>
      </c>
      <c r="C2395" t="s">
        <v>1580</v>
      </c>
      <c r="D2395" t="s">
        <v>3149</v>
      </c>
      <c r="E2395" t="s">
        <v>3150</v>
      </c>
      <c r="F2395" s="13">
        <v>44609.380231481482</v>
      </c>
      <c r="G2395" t="s">
        <v>1583</v>
      </c>
      <c r="H2395" t="s">
        <v>1584</v>
      </c>
      <c r="I2395" s="13">
        <v>45012.043819444443</v>
      </c>
      <c r="K2395" t="s">
        <v>415</v>
      </c>
      <c r="M2395" s="13">
        <v>44712</v>
      </c>
      <c r="R2395">
        <v>0</v>
      </c>
      <c r="S2395" t="s">
        <v>380</v>
      </c>
      <c r="T2395" t="s">
        <v>57</v>
      </c>
      <c r="V2395" t="s">
        <v>478</v>
      </c>
      <c r="W2395" t="s">
        <v>3142</v>
      </c>
      <c r="X2395" t="s">
        <v>3142</v>
      </c>
      <c r="AF2395" t="s">
        <v>451</v>
      </c>
      <c r="AI2395">
        <v>-300</v>
      </c>
      <c r="AL2395" t="s">
        <v>3151</v>
      </c>
      <c r="AN2395" t="s">
        <v>31</v>
      </c>
      <c r="AO2395">
        <v>0</v>
      </c>
      <c r="AS2395" t="s">
        <v>526</v>
      </c>
      <c r="AX2395" t="s">
        <v>31</v>
      </c>
      <c r="AY2395" t="s">
        <v>442</v>
      </c>
      <c r="AZ2395" t="s">
        <v>3152</v>
      </c>
      <c r="BF2395">
        <v>0</v>
      </c>
      <c r="BK2395" t="s">
        <v>31</v>
      </c>
      <c r="BS2395" t="s">
        <v>419</v>
      </c>
      <c r="BT2395" t="s">
        <v>419</v>
      </c>
      <c r="CI2395" t="s">
        <v>388</v>
      </c>
      <c r="CJ2395" s="14">
        <v>45015</v>
      </c>
      <c r="CK2395">
        <v>1</v>
      </c>
    </row>
    <row r="2396" spans="1:89">
      <c r="A2396" t="s">
        <v>2368</v>
      </c>
      <c r="B2396" t="s">
        <v>374</v>
      </c>
      <c r="C2396" t="s">
        <v>2369</v>
      </c>
      <c r="D2396" t="s">
        <v>3153</v>
      </c>
      <c r="E2396" t="s">
        <v>3154</v>
      </c>
      <c r="F2396" s="13">
        <v>44607.621689814812</v>
      </c>
      <c r="G2396" t="s">
        <v>3155</v>
      </c>
      <c r="H2396" t="s">
        <v>3156</v>
      </c>
      <c r="I2396" s="13">
        <v>45012.043819444443</v>
      </c>
      <c r="K2396" t="s">
        <v>415</v>
      </c>
      <c r="M2396" s="13">
        <v>44712</v>
      </c>
      <c r="R2396">
        <v>70</v>
      </c>
      <c r="S2396" t="s">
        <v>380</v>
      </c>
      <c r="T2396" t="s">
        <v>57</v>
      </c>
      <c r="V2396" t="s">
        <v>478</v>
      </c>
      <c r="W2396" t="s">
        <v>2374</v>
      </c>
      <c r="X2396" t="s">
        <v>2374</v>
      </c>
      <c r="AF2396" t="s">
        <v>451</v>
      </c>
      <c r="AG2396" t="s">
        <v>3157</v>
      </c>
      <c r="AI2396">
        <v>-300</v>
      </c>
      <c r="AL2396" t="s">
        <v>3158</v>
      </c>
      <c r="AN2396" t="s">
        <v>31</v>
      </c>
      <c r="AO2396">
        <v>0</v>
      </c>
      <c r="AS2396" t="s">
        <v>385</v>
      </c>
      <c r="AX2396" t="s">
        <v>31</v>
      </c>
      <c r="AY2396" t="s">
        <v>442</v>
      </c>
      <c r="AZ2396" t="s">
        <v>3159</v>
      </c>
      <c r="BF2396">
        <v>0</v>
      </c>
      <c r="BK2396" t="s">
        <v>31</v>
      </c>
      <c r="BS2396" t="s">
        <v>419</v>
      </c>
      <c r="BT2396" t="s">
        <v>419</v>
      </c>
      <c r="CI2396" t="s">
        <v>388</v>
      </c>
      <c r="CJ2396" s="14">
        <v>45015</v>
      </c>
      <c r="CK2396">
        <v>1</v>
      </c>
    </row>
    <row r="2397" spans="1:89">
      <c r="A2397" t="s">
        <v>3160</v>
      </c>
      <c r="B2397" t="s">
        <v>374</v>
      </c>
      <c r="C2397" t="s">
        <v>3161</v>
      </c>
      <c r="D2397" t="s">
        <v>3162</v>
      </c>
      <c r="E2397" t="s">
        <v>3163</v>
      </c>
      <c r="F2397" s="13">
        <v>44607.621504629627</v>
      </c>
      <c r="G2397" t="s">
        <v>2985</v>
      </c>
      <c r="H2397" t="s">
        <v>2986</v>
      </c>
      <c r="I2397" s="13">
        <v>45012.043819444443</v>
      </c>
      <c r="K2397" t="s">
        <v>415</v>
      </c>
      <c r="M2397" s="13">
        <v>44659</v>
      </c>
      <c r="R2397">
        <v>100</v>
      </c>
      <c r="S2397" t="s">
        <v>380</v>
      </c>
      <c r="T2397" t="s">
        <v>57</v>
      </c>
      <c r="V2397" t="s">
        <v>478</v>
      </c>
      <c r="W2397" t="s">
        <v>3164</v>
      </c>
      <c r="X2397" t="s">
        <v>3164</v>
      </c>
      <c r="AB2397" t="s">
        <v>31</v>
      </c>
      <c r="AF2397" t="s">
        <v>382</v>
      </c>
      <c r="AG2397" t="s">
        <v>3165</v>
      </c>
      <c r="AI2397">
        <v>-353</v>
      </c>
      <c r="AL2397" t="s">
        <v>3166</v>
      </c>
      <c r="AN2397" t="s">
        <v>57</v>
      </c>
      <c r="AO2397">
        <v>0</v>
      </c>
      <c r="AS2397" t="s">
        <v>702</v>
      </c>
      <c r="AX2397" t="s">
        <v>57</v>
      </c>
      <c r="AY2397" t="s">
        <v>442</v>
      </c>
      <c r="AZ2397" t="s">
        <v>3167</v>
      </c>
      <c r="BC2397" t="s">
        <v>480</v>
      </c>
      <c r="BD2397" t="s">
        <v>3168</v>
      </c>
      <c r="BF2397">
        <v>0</v>
      </c>
      <c r="BK2397" t="s">
        <v>31</v>
      </c>
      <c r="BS2397" t="s">
        <v>2940</v>
      </c>
      <c r="BT2397" t="s">
        <v>2941</v>
      </c>
      <c r="CI2397" t="s">
        <v>388</v>
      </c>
      <c r="CJ2397" s="14">
        <v>45015</v>
      </c>
      <c r="CK2397">
        <v>1</v>
      </c>
    </row>
    <row r="2398" spans="1:89">
      <c r="A2398" t="s">
        <v>3160</v>
      </c>
      <c r="B2398" t="s">
        <v>374</v>
      </c>
      <c r="C2398" t="s">
        <v>3161</v>
      </c>
      <c r="D2398" t="s">
        <v>3169</v>
      </c>
      <c r="E2398" t="s">
        <v>3170</v>
      </c>
      <c r="F2398" s="13">
        <v>44607.620069444441</v>
      </c>
      <c r="G2398" t="s">
        <v>2985</v>
      </c>
      <c r="H2398" t="s">
        <v>2986</v>
      </c>
      <c r="I2398" s="13">
        <v>45012.043807870374</v>
      </c>
      <c r="K2398" t="s">
        <v>415</v>
      </c>
      <c r="M2398" s="13">
        <v>44628</v>
      </c>
      <c r="R2398">
        <v>100</v>
      </c>
      <c r="S2398" t="s">
        <v>380</v>
      </c>
      <c r="T2398" t="s">
        <v>57</v>
      </c>
      <c r="V2398" t="s">
        <v>478</v>
      </c>
      <c r="W2398" t="s">
        <v>2993</v>
      </c>
      <c r="X2398" t="s">
        <v>2993</v>
      </c>
      <c r="AB2398" t="s">
        <v>31</v>
      </c>
      <c r="AF2398" t="s">
        <v>382</v>
      </c>
      <c r="AG2398" t="s">
        <v>3171</v>
      </c>
      <c r="AI2398">
        <v>-384</v>
      </c>
      <c r="AJ2398" s="13">
        <v>44631</v>
      </c>
      <c r="AL2398" t="s">
        <v>3166</v>
      </c>
      <c r="AN2398" t="s">
        <v>57</v>
      </c>
      <c r="AO2398">
        <v>0</v>
      </c>
      <c r="AR2398" t="s">
        <v>3172</v>
      </c>
      <c r="AS2398" t="s">
        <v>702</v>
      </c>
      <c r="AX2398" t="s">
        <v>57</v>
      </c>
      <c r="AY2398" t="s">
        <v>442</v>
      </c>
      <c r="AZ2398" t="s">
        <v>3173</v>
      </c>
      <c r="BC2398" t="s">
        <v>480</v>
      </c>
      <c r="BD2398" t="s">
        <v>3174</v>
      </c>
      <c r="BF2398">
        <v>0</v>
      </c>
      <c r="BK2398" t="s">
        <v>31</v>
      </c>
      <c r="BS2398" t="s">
        <v>2940</v>
      </c>
      <c r="BT2398" t="s">
        <v>2941</v>
      </c>
      <c r="CI2398" t="s">
        <v>388</v>
      </c>
      <c r="CJ2398" s="14">
        <v>45015</v>
      </c>
      <c r="CK2398">
        <v>1</v>
      </c>
    </row>
    <row r="2399" spans="1:89">
      <c r="A2399" t="s">
        <v>3160</v>
      </c>
      <c r="B2399" t="s">
        <v>374</v>
      </c>
      <c r="C2399" t="s">
        <v>3161</v>
      </c>
      <c r="D2399" t="s">
        <v>3175</v>
      </c>
      <c r="E2399" t="s">
        <v>3176</v>
      </c>
      <c r="F2399" s="13">
        <v>44607.618622685186</v>
      </c>
      <c r="G2399" t="s">
        <v>2985</v>
      </c>
      <c r="H2399" t="s">
        <v>2986</v>
      </c>
      <c r="I2399" s="13">
        <v>45012.043807870374</v>
      </c>
      <c r="K2399" t="s">
        <v>415</v>
      </c>
      <c r="M2399" s="13">
        <v>44624</v>
      </c>
      <c r="R2399">
        <v>100</v>
      </c>
      <c r="S2399" t="s">
        <v>380</v>
      </c>
      <c r="T2399" t="s">
        <v>57</v>
      </c>
      <c r="V2399" t="s">
        <v>478</v>
      </c>
      <c r="W2399" t="s">
        <v>3164</v>
      </c>
      <c r="X2399" t="s">
        <v>3164</v>
      </c>
      <c r="AB2399" t="s">
        <v>31</v>
      </c>
      <c r="AF2399" t="s">
        <v>382</v>
      </c>
      <c r="AG2399" t="s">
        <v>3177</v>
      </c>
      <c r="AI2399">
        <v>-388</v>
      </c>
      <c r="AL2399" t="s">
        <v>3166</v>
      </c>
      <c r="AN2399" t="s">
        <v>57</v>
      </c>
      <c r="AO2399">
        <v>0</v>
      </c>
      <c r="AS2399" t="s">
        <v>702</v>
      </c>
      <c r="AX2399" t="s">
        <v>57</v>
      </c>
      <c r="AY2399" t="s">
        <v>442</v>
      </c>
      <c r="AZ2399" t="s">
        <v>438</v>
      </c>
      <c r="BC2399" t="s">
        <v>480</v>
      </c>
      <c r="BD2399" t="s">
        <v>3178</v>
      </c>
      <c r="BF2399">
        <v>0</v>
      </c>
      <c r="BK2399" t="s">
        <v>31</v>
      </c>
      <c r="BS2399" t="s">
        <v>2940</v>
      </c>
      <c r="BT2399" t="s">
        <v>2941</v>
      </c>
      <c r="CI2399" t="s">
        <v>388</v>
      </c>
      <c r="CJ2399" s="14">
        <v>45015</v>
      </c>
      <c r="CK2399">
        <v>1</v>
      </c>
    </row>
    <row r="2400" spans="1:89">
      <c r="A2400" t="s">
        <v>3160</v>
      </c>
      <c r="B2400" t="s">
        <v>374</v>
      </c>
      <c r="C2400" t="s">
        <v>3161</v>
      </c>
      <c r="D2400" t="s">
        <v>3179</v>
      </c>
      <c r="E2400" t="s">
        <v>3180</v>
      </c>
      <c r="F2400" s="13">
        <v>44607.616979166669</v>
      </c>
      <c r="G2400" t="s">
        <v>2985</v>
      </c>
      <c r="H2400" t="s">
        <v>2986</v>
      </c>
      <c r="I2400" s="13">
        <v>45012.043807870374</v>
      </c>
      <c r="K2400" t="s">
        <v>415</v>
      </c>
      <c r="M2400" s="13">
        <v>44607</v>
      </c>
      <c r="R2400">
        <v>100</v>
      </c>
      <c r="S2400" t="s">
        <v>380</v>
      </c>
      <c r="T2400" t="s">
        <v>57</v>
      </c>
      <c r="V2400" t="s">
        <v>478</v>
      </c>
      <c r="W2400" t="s">
        <v>2993</v>
      </c>
      <c r="X2400" t="s">
        <v>2993</v>
      </c>
      <c r="AB2400" t="s">
        <v>31</v>
      </c>
      <c r="AF2400" t="s">
        <v>382</v>
      </c>
      <c r="AG2400" t="s">
        <v>3181</v>
      </c>
      <c r="AI2400">
        <v>-405</v>
      </c>
      <c r="AJ2400" s="13">
        <v>44620</v>
      </c>
      <c r="AL2400" t="s">
        <v>3166</v>
      </c>
      <c r="AN2400" t="s">
        <v>57</v>
      </c>
      <c r="AO2400">
        <v>0</v>
      </c>
      <c r="AR2400" t="s">
        <v>3182</v>
      </c>
      <c r="AS2400" t="s">
        <v>392</v>
      </c>
      <c r="AX2400" t="s">
        <v>57</v>
      </c>
      <c r="AY2400" t="s">
        <v>442</v>
      </c>
      <c r="AZ2400" t="s">
        <v>3183</v>
      </c>
      <c r="BC2400" t="s">
        <v>480</v>
      </c>
      <c r="BD2400" t="s">
        <v>3184</v>
      </c>
      <c r="BF2400">
        <v>0</v>
      </c>
      <c r="BK2400" t="s">
        <v>31</v>
      </c>
      <c r="BS2400" t="s">
        <v>2940</v>
      </c>
      <c r="BT2400" t="s">
        <v>2941</v>
      </c>
      <c r="CI2400" t="s">
        <v>388</v>
      </c>
      <c r="CJ2400" s="14">
        <v>45015</v>
      </c>
      <c r="CK2400">
        <v>1</v>
      </c>
    </row>
    <row r="2401" spans="1:89">
      <c r="A2401" t="s">
        <v>3160</v>
      </c>
      <c r="B2401" t="s">
        <v>374</v>
      </c>
      <c r="C2401" t="s">
        <v>3161</v>
      </c>
      <c r="D2401" t="s">
        <v>3185</v>
      </c>
      <c r="E2401" t="s">
        <v>3186</v>
      </c>
      <c r="F2401" s="13">
        <v>44607.614641203705</v>
      </c>
      <c r="G2401" t="s">
        <v>2985</v>
      </c>
      <c r="H2401" t="s">
        <v>2986</v>
      </c>
      <c r="I2401" s="13">
        <v>45012.043796296297</v>
      </c>
      <c r="K2401" t="s">
        <v>415</v>
      </c>
      <c r="M2401" s="13">
        <v>44607</v>
      </c>
      <c r="R2401">
        <v>100</v>
      </c>
      <c r="S2401" t="s">
        <v>380</v>
      </c>
      <c r="T2401" t="s">
        <v>57</v>
      </c>
      <c r="V2401" t="s">
        <v>478</v>
      </c>
      <c r="W2401" t="s">
        <v>2993</v>
      </c>
      <c r="X2401" t="s">
        <v>2993</v>
      </c>
      <c r="AB2401" t="s">
        <v>31</v>
      </c>
      <c r="AF2401" t="s">
        <v>382</v>
      </c>
      <c r="AG2401" t="s">
        <v>3187</v>
      </c>
      <c r="AI2401">
        <v>-405</v>
      </c>
      <c r="AJ2401" s="13">
        <v>44620</v>
      </c>
      <c r="AL2401" t="s">
        <v>3166</v>
      </c>
      <c r="AN2401" t="s">
        <v>57</v>
      </c>
      <c r="AO2401">
        <v>0</v>
      </c>
      <c r="AR2401" t="s">
        <v>3188</v>
      </c>
      <c r="AS2401" t="s">
        <v>744</v>
      </c>
      <c r="AX2401" t="s">
        <v>57</v>
      </c>
      <c r="AY2401" t="s">
        <v>442</v>
      </c>
      <c r="AZ2401" t="s">
        <v>3189</v>
      </c>
      <c r="BC2401" t="s">
        <v>480</v>
      </c>
      <c r="BD2401" t="s">
        <v>3190</v>
      </c>
      <c r="BF2401">
        <v>0</v>
      </c>
      <c r="BK2401" t="s">
        <v>31</v>
      </c>
      <c r="BS2401" t="s">
        <v>2940</v>
      </c>
      <c r="BT2401" t="s">
        <v>2941</v>
      </c>
      <c r="CI2401" t="s">
        <v>388</v>
      </c>
      <c r="CJ2401" s="14">
        <v>45015</v>
      </c>
      <c r="CK2401">
        <v>1</v>
      </c>
    </row>
    <row r="2402" spans="1:89">
      <c r="A2402" t="s">
        <v>3191</v>
      </c>
      <c r="B2402" t="s">
        <v>374</v>
      </c>
      <c r="C2402" t="s">
        <v>3192</v>
      </c>
      <c r="D2402" t="s">
        <v>3193</v>
      </c>
      <c r="E2402" t="s">
        <v>3194</v>
      </c>
      <c r="F2402" s="13">
        <v>44607.581435185188</v>
      </c>
      <c r="G2402" t="s">
        <v>1472</v>
      </c>
      <c r="H2402" t="s">
        <v>1473</v>
      </c>
      <c r="I2402" s="13">
        <v>45012.043796296297</v>
      </c>
      <c r="K2402" t="s">
        <v>415</v>
      </c>
      <c r="M2402" s="13">
        <v>44755</v>
      </c>
      <c r="R2402">
        <v>0</v>
      </c>
      <c r="S2402" t="s">
        <v>380</v>
      </c>
      <c r="T2402" t="s">
        <v>57</v>
      </c>
      <c r="V2402" t="s">
        <v>478</v>
      </c>
      <c r="W2402" t="s">
        <v>3195</v>
      </c>
      <c r="X2402" t="s">
        <v>3195</v>
      </c>
      <c r="AC2402" s="13">
        <v>44418</v>
      </c>
      <c r="AD2402" s="13">
        <v>44326</v>
      </c>
      <c r="AF2402" t="s">
        <v>451</v>
      </c>
      <c r="AI2402">
        <v>-257</v>
      </c>
      <c r="AL2402" t="s">
        <v>3196</v>
      </c>
      <c r="AN2402" t="s">
        <v>31</v>
      </c>
      <c r="AO2402">
        <v>0</v>
      </c>
      <c r="AS2402" t="s">
        <v>702</v>
      </c>
      <c r="AX2402" t="s">
        <v>31</v>
      </c>
      <c r="AY2402" t="s">
        <v>442</v>
      </c>
      <c r="AZ2402" t="s">
        <v>3197</v>
      </c>
      <c r="BF2402">
        <v>0</v>
      </c>
      <c r="BK2402" t="s">
        <v>31</v>
      </c>
      <c r="BS2402" t="s">
        <v>419</v>
      </c>
      <c r="BT2402" t="s">
        <v>419</v>
      </c>
      <c r="CI2402" t="s">
        <v>388</v>
      </c>
      <c r="CJ2402" s="14">
        <v>45015</v>
      </c>
      <c r="CK2402">
        <v>1</v>
      </c>
    </row>
    <row r="2403" spans="1:89">
      <c r="A2403" t="s">
        <v>3198</v>
      </c>
      <c r="B2403" t="s">
        <v>374</v>
      </c>
      <c r="C2403" t="s">
        <v>3199</v>
      </c>
      <c r="D2403" t="s">
        <v>3200</v>
      </c>
      <c r="E2403" t="s">
        <v>3201</v>
      </c>
      <c r="F2403" s="13">
        <v>44607.517060185186</v>
      </c>
      <c r="G2403" t="s">
        <v>3202</v>
      </c>
      <c r="H2403" t="s">
        <v>3203</v>
      </c>
      <c r="I2403" s="13">
        <v>45012.043796296297</v>
      </c>
      <c r="K2403" t="s">
        <v>415</v>
      </c>
      <c r="M2403" s="13">
        <v>44681</v>
      </c>
      <c r="R2403">
        <v>0</v>
      </c>
      <c r="S2403" t="s">
        <v>416</v>
      </c>
      <c r="T2403" t="s">
        <v>57</v>
      </c>
      <c r="V2403" t="s">
        <v>478</v>
      </c>
      <c r="W2403" t="s">
        <v>3204</v>
      </c>
      <c r="X2403" t="s">
        <v>3204</v>
      </c>
      <c r="AC2403" s="13">
        <v>44681</v>
      </c>
      <c r="AD2403" s="13">
        <v>44681</v>
      </c>
      <c r="AF2403" t="s">
        <v>451</v>
      </c>
      <c r="AI2403">
        <v>-331</v>
      </c>
      <c r="AL2403" t="s">
        <v>3205</v>
      </c>
      <c r="AN2403" t="s">
        <v>31</v>
      </c>
      <c r="AO2403">
        <v>0</v>
      </c>
      <c r="AS2403" t="s">
        <v>526</v>
      </c>
      <c r="AX2403" t="s">
        <v>57</v>
      </c>
      <c r="AY2403" t="s">
        <v>386</v>
      </c>
      <c r="AZ2403" t="s">
        <v>3206</v>
      </c>
      <c r="BF2403">
        <v>0</v>
      </c>
      <c r="BK2403" t="s">
        <v>31</v>
      </c>
      <c r="BS2403" t="s">
        <v>419</v>
      </c>
      <c r="BT2403" t="s">
        <v>419</v>
      </c>
      <c r="CI2403" t="s">
        <v>388</v>
      </c>
      <c r="CJ2403" s="14">
        <v>45015</v>
      </c>
      <c r="CK2403">
        <v>1</v>
      </c>
    </row>
    <row r="2404" spans="1:89">
      <c r="A2404" t="s">
        <v>3198</v>
      </c>
      <c r="B2404" t="s">
        <v>374</v>
      </c>
      <c r="C2404" t="s">
        <v>3199</v>
      </c>
      <c r="D2404" t="s">
        <v>3207</v>
      </c>
      <c r="E2404" t="s">
        <v>3208</v>
      </c>
      <c r="F2404" s="13">
        <v>44606.772013888891</v>
      </c>
      <c r="G2404" t="s">
        <v>3202</v>
      </c>
      <c r="H2404" t="s">
        <v>3203</v>
      </c>
      <c r="I2404" s="13">
        <v>45012.04378472222</v>
      </c>
      <c r="K2404" t="s">
        <v>415</v>
      </c>
      <c r="M2404" s="13">
        <v>44651</v>
      </c>
      <c r="R2404">
        <v>0</v>
      </c>
      <c r="S2404" t="s">
        <v>380</v>
      </c>
      <c r="T2404" t="s">
        <v>57</v>
      </c>
      <c r="V2404" t="s">
        <v>478</v>
      </c>
      <c r="W2404" t="s">
        <v>3209</v>
      </c>
      <c r="X2404" t="s">
        <v>3209</v>
      </c>
      <c r="AC2404" s="13">
        <v>44651</v>
      </c>
      <c r="AD2404" s="13">
        <v>44651</v>
      </c>
      <c r="AF2404" t="s">
        <v>451</v>
      </c>
      <c r="AG2404" t="s">
        <v>3210</v>
      </c>
      <c r="AI2404">
        <v>-361</v>
      </c>
      <c r="AL2404" t="s">
        <v>3211</v>
      </c>
      <c r="AN2404" t="s">
        <v>31</v>
      </c>
      <c r="AO2404">
        <v>0</v>
      </c>
      <c r="AS2404" t="s">
        <v>702</v>
      </c>
      <c r="AX2404" t="s">
        <v>57</v>
      </c>
      <c r="AY2404" t="s">
        <v>386</v>
      </c>
      <c r="AZ2404" t="s">
        <v>3212</v>
      </c>
      <c r="BF2404">
        <v>0</v>
      </c>
      <c r="BK2404" t="s">
        <v>31</v>
      </c>
      <c r="BS2404" t="s">
        <v>419</v>
      </c>
      <c r="BT2404" t="s">
        <v>419</v>
      </c>
      <c r="CI2404" t="s">
        <v>388</v>
      </c>
      <c r="CJ2404" s="14">
        <v>45015</v>
      </c>
      <c r="CK2404">
        <v>1</v>
      </c>
    </row>
    <row r="2405" spans="1:89">
      <c r="A2405" t="s">
        <v>3198</v>
      </c>
      <c r="B2405" t="s">
        <v>374</v>
      </c>
      <c r="C2405" t="s">
        <v>3199</v>
      </c>
      <c r="D2405" t="s">
        <v>3213</v>
      </c>
      <c r="E2405" t="s">
        <v>3214</v>
      </c>
      <c r="F2405" s="13">
        <v>44606.702233796299</v>
      </c>
      <c r="G2405" t="s">
        <v>3202</v>
      </c>
      <c r="H2405" t="s">
        <v>3203</v>
      </c>
      <c r="I2405" s="13">
        <v>45012.04378472222</v>
      </c>
      <c r="K2405" t="s">
        <v>415</v>
      </c>
      <c r="M2405" s="13">
        <v>44651</v>
      </c>
      <c r="R2405">
        <v>0</v>
      </c>
      <c r="S2405" t="s">
        <v>380</v>
      </c>
      <c r="T2405" t="s">
        <v>57</v>
      </c>
      <c r="V2405" t="s">
        <v>478</v>
      </c>
      <c r="W2405" t="s">
        <v>3215</v>
      </c>
      <c r="X2405" t="s">
        <v>3215</v>
      </c>
      <c r="AC2405" s="13">
        <v>44651</v>
      </c>
      <c r="AD2405" s="13">
        <v>44651</v>
      </c>
      <c r="AF2405" t="s">
        <v>451</v>
      </c>
      <c r="AG2405" t="s">
        <v>3216</v>
      </c>
      <c r="AI2405">
        <v>-361</v>
      </c>
      <c r="AL2405" t="s">
        <v>3217</v>
      </c>
      <c r="AN2405" t="s">
        <v>31</v>
      </c>
      <c r="AO2405">
        <v>0</v>
      </c>
      <c r="AS2405" t="s">
        <v>538</v>
      </c>
      <c r="AX2405" t="s">
        <v>57</v>
      </c>
      <c r="AY2405" t="s">
        <v>386</v>
      </c>
      <c r="AZ2405" t="s">
        <v>3218</v>
      </c>
      <c r="BF2405">
        <v>0</v>
      </c>
      <c r="BK2405" t="s">
        <v>31</v>
      </c>
      <c r="BS2405" t="s">
        <v>419</v>
      </c>
      <c r="BT2405" t="s">
        <v>419</v>
      </c>
      <c r="CI2405" t="s">
        <v>388</v>
      </c>
      <c r="CJ2405" s="14">
        <v>45015</v>
      </c>
      <c r="CK2405">
        <v>1</v>
      </c>
    </row>
    <row r="2406" spans="1:89">
      <c r="A2406" t="s">
        <v>1579</v>
      </c>
      <c r="B2406" t="s">
        <v>374</v>
      </c>
      <c r="C2406" t="s">
        <v>1580</v>
      </c>
      <c r="D2406" t="s">
        <v>3219</v>
      </c>
      <c r="E2406" t="s">
        <v>3220</v>
      </c>
      <c r="F2406" s="13">
        <v>44606.692835648151</v>
      </c>
      <c r="G2406" t="s">
        <v>1583</v>
      </c>
      <c r="H2406" t="s">
        <v>1584</v>
      </c>
      <c r="I2406" s="13">
        <v>45012.04378472222</v>
      </c>
      <c r="K2406" t="s">
        <v>415</v>
      </c>
      <c r="M2406" s="13">
        <v>44712</v>
      </c>
      <c r="R2406">
        <v>0</v>
      </c>
      <c r="S2406" t="s">
        <v>380</v>
      </c>
      <c r="T2406" t="s">
        <v>57</v>
      </c>
      <c r="V2406" t="s">
        <v>478</v>
      </c>
      <c r="W2406" t="s">
        <v>3142</v>
      </c>
      <c r="X2406" t="s">
        <v>3142</v>
      </c>
      <c r="AF2406" t="s">
        <v>451</v>
      </c>
      <c r="AI2406">
        <v>-300</v>
      </c>
      <c r="AL2406" t="s">
        <v>3221</v>
      </c>
      <c r="AN2406" t="s">
        <v>31</v>
      </c>
      <c r="AO2406">
        <v>0</v>
      </c>
      <c r="AS2406" t="s">
        <v>526</v>
      </c>
      <c r="AX2406" t="s">
        <v>31</v>
      </c>
      <c r="AY2406" t="s">
        <v>442</v>
      </c>
      <c r="AZ2406" t="s">
        <v>3222</v>
      </c>
      <c r="BF2406">
        <v>0</v>
      </c>
      <c r="BK2406" t="s">
        <v>31</v>
      </c>
      <c r="BS2406" t="s">
        <v>419</v>
      </c>
      <c r="BT2406" t="s">
        <v>419</v>
      </c>
      <c r="CI2406" t="s">
        <v>388</v>
      </c>
      <c r="CJ2406" s="14">
        <v>45015</v>
      </c>
      <c r="CK2406">
        <v>1</v>
      </c>
    </row>
    <row r="2407" spans="1:89">
      <c r="A2407" t="s">
        <v>3198</v>
      </c>
      <c r="B2407" t="s">
        <v>374</v>
      </c>
      <c r="C2407" t="s">
        <v>3199</v>
      </c>
      <c r="D2407" t="s">
        <v>3223</v>
      </c>
      <c r="E2407" t="s">
        <v>3224</v>
      </c>
      <c r="F2407" s="13">
        <v>44606.676724537036</v>
      </c>
      <c r="G2407" t="s">
        <v>3202</v>
      </c>
      <c r="H2407" t="s">
        <v>3203</v>
      </c>
      <c r="I2407" s="13">
        <v>45012.04378472222</v>
      </c>
      <c r="K2407" t="s">
        <v>415</v>
      </c>
      <c r="M2407" s="13">
        <v>44651</v>
      </c>
      <c r="R2407">
        <v>50</v>
      </c>
      <c r="S2407" t="s">
        <v>380</v>
      </c>
      <c r="T2407" t="s">
        <v>57</v>
      </c>
      <c r="V2407" t="s">
        <v>478</v>
      </c>
      <c r="W2407" t="s">
        <v>3209</v>
      </c>
      <c r="X2407" t="s">
        <v>3209</v>
      </c>
      <c r="AC2407" s="13">
        <v>44651</v>
      </c>
      <c r="AD2407" s="13">
        <v>44651</v>
      </c>
      <c r="AF2407" t="s">
        <v>451</v>
      </c>
      <c r="AG2407" t="s">
        <v>3225</v>
      </c>
      <c r="AI2407">
        <v>-361</v>
      </c>
      <c r="AL2407" t="s">
        <v>3226</v>
      </c>
      <c r="AN2407" t="s">
        <v>57</v>
      </c>
      <c r="AO2407">
        <v>0</v>
      </c>
      <c r="AS2407" t="s">
        <v>461</v>
      </c>
      <c r="AX2407" t="s">
        <v>57</v>
      </c>
      <c r="AY2407" t="s">
        <v>386</v>
      </c>
      <c r="AZ2407" t="s">
        <v>3227</v>
      </c>
      <c r="BF2407">
        <v>0</v>
      </c>
      <c r="BK2407" t="s">
        <v>31</v>
      </c>
      <c r="BS2407" t="s">
        <v>419</v>
      </c>
      <c r="BT2407" t="s">
        <v>419</v>
      </c>
      <c r="CI2407" t="s">
        <v>388</v>
      </c>
      <c r="CJ2407" s="14">
        <v>45015</v>
      </c>
      <c r="CK2407">
        <v>1</v>
      </c>
    </row>
    <row r="2408" spans="1:89">
      <c r="A2408" t="s">
        <v>2368</v>
      </c>
      <c r="B2408" t="s">
        <v>374</v>
      </c>
      <c r="C2408" t="s">
        <v>2369</v>
      </c>
      <c r="D2408" t="s">
        <v>3228</v>
      </c>
      <c r="E2408" t="s">
        <v>3229</v>
      </c>
      <c r="F2408" s="13">
        <v>44606.51221064815</v>
      </c>
      <c r="G2408" t="s">
        <v>3155</v>
      </c>
      <c r="H2408" t="s">
        <v>3156</v>
      </c>
      <c r="I2408" s="13">
        <v>45012.043773148151</v>
      </c>
      <c r="K2408" t="s">
        <v>415</v>
      </c>
      <c r="M2408" s="13">
        <v>44651</v>
      </c>
      <c r="R2408">
        <v>40</v>
      </c>
      <c r="S2408" t="s">
        <v>380</v>
      </c>
      <c r="T2408" t="s">
        <v>57</v>
      </c>
      <c r="V2408" t="s">
        <v>478</v>
      </c>
      <c r="W2408" t="s">
        <v>2374</v>
      </c>
      <c r="X2408" t="s">
        <v>2374</v>
      </c>
      <c r="AF2408" t="s">
        <v>451</v>
      </c>
      <c r="AG2408" t="s">
        <v>3230</v>
      </c>
      <c r="AH2408" t="s">
        <v>57</v>
      </c>
      <c r="AI2408">
        <v>-271</v>
      </c>
      <c r="AL2408" t="s">
        <v>3231</v>
      </c>
      <c r="AN2408" t="s">
        <v>31</v>
      </c>
      <c r="AO2408">
        <v>1</v>
      </c>
      <c r="AS2408" t="s">
        <v>730</v>
      </c>
      <c r="AX2408" t="s">
        <v>31</v>
      </c>
      <c r="AY2408" t="s">
        <v>442</v>
      </c>
      <c r="AZ2408" t="s">
        <v>3232</v>
      </c>
      <c r="BF2408">
        <v>0</v>
      </c>
      <c r="BK2408" t="s">
        <v>31</v>
      </c>
      <c r="BS2408" t="s">
        <v>419</v>
      </c>
      <c r="BT2408" t="s">
        <v>3233</v>
      </c>
      <c r="CI2408" t="s">
        <v>388</v>
      </c>
      <c r="CJ2408" s="14">
        <v>45015</v>
      </c>
      <c r="CK2408">
        <v>1</v>
      </c>
    </row>
    <row r="2409" spans="1:89">
      <c r="A2409" t="s">
        <v>3198</v>
      </c>
      <c r="B2409" t="s">
        <v>374</v>
      </c>
      <c r="C2409" t="s">
        <v>3199</v>
      </c>
      <c r="D2409" t="s">
        <v>3234</v>
      </c>
      <c r="E2409" t="s">
        <v>3235</v>
      </c>
      <c r="F2409" s="13">
        <v>44606.471655092595</v>
      </c>
      <c r="G2409" t="s">
        <v>3202</v>
      </c>
      <c r="H2409" t="s">
        <v>3203</v>
      </c>
      <c r="I2409" s="13">
        <v>45012.043773148151</v>
      </c>
      <c r="K2409" t="s">
        <v>415</v>
      </c>
      <c r="M2409" s="13">
        <v>44651</v>
      </c>
      <c r="R2409">
        <v>50</v>
      </c>
      <c r="S2409" t="s">
        <v>380</v>
      </c>
      <c r="T2409" t="s">
        <v>57</v>
      </c>
      <c r="V2409" t="s">
        <v>478</v>
      </c>
      <c r="W2409" t="s">
        <v>3209</v>
      </c>
      <c r="X2409" t="s">
        <v>3209</v>
      </c>
      <c r="AC2409" s="13">
        <v>44651</v>
      </c>
      <c r="AD2409" s="13">
        <v>44651</v>
      </c>
      <c r="AF2409" t="s">
        <v>451</v>
      </c>
      <c r="AG2409" t="s">
        <v>3225</v>
      </c>
      <c r="AI2409">
        <v>-361</v>
      </c>
      <c r="AL2409" t="s">
        <v>3236</v>
      </c>
      <c r="AN2409" t="s">
        <v>57</v>
      </c>
      <c r="AO2409">
        <v>0</v>
      </c>
      <c r="AS2409" t="s">
        <v>461</v>
      </c>
      <c r="AX2409" t="s">
        <v>57</v>
      </c>
      <c r="AY2409" t="s">
        <v>386</v>
      </c>
      <c r="AZ2409" t="s">
        <v>3237</v>
      </c>
      <c r="BF2409">
        <v>0</v>
      </c>
      <c r="BK2409" t="s">
        <v>31</v>
      </c>
      <c r="BS2409" t="s">
        <v>419</v>
      </c>
      <c r="BT2409" t="s">
        <v>419</v>
      </c>
      <c r="CI2409" t="s">
        <v>388</v>
      </c>
      <c r="CJ2409" s="14">
        <v>45015</v>
      </c>
      <c r="CK2409">
        <v>1</v>
      </c>
    </row>
    <row r="2410" spans="1:89">
      <c r="A2410" t="s">
        <v>3198</v>
      </c>
      <c r="B2410" t="s">
        <v>374</v>
      </c>
      <c r="C2410" t="s">
        <v>3199</v>
      </c>
      <c r="D2410" t="s">
        <v>3238</v>
      </c>
      <c r="E2410" t="s">
        <v>3239</v>
      </c>
      <c r="F2410" s="13">
        <v>44606.396562499998</v>
      </c>
      <c r="G2410" t="s">
        <v>3202</v>
      </c>
      <c r="H2410" t="s">
        <v>3203</v>
      </c>
      <c r="I2410" s="13">
        <v>45012.043773148151</v>
      </c>
      <c r="K2410" t="s">
        <v>415</v>
      </c>
      <c r="M2410" s="13">
        <v>44651</v>
      </c>
      <c r="R2410">
        <v>0</v>
      </c>
      <c r="S2410" t="s">
        <v>380</v>
      </c>
      <c r="T2410" t="s">
        <v>57</v>
      </c>
      <c r="V2410" t="s">
        <v>478</v>
      </c>
      <c r="W2410" t="s">
        <v>3209</v>
      </c>
      <c r="X2410" t="s">
        <v>3209</v>
      </c>
      <c r="AC2410" s="13">
        <v>44651</v>
      </c>
      <c r="AD2410" s="13">
        <v>44651</v>
      </c>
      <c r="AF2410" t="s">
        <v>451</v>
      </c>
      <c r="AG2410" t="s">
        <v>3210</v>
      </c>
      <c r="AI2410">
        <v>-361</v>
      </c>
      <c r="AL2410" t="s">
        <v>3240</v>
      </c>
      <c r="AN2410" t="s">
        <v>57</v>
      </c>
      <c r="AO2410">
        <v>0</v>
      </c>
      <c r="AS2410" t="s">
        <v>392</v>
      </c>
      <c r="AX2410" t="s">
        <v>57</v>
      </c>
      <c r="AY2410" t="s">
        <v>386</v>
      </c>
      <c r="AZ2410" t="s">
        <v>3241</v>
      </c>
      <c r="BF2410">
        <v>0</v>
      </c>
      <c r="BK2410" t="s">
        <v>31</v>
      </c>
      <c r="BS2410" t="s">
        <v>419</v>
      </c>
      <c r="BT2410" t="s">
        <v>419</v>
      </c>
      <c r="CI2410" t="s">
        <v>388</v>
      </c>
      <c r="CJ2410" s="14">
        <v>45015</v>
      </c>
      <c r="CK2410">
        <v>1</v>
      </c>
    </row>
    <row r="2411" spans="1:89">
      <c r="A2411" t="s">
        <v>3088</v>
      </c>
      <c r="B2411" t="s">
        <v>374</v>
      </c>
      <c r="C2411" t="s">
        <v>3089</v>
      </c>
      <c r="D2411" t="s">
        <v>3242</v>
      </c>
      <c r="E2411" t="s">
        <v>3243</v>
      </c>
      <c r="F2411" s="13">
        <v>44604.950104166666</v>
      </c>
      <c r="G2411" t="s">
        <v>3092</v>
      </c>
      <c r="H2411" t="s">
        <v>3093</v>
      </c>
      <c r="I2411" s="13">
        <v>44620.642569444448</v>
      </c>
      <c r="K2411" t="s">
        <v>409</v>
      </c>
      <c r="R2411">
        <v>0</v>
      </c>
      <c r="S2411" t="s">
        <v>416</v>
      </c>
      <c r="T2411" t="s">
        <v>57</v>
      </c>
      <c r="V2411" t="s">
        <v>381</v>
      </c>
      <c r="W2411" t="s">
        <v>3244</v>
      </c>
      <c r="X2411" t="s">
        <v>3244</v>
      </c>
      <c r="AC2411" s="13">
        <v>44834</v>
      </c>
      <c r="AD2411" s="13">
        <v>44742</v>
      </c>
      <c r="AI2411">
        <v>503</v>
      </c>
      <c r="AL2411" t="s">
        <v>3245</v>
      </c>
      <c r="AN2411" t="s">
        <v>31</v>
      </c>
      <c r="AO2411">
        <v>0</v>
      </c>
      <c r="AS2411" t="s">
        <v>392</v>
      </c>
      <c r="AX2411" t="s">
        <v>31</v>
      </c>
      <c r="AY2411" t="s">
        <v>442</v>
      </c>
      <c r="AZ2411" t="s">
        <v>3246</v>
      </c>
      <c r="BF2411">
        <v>0</v>
      </c>
      <c r="BK2411" t="s">
        <v>31</v>
      </c>
      <c r="BS2411" t="s">
        <v>409</v>
      </c>
      <c r="BT2411" t="s">
        <v>409</v>
      </c>
      <c r="CI2411" t="s">
        <v>388</v>
      </c>
      <c r="CJ2411" s="14">
        <v>45015</v>
      </c>
      <c r="CK2411">
        <v>1</v>
      </c>
    </row>
    <row r="2412" spans="1:89">
      <c r="A2412" t="s">
        <v>3088</v>
      </c>
      <c r="B2412" t="s">
        <v>374</v>
      </c>
      <c r="C2412" t="s">
        <v>3089</v>
      </c>
      <c r="D2412" t="s">
        <v>3247</v>
      </c>
      <c r="E2412" t="s">
        <v>3248</v>
      </c>
      <c r="F2412" s="13">
        <v>44604.892106481479</v>
      </c>
      <c r="G2412" t="s">
        <v>3092</v>
      </c>
      <c r="H2412" t="s">
        <v>3093</v>
      </c>
      <c r="I2412" s="13">
        <v>45012.043773148151</v>
      </c>
      <c r="K2412" t="s">
        <v>415</v>
      </c>
      <c r="M2412" s="13">
        <v>44651</v>
      </c>
      <c r="R2412">
        <v>30</v>
      </c>
      <c r="S2412" t="s">
        <v>380</v>
      </c>
      <c r="T2412" t="s">
        <v>57</v>
      </c>
      <c r="V2412" t="s">
        <v>478</v>
      </c>
      <c r="W2412" t="s">
        <v>3249</v>
      </c>
      <c r="X2412" t="s">
        <v>3249</v>
      </c>
      <c r="AC2412" s="13">
        <v>44651</v>
      </c>
      <c r="AD2412" s="13">
        <v>44651</v>
      </c>
      <c r="AF2412" t="s">
        <v>451</v>
      </c>
      <c r="AG2412" t="s">
        <v>3250</v>
      </c>
      <c r="AI2412">
        <v>-361</v>
      </c>
      <c r="AL2412" t="s">
        <v>3251</v>
      </c>
      <c r="AN2412" t="s">
        <v>31</v>
      </c>
      <c r="AO2412">
        <v>0</v>
      </c>
      <c r="AS2412" t="s">
        <v>392</v>
      </c>
      <c r="AX2412" t="s">
        <v>31</v>
      </c>
      <c r="AY2412" t="s">
        <v>386</v>
      </c>
      <c r="AZ2412" t="s">
        <v>3252</v>
      </c>
      <c r="BF2412">
        <v>0</v>
      </c>
      <c r="BK2412" t="s">
        <v>31</v>
      </c>
      <c r="BS2412" t="s">
        <v>419</v>
      </c>
      <c r="BT2412" t="s">
        <v>419</v>
      </c>
      <c r="CI2412" t="s">
        <v>388</v>
      </c>
      <c r="CJ2412" s="14">
        <v>45015</v>
      </c>
      <c r="CK2412">
        <v>1</v>
      </c>
    </row>
    <row r="2413" spans="1:89">
      <c r="A2413" t="s">
        <v>3088</v>
      </c>
      <c r="B2413" t="s">
        <v>374</v>
      </c>
      <c r="C2413" t="s">
        <v>3089</v>
      </c>
      <c r="D2413" t="s">
        <v>3253</v>
      </c>
      <c r="E2413" t="s">
        <v>3254</v>
      </c>
      <c r="F2413" s="13">
        <v>44603.497627314813</v>
      </c>
      <c r="G2413" t="s">
        <v>3092</v>
      </c>
      <c r="H2413" t="s">
        <v>3093</v>
      </c>
      <c r="I2413" s="13">
        <v>45012.043761574074</v>
      </c>
      <c r="K2413" t="s">
        <v>415</v>
      </c>
      <c r="M2413" s="13">
        <v>44651</v>
      </c>
      <c r="R2413">
        <v>0</v>
      </c>
      <c r="S2413" t="s">
        <v>380</v>
      </c>
      <c r="T2413" t="s">
        <v>57</v>
      </c>
      <c r="V2413" t="s">
        <v>478</v>
      </c>
      <c r="W2413" t="s">
        <v>3255</v>
      </c>
      <c r="X2413" t="s">
        <v>3255</v>
      </c>
      <c r="AF2413" t="s">
        <v>451</v>
      </c>
      <c r="AG2413" t="s">
        <v>451</v>
      </c>
      <c r="AI2413">
        <v>-361</v>
      </c>
      <c r="AL2413" t="s">
        <v>3256</v>
      </c>
      <c r="AN2413" t="s">
        <v>31</v>
      </c>
      <c r="AO2413">
        <v>0</v>
      </c>
      <c r="AS2413" t="s">
        <v>392</v>
      </c>
      <c r="AX2413" t="s">
        <v>31</v>
      </c>
      <c r="AY2413" t="s">
        <v>442</v>
      </c>
      <c r="AZ2413" t="s">
        <v>3257</v>
      </c>
      <c r="BF2413">
        <v>0</v>
      </c>
      <c r="BK2413" t="s">
        <v>31</v>
      </c>
      <c r="BS2413" t="s">
        <v>419</v>
      </c>
      <c r="BT2413" t="s">
        <v>419</v>
      </c>
      <c r="CI2413" t="s">
        <v>388</v>
      </c>
      <c r="CJ2413" s="14">
        <v>45015</v>
      </c>
      <c r="CK2413">
        <v>1</v>
      </c>
    </row>
    <row r="2414" spans="1:89">
      <c r="A2414" t="s">
        <v>3258</v>
      </c>
      <c r="B2414" t="s">
        <v>374</v>
      </c>
      <c r="C2414" t="s">
        <v>3259</v>
      </c>
      <c r="D2414" t="s">
        <v>3260</v>
      </c>
      <c r="E2414" t="s">
        <v>3261</v>
      </c>
      <c r="F2414" s="13">
        <v>44603.412349537037</v>
      </c>
      <c r="G2414" t="s">
        <v>3262</v>
      </c>
      <c r="H2414" t="s">
        <v>3263</v>
      </c>
      <c r="I2414" s="13">
        <v>44603.412986111114</v>
      </c>
      <c r="K2414" t="s">
        <v>412</v>
      </c>
      <c r="R2414">
        <v>0</v>
      </c>
      <c r="S2414" t="s">
        <v>380</v>
      </c>
      <c r="T2414" t="s">
        <v>57</v>
      </c>
      <c r="V2414" t="s">
        <v>381</v>
      </c>
      <c r="W2414" t="s">
        <v>3264</v>
      </c>
      <c r="X2414" t="s">
        <v>3264</v>
      </c>
      <c r="AI2414">
        <v>17</v>
      </c>
      <c r="AL2414" t="s">
        <v>3265</v>
      </c>
      <c r="AN2414" t="s">
        <v>31</v>
      </c>
      <c r="AO2414">
        <v>0</v>
      </c>
      <c r="AS2414" t="s">
        <v>538</v>
      </c>
      <c r="AU2414" t="s">
        <v>57</v>
      </c>
      <c r="AX2414" t="s">
        <v>31</v>
      </c>
      <c r="AY2414" t="s">
        <v>442</v>
      </c>
      <c r="AZ2414" t="s">
        <v>3266</v>
      </c>
      <c r="BF2414">
        <v>0</v>
      </c>
      <c r="BK2414" t="s">
        <v>31</v>
      </c>
      <c r="BS2414" t="s">
        <v>412</v>
      </c>
      <c r="BT2414" t="s">
        <v>412</v>
      </c>
      <c r="CI2414" t="s">
        <v>388</v>
      </c>
      <c r="CJ2414" s="14">
        <v>45015</v>
      </c>
      <c r="CK2414">
        <v>1</v>
      </c>
    </row>
    <row r="2415" spans="1:89">
      <c r="A2415" t="s">
        <v>2797</v>
      </c>
      <c r="B2415" t="s">
        <v>374</v>
      </c>
      <c r="C2415" t="s">
        <v>2798</v>
      </c>
      <c r="D2415" t="s">
        <v>3267</v>
      </c>
      <c r="E2415" t="s">
        <v>3268</v>
      </c>
      <c r="F2415" s="13">
        <v>44602.737974537034</v>
      </c>
      <c r="G2415" t="s">
        <v>3269</v>
      </c>
      <c r="H2415" t="s">
        <v>3270</v>
      </c>
      <c r="I2415" s="13">
        <v>45012.043761574074</v>
      </c>
      <c r="K2415" t="s">
        <v>415</v>
      </c>
      <c r="M2415" s="13">
        <v>44651</v>
      </c>
      <c r="R2415">
        <v>0</v>
      </c>
      <c r="S2415" t="s">
        <v>416</v>
      </c>
      <c r="T2415" t="s">
        <v>57</v>
      </c>
      <c r="V2415" t="s">
        <v>478</v>
      </c>
      <c r="W2415" t="s">
        <v>3271</v>
      </c>
      <c r="X2415" t="s">
        <v>3271</v>
      </c>
      <c r="Y2415" t="s">
        <v>480</v>
      </c>
      <c r="AC2415" s="13">
        <v>44561</v>
      </c>
      <c r="AD2415" s="13">
        <v>44561</v>
      </c>
      <c r="AF2415" t="s">
        <v>451</v>
      </c>
      <c r="AG2415" t="s">
        <v>3272</v>
      </c>
      <c r="AI2415">
        <v>-361</v>
      </c>
      <c r="AL2415" t="s">
        <v>3273</v>
      </c>
      <c r="AN2415" t="s">
        <v>31</v>
      </c>
      <c r="AO2415">
        <v>0</v>
      </c>
      <c r="AS2415" t="s">
        <v>385</v>
      </c>
      <c r="AT2415" t="s">
        <v>31</v>
      </c>
      <c r="AX2415" t="s">
        <v>31</v>
      </c>
      <c r="AY2415" t="s">
        <v>386</v>
      </c>
      <c r="AZ2415" t="s">
        <v>3274</v>
      </c>
      <c r="BF2415">
        <v>0</v>
      </c>
      <c r="BK2415" t="s">
        <v>31</v>
      </c>
      <c r="BS2415" t="s">
        <v>484</v>
      </c>
      <c r="BT2415" t="s">
        <v>484</v>
      </c>
      <c r="CI2415" t="s">
        <v>388</v>
      </c>
      <c r="CJ2415" s="14">
        <v>45015</v>
      </c>
      <c r="CK2415">
        <v>1</v>
      </c>
    </row>
    <row r="2416" spans="1:89">
      <c r="A2416" t="s">
        <v>2797</v>
      </c>
      <c r="B2416" t="s">
        <v>374</v>
      </c>
      <c r="C2416" t="s">
        <v>2798</v>
      </c>
      <c r="D2416" t="s">
        <v>3275</v>
      </c>
      <c r="E2416" t="s">
        <v>3276</v>
      </c>
      <c r="F2416" s="13">
        <v>44602.663553240738</v>
      </c>
      <c r="G2416" t="s">
        <v>3269</v>
      </c>
      <c r="H2416" t="s">
        <v>3270</v>
      </c>
      <c r="I2416" s="13">
        <v>45012.043761574074</v>
      </c>
      <c r="K2416" t="s">
        <v>415</v>
      </c>
      <c r="M2416" s="13">
        <v>44651</v>
      </c>
      <c r="R2416">
        <v>0</v>
      </c>
      <c r="S2416" t="s">
        <v>380</v>
      </c>
      <c r="T2416" t="s">
        <v>57</v>
      </c>
      <c r="V2416" t="s">
        <v>478</v>
      </c>
      <c r="W2416" t="s">
        <v>3271</v>
      </c>
      <c r="X2416" t="s">
        <v>3271</v>
      </c>
      <c r="AC2416" s="13">
        <v>44561</v>
      </c>
      <c r="AD2416" s="13">
        <v>44561</v>
      </c>
      <c r="AF2416" t="s">
        <v>451</v>
      </c>
      <c r="AI2416">
        <v>-361</v>
      </c>
      <c r="AL2416" t="s">
        <v>3277</v>
      </c>
      <c r="AN2416" t="s">
        <v>31</v>
      </c>
      <c r="AO2416">
        <v>0</v>
      </c>
      <c r="AS2416" t="s">
        <v>730</v>
      </c>
      <c r="AX2416" t="s">
        <v>31</v>
      </c>
      <c r="AY2416" t="s">
        <v>386</v>
      </c>
      <c r="AZ2416" t="s">
        <v>3278</v>
      </c>
      <c r="BF2416">
        <v>0</v>
      </c>
      <c r="BK2416" t="s">
        <v>31</v>
      </c>
      <c r="BS2416" t="s">
        <v>419</v>
      </c>
      <c r="BT2416" t="s">
        <v>419</v>
      </c>
      <c r="CI2416" t="s">
        <v>388</v>
      </c>
      <c r="CJ2416" s="14">
        <v>45015</v>
      </c>
      <c r="CK2416">
        <v>1</v>
      </c>
    </row>
    <row r="2417" spans="1:89">
      <c r="A2417" t="s">
        <v>2797</v>
      </c>
      <c r="B2417" t="s">
        <v>374</v>
      </c>
      <c r="C2417" t="s">
        <v>2798</v>
      </c>
      <c r="D2417" t="s">
        <v>3279</v>
      </c>
      <c r="E2417" t="s">
        <v>3280</v>
      </c>
      <c r="F2417" s="13">
        <v>44602.649826388886</v>
      </c>
      <c r="G2417" t="s">
        <v>3269</v>
      </c>
      <c r="H2417" t="s">
        <v>3270</v>
      </c>
      <c r="I2417" s="13">
        <v>45012.043749999997</v>
      </c>
      <c r="K2417" t="s">
        <v>415</v>
      </c>
      <c r="M2417" s="13">
        <v>44651</v>
      </c>
      <c r="R2417">
        <v>0</v>
      </c>
      <c r="S2417" t="s">
        <v>380</v>
      </c>
      <c r="T2417" t="s">
        <v>57</v>
      </c>
      <c r="V2417" t="s">
        <v>478</v>
      </c>
      <c r="W2417" t="s">
        <v>2828</v>
      </c>
      <c r="X2417" t="s">
        <v>2828</v>
      </c>
      <c r="AC2417" s="13">
        <v>44561</v>
      </c>
      <c r="AD2417" s="13">
        <v>44561</v>
      </c>
      <c r="AF2417" t="s">
        <v>451</v>
      </c>
      <c r="AI2417">
        <v>-361</v>
      </c>
      <c r="AL2417" t="s">
        <v>3281</v>
      </c>
      <c r="AN2417" t="s">
        <v>31</v>
      </c>
      <c r="AO2417">
        <v>0</v>
      </c>
      <c r="AS2417" t="s">
        <v>385</v>
      </c>
      <c r="AX2417" t="s">
        <v>31</v>
      </c>
      <c r="AY2417" t="s">
        <v>442</v>
      </c>
      <c r="AZ2417" t="s">
        <v>3282</v>
      </c>
      <c r="BF2417">
        <v>0</v>
      </c>
      <c r="BK2417" t="s">
        <v>31</v>
      </c>
      <c r="BS2417" t="s">
        <v>419</v>
      </c>
      <c r="BT2417" t="s">
        <v>419</v>
      </c>
      <c r="CI2417" t="s">
        <v>388</v>
      </c>
      <c r="CJ2417" s="14">
        <v>45015</v>
      </c>
      <c r="CK2417">
        <v>1</v>
      </c>
    </row>
    <row r="2418" spans="1:89">
      <c r="A2418" t="s">
        <v>2797</v>
      </c>
      <c r="B2418" t="s">
        <v>374</v>
      </c>
      <c r="C2418" t="s">
        <v>2798</v>
      </c>
      <c r="D2418" t="s">
        <v>3283</v>
      </c>
      <c r="E2418" t="s">
        <v>3284</v>
      </c>
      <c r="F2418" s="13">
        <v>44602.637650462966</v>
      </c>
      <c r="G2418" t="s">
        <v>3269</v>
      </c>
      <c r="H2418" t="s">
        <v>3270</v>
      </c>
      <c r="I2418" s="13">
        <v>45012.043749999997</v>
      </c>
      <c r="K2418" t="s">
        <v>415</v>
      </c>
      <c r="M2418" s="13">
        <v>44651</v>
      </c>
      <c r="R2418">
        <v>0</v>
      </c>
      <c r="S2418" t="s">
        <v>380</v>
      </c>
      <c r="T2418" t="s">
        <v>57</v>
      </c>
      <c r="V2418" t="s">
        <v>478</v>
      </c>
      <c r="W2418" t="s">
        <v>2828</v>
      </c>
      <c r="X2418" t="s">
        <v>2828</v>
      </c>
      <c r="AC2418" s="13">
        <v>44561</v>
      </c>
      <c r="AD2418" s="13">
        <v>44561</v>
      </c>
      <c r="AF2418" t="s">
        <v>451</v>
      </c>
      <c r="AI2418">
        <v>-361</v>
      </c>
      <c r="AL2418" t="s">
        <v>3285</v>
      </c>
      <c r="AN2418" t="s">
        <v>31</v>
      </c>
      <c r="AO2418">
        <v>0</v>
      </c>
      <c r="AS2418" t="s">
        <v>730</v>
      </c>
      <c r="AX2418" t="s">
        <v>31</v>
      </c>
      <c r="AY2418" t="s">
        <v>386</v>
      </c>
      <c r="AZ2418" t="s">
        <v>3286</v>
      </c>
      <c r="BF2418">
        <v>0</v>
      </c>
      <c r="BK2418" t="s">
        <v>31</v>
      </c>
      <c r="BS2418" t="s">
        <v>419</v>
      </c>
      <c r="BT2418" t="s">
        <v>419</v>
      </c>
      <c r="CI2418" t="s">
        <v>388</v>
      </c>
      <c r="CJ2418" s="14">
        <v>45015</v>
      </c>
      <c r="CK2418">
        <v>1</v>
      </c>
    </row>
    <row r="2419" spans="1:89">
      <c r="A2419" t="s">
        <v>2797</v>
      </c>
      <c r="B2419" t="s">
        <v>374</v>
      </c>
      <c r="C2419" t="s">
        <v>2798</v>
      </c>
      <c r="D2419" t="s">
        <v>3287</v>
      </c>
      <c r="E2419" t="s">
        <v>3288</v>
      </c>
      <c r="F2419" s="13">
        <v>44602.590196759258</v>
      </c>
      <c r="G2419" t="s">
        <v>3289</v>
      </c>
      <c r="H2419" t="s">
        <v>3290</v>
      </c>
      <c r="I2419" s="13">
        <v>45012.043749999997</v>
      </c>
      <c r="K2419" t="s">
        <v>415</v>
      </c>
      <c r="M2419" s="13">
        <v>44651</v>
      </c>
      <c r="R2419">
        <v>0</v>
      </c>
      <c r="S2419" t="s">
        <v>380</v>
      </c>
      <c r="T2419" t="s">
        <v>57</v>
      </c>
      <c r="V2419" t="s">
        <v>478</v>
      </c>
      <c r="W2419" t="s">
        <v>3271</v>
      </c>
      <c r="X2419" t="s">
        <v>3271</v>
      </c>
      <c r="AC2419" s="13">
        <v>44561</v>
      </c>
      <c r="AD2419" s="13">
        <v>44561</v>
      </c>
      <c r="AF2419" t="s">
        <v>451</v>
      </c>
      <c r="AI2419">
        <v>-361</v>
      </c>
      <c r="AL2419" t="s">
        <v>3291</v>
      </c>
      <c r="AN2419" t="s">
        <v>31</v>
      </c>
      <c r="AO2419">
        <v>0</v>
      </c>
      <c r="AS2419" t="s">
        <v>730</v>
      </c>
      <c r="AX2419" t="s">
        <v>31</v>
      </c>
      <c r="AY2419" t="s">
        <v>386</v>
      </c>
      <c r="AZ2419" t="s">
        <v>3292</v>
      </c>
      <c r="BF2419">
        <v>0</v>
      </c>
      <c r="BK2419" t="s">
        <v>31</v>
      </c>
      <c r="BS2419" t="s">
        <v>419</v>
      </c>
      <c r="BT2419" t="s">
        <v>419</v>
      </c>
      <c r="CI2419" t="s">
        <v>388</v>
      </c>
      <c r="CJ2419" s="14">
        <v>45015</v>
      </c>
      <c r="CK2419">
        <v>1</v>
      </c>
    </row>
    <row r="2420" spans="1:89">
      <c r="A2420" t="s">
        <v>2797</v>
      </c>
      <c r="B2420" t="s">
        <v>374</v>
      </c>
      <c r="C2420" t="s">
        <v>2798</v>
      </c>
      <c r="D2420" t="s">
        <v>3293</v>
      </c>
      <c r="E2420" t="s">
        <v>3294</v>
      </c>
      <c r="F2420" s="13">
        <v>44602.577986111108</v>
      </c>
      <c r="G2420" t="s">
        <v>3289</v>
      </c>
      <c r="H2420" t="s">
        <v>3290</v>
      </c>
      <c r="I2420" s="13">
        <v>45012.043749999997</v>
      </c>
      <c r="K2420" t="s">
        <v>415</v>
      </c>
      <c r="M2420" s="13">
        <v>44651</v>
      </c>
      <c r="R2420">
        <v>0</v>
      </c>
      <c r="S2420" t="s">
        <v>380</v>
      </c>
      <c r="T2420" t="s">
        <v>57</v>
      </c>
      <c r="V2420" t="s">
        <v>478</v>
      </c>
      <c r="W2420" t="s">
        <v>3271</v>
      </c>
      <c r="X2420" t="s">
        <v>3271</v>
      </c>
      <c r="AC2420" s="13">
        <v>44561</v>
      </c>
      <c r="AD2420" s="13">
        <v>44561</v>
      </c>
      <c r="AF2420" t="s">
        <v>451</v>
      </c>
      <c r="AI2420">
        <v>-361</v>
      </c>
      <c r="AL2420" t="s">
        <v>3295</v>
      </c>
      <c r="AN2420" t="s">
        <v>31</v>
      </c>
      <c r="AO2420">
        <v>0</v>
      </c>
      <c r="AS2420" t="s">
        <v>702</v>
      </c>
      <c r="AX2420" t="s">
        <v>31</v>
      </c>
      <c r="AY2420" t="s">
        <v>386</v>
      </c>
      <c r="AZ2420" t="s">
        <v>3296</v>
      </c>
      <c r="BF2420">
        <v>0</v>
      </c>
      <c r="BK2420" t="s">
        <v>31</v>
      </c>
      <c r="BS2420" t="s">
        <v>419</v>
      </c>
      <c r="BT2420" t="s">
        <v>419</v>
      </c>
      <c r="CI2420" t="s">
        <v>388</v>
      </c>
      <c r="CJ2420" s="14">
        <v>45015</v>
      </c>
      <c r="CK2420">
        <v>1</v>
      </c>
    </row>
    <row r="2421" spans="1:89">
      <c r="A2421" t="s">
        <v>2797</v>
      </c>
      <c r="B2421" t="s">
        <v>374</v>
      </c>
      <c r="C2421" t="s">
        <v>2798</v>
      </c>
      <c r="D2421" t="s">
        <v>3297</v>
      </c>
      <c r="E2421" t="s">
        <v>3298</v>
      </c>
      <c r="F2421" s="13">
        <v>44602.567696759259</v>
      </c>
      <c r="G2421" t="s">
        <v>3269</v>
      </c>
      <c r="H2421" t="s">
        <v>3270</v>
      </c>
      <c r="I2421" s="13">
        <v>44602.740231481483</v>
      </c>
      <c r="K2421" t="s">
        <v>409</v>
      </c>
      <c r="R2421">
        <v>0</v>
      </c>
      <c r="S2421" t="s">
        <v>416</v>
      </c>
      <c r="T2421" t="s">
        <v>57</v>
      </c>
      <c r="V2421" t="s">
        <v>381</v>
      </c>
      <c r="W2421" t="s">
        <v>3271</v>
      </c>
      <c r="X2421" t="s">
        <v>3271</v>
      </c>
      <c r="AC2421" s="13">
        <v>44561</v>
      </c>
      <c r="AD2421" s="13">
        <v>44561</v>
      </c>
      <c r="AI2421">
        <v>49</v>
      </c>
      <c r="AL2421" t="s">
        <v>3299</v>
      </c>
      <c r="AN2421" t="s">
        <v>31</v>
      </c>
      <c r="AO2421">
        <v>0</v>
      </c>
      <c r="AS2421" t="s">
        <v>730</v>
      </c>
      <c r="AX2421" t="s">
        <v>31</v>
      </c>
      <c r="AY2421" t="s">
        <v>386</v>
      </c>
      <c r="AZ2421" t="s">
        <v>3274</v>
      </c>
      <c r="BF2421">
        <v>0</v>
      </c>
      <c r="BK2421" t="s">
        <v>31</v>
      </c>
      <c r="BS2421" t="s">
        <v>409</v>
      </c>
      <c r="BT2421" t="s">
        <v>409</v>
      </c>
      <c r="CI2421" t="s">
        <v>388</v>
      </c>
      <c r="CJ2421" s="14">
        <v>45015</v>
      </c>
      <c r="CK2421">
        <v>1</v>
      </c>
    </row>
    <row r="2422" spans="1:89">
      <c r="A2422" t="s">
        <v>2797</v>
      </c>
      <c r="B2422" t="s">
        <v>374</v>
      </c>
      <c r="C2422" t="s">
        <v>2798</v>
      </c>
      <c r="D2422" t="s">
        <v>3300</v>
      </c>
      <c r="E2422" t="s">
        <v>3301</v>
      </c>
      <c r="F2422" s="13">
        <v>44602.562256944446</v>
      </c>
      <c r="G2422" t="s">
        <v>3289</v>
      </c>
      <c r="H2422" t="s">
        <v>3290</v>
      </c>
      <c r="I2422" s="13">
        <v>45012.043738425928</v>
      </c>
      <c r="K2422" t="s">
        <v>415</v>
      </c>
      <c r="M2422" s="13">
        <v>44651</v>
      </c>
      <c r="R2422">
        <v>0</v>
      </c>
      <c r="S2422" t="s">
        <v>380</v>
      </c>
      <c r="T2422" t="s">
        <v>57</v>
      </c>
      <c r="V2422" t="s">
        <v>478</v>
      </c>
      <c r="W2422" t="s">
        <v>3271</v>
      </c>
      <c r="X2422" t="s">
        <v>3271</v>
      </c>
      <c r="AC2422" s="13">
        <v>44561</v>
      </c>
      <c r="AD2422" s="13">
        <v>44561</v>
      </c>
      <c r="AF2422" t="s">
        <v>451</v>
      </c>
      <c r="AI2422">
        <v>-361</v>
      </c>
      <c r="AL2422" t="s">
        <v>3302</v>
      </c>
      <c r="AN2422" t="s">
        <v>31</v>
      </c>
      <c r="AO2422">
        <v>0</v>
      </c>
      <c r="AS2422" t="s">
        <v>730</v>
      </c>
      <c r="AX2422" t="s">
        <v>31</v>
      </c>
      <c r="AY2422" t="s">
        <v>386</v>
      </c>
      <c r="AZ2422" t="s">
        <v>3303</v>
      </c>
      <c r="BF2422">
        <v>0</v>
      </c>
      <c r="BK2422" t="s">
        <v>31</v>
      </c>
      <c r="BS2422" t="s">
        <v>419</v>
      </c>
      <c r="BT2422" t="s">
        <v>419</v>
      </c>
      <c r="CI2422" t="s">
        <v>388</v>
      </c>
      <c r="CJ2422" s="14">
        <v>45015</v>
      </c>
      <c r="CK2422">
        <v>1</v>
      </c>
    </row>
    <row r="2423" spans="1:89">
      <c r="A2423" t="s">
        <v>2797</v>
      </c>
      <c r="B2423" t="s">
        <v>374</v>
      </c>
      <c r="C2423" t="s">
        <v>2798</v>
      </c>
      <c r="D2423" t="s">
        <v>3304</v>
      </c>
      <c r="E2423" t="s">
        <v>3305</v>
      </c>
      <c r="F2423" s="13">
        <v>44602.553194444445</v>
      </c>
      <c r="G2423" t="s">
        <v>3269</v>
      </c>
      <c r="H2423" t="s">
        <v>3270</v>
      </c>
      <c r="I2423" s="13">
        <v>45012.043738425928</v>
      </c>
      <c r="K2423" t="s">
        <v>415</v>
      </c>
      <c r="M2423" s="13">
        <v>44651</v>
      </c>
      <c r="R2423">
        <v>0</v>
      </c>
      <c r="S2423" t="s">
        <v>380</v>
      </c>
      <c r="T2423" t="s">
        <v>57</v>
      </c>
      <c r="V2423" t="s">
        <v>478</v>
      </c>
      <c r="W2423" t="s">
        <v>3306</v>
      </c>
      <c r="X2423" t="s">
        <v>3306</v>
      </c>
      <c r="AC2423" s="13">
        <v>44561</v>
      </c>
      <c r="AD2423" s="13">
        <v>44561</v>
      </c>
      <c r="AF2423" t="s">
        <v>451</v>
      </c>
      <c r="AI2423">
        <v>-361</v>
      </c>
      <c r="AL2423" t="s">
        <v>3307</v>
      </c>
      <c r="AN2423" t="s">
        <v>31</v>
      </c>
      <c r="AO2423">
        <v>0</v>
      </c>
      <c r="AS2423" t="s">
        <v>730</v>
      </c>
      <c r="AX2423" t="s">
        <v>31</v>
      </c>
      <c r="AY2423" t="s">
        <v>386</v>
      </c>
      <c r="AZ2423" t="s">
        <v>3308</v>
      </c>
      <c r="BF2423">
        <v>0</v>
      </c>
      <c r="BK2423" t="s">
        <v>31</v>
      </c>
      <c r="BS2423" t="s">
        <v>419</v>
      </c>
      <c r="BT2423" t="s">
        <v>419</v>
      </c>
      <c r="CI2423" t="s">
        <v>388</v>
      </c>
      <c r="CJ2423" s="14">
        <v>45015</v>
      </c>
      <c r="CK2423">
        <v>1</v>
      </c>
    </row>
    <row r="2424" spans="1:89">
      <c r="A2424" t="s">
        <v>2797</v>
      </c>
      <c r="B2424" t="s">
        <v>374</v>
      </c>
      <c r="C2424" t="s">
        <v>2798</v>
      </c>
      <c r="D2424" t="s">
        <v>3309</v>
      </c>
      <c r="E2424" t="s">
        <v>3310</v>
      </c>
      <c r="F2424" s="13">
        <v>44602.55060185185</v>
      </c>
      <c r="G2424" t="s">
        <v>3289</v>
      </c>
      <c r="H2424" t="s">
        <v>3290</v>
      </c>
      <c r="I2424" s="13">
        <v>45012.043738425928</v>
      </c>
      <c r="K2424" t="s">
        <v>415</v>
      </c>
      <c r="M2424" s="13">
        <v>44651</v>
      </c>
      <c r="R2424">
        <v>0</v>
      </c>
      <c r="S2424" t="s">
        <v>380</v>
      </c>
      <c r="T2424" t="s">
        <v>57</v>
      </c>
      <c r="V2424" t="s">
        <v>478</v>
      </c>
      <c r="W2424" t="s">
        <v>3271</v>
      </c>
      <c r="X2424" t="s">
        <v>3271</v>
      </c>
      <c r="AC2424" s="13">
        <v>44561</v>
      </c>
      <c r="AD2424" s="13">
        <v>44561</v>
      </c>
      <c r="AF2424" t="s">
        <v>451</v>
      </c>
      <c r="AI2424">
        <v>-361</v>
      </c>
      <c r="AL2424" t="s">
        <v>3311</v>
      </c>
      <c r="AN2424" t="s">
        <v>31</v>
      </c>
      <c r="AO2424">
        <v>0</v>
      </c>
      <c r="AS2424" t="s">
        <v>702</v>
      </c>
      <c r="AX2424" t="s">
        <v>57</v>
      </c>
      <c r="AY2424" t="s">
        <v>386</v>
      </c>
      <c r="AZ2424" t="s">
        <v>3278</v>
      </c>
      <c r="BF2424">
        <v>0</v>
      </c>
      <c r="BK2424" t="s">
        <v>31</v>
      </c>
      <c r="BS2424" t="s">
        <v>419</v>
      </c>
      <c r="BT2424" t="s">
        <v>419</v>
      </c>
      <c r="CI2424" t="s">
        <v>388</v>
      </c>
      <c r="CJ2424" s="14">
        <v>45015</v>
      </c>
      <c r="CK2424">
        <v>1</v>
      </c>
    </row>
    <row r="2425" spans="1:89">
      <c r="A2425" t="s">
        <v>2797</v>
      </c>
      <c r="B2425" t="s">
        <v>374</v>
      </c>
      <c r="C2425" t="s">
        <v>2798</v>
      </c>
      <c r="D2425" t="s">
        <v>3312</v>
      </c>
      <c r="E2425" t="s">
        <v>3313</v>
      </c>
      <c r="F2425" s="13">
        <v>44602.534166666665</v>
      </c>
      <c r="G2425" t="s">
        <v>3289</v>
      </c>
      <c r="H2425" t="s">
        <v>3290</v>
      </c>
      <c r="I2425" s="13">
        <v>45012.043738425928</v>
      </c>
      <c r="K2425" t="s">
        <v>415</v>
      </c>
      <c r="M2425" s="13">
        <v>44651</v>
      </c>
      <c r="R2425">
        <v>0</v>
      </c>
      <c r="S2425" t="s">
        <v>380</v>
      </c>
      <c r="T2425" t="s">
        <v>57</v>
      </c>
      <c r="V2425" t="s">
        <v>478</v>
      </c>
      <c r="W2425" t="s">
        <v>3271</v>
      </c>
      <c r="X2425" t="s">
        <v>3271</v>
      </c>
      <c r="AC2425" s="13">
        <v>44561</v>
      </c>
      <c r="AD2425" s="13">
        <v>44561</v>
      </c>
      <c r="AF2425" t="s">
        <v>451</v>
      </c>
      <c r="AI2425">
        <v>-361</v>
      </c>
      <c r="AL2425" t="s">
        <v>3314</v>
      </c>
      <c r="AN2425" t="s">
        <v>31</v>
      </c>
      <c r="AO2425">
        <v>0</v>
      </c>
      <c r="AS2425" t="s">
        <v>730</v>
      </c>
      <c r="AX2425" t="s">
        <v>31</v>
      </c>
      <c r="AY2425" t="s">
        <v>386</v>
      </c>
      <c r="AZ2425" t="s">
        <v>3315</v>
      </c>
      <c r="BF2425">
        <v>0</v>
      </c>
      <c r="BK2425" t="s">
        <v>31</v>
      </c>
      <c r="BS2425" t="s">
        <v>419</v>
      </c>
      <c r="BT2425" t="s">
        <v>419</v>
      </c>
      <c r="CI2425" t="s">
        <v>388</v>
      </c>
      <c r="CJ2425" s="14">
        <v>45015</v>
      </c>
      <c r="CK2425">
        <v>1</v>
      </c>
    </row>
    <row r="2426" spans="1:89">
      <c r="A2426" t="s">
        <v>2797</v>
      </c>
      <c r="B2426" t="s">
        <v>374</v>
      </c>
      <c r="C2426" t="s">
        <v>2798</v>
      </c>
      <c r="D2426" t="s">
        <v>3316</v>
      </c>
      <c r="E2426" t="s">
        <v>3313</v>
      </c>
      <c r="F2426" s="13">
        <v>44602.499560185184</v>
      </c>
      <c r="G2426" t="s">
        <v>3289</v>
      </c>
      <c r="H2426" t="s">
        <v>3290</v>
      </c>
      <c r="I2426" s="13">
        <v>45012.043726851851</v>
      </c>
      <c r="K2426" t="s">
        <v>415</v>
      </c>
      <c r="M2426" s="13">
        <v>44651</v>
      </c>
      <c r="R2426">
        <v>0</v>
      </c>
      <c r="S2426" t="s">
        <v>380</v>
      </c>
      <c r="T2426" t="s">
        <v>57</v>
      </c>
      <c r="V2426" t="s">
        <v>478</v>
      </c>
      <c r="W2426" t="s">
        <v>3271</v>
      </c>
      <c r="X2426" t="s">
        <v>3271</v>
      </c>
      <c r="AC2426" s="13">
        <v>44561</v>
      </c>
      <c r="AD2426" s="13">
        <v>44561</v>
      </c>
      <c r="AF2426" t="s">
        <v>451</v>
      </c>
      <c r="AI2426">
        <v>-361</v>
      </c>
      <c r="AL2426" t="s">
        <v>3317</v>
      </c>
      <c r="AN2426" t="s">
        <v>31</v>
      </c>
      <c r="AO2426">
        <v>0</v>
      </c>
      <c r="AS2426" t="s">
        <v>730</v>
      </c>
      <c r="AX2426" t="s">
        <v>31</v>
      </c>
      <c r="AY2426" t="s">
        <v>386</v>
      </c>
      <c r="AZ2426" t="s">
        <v>3318</v>
      </c>
      <c r="BF2426">
        <v>0</v>
      </c>
      <c r="BK2426" t="s">
        <v>31</v>
      </c>
      <c r="BS2426" t="s">
        <v>419</v>
      </c>
      <c r="BT2426" t="s">
        <v>419</v>
      </c>
      <c r="CI2426" t="s">
        <v>388</v>
      </c>
      <c r="CJ2426" s="14">
        <v>45015</v>
      </c>
      <c r="CK2426">
        <v>1</v>
      </c>
    </row>
    <row r="2427" spans="1:89">
      <c r="A2427" t="s">
        <v>2797</v>
      </c>
      <c r="B2427" t="s">
        <v>374</v>
      </c>
      <c r="C2427" t="s">
        <v>2798</v>
      </c>
      <c r="D2427" t="s">
        <v>3319</v>
      </c>
      <c r="E2427" t="s">
        <v>3320</v>
      </c>
      <c r="F2427" s="13">
        <v>44602.482789351852</v>
      </c>
      <c r="G2427" t="s">
        <v>3269</v>
      </c>
      <c r="H2427" t="s">
        <v>3270</v>
      </c>
      <c r="I2427" s="13">
        <v>45012.043726851851</v>
      </c>
      <c r="K2427" t="s">
        <v>415</v>
      </c>
      <c r="M2427" s="13">
        <v>44651</v>
      </c>
      <c r="R2427">
        <v>0</v>
      </c>
      <c r="S2427" t="s">
        <v>380</v>
      </c>
      <c r="T2427" t="s">
        <v>57</v>
      </c>
      <c r="V2427" t="s">
        <v>478</v>
      </c>
      <c r="W2427" t="s">
        <v>3306</v>
      </c>
      <c r="X2427" t="s">
        <v>3306</v>
      </c>
      <c r="AC2427" s="13">
        <v>44561</v>
      </c>
      <c r="AD2427" s="13">
        <v>44561</v>
      </c>
      <c r="AF2427" t="s">
        <v>451</v>
      </c>
      <c r="AI2427">
        <v>-361</v>
      </c>
      <c r="AL2427" t="s">
        <v>3321</v>
      </c>
      <c r="AN2427" t="s">
        <v>31</v>
      </c>
      <c r="AO2427">
        <v>0</v>
      </c>
      <c r="AS2427" t="s">
        <v>730</v>
      </c>
      <c r="AX2427" t="s">
        <v>31</v>
      </c>
      <c r="AY2427" t="s">
        <v>386</v>
      </c>
      <c r="AZ2427" t="s">
        <v>2819</v>
      </c>
      <c r="BF2427">
        <v>0</v>
      </c>
      <c r="BK2427" t="s">
        <v>31</v>
      </c>
      <c r="BS2427" t="s">
        <v>419</v>
      </c>
      <c r="BT2427" t="s">
        <v>419</v>
      </c>
      <c r="CI2427" t="s">
        <v>388</v>
      </c>
      <c r="CJ2427" s="14">
        <v>45015</v>
      </c>
      <c r="CK2427">
        <v>1</v>
      </c>
    </row>
    <row r="2428" spans="1:89">
      <c r="A2428" t="s">
        <v>2797</v>
      </c>
      <c r="B2428" t="s">
        <v>374</v>
      </c>
      <c r="C2428" t="s">
        <v>2798</v>
      </c>
      <c r="D2428" t="s">
        <v>3322</v>
      </c>
      <c r="E2428" t="s">
        <v>2812</v>
      </c>
      <c r="F2428" s="13">
        <v>44602.404409722221</v>
      </c>
      <c r="G2428" t="s">
        <v>2801</v>
      </c>
      <c r="H2428" t="s">
        <v>2802</v>
      </c>
      <c r="I2428" s="13">
        <v>44617.662986111114</v>
      </c>
      <c r="K2428" t="s">
        <v>409</v>
      </c>
      <c r="R2428">
        <v>0</v>
      </c>
      <c r="S2428" t="s">
        <v>416</v>
      </c>
      <c r="T2428" t="s">
        <v>57</v>
      </c>
      <c r="V2428" t="s">
        <v>381</v>
      </c>
      <c r="W2428" t="s">
        <v>2828</v>
      </c>
      <c r="X2428" t="s">
        <v>2828</v>
      </c>
      <c r="AC2428" s="13">
        <v>44561</v>
      </c>
      <c r="AD2428" s="13">
        <v>44561</v>
      </c>
      <c r="AI2428">
        <v>49</v>
      </c>
      <c r="AL2428" t="s">
        <v>3323</v>
      </c>
      <c r="AN2428" t="s">
        <v>31</v>
      </c>
      <c r="AO2428">
        <v>0</v>
      </c>
      <c r="AS2428" t="s">
        <v>385</v>
      </c>
      <c r="AX2428" t="s">
        <v>31</v>
      </c>
      <c r="AY2428" t="s">
        <v>442</v>
      </c>
      <c r="AZ2428" t="s">
        <v>2814</v>
      </c>
      <c r="BF2428">
        <v>0</v>
      </c>
      <c r="BK2428" t="s">
        <v>31</v>
      </c>
      <c r="BS2428" t="s">
        <v>409</v>
      </c>
      <c r="BT2428" t="s">
        <v>409</v>
      </c>
      <c r="CI2428" t="s">
        <v>388</v>
      </c>
      <c r="CJ2428" s="14">
        <v>45015</v>
      </c>
      <c r="CK2428">
        <v>1</v>
      </c>
    </row>
    <row r="2429" spans="1:89">
      <c r="A2429" t="s">
        <v>3191</v>
      </c>
      <c r="B2429" t="s">
        <v>374</v>
      </c>
      <c r="C2429" t="s">
        <v>3192</v>
      </c>
      <c r="D2429" t="s">
        <v>3324</v>
      </c>
      <c r="E2429" t="s">
        <v>3325</v>
      </c>
      <c r="F2429" s="13">
        <v>44602.388935185183</v>
      </c>
      <c r="G2429" t="s">
        <v>1472</v>
      </c>
      <c r="H2429" t="s">
        <v>1473</v>
      </c>
      <c r="I2429" s="13">
        <v>44608.540983796294</v>
      </c>
      <c r="K2429" t="s">
        <v>379</v>
      </c>
      <c r="M2429" s="13">
        <v>44628</v>
      </c>
      <c r="R2429">
        <v>100</v>
      </c>
      <c r="S2429" t="s">
        <v>416</v>
      </c>
      <c r="T2429" t="s">
        <v>57</v>
      </c>
      <c r="V2429" t="s">
        <v>381</v>
      </c>
      <c r="W2429" t="s">
        <v>3195</v>
      </c>
      <c r="X2429" t="s">
        <v>3195</v>
      </c>
      <c r="AC2429" s="13">
        <v>44418</v>
      </c>
      <c r="AD2429" s="13">
        <v>44326</v>
      </c>
      <c r="AF2429" t="s">
        <v>382</v>
      </c>
      <c r="AG2429" t="s">
        <v>3326</v>
      </c>
      <c r="AI2429">
        <v>20</v>
      </c>
      <c r="AL2429" t="s">
        <v>3196</v>
      </c>
      <c r="AM2429">
        <v>1</v>
      </c>
      <c r="AN2429" t="s">
        <v>31</v>
      </c>
      <c r="AO2429">
        <v>0</v>
      </c>
      <c r="AS2429" t="s">
        <v>702</v>
      </c>
      <c r="AX2429" t="s">
        <v>31</v>
      </c>
      <c r="AY2429" t="s">
        <v>442</v>
      </c>
      <c r="AZ2429" t="s">
        <v>3327</v>
      </c>
      <c r="BE2429" t="s">
        <v>3328</v>
      </c>
      <c r="BF2429">
        <v>0</v>
      </c>
      <c r="BK2429" t="s">
        <v>31</v>
      </c>
      <c r="BS2429" t="s">
        <v>379</v>
      </c>
      <c r="BT2429" t="s">
        <v>379</v>
      </c>
      <c r="CI2429" t="s">
        <v>388</v>
      </c>
      <c r="CJ2429" s="14">
        <v>45015</v>
      </c>
      <c r="CK2429">
        <v>1</v>
      </c>
    </row>
    <row r="2430" spans="1:89">
      <c r="A2430" t="s">
        <v>2797</v>
      </c>
      <c r="B2430" t="s">
        <v>374</v>
      </c>
      <c r="C2430" t="s">
        <v>2798</v>
      </c>
      <c r="D2430" t="s">
        <v>3329</v>
      </c>
      <c r="E2430" t="s">
        <v>2816</v>
      </c>
      <c r="F2430" s="13">
        <v>44601.818622685183</v>
      </c>
      <c r="G2430" t="s">
        <v>2801</v>
      </c>
      <c r="H2430" t="s">
        <v>2802</v>
      </c>
      <c r="I2430" s="13">
        <v>44617.662800925929</v>
      </c>
      <c r="K2430" t="s">
        <v>409</v>
      </c>
      <c r="R2430">
        <v>0</v>
      </c>
      <c r="S2430" t="s">
        <v>416</v>
      </c>
      <c r="T2430" t="s">
        <v>57</v>
      </c>
      <c r="V2430" t="s">
        <v>381</v>
      </c>
      <c r="W2430" t="s">
        <v>3271</v>
      </c>
      <c r="X2430" t="s">
        <v>3271</v>
      </c>
      <c r="AC2430" s="13">
        <v>44561</v>
      </c>
      <c r="AD2430" s="13">
        <v>44561</v>
      </c>
      <c r="AI2430">
        <v>50</v>
      </c>
      <c r="AL2430" t="s">
        <v>3330</v>
      </c>
      <c r="AN2430" t="s">
        <v>31</v>
      </c>
      <c r="AO2430">
        <v>0</v>
      </c>
      <c r="AS2430" t="s">
        <v>385</v>
      </c>
      <c r="AX2430" t="s">
        <v>31</v>
      </c>
      <c r="AY2430" t="s">
        <v>442</v>
      </c>
      <c r="AZ2430" t="s">
        <v>2819</v>
      </c>
      <c r="BF2430">
        <v>0</v>
      </c>
      <c r="BK2430" t="s">
        <v>31</v>
      </c>
      <c r="BS2430" t="s">
        <v>409</v>
      </c>
      <c r="BT2430" t="s">
        <v>409</v>
      </c>
      <c r="CI2430" t="s">
        <v>388</v>
      </c>
      <c r="CJ2430" s="14">
        <v>45015</v>
      </c>
      <c r="CK2430">
        <v>1</v>
      </c>
    </row>
    <row r="2431" spans="1:89">
      <c r="A2431" t="s">
        <v>2797</v>
      </c>
      <c r="B2431" t="s">
        <v>374</v>
      </c>
      <c r="C2431" t="s">
        <v>2798</v>
      </c>
      <c r="D2431" t="s">
        <v>3331</v>
      </c>
      <c r="E2431" t="s">
        <v>2827</v>
      </c>
      <c r="F2431" s="13">
        <v>44601.802094907405</v>
      </c>
      <c r="G2431" t="s">
        <v>2801</v>
      </c>
      <c r="H2431" t="s">
        <v>2802</v>
      </c>
      <c r="I2431" s="13">
        <v>44617.662557870368</v>
      </c>
      <c r="K2431" t="s">
        <v>409</v>
      </c>
      <c r="R2431">
        <v>0</v>
      </c>
      <c r="S2431" t="s">
        <v>416</v>
      </c>
      <c r="T2431" t="s">
        <v>57</v>
      </c>
      <c r="V2431" t="s">
        <v>381</v>
      </c>
      <c r="W2431" t="s">
        <v>2828</v>
      </c>
      <c r="X2431" t="s">
        <v>2828</v>
      </c>
      <c r="AC2431" s="13">
        <v>44561</v>
      </c>
      <c r="AD2431" s="13">
        <v>44561</v>
      </c>
      <c r="AI2431">
        <v>50</v>
      </c>
      <c r="AL2431" t="s">
        <v>3332</v>
      </c>
      <c r="AN2431" t="s">
        <v>31</v>
      </c>
      <c r="AO2431">
        <v>0</v>
      </c>
      <c r="AS2431" t="s">
        <v>526</v>
      </c>
      <c r="AX2431" t="s">
        <v>31</v>
      </c>
      <c r="AY2431" t="s">
        <v>442</v>
      </c>
      <c r="AZ2431" t="s">
        <v>2830</v>
      </c>
      <c r="BF2431">
        <v>0</v>
      </c>
      <c r="BK2431" t="s">
        <v>31</v>
      </c>
      <c r="BS2431" t="s">
        <v>409</v>
      </c>
      <c r="BT2431" t="s">
        <v>409</v>
      </c>
      <c r="CI2431" t="s">
        <v>388</v>
      </c>
      <c r="CJ2431" s="14">
        <v>45015</v>
      </c>
      <c r="CK2431">
        <v>1</v>
      </c>
    </row>
    <row r="2432" spans="1:89">
      <c r="A2432" t="s">
        <v>3258</v>
      </c>
      <c r="B2432" t="s">
        <v>374</v>
      </c>
      <c r="C2432" t="s">
        <v>3259</v>
      </c>
      <c r="D2432" t="s">
        <v>3333</v>
      </c>
      <c r="E2432" t="s">
        <v>3334</v>
      </c>
      <c r="F2432" s="13">
        <v>44601.778796296298</v>
      </c>
      <c r="G2432" t="s">
        <v>3262</v>
      </c>
      <c r="H2432" t="s">
        <v>3263</v>
      </c>
      <c r="I2432" s="13">
        <v>45012.043726851851</v>
      </c>
      <c r="K2432" t="s">
        <v>415</v>
      </c>
      <c r="M2432" s="13">
        <v>45138</v>
      </c>
      <c r="R2432">
        <v>0</v>
      </c>
      <c r="S2432" t="s">
        <v>380</v>
      </c>
      <c r="T2432" t="s">
        <v>57</v>
      </c>
      <c r="V2432" t="s">
        <v>381</v>
      </c>
      <c r="W2432" t="s">
        <v>3335</v>
      </c>
      <c r="X2432" t="s">
        <v>3335</v>
      </c>
      <c r="AF2432" t="s">
        <v>451</v>
      </c>
      <c r="AI2432">
        <v>126</v>
      </c>
      <c r="AL2432" t="s">
        <v>3336</v>
      </c>
      <c r="AN2432" t="s">
        <v>31</v>
      </c>
      <c r="AO2432">
        <v>0</v>
      </c>
      <c r="AS2432" t="s">
        <v>538</v>
      </c>
      <c r="AX2432" t="s">
        <v>31</v>
      </c>
      <c r="AY2432" t="s">
        <v>442</v>
      </c>
      <c r="AZ2432" t="s">
        <v>3337</v>
      </c>
      <c r="BF2432">
        <v>0</v>
      </c>
      <c r="BK2432" t="s">
        <v>31</v>
      </c>
      <c r="BS2432" t="s">
        <v>419</v>
      </c>
      <c r="BT2432" t="s">
        <v>419</v>
      </c>
      <c r="CI2432" t="s">
        <v>388</v>
      </c>
      <c r="CJ2432" s="14">
        <v>45015</v>
      </c>
      <c r="CK2432">
        <v>1</v>
      </c>
    </row>
    <row r="2433" spans="1:89">
      <c r="A2433" t="s">
        <v>2797</v>
      </c>
      <c r="B2433" t="s">
        <v>374</v>
      </c>
      <c r="C2433" t="s">
        <v>2798</v>
      </c>
      <c r="D2433" t="s">
        <v>3338</v>
      </c>
      <c r="E2433" t="s">
        <v>2807</v>
      </c>
      <c r="F2433" s="13">
        <v>44601.725578703707</v>
      </c>
      <c r="G2433" t="s">
        <v>2801</v>
      </c>
      <c r="H2433" t="s">
        <v>2802</v>
      </c>
      <c r="I2433" s="13">
        <v>44617.662372685183</v>
      </c>
      <c r="K2433" t="s">
        <v>409</v>
      </c>
      <c r="R2433">
        <v>0</v>
      </c>
      <c r="S2433" t="s">
        <v>416</v>
      </c>
      <c r="T2433" t="s">
        <v>57</v>
      </c>
      <c r="V2433" t="s">
        <v>381</v>
      </c>
      <c r="W2433" t="s">
        <v>2828</v>
      </c>
      <c r="X2433" t="s">
        <v>2828</v>
      </c>
      <c r="AC2433" s="13">
        <v>44561</v>
      </c>
      <c r="AD2433" s="13">
        <v>44561</v>
      </c>
      <c r="AI2433">
        <v>50</v>
      </c>
      <c r="AL2433" t="s">
        <v>3339</v>
      </c>
      <c r="AN2433" t="s">
        <v>31</v>
      </c>
      <c r="AO2433">
        <v>0</v>
      </c>
      <c r="AS2433" t="s">
        <v>385</v>
      </c>
      <c r="AX2433" t="s">
        <v>31</v>
      </c>
      <c r="AY2433" t="s">
        <v>442</v>
      </c>
      <c r="AZ2433" t="s">
        <v>2810</v>
      </c>
      <c r="BF2433">
        <v>0</v>
      </c>
      <c r="BK2433" t="s">
        <v>31</v>
      </c>
      <c r="BS2433" t="s">
        <v>409</v>
      </c>
      <c r="BT2433" t="s">
        <v>409</v>
      </c>
      <c r="CI2433" t="s">
        <v>388</v>
      </c>
      <c r="CJ2433" s="14">
        <v>45015</v>
      </c>
      <c r="CK2433">
        <v>1</v>
      </c>
    </row>
    <row r="2434" spans="1:89">
      <c r="A2434" t="s">
        <v>2797</v>
      </c>
      <c r="B2434" t="s">
        <v>374</v>
      </c>
      <c r="C2434" t="s">
        <v>2798</v>
      </c>
      <c r="D2434" t="s">
        <v>3340</v>
      </c>
      <c r="E2434" t="s">
        <v>2800</v>
      </c>
      <c r="F2434" s="13">
        <v>44601.692164351851</v>
      </c>
      <c r="G2434" t="s">
        <v>2801</v>
      </c>
      <c r="H2434" t="s">
        <v>2802</v>
      </c>
      <c r="I2434" s="13">
        <v>44617.662141203706</v>
      </c>
      <c r="K2434" t="s">
        <v>409</v>
      </c>
      <c r="R2434">
        <v>0</v>
      </c>
      <c r="S2434" t="s">
        <v>416</v>
      </c>
      <c r="V2434" t="s">
        <v>381</v>
      </c>
      <c r="W2434" t="s">
        <v>2828</v>
      </c>
      <c r="X2434" t="s">
        <v>2828</v>
      </c>
      <c r="AI2434">
        <v>50</v>
      </c>
      <c r="AL2434" t="s">
        <v>3341</v>
      </c>
      <c r="AN2434" t="s">
        <v>31</v>
      </c>
      <c r="AO2434">
        <v>0</v>
      </c>
      <c r="AZ2434" t="s">
        <v>2805</v>
      </c>
      <c r="BF2434">
        <v>0</v>
      </c>
      <c r="BK2434" t="s">
        <v>31</v>
      </c>
      <c r="BS2434" t="s">
        <v>409</v>
      </c>
      <c r="BT2434" t="s">
        <v>409</v>
      </c>
      <c r="CI2434" t="s">
        <v>388</v>
      </c>
      <c r="CJ2434" s="14">
        <v>45015</v>
      </c>
      <c r="CK2434">
        <v>1</v>
      </c>
    </row>
    <row r="2435" spans="1:89">
      <c r="A2435" t="s">
        <v>2797</v>
      </c>
      <c r="B2435" t="s">
        <v>374</v>
      </c>
      <c r="C2435" t="s">
        <v>2798</v>
      </c>
      <c r="D2435" t="s">
        <v>3342</v>
      </c>
      <c r="E2435" t="s">
        <v>2832</v>
      </c>
      <c r="F2435" s="13">
        <v>44601.633240740739</v>
      </c>
      <c r="G2435" t="s">
        <v>2801</v>
      </c>
      <c r="H2435" t="s">
        <v>2802</v>
      </c>
      <c r="I2435" s="13">
        <v>44617.661782407406</v>
      </c>
      <c r="K2435" t="s">
        <v>409</v>
      </c>
      <c r="R2435">
        <v>0</v>
      </c>
      <c r="S2435" t="s">
        <v>380</v>
      </c>
      <c r="V2435" t="s">
        <v>381</v>
      </c>
      <c r="W2435" t="s">
        <v>2828</v>
      </c>
      <c r="X2435" t="s">
        <v>2828</v>
      </c>
      <c r="AI2435">
        <v>50</v>
      </c>
      <c r="AL2435" t="s">
        <v>3343</v>
      </c>
      <c r="AN2435" t="s">
        <v>31</v>
      </c>
      <c r="AO2435">
        <v>0</v>
      </c>
      <c r="AZ2435" t="s">
        <v>2834</v>
      </c>
      <c r="BF2435">
        <v>0</v>
      </c>
      <c r="BK2435" t="s">
        <v>31</v>
      </c>
      <c r="BS2435" t="s">
        <v>409</v>
      </c>
      <c r="BT2435" t="s">
        <v>409</v>
      </c>
      <c r="CI2435" t="s">
        <v>388</v>
      </c>
      <c r="CJ2435" s="14">
        <v>45015</v>
      </c>
      <c r="CK2435">
        <v>1</v>
      </c>
    </row>
    <row r="2436" spans="1:89">
      <c r="A2436" t="s">
        <v>2797</v>
      </c>
      <c r="B2436" t="s">
        <v>374</v>
      </c>
      <c r="C2436" t="s">
        <v>2798</v>
      </c>
      <c r="D2436" t="s">
        <v>3344</v>
      </c>
      <c r="E2436" t="s">
        <v>3345</v>
      </c>
      <c r="F2436" s="13">
        <v>44601.477152777778</v>
      </c>
      <c r="G2436" t="s">
        <v>3346</v>
      </c>
      <c r="H2436" t="s">
        <v>3347</v>
      </c>
      <c r="I2436" s="13">
        <v>45012.043715277781</v>
      </c>
      <c r="K2436" t="s">
        <v>415</v>
      </c>
      <c r="M2436" s="13">
        <v>44651</v>
      </c>
      <c r="R2436">
        <v>0</v>
      </c>
      <c r="S2436" t="s">
        <v>380</v>
      </c>
      <c r="T2436" t="s">
        <v>57</v>
      </c>
      <c r="V2436" t="s">
        <v>478</v>
      </c>
      <c r="W2436" t="s">
        <v>2808</v>
      </c>
      <c r="X2436" t="s">
        <v>2808</v>
      </c>
      <c r="AC2436" s="13">
        <v>44651</v>
      </c>
      <c r="AD2436" s="13">
        <v>44592</v>
      </c>
      <c r="AF2436" t="s">
        <v>451</v>
      </c>
      <c r="AI2436">
        <v>-361</v>
      </c>
      <c r="AL2436" t="s">
        <v>3348</v>
      </c>
      <c r="AN2436" t="s">
        <v>31</v>
      </c>
      <c r="AO2436">
        <v>0</v>
      </c>
      <c r="AS2436" t="s">
        <v>538</v>
      </c>
      <c r="AX2436" t="s">
        <v>57</v>
      </c>
      <c r="AY2436" t="s">
        <v>386</v>
      </c>
      <c r="AZ2436" t="s">
        <v>3349</v>
      </c>
      <c r="BF2436">
        <v>0</v>
      </c>
      <c r="BK2436" t="s">
        <v>31</v>
      </c>
      <c r="BS2436" t="s">
        <v>419</v>
      </c>
      <c r="BT2436" t="s">
        <v>419</v>
      </c>
      <c r="CI2436" t="s">
        <v>388</v>
      </c>
      <c r="CJ2436" s="14">
        <v>45015</v>
      </c>
      <c r="CK2436">
        <v>1</v>
      </c>
    </row>
    <row r="2437" spans="1:89">
      <c r="A2437" t="s">
        <v>2797</v>
      </c>
      <c r="B2437" t="s">
        <v>374</v>
      </c>
      <c r="C2437" t="s">
        <v>2798</v>
      </c>
      <c r="D2437" t="s">
        <v>3350</v>
      </c>
      <c r="E2437" t="s">
        <v>3351</v>
      </c>
      <c r="F2437" s="13">
        <v>44601.463576388887</v>
      </c>
      <c r="G2437" t="s">
        <v>3346</v>
      </c>
      <c r="H2437" t="s">
        <v>3347</v>
      </c>
      <c r="I2437" s="13">
        <v>45012.043715277781</v>
      </c>
      <c r="K2437" t="s">
        <v>415</v>
      </c>
      <c r="M2437" s="13">
        <v>44651</v>
      </c>
      <c r="R2437">
        <v>0</v>
      </c>
      <c r="S2437" t="s">
        <v>380</v>
      </c>
      <c r="T2437" t="s">
        <v>57</v>
      </c>
      <c r="V2437" t="s">
        <v>478</v>
      </c>
      <c r="W2437" t="s">
        <v>2817</v>
      </c>
      <c r="X2437" t="s">
        <v>2817</v>
      </c>
      <c r="AC2437" s="13">
        <v>44651</v>
      </c>
      <c r="AD2437" s="13">
        <v>44592</v>
      </c>
      <c r="AF2437" t="s">
        <v>451</v>
      </c>
      <c r="AI2437">
        <v>-361</v>
      </c>
      <c r="AL2437" t="s">
        <v>3352</v>
      </c>
      <c r="AN2437" t="s">
        <v>31</v>
      </c>
      <c r="AO2437">
        <v>0</v>
      </c>
      <c r="AS2437" t="s">
        <v>385</v>
      </c>
      <c r="AX2437" t="s">
        <v>57</v>
      </c>
      <c r="AY2437" t="s">
        <v>386</v>
      </c>
      <c r="AZ2437" t="s">
        <v>3353</v>
      </c>
      <c r="BF2437">
        <v>0</v>
      </c>
      <c r="BK2437" t="s">
        <v>31</v>
      </c>
      <c r="BS2437" t="s">
        <v>419</v>
      </c>
      <c r="BT2437" t="s">
        <v>419</v>
      </c>
      <c r="CI2437" t="s">
        <v>388</v>
      </c>
      <c r="CJ2437" s="14">
        <v>45015</v>
      </c>
      <c r="CK2437">
        <v>1</v>
      </c>
    </row>
    <row r="2438" spans="1:89">
      <c r="A2438" t="s">
        <v>2797</v>
      </c>
      <c r="B2438" t="s">
        <v>374</v>
      </c>
      <c r="C2438" t="s">
        <v>2798</v>
      </c>
      <c r="D2438" t="s">
        <v>3354</v>
      </c>
      <c r="E2438" t="s">
        <v>3355</v>
      </c>
      <c r="F2438" s="13">
        <v>44601.438483796293</v>
      </c>
      <c r="G2438" t="s">
        <v>3346</v>
      </c>
      <c r="H2438" t="s">
        <v>3347</v>
      </c>
      <c r="I2438" s="13">
        <v>45012.043715277781</v>
      </c>
      <c r="K2438" t="s">
        <v>415</v>
      </c>
      <c r="M2438" s="13">
        <v>44651</v>
      </c>
      <c r="R2438">
        <v>0</v>
      </c>
      <c r="S2438" t="s">
        <v>380</v>
      </c>
      <c r="T2438" t="s">
        <v>57</v>
      </c>
      <c r="V2438" t="s">
        <v>478</v>
      </c>
      <c r="W2438" t="s">
        <v>3356</v>
      </c>
      <c r="X2438" t="s">
        <v>3356</v>
      </c>
      <c r="AC2438" s="13">
        <v>44651</v>
      </c>
      <c r="AD2438" s="13">
        <v>44592</v>
      </c>
      <c r="AF2438" t="s">
        <v>451</v>
      </c>
      <c r="AI2438">
        <v>-361</v>
      </c>
      <c r="AL2438" t="s">
        <v>3357</v>
      </c>
      <c r="AN2438" t="s">
        <v>31</v>
      </c>
      <c r="AO2438">
        <v>0</v>
      </c>
      <c r="AS2438" t="s">
        <v>385</v>
      </c>
      <c r="AX2438" t="s">
        <v>57</v>
      </c>
      <c r="AY2438" t="s">
        <v>386</v>
      </c>
      <c r="AZ2438" t="s">
        <v>3358</v>
      </c>
      <c r="BF2438">
        <v>0</v>
      </c>
      <c r="BK2438" t="s">
        <v>31</v>
      </c>
      <c r="BS2438" t="s">
        <v>419</v>
      </c>
      <c r="BT2438" t="s">
        <v>419</v>
      </c>
      <c r="CI2438" t="s">
        <v>388</v>
      </c>
      <c r="CJ2438" s="14">
        <v>45015</v>
      </c>
      <c r="CK2438">
        <v>1</v>
      </c>
    </row>
    <row r="2439" spans="1:89">
      <c r="A2439" t="s">
        <v>1559</v>
      </c>
      <c r="B2439" t="s">
        <v>374</v>
      </c>
      <c r="C2439" t="s">
        <v>1560</v>
      </c>
      <c r="D2439" t="s">
        <v>3359</v>
      </c>
      <c r="E2439" t="s">
        <v>3360</v>
      </c>
      <c r="F2439" s="13">
        <v>44600.690810185188</v>
      </c>
      <c r="G2439" t="s">
        <v>1563</v>
      </c>
      <c r="H2439" t="s">
        <v>1564</v>
      </c>
      <c r="I2439" s="13">
        <v>45012.043715277781</v>
      </c>
      <c r="K2439" t="s">
        <v>415</v>
      </c>
      <c r="M2439" s="13">
        <v>44651</v>
      </c>
      <c r="R2439">
        <v>90</v>
      </c>
      <c r="S2439" t="s">
        <v>416</v>
      </c>
      <c r="T2439" t="s">
        <v>57</v>
      </c>
      <c r="V2439" t="s">
        <v>478</v>
      </c>
      <c r="W2439" t="s">
        <v>1573</v>
      </c>
      <c r="X2439" t="s">
        <v>1573</v>
      </c>
      <c r="AF2439" t="s">
        <v>451</v>
      </c>
      <c r="AG2439" t="s">
        <v>3361</v>
      </c>
      <c r="AI2439">
        <v>-361</v>
      </c>
      <c r="AL2439" t="s">
        <v>1566</v>
      </c>
      <c r="AN2439" t="s">
        <v>31</v>
      </c>
      <c r="AO2439">
        <v>0</v>
      </c>
      <c r="AS2439" t="s">
        <v>526</v>
      </c>
      <c r="AX2439" t="s">
        <v>31</v>
      </c>
      <c r="AY2439" t="s">
        <v>442</v>
      </c>
      <c r="AZ2439" t="s">
        <v>1570</v>
      </c>
      <c r="BF2439">
        <v>0</v>
      </c>
      <c r="BK2439" t="s">
        <v>31</v>
      </c>
      <c r="BS2439" t="s">
        <v>419</v>
      </c>
      <c r="BT2439" t="s">
        <v>419</v>
      </c>
      <c r="CI2439" t="s">
        <v>388</v>
      </c>
      <c r="CJ2439" s="14">
        <v>45015</v>
      </c>
      <c r="CK2439">
        <v>1</v>
      </c>
    </row>
    <row r="2440" spans="1:89">
      <c r="A2440" t="s">
        <v>1559</v>
      </c>
      <c r="B2440" t="s">
        <v>374</v>
      </c>
      <c r="C2440" t="s">
        <v>1560</v>
      </c>
      <c r="D2440" t="s">
        <v>3362</v>
      </c>
      <c r="E2440" t="s">
        <v>3363</v>
      </c>
      <c r="F2440" s="13">
        <v>44600.681909722225</v>
      </c>
      <c r="G2440" t="s">
        <v>1563</v>
      </c>
      <c r="H2440" t="s">
        <v>1564</v>
      </c>
      <c r="I2440" s="13">
        <v>45012.043703703705</v>
      </c>
      <c r="K2440" t="s">
        <v>415</v>
      </c>
      <c r="M2440" s="13">
        <v>44651</v>
      </c>
      <c r="R2440">
        <v>80</v>
      </c>
      <c r="S2440" t="s">
        <v>416</v>
      </c>
      <c r="T2440" t="s">
        <v>57</v>
      </c>
      <c r="V2440" t="s">
        <v>478</v>
      </c>
      <c r="W2440" t="s">
        <v>1573</v>
      </c>
      <c r="X2440" t="s">
        <v>1573</v>
      </c>
      <c r="AF2440" t="s">
        <v>451</v>
      </c>
      <c r="AG2440" t="s">
        <v>3364</v>
      </c>
      <c r="AI2440">
        <v>-361</v>
      </c>
      <c r="AL2440" t="s">
        <v>3365</v>
      </c>
      <c r="AN2440" t="s">
        <v>31</v>
      </c>
      <c r="AO2440">
        <v>0</v>
      </c>
      <c r="AS2440" t="s">
        <v>385</v>
      </c>
      <c r="AX2440" t="s">
        <v>31</v>
      </c>
      <c r="AY2440" t="s">
        <v>386</v>
      </c>
      <c r="AZ2440" t="s">
        <v>3366</v>
      </c>
      <c r="BF2440">
        <v>0</v>
      </c>
      <c r="BK2440" t="s">
        <v>31</v>
      </c>
      <c r="BS2440" t="s">
        <v>419</v>
      </c>
      <c r="BT2440" t="s">
        <v>419</v>
      </c>
      <c r="CI2440" t="s">
        <v>388</v>
      </c>
      <c r="CJ2440" s="14">
        <v>45015</v>
      </c>
      <c r="CK2440">
        <v>1</v>
      </c>
    </row>
    <row r="2441" spans="1:89">
      <c r="A2441" t="s">
        <v>1559</v>
      </c>
      <c r="B2441" t="s">
        <v>374</v>
      </c>
      <c r="C2441" t="s">
        <v>1560</v>
      </c>
      <c r="D2441" t="s">
        <v>3367</v>
      </c>
      <c r="E2441" t="s">
        <v>3368</v>
      </c>
      <c r="F2441" s="13">
        <v>44600.676886574074</v>
      </c>
      <c r="G2441" t="s">
        <v>1563</v>
      </c>
      <c r="H2441" t="s">
        <v>1564</v>
      </c>
      <c r="I2441" s="13">
        <v>44833.685474537036</v>
      </c>
      <c r="K2441" t="s">
        <v>409</v>
      </c>
      <c r="R2441">
        <v>0</v>
      </c>
      <c r="S2441" t="s">
        <v>380</v>
      </c>
      <c r="T2441" t="s">
        <v>57</v>
      </c>
      <c r="V2441" t="s">
        <v>381</v>
      </c>
      <c r="W2441" t="s">
        <v>1573</v>
      </c>
      <c r="X2441" t="s">
        <v>1573</v>
      </c>
      <c r="AI2441">
        <v>51</v>
      </c>
      <c r="AL2441" t="s">
        <v>3365</v>
      </c>
      <c r="AN2441" t="s">
        <v>31</v>
      </c>
      <c r="AO2441">
        <v>0</v>
      </c>
      <c r="AS2441" t="s">
        <v>385</v>
      </c>
      <c r="AX2441" t="s">
        <v>31</v>
      </c>
      <c r="AY2441" t="s">
        <v>386</v>
      </c>
      <c r="AZ2441" t="s">
        <v>3366</v>
      </c>
      <c r="BF2441">
        <v>0</v>
      </c>
      <c r="BK2441" t="s">
        <v>31</v>
      </c>
      <c r="BS2441" t="s">
        <v>409</v>
      </c>
      <c r="BT2441" t="s">
        <v>409</v>
      </c>
      <c r="CI2441" t="s">
        <v>388</v>
      </c>
      <c r="CJ2441" s="14">
        <v>45015</v>
      </c>
      <c r="CK2441">
        <v>1</v>
      </c>
    </row>
    <row r="2442" spans="1:89">
      <c r="A2442" t="s">
        <v>3191</v>
      </c>
      <c r="B2442" t="s">
        <v>374</v>
      </c>
      <c r="C2442" t="s">
        <v>3192</v>
      </c>
      <c r="D2442" t="s">
        <v>3369</v>
      </c>
      <c r="E2442" t="s">
        <v>3194</v>
      </c>
      <c r="F2442" s="13">
        <v>44600.554120370369</v>
      </c>
      <c r="G2442" t="s">
        <v>1472</v>
      </c>
      <c r="H2442" t="s">
        <v>1473</v>
      </c>
      <c r="I2442" s="13">
        <v>44607.615613425929</v>
      </c>
      <c r="K2442" t="s">
        <v>379</v>
      </c>
      <c r="M2442" s="13">
        <v>44755</v>
      </c>
      <c r="R2442">
        <v>100</v>
      </c>
      <c r="S2442" t="s">
        <v>380</v>
      </c>
      <c r="T2442" t="s">
        <v>57</v>
      </c>
      <c r="V2442" t="s">
        <v>381</v>
      </c>
      <c r="W2442" t="s">
        <v>3195</v>
      </c>
      <c r="X2442" t="s">
        <v>3195</v>
      </c>
      <c r="AC2442" s="13">
        <v>44792</v>
      </c>
      <c r="AD2442" s="13">
        <v>44657</v>
      </c>
      <c r="AF2442" t="s">
        <v>382</v>
      </c>
      <c r="AG2442" t="s">
        <v>3370</v>
      </c>
      <c r="AI2442">
        <v>148</v>
      </c>
      <c r="AL2442" t="s">
        <v>3196</v>
      </c>
      <c r="AN2442" t="s">
        <v>31</v>
      </c>
      <c r="AO2442">
        <v>0</v>
      </c>
      <c r="AS2442" t="s">
        <v>385</v>
      </c>
      <c r="AX2442" t="s">
        <v>57</v>
      </c>
      <c r="AY2442" t="s">
        <v>386</v>
      </c>
      <c r="AZ2442" t="s">
        <v>3197</v>
      </c>
      <c r="BF2442">
        <v>0</v>
      </c>
      <c r="BK2442" t="s">
        <v>31</v>
      </c>
      <c r="BS2442" t="s">
        <v>379</v>
      </c>
      <c r="BT2442" t="s">
        <v>379</v>
      </c>
      <c r="CI2442" t="s">
        <v>388</v>
      </c>
      <c r="CJ2442" s="14">
        <v>45015</v>
      </c>
      <c r="CK2442">
        <v>1</v>
      </c>
    </row>
    <row r="2443" spans="1:89">
      <c r="A2443" t="s">
        <v>1415</v>
      </c>
      <c r="B2443" t="s">
        <v>374</v>
      </c>
      <c r="C2443" t="s">
        <v>1416</v>
      </c>
      <c r="D2443" t="s">
        <v>3371</v>
      </c>
      <c r="E2443" t="s">
        <v>3372</v>
      </c>
      <c r="F2443" s="13">
        <v>44600.48033564815</v>
      </c>
      <c r="G2443" t="s">
        <v>1418</v>
      </c>
      <c r="H2443" t="s">
        <v>1419</v>
      </c>
      <c r="I2443" s="13">
        <v>45012.043703703705</v>
      </c>
      <c r="K2443" t="s">
        <v>415</v>
      </c>
      <c r="M2443" s="13">
        <v>44926</v>
      </c>
      <c r="R2443">
        <v>0</v>
      </c>
      <c r="S2443" t="s">
        <v>380</v>
      </c>
      <c r="T2443" t="s">
        <v>57</v>
      </c>
      <c r="V2443" t="s">
        <v>478</v>
      </c>
      <c r="W2443" t="s">
        <v>3373</v>
      </c>
      <c r="X2443" t="s">
        <v>3373</v>
      </c>
      <c r="AF2443" t="s">
        <v>451</v>
      </c>
      <c r="AI2443">
        <v>-86</v>
      </c>
      <c r="AL2443" t="s">
        <v>3374</v>
      </c>
      <c r="AN2443" t="s">
        <v>31</v>
      </c>
      <c r="AO2443">
        <v>0</v>
      </c>
      <c r="AS2443" t="s">
        <v>526</v>
      </c>
      <c r="AX2443" t="s">
        <v>31</v>
      </c>
      <c r="AY2443" t="s">
        <v>442</v>
      </c>
      <c r="AZ2443" t="s">
        <v>3375</v>
      </c>
      <c r="BF2443">
        <v>0</v>
      </c>
      <c r="BK2443" t="s">
        <v>31</v>
      </c>
      <c r="BS2443" t="s">
        <v>419</v>
      </c>
      <c r="BT2443" t="s">
        <v>419</v>
      </c>
      <c r="CI2443" t="s">
        <v>388</v>
      </c>
      <c r="CJ2443" s="14">
        <v>45015</v>
      </c>
      <c r="CK2443">
        <v>1</v>
      </c>
    </row>
    <row r="2444" spans="1:89">
      <c r="A2444" t="s">
        <v>3376</v>
      </c>
      <c r="B2444" t="s">
        <v>374</v>
      </c>
      <c r="C2444" t="s">
        <v>3377</v>
      </c>
      <c r="D2444" t="s">
        <v>3378</v>
      </c>
      <c r="E2444" t="s">
        <v>3379</v>
      </c>
      <c r="F2444" s="13">
        <v>44600.476365740738</v>
      </c>
      <c r="G2444" t="s">
        <v>3380</v>
      </c>
      <c r="H2444" t="s">
        <v>3381</v>
      </c>
      <c r="I2444" s="13">
        <v>44972.532002314816</v>
      </c>
      <c r="K2444" t="s">
        <v>379</v>
      </c>
      <c r="M2444" s="13">
        <v>44600</v>
      </c>
      <c r="R2444">
        <v>100</v>
      </c>
      <c r="S2444" t="s">
        <v>380</v>
      </c>
      <c r="T2444" t="s">
        <v>57</v>
      </c>
      <c r="V2444" t="s">
        <v>381</v>
      </c>
      <c r="W2444" t="s">
        <v>3381</v>
      </c>
      <c r="X2444" t="s">
        <v>3381</v>
      </c>
      <c r="AF2444" t="s">
        <v>382</v>
      </c>
      <c r="AG2444" t="s">
        <v>3382</v>
      </c>
      <c r="AI2444">
        <v>0</v>
      </c>
      <c r="AL2444" t="s">
        <v>3383</v>
      </c>
      <c r="AN2444" t="s">
        <v>31</v>
      </c>
      <c r="AO2444">
        <v>0</v>
      </c>
      <c r="AS2444" t="s">
        <v>538</v>
      </c>
      <c r="AX2444" t="s">
        <v>31</v>
      </c>
      <c r="AY2444" t="s">
        <v>386</v>
      </c>
      <c r="AZ2444" t="s">
        <v>3384</v>
      </c>
      <c r="BF2444">
        <v>0</v>
      </c>
      <c r="BK2444" t="s">
        <v>31</v>
      </c>
      <c r="BS2444" t="s">
        <v>379</v>
      </c>
      <c r="BT2444" t="s">
        <v>379</v>
      </c>
      <c r="CI2444" t="s">
        <v>388</v>
      </c>
      <c r="CJ2444" s="14">
        <v>45015</v>
      </c>
      <c r="CK2444">
        <v>1</v>
      </c>
    </row>
    <row r="2445" spans="1:89">
      <c r="A2445" t="s">
        <v>1415</v>
      </c>
      <c r="B2445" t="s">
        <v>374</v>
      </c>
      <c r="C2445" t="s">
        <v>1416</v>
      </c>
      <c r="D2445" t="s">
        <v>3385</v>
      </c>
      <c r="E2445" t="s">
        <v>3386</v>
      </c>
      <c r="F2445" s="13">
        <v>44600.443043981482</v>
      </c>
      <c r="G2445" t="s">
        <v>1418</v>
      </c>
      <c r="H2445" t="s">
        <v>1419</v>
      </c>
      <c r="I2445" s="13">
        <v>44620.686620370368</v>
      </c>
      <c r="K2445" t="s">
        <v>379</v>
      </c>
      <c r="M2445" s="13">
        <v>44651</v>
      </c>
      <c r="R2445">
        <v>100</v>
      </c>
      <c r="S2445" t="s">
        <v>380</v>
      </c>
      <c r="T2445" t="s">
        <v>57</v>
      </c>
      <c r="V2445" t="s">
        <v>381</v>
      </c>
      <c r="W2445" t="s">
        <v>3387</v>
      </c>
      <c r="X2445" t="s">
        <v>3387</v>
      </c>
      <c r="AF2445" t="s">
        <v>382</v>
      </c>
      <c r="AG2445" t="s">
        <v>3388</v>
      </c>
      <c r="AI2445">
        <v>31</v>
      </c>
      <c r="AL2445" t="s">
        <v>3389</v>
      </c>
      <c r="AN2445" t="s">
        <v>31</v>
      </c>
      <c r="AO2445">
        <v>0</v>
      </c>
      <c r="AS2445" t="s">
        <v>385</v>
      </c>
      <c r="AX2445" t="s">
        <v>31</v>
      </c>
      <c r="AY2445" t="s">
        <v>386</v>
      </c>
      <c r="AZ2445" t="s">
        <v>3390</v>
      </c>
      <c r="BF2445">
        <v>0</v>
      </c>
      <c r="BK2445" t="s">
        <v>31</v>
      </c>
      <c r="BS2445" t="s">
        <v>379</v>
      </c>
      <c r="BT2445" t="s">
        <v>379</v>
      </c>
      <c r="CI2445" t="s">
        <v>388</v>
      </c>
      <c r="CJ2445" s="14">
        <v>45015</v>
      </c>
      <c r="CK2445">
        <v>1</v>
      </c>
    </row>
    <row r="2446" spans="1:89">
      <c r="A2446" t="s">
        <v>1415</v>
      </c>
      <c r="B2446" t="s">
        <v>374</v>
      </c>
      <c r="C2446" t="s">
        <v>1416</v>
      </c>
      <c r="D2446" t="s">
        <v>3391</v>
      </c>
      <c r="E2446" t="s">
        <v>1628</v>
      </c>
      <c r="F2446" s="13">
        <v>44600.429201388892</v>
      </c>
      <c r="G2446" t="s">
        <v>1418</v>
      </c>
      <c r="H2446" t="s">
        <v>1419</v>
      </c>
      <c r="I2446" s="13">
        <v>44600.433298611111</v>
      </c>
      <c r="K2446" t="s">
        <v>379</v>
      </c>
      <c r="M2446" s="13">
        <v>44620</v>
      </c>
      <c r="R2446">
        <v>100</v>
      </c>
      <c r="S2446" t="s">
        <v>380</v>
      </c>
      <c r="T2446" t="s">
        <v>57</v>
      </c>
      <c r="V2446" t="s">
        <v>381</v>
      </c>
      <c r="W2446" t="s">
        <v>3392</v>
      </c>
      <c r="X2446" t="s">
        <v>3392</v>
      </c>
      <c r="AF2446" t="s">
        <v>382</v>
      </c>
      <c r="AG2446" t="s">
        <v>3382</v>
      </c>
      <c r="AI2446">
        <v>20</v>
      </c>
      <c r="AL2446" t="s">
        <v>3393</v>
      </c>
      <c r="AN2446" t="s">
        <v>31</v>
      </c>
      <c r="AO2446">
        <v>0</v>
      </c>
      <c r="AS2446" t="s">
        <v>392</v>
      </c>
      <c r="AX2446" t="s">
        <v>31</v>
      </c>
      <c r="AY2446" t="s">
        <v>386</v>
      </c>
      <c r="AZ2446" t="s">
        <v>1632</v>
      </c>
      <c r="BF2446">
        <v>0</v>
      </c>
      <c r="BK2446" t="s">
        <v>31</v>
      </c>
      <c r="BS2446" t="s">
        <v>379</v>
      </c>
      <c r="BT2446" t="s">
        <v>379</v>
      </c>
      <c r="CI2446" t="s">
        <v>388</v>
      </c>
      <c r="CJ2446" s="14">
        <v>45015</v>
      </c>
      <c r="CK2446">
        <v>1</v>
      </c>
    </row>
    <row r="2447" spans="1:89">
      <c r="A2447" t="s">
        <v>2797</v>
      </c>
      <c r="B2447" t="s">
        <v>374</v>
      </c>
      <c r="C2447" t="s">
        <v>2798</v>
      </c>
      <c r="D2447" t="s">
        <v>3394</v>
      </c>
      <c r="E2447" t="s">
        <v>3395</v>
      </c>
      <c r="F2447" s="13">
        <v>44600.399872685186</v>
      </c>
      <c r="G2447" t="s">
        <v>3396</v>
      </c>
      <c r="H2447" t="s">
        <v>3397</v>
      </c>
      <c r="I2447" s="13">
        <v>45012.043703703705</v>
      </c>
      <c r="K2447" t="s">
        <v>415</v>
      </c>
      <c r="M2447" s="13">
        <v>44651</v>
      </c>
      <c r="R2447">
        <v>0</v>
      </c>
      <c r="S2447" t="s">
        <v>380</v>
      </c>
      <c r="T2447" t="s">
        <v>57</v>
      </c>
      <c r="V2447" t="s">
        <v>478</v>
      </c>
      <c r="W2447" t="s">
        <v>2828</v>
      </c>
      <c r="X2447" t="s">
        <v>2828</v>
      </c>
      <c r="AC2447" s="13">
        <v>44561</v>
      </c>
      <c r="AD2447" s="13">
        <v>44561</v>
      </c>
      <c r="AF2447" t="s">
        <v>451</v>
      </c>
      <c r="AG2447" t="s">
        <v>3250</v>
      </c>
      <c r="AI2447">
        <v>-361</v>
      </c>
      <c r="AL2447" t="s">
        <v>3398</v>
      </c>
      <c r="AN2447" t="s">
        <v>31</v>
      </c>
      <c r="AO2447">
        <v>0</v>
      </c>
      <c r="AS2447" t="s">
        <v>538</v>
      </c>
      <c r="AX2447" t="s">
        <v>31</v>
      </c>
      <c r="AY2447" t="s">
        <v>386</v>
      </c>
      <c r="AZ2447" t="s">
        <v>3399</v>
      </c>
      <c r="BF2447">
        <v>0</v>
      </c>
      <c r="BK2447" t="s">
        <v>31</v>
      </c>
      <c r="BS2447" t="s">
        <v>419</v>
      </c>
      <c r="BT2447" t="s">
        <v>419</v>
      </c>
      <c r="CI2447" t="s">
        <v>388</v>
      </c>
      <c r="CJ2447" s="14">
        <v>45015</v>
      </c>
      <c r="CK2447">
        <v>1</v>
      </c>
    </row>
    <row r="2448" spans="1:89">
      <c r="A2448" t="s">
        <v>2797</v>
      </c>
      <c r="B2448" t="s">
        <v>374</v>
      </c>
      <c r="C2448" t="s">
        <v>2798</v>
      </c>
      <c r="D2448" t="s">
        <v>3400</v>
      </c>
      <c r="E2448" t="s">
        <v>3401</v>
      </c>
      <c r="F2448" s="13">
        <v>44600.387615740743</v>
      </c>
      <c r="G2448" t="s">
        <v>3396</v>
      </c>
      <c r="H2448" t="s">
        <v>3397</v>
      </c>
      <c r="I2448" s="13">
        <v>45012.043703703705</v>
      </c>
      <c r="K2448" t="s">
        <v>415</v>
      </c>
      <c r="M2448" s="13">
        <v>44651</v>
      </c>
      <c r="R2448">
        <v>0</v>
      </c>
      <c r="S2448" t="s">
        <v>380</v>
      </c>
      <c r="T2448" t="s">
        <v>57</v>
      </c>
      <c r="V2448" t="s">
        <v>478</v>
      </c>
      <c r="W2448" t="s">
        <v>2828</v>
      </c>
      <c r="X2448" t="s">
        <v>2828</v>
      </c>
      <c r="AC2448" s="13">
        <v>44561</v>
      </c>
      <c r="AD2448" s="13">
        <v>44561</v>
      </c>
      <c r="AF2448" t="s">
        <v>451</v>
      </c>
      <c r="AI2448">
        <v>-361</v>
      </c>
      <c r="AL2448" t="s">
        <v>3402</v>
      </c>
      <c r="AN2448" t="s">
        <v>31</v>
      </c>
      <c r="AO2448">
        <v>0</v>
      </c>
      <c r="AS2448" t="s">
        <v>538</v>
      </c>
      <c r="AX2448" t="s">
        <v>31</v>
      </c>
      <c r="AY2448" t="s">
        <v>386</v>
      </c>
      <c r="AZ2448" t="s">
        <v>3403</v>
      </c>
      <c r="BF2448">
        <v>0</v>
      </c>
      <c r="BK2448" t="s">
        <v>31</v>
      </c>
      <c r="BS2448" t="s">
        <v>419</v>
      </c>
      <c r="BT2448" t="s">
        <v>419</v>
      </c>
      <c r="CI2448" t="s">
        <v>388</v>
      </c>
      <c r="CJ2448" s="14">
        <v>45015</v>
      </c>
      <c r="CK2448">
        <v>1</v>
      </c>
    </row>
    <row r="2449" spans="1:89">
      <c r="A2449" t="s">
        <v>2797</v>
      </c>
      <c r="B2449" t="s">
        <v>374</v>
      </c>
      <c r="C2449" t="s">
        <v>2798</v>
      </c>
      <c r="D2449" t="s">
        <v>3404</v>
      </c>
      <c r="E2449" t="s">
        <v>3405</v>
      </c>
      <c r="F2449" s="13">
        <v>44599.851678240739</v>
      </c>
      <c r="G2449" t="s">
        <v>3396</v>
      </c>
      <c r="H2449" t="s">
        <v>3397</v>
      </c>
      <c r="I2449" s="13">
        <v>44637.833645833336</v>
      </c>
      <c r="K2449" t="s">
        <v>379</v>
      </c>
      <c r="M2449" s="13">
        <v>44651</v>
      </c>
      <c r="R2449">
        <v>100</v>
      </c>
      <c r="S2449" t="s">
        <v>380</v>
      </c>
      <c r="T2449" t="s">
        <v>57</v>
      </c>
      <c r="V2449" t="s">
        <v>381</v>
      </c>
      <c r="W2449" t="s">
        <v>3406</v>
      </c>
      <c r="X2449" t="s">
        <v>3406</v>
      </c>
      <c r="AC2449" s="13">
        <v>44561</v>
      </c>
      <c r="AD2449" s="13">
        <v>44561</v>
      </c>
      <c r="AF2449" t="s">
        <v>382</v>
      </c>
      <c r="AG2449" t="s">
        <v>1387</v>
      </c>
      <c r="AI2449">
        <v>14</v>
      </c>
      <c r="AL2449" t="s">
        <v>3407</v>
      </c>
      <c r="AN2449" t="s">
        <v>31</v>
      </c>
      <c r="AO2449">
        <v>0</v>
      </c>
      <c r="AS2449" t="s">
        <v>538</v>
      </c>
      <c r="AX2449" t="s">
        <v>31</v>
      </c>
      <c r="AY2449" t="s">
        <v>386</v>
      </c>
      <c r="AZ2449" t="s">
        <v>3408</v>
      </c>
      <c r="BF2449">
        <v>0</v>
      </c>
      <c r="BK2449" t="s">
        <v>31</v>
      </c>
      <c r="BS2449" t="s">
        <v>379</v>
      </c>
      <c r="BT2449" t="s">
        <v>379</v>
      </c>
      <c r="CI2449" t="s">
        <v>388</v>
      </c>
      <c r="CJ2449" s="14">
        <v>45015</v>
      </c>
      <c r="CK2449">
        <v>1</v>
      </c>
    </row>
    <row r="2450" spans="1:89">
      <c r="A2450" t="s">
        <v>2797</v>
      </c>
      <c r="B2450" t="s">
        <v>374</v>
      </c>
      <c r="C2450" t="s">
        <v>2798</v>
      </c>
      <c r="D2450" t="s">
        <v>3409</v>
      </c>
      <c r="E2450" t="s">
        <v>3410</v>
      </c>
      <c r="F2450" s="13">
        <v>44599.717141203706</v>
      </c>
      <c r="G2450" t="s">
        <v>3396</v>
      </c>
      <c r="H2450" t="s">
        <v>3397</v>
      </c>
      <c r="I2450" s="13">
        <v>45012.043692129628</v>
      </c>
      <c r="K2450" t="s">
        <v>415</v>
      </c>
      <c r="M2450" s="13">
        <v>44651</v>
      </c>
      <c r="R2450">
        <v>0</v>
      </c>
      <c r="S2450" t="s">
        <v>380</v>
      </c>
      <c r="T2450" t="s">
        <v>57</v>
      </c>
      <c r="V2450" t="s">
        <v>478</v>
      </c>
      <c r="W2450" t="s">
        <v>2828</v>
      </c>
      <c r="X2450" t="s">
        <v>2828</v>
      </c>
      <c r="AC2450" s="13">
        <v>44561</v>
      </c>
      <c r="AD2450" s="13">
        <v>44561</v>
      </c>
      <c r="AF2450" t="s">
        <v>451</v>
      </c>
      <c r="AI2450">
        <v>-361</v>
      </c>
      <c r="AL2450" t="s">
        <v>3411</v>
      </c>
      <c r="AN2450" t="s">
        <v>31</v>
      </c>
      <c r="AO2450">
        <v>0</v>
      </c>
      <c r="AS2450" t="s">
        <v>730</v>
      </c>
      <c r="AX2450" t="s">
        <v>31</v>
      </c>
      <c r="AY2450" t="s">
        <v>386</v>
      </c>
      <c r="AZ2450" t="s">
        <v>3412</v>
      </c>
      <c r="BF2450">
        <v>0</v>
      </c>
      <c r="BK2450" t="s">
        <v>31</v>
      </c>
      <c r="BS2450" t="s">
        <v>419</v>
      </c>
      <c r="BT2450" t="s">
        <v>419</v>
      </c>
      <c r="CI2450" t="s">
        <v>388</v>
      </c>
      <c r="CJ2450" s="14">
        <v>45015</v>
      </c>
      <c r="CK2450">
        <v>1</v>
      </c>
    </row>
    <row r="2451" spans="1:89">
      <c r="A2451" t="s">
        <v>2797</v>
      </c>
      <c r="B2451" t="s">
        <v>374</v>
      </c>
      <c r="C2451" t="s">
        <v>2798</v>
      </c>
      <c r="D2451" t="s">
        <v>3413</v>
      </c>
      <c r="E2451" t="s">
        <v>3414</v>
      </c>
      <c r="F2451" s="13">
        <v>44599.528090277781</v>
      </c>
      <c r="G2451" t="s">
        <v>3396</v>
      </c>
      <c r="H2451" t="s">
        <v>3397</v>
      </c>
      <c r="I2451" s="13">
        <v>45012.043692129628</v>
      </c>
      <c r="K2451" t="s">
        <v>415</v>
      </c>
      <c r="M2451" s="13">
        <v>44651</v>
      </c>
      <c r="R2451">
        <v>0</v>
      </c>
      <c r="S2451" t="s">
        <v>380</v>
      </c>
      <c r="T2451" t="s">
        <v>57</v>
      </c>
      <c r="V2451" t="s">
        <v>478</v>
      </c>
      <c r="W2451" t="s">
        <v>2828</v>
      </c>
      <c r="X2451" t="s">
        <v>2828</v>
      </c>
      <c r="AC2451" s="13">
        <v>44651</v>
      </c>
      <c r="AD2451" s="13">
        <v>44651</v>
      </c>
      <c r="AF2451" t="s">
        <v>451</v>
      </c>
      <c r="AG2451" t="s">
        <v>3415</v>
      </c>
      <c r="AI2451">
        <v>-361</v>
      </c>
      <c r="AL2451" t="s">
        <v>3416</v>
      </c>
      <c r="AN2451" t="s">
        <v>31</v>
      </c>
      <c r="AO2451">
        <v>0</v>
      </c>
      <c r="AS2451" t="s">
        <v>385</v>
      </c>
      <c r="AX2451" t="s">
        <v>31</v>
      </c>
      <c r="AY2451" t="s">
        <v>386</v>
      </c>
      <c r="AZ2451" t="s">
        <v>3417</v>
      </c>
      <c r="BF2451">
        <v>0</v>
      </c>
      <c r="BK2451" t="s">
        <v>31</v>
      </c>
      <c r="BS2451" t="s">
        <v>419</v>
      </c>
      <c r="BT2451" t="s">
        <v>419</v>
      </c>
      <c r="CI2451" t="s">
        <v>388</v>
      </c>
      <c r="CJ2451" s="14">
        <v>45015</v>
      </c>
      <c r="CK2451">
        <v>1</v>
      </c>
    </row>
    <row r="2452" spans="1:89">
      <c r="A2452" t="s">
        <v>454</v>
      </c>
      <c r="B2452" t="s">
        <v>374</v>
      </c>
      <c r="C2452" t="s">
        <v>455</v>
      </c>
      <c r="D2452" t="s">
        <v>3418</v>
      </c>
      <c r="E2452" t="s">
        <v>3419</v>
      </c>
      <c r="F2452" s="13">
        <v>44596.673472222225</v>
      </c>
      <c r="G2452" t="s">
        <v>2399</v>
      </c>
      <c r="H2452" t="s">
        <v>2400</v>
      </c>
      <c r="I2452" s="13">
        <v>44635.499062499999</v>
      </c>
      <c r="K2452" t="s">
        <v>379</v>
      </c>
      <c r="M2452" s="13">
        <v>44620</v>
      </c>
      <c r="R2452">
        <v>100</v>
      </c>
      <c r="S2452" t="s">
        <v>416</v>
      </c>
      <c r="T2452" t="s">
        <v>57</v>
      </c>
      <c r="V2452" t="s">
        <v>478</v>
      </c>
      <c r="W2452" t="s">
        <v>2401</v>
      </c>
      <c r="X2452" t="s">
        <v>2401</v>
      </c>
      <c r="AF2452" t="s">
        <v>382</v>
      </c>
      <c r="AG2452" t="s">
        <v>3420</v>
      </c>
      <c r="AI2452">
        <v>-15</v>
      </c>
      <c r="AL2452" t="s">
        <v>2402</v>
      </c>
      <c r="AM2452">
        <v>1</v>
      </c>
      <c r="AN2452" t="s">
        <v>31</v>
      </c>
      <c r="AO2452">
        <v>0</v>
      </c>
      <c r="AS2452" t="s">
        <v>385</v>
      </c>
      <c r="AX2452" t="s">
        <v>57</v>
      </c>
      <c r="AY2452" t="s">
        <v>386</v>
      </c>
      <c r="AZ2452" t="s">
        <v>3421</v>
      </c>
      <c r="BE2452" t="s">
        <v>3422</v>
      </c>
      <c r="BF2452">
        <v>0</v>
      </c>
      <c r="BK2452" t="s">
        <v>31</v>
      </c>
      <c r="BS2452" t="s">
        <v>379</v>
      </c>
      <c r="BT2452" t="s">
        <v>379</v>
      </c>
      <c r="CI2452" t="s">
        <v>388</v>
      </c>
      <c r="CJ2452" s="14">
        <v>45015</v>
      </c>
      <c r="CK2452">
        <v>1</v>
      </c>
    </row>
    <row r="2453" spans="1:89">
      <c r="A2453" t="s">
        <v>454</v>
      </c>
      <c r="B2453" t="s">
        <v>374</v>
      </c>
      <c r="C2453" t="s">
        <v>455</v>
      </c>
      <c r="D2453" t="s">
        <v>3423</v>
      </c>
      <c r="E2453" t="s">
        <v>3424</v>
      </c>
      <c r="F2453" s="13">
        <v>44596.660891203705</v>
      </c>
      <c r="G2453" t="s">
        <v>2399</v>
      </c>
      <c r="H2453" t="s">
        <v>2400</v>
      </c>
      <c r="I2453" s="13">
        <v>44635.498391203706</v>
      </c>
      <c r="K2453" t="s">
        <v>379</v>
      </c>
      <c r="M2453" s="13">
        <v>44620</v>
      </c>
      <c r="R2453">
        <v>100</v>
      </c>
      <c r="S2453" t="s">
        <v>416</v>
      </c>
      <c r="T2453" t="s">
        <v>57</v>
      </c>
      <c r="V2453" t="s">
        <v>478</v>
      </c>
      <c r="W2453" t="s">
        <v>2401</v>
      </c>
      <c r="X2453" t="s">
        <v>2401</v>
      </c>
      <c r="AF2453" t="s">
        <v>382</v>
      </c>
      <c r="AG2453" t="s">
        <v>3425</v>
      </c>
      <c r="AI2453">
        <v>-15</v>
      </c>
      <c r="AL2453" t="s">
        <v>2407</v>
      </c>
      <c r="AM2453">
        <v>1</v>
      </c>
      <c r="AN2453" t="s">
        <v>31</v>
      </c>
      <c r="AO2453">
        <v>0</v>
      </c>
      <c r="AS2453" t="s">
        <v>385</v>
      </c>
      <c r="AX2453" t="s">
        <v>57</v>
      </c>
      <c r="AY2453" t="s">
        <v>442</v>
      </c>
      <c r="AZ2453" t="s">
        <v>3426</v>
      </c>
      <c r="BF2453">
        <v>0</v>
      </c>
      <c r="BK2453" t="s">
        <v>31</v>
      </c>
      <c r="BS2453" t="s">
        <v>379</v>
      </c>
      <c r="BT2453" t="s">
        <v>379</v>
      </c>
      <c r="CI2453" t="s">
        <v>388</v>
      </c>
      <c r="CJ2453" s="14">
        <v>45015</v>
      </c>
      <c r="CK2453">
        <v>1</v>
      </c>
    </row>
    <row r="2454" spans="1:89">
      <c r="A2454" t="s">
        <v>454</v>
      </c>
      <c r="B2454" t="s">
        <v>374</v>
      </c>
      <c r="C2454" t="s">
        <v>455</v>
      </c>
      <c r="D2454" t="s">
        <v>3427</v>
      </c>
      <c r="E2454" t="s">
        <v>3428</v>
      </c>
      <c r="F2454" s="13">
        <v>44596.634814814817</v>
      </c>
      <c r="G2454" t="s">
        <v>2399</v>
      </c>
      <c r="H2454" t="s">
        <v>2400</v>
      </c>
      <c r="I2454" s="13">
        <v>44635.497800925928</v>
      </c>
      <c r="K2454" t="s">
        <v>379</v>
      </c>
      <c r="M2454" s="13">
        <v>44620</v>
      </c>
      <c r="R2454">
        <v>100</v>
      </c>
      <c r="S2454" t="s">
        <v>416</v>
      </c>
      <c r="T2454" t="s">
        <v>57</v>
      </c>
      <c r="V2454" t="s">
        <v>478</v>
      </c>
      <c r="W2454" t="s">
        <v>2401</v>
      </c>
      <c r="X2454" t="s">
        <v>2401</v>
      </c>
      <c r="AF2454" t="s">
        <v>382</v>
      </c>
      <c r="AG2454" t="s">
        <v>3429</v>
      </c>
      <c r="AI2454">
        <v>-15</v>
      </c>
      <c r="AL2454" t="s">
        <v>2412</v>
      </c>
      <c r="AM2454">
        <v>1</v>
      </c>
      <c r="AN2454" t="s">
        <v>31</v>
      </c>
      <c r="AO2454">
        <v>0</v>
      </c>
      <c r="AS2454" t="s">
        <v>385</v>
      </c>
      <c r="AX2454" t="s">
        <v>57</v>
      </c>
      <c r="AY2454" t="s">
        <v>442</v>
      </c>
      <c r="AZ2454" t="s">
        <v>3430</v>
      </c>
      <c r="BE2454" t="s">
        <v>2414</v>
      </c>
      <c r="BF2454">
        <v>0</v>
      </c>
      <c r="BK2454" t="s">
        <v>31</v>
      </c>
      <c r="BS2454" t="s">
        <v>379</v>
      </c>
      <c r="BT2454" t="s">
        <v>379</v>
      </c>
      <c r="CI2454" t="s">
        <v>388</v>
      </c>
      <c r="CJ2454" s="14">
        <v>45015</v>
      </c>
      <c r="CK2454">
        <v>1</v>
      </c>
    </row>
    <row r="2455" spans="1:89">
      <c r="A2455" t="s">
        <v>454</v>
      </c>
      <c r="B2455" t="s">
        <v>374</v>
      </c>
      <c r="C2455" t="s">
        <v>455</v>
      </c>
      <c r="D2455" t="s">
        <v>3431</v>
      </c>
      <c r="E2455" t="s">
        <v>3432</v>
      </c>
      <c r="F2455" s="13">
        <v>44596.491365740738</v>
      </c>
      <c r="G2455" t="s">
        <v>2399</v>
      </c>
      <c r="H2455" t="s">
        <v>2400</v>
      </c>
      <c r="I2455" s="13">
        <v>44635.496354166666</v>
      </c>
      <c r="K2455" t="s">
        <v>379</v>
      </c>
      <c r="M2455" s="13">
        <v>44620</v>
      </c>
      <c r="R2455">
        <v>100</v>
      </c>
      <c r="S2455" t="s">
        <v>416</v>
      </c>
      <c r="T2455" t="s">
        <v>57</v>
      </c>
      <c r="V2455" t="s">
        <v>478</v>
      </c>
      <c r="W2455" t="s">
        <v>2417</v>
      </c>
      <c r="X2455" t="s">
        <v>2417</v>
      </c>
      <c r="AF2455" t="s">
        <v>382</v>
      </c>
      <c r="AG2455" t="s">
        <v>3433</v>
      </c>
      <c r="AI2455">
        <v>-15</v>
      </c>
      <c r="AL2455" t="s">
        <v>2418</v>
      </c>
      <c r="AM2455">
        <v>1</v>
      </c>
      <c r="AN2455" t="s">
        <v>31</v>
      </c>
      <c r="AO2455">
        <v>0</v>
      </c>
      <c r="AS2455" t="s">
        <v>385</v>
      </c>
      <c r="AX2455" t="s">
        <v>57</v>
      </c>
      <c r="AY2455" t="s">
        <v>442</v>
      </c>
      <c r="AZ2455" t="s">
        <v>3434</v>
      </c>
      <c r="BE2455" t="s">
        <v>2420</v>
      </c>
      <c r="BF2455">
        <v>0</v>
      </c>
      <c r="BK2455" t="s">
        <v>31</v>
      </c>
      <c r="BS2455" t="s">
        <v>379</v>
      </c>
      <c r="BT2455" t="s">
        <v>379</v>
      </c>
      <c r="CI2455" t="s">
        <v>388</v>
      </c>
      <c r="CJ2455" s="14">
        <v>45015</v>
      </c>
      <c r="CK2455">
        <v>1</v>
      </c>
    </row>
    <row r="2456" spans="1:89">
      <c r="A2456" t="s">
        <v>454</v>
      </c>
      <c r="B2456" t="s">
        <v>374</v>
      </c>
      <c r="C2456" t="s">
        <v>455</v>
      </c>
      <c r="D2456" t="s">
        <v>3435</v>
      </c>
      <c r="E2456" t="s">
        <v>3436</v>
      </c>
      <c r="F2456" s="13">
        <v>44596.472245370373</v>
      </c>
      <c r="G2456" t="s">
        <v>2399</v>
      </c>
      <c r="H2456" t="s">
        <v>2400</v>
      </c>
      <c r="I2456" s="13">
        <v>44635.495439814818</v>
      </c>
      <c r="K2456" t="s">
        <v>379</v>
      </c>
      <c r="M2456" s="13">
        <v>44620</v>
      </c>
      <c r="R2456">
        <v>100</v>
      </c>
      <c r="S2456" t="s">
        <v>416</v>
      </c>
      <c r="T2456" t="s">
        <v>57</v>
      </c>
      <c r="V2456" t="s">
        <v>478</v>
      </c>
      <c r="W2456" t="s">
        <v>2417</v>
      </c>
      <c r="X2456" t="s">
        <v>2417</v>
      </c>
      <c r="AF2456" t="s">
        <v>382</v>
      </c>
      <c r="AG2456" t="s">
        <v>3437</v>
      </c>
      <c r="AI2456">
        <v>-15</v>
      </c>
      <c r="AL2456" t="s">
        <v>2434</v>
      </c>
      <c r="AM2456">
        <v>1</v>
      </c>
      <c r="AN2456" t="s">
        <v>31</v>
      </c>
      <c r="AO2456">
        <v>0</v>
      </c>
      <c r="AS2456" t="s">
        <v>385</v>
      </c>
      <c r="AX2456" t="s">
        <v>57</v>
      </c>
      <c r="AY2456" t="s">
        <v>442</v>
      </c>
      <c r="AZ2456" t="s">
        <v>3438</v>
      </c>
      <c r="BF2456">
        <v>0</v>
      </c>
      <c r="BK2456" t="s">
        <v>31</v>
      </c>
      <c r="BS2456" t="s">
        <v>379</v>
      </c>
      <c r="BT2456" t="s">
        <v>379</v>
      </c>
      <c r="CI2456" t="s">
        <v>388</v>
      </c>
      <c r="CJ2456" s="14">
        <v>45015</v>
      </c>
      <c r="CK2456">
        <v>1</v>
      </c>
    </row>
    <row r="2457" spans="1:89">
      <c r="A2457" t="s">
        <v>454</v>
      </c>
      <c r="B2457" t="s">
        <v>374</v>
      </c>
      <c r="C2457" t="s">
        <v>455</v>
      </c>
      <c r="D2457" t="s">
        <v>3439</v>
      </c>
      <c r="E2457" t="s">
        <v>3440</v>
      </c>
      <c r="F2457" s="13">
        <v>44596.432037037041</v>
      </c>
      <c r="G2457" t="s">
        <v>2399</v>
      </c>
      <c r="H2457" t="s">
        <v>2400</v>
      </c>
      <c r="I2457" s="13">
        <v>44635.867037037038</v>
      </c>
      <c r="K2457" t="s">
        <v>379</v>
      </c>
      <c r="M2457" s="13">
        <v>44620</v>
      </c>
      <c r="R2457">
        <v>100</v>
      </c>
      <c r="S2457" t="s">
        <v>416</v>
      </c>
      <c r="T2457" t="s">
        <v>57</v>
      </c>
      <c r="V2457" t="s">
        <v>478</v>
      </c>
      <c r="W2457" t="s">
        <v>2417</v>
      </c>
      <c r="X2457" t="s">
        <v>2417</v>
      </c>
      <c r="AF2457" t="s">
        <v>382</v>
      </c>
      <c r="AG2457" t="s">
        <v>3441</v>
      </c>
      <c r="AI2457">
        <v>-15</v>
      </c>
      <c r="AL2457" t="s">
        <v>2476</v>
      </c>
      <c r="AM2457">
        <v>1</v>
      </c>
      <c r="AN2457" t="s">
        <v>31</v>
      </c>
      <c r="AO2457">
        <v>0</v>
      </c>
      <c r="AS2457" t="s">
        <v>385</v>
      </c>
      <c r="AX2457" t="s">
        <v>57</v>
      </c>
      <c r="AY2457" t="s">
        <v>442</v>
      </c>
      <c r="AZ2457" t="s">
        <v>3442</v>
      </c>
      <c r="BF2457">
        <v>0</v>
      </c>
      <c r="BK2457" t="s">
        <v>31</v>
      </c>
      <c r="BS2457" t="s">
        <v>379</v>
      </c>
      <c r="BT2457" t="s">
        <v>379</v>
      </c>
      <c r="CI2457" t="s">
        <v>388</v>
      </c>
      <c r="CJ2457" s="14">
        <v>45015</v>
      </c>
      <c r="CK2457">
        <v>1</v>
      </c>
    </row>
    <row r="2458" spans="1:89">
      <c r="A2458" t="s">
        <v>454</v>
      </c>
      <c r="B2458" t="s">
        <v>374</v>
      </c>
      <c r="C2458" t="s">
        <v>455</v>
      </c>
      <c r="D2458" t="s">
        <v>3443</v>
      </c>
      <c r="E2458" t="s">
        <v>3444</v>
      </c>
      <c r="F2458" s="13">
        <v>44596.399224537039</v>
      </c>
      <c r="G2458" t="s">
        <v>2399</v>
      </c>
      <c r="H2458" t="s">
        <v>2400</v>
      </c>
      <c r="I2458" s="13">
        <v>44635.490023148152</v>
      </c>
      <c r="K2458" t="s">
        <v>379</v>
      </c>
      <c r="M2458" s="13">
        <v>44620</v>
      </c>
      <c r="R2458">
        <v>100</v>
      </c>
      <c r="S2458" t="s">
        <v>416</v>
      </c>
      <c r="T2458" t="s">
        <v>57</v>
      </c>
      <c r="V2458" t="s">
        <v>478</v>
      </c>
      <c r="W2458" t="s">
        <v>2417</v>
      </c>
      <c r="X2458" t="s">
        <v>2417</v>
      </c>
      <c r="AF2458" t="s">
        <v>382</v>
      </c>
      <c r="AG2458" t="s">
        <v>3445</v>
      </c>
      <c r="AI2458">
        <v>-15</v>
      </c>
      <c r="AL2458" t="s">
        <v>2532</v>
      </c>
      <c r="AM2458">
        <v>1</v>
      </c>
      <c r="AN2458" t="s">
        <v>31</v>
      </c>
      <c r="AO2458">
        <v>0</v>
      </c>
      <c r="AS2458" t="s">
        <v>385</v>
      </c>
      <c r="AX2458" t="s">
        <v>57</v>
      </c>
      <c r="AY2458" t="s">
        <v>442</v>
      </c>
      <c r="AZ2458" t="s">
        <v>3438</v>
      </c>
      <c r="BF2458">
        <v>0</v>
      </c>
      <c r="BK2458" t="s">
        <v>31</v>
      </c>
      <c r="BS2458" t="s">
        <v>379</v>
      </c>
      <c r="BT2458" t="s">
        <v>379</v>
      </c>
      <c r="CI2458" t="s">
        <v>388</v>
      </c>
      <c r="CJ2458" s="14">
        <v>45015</v>
      </c>
      <c r="CK2458">
        <v>1</v>
      </c>
    </row>
    <row r="2459" spans="1:89">
      <c r="A2459" t="s">
        <v>454</v>
      </c>
      <c r="B2459" t="s">
        <v>374</v>
      </c>
      <c r="C2459" t="s">
        <v>455</v>
      </c>
      <c r="D2459" t="s">
        <v>3446</v>
      </c>
      <c r="E2459" t="s">
        <v>3447</v>
      </c>
      <c r="F2459" s="13">
        <v>44595.73369212963</v>
      </c>
      <c r="G2459" t="s">
        <v>2399</v>
      </c>
      <c r="H2459" t="s">
        <v>2400</v>
      </c>
      <c r="I2459" s="13">
        <v>44635.48883101852</v>
      </c>
      <c r="K2459" t="s">
        <v>379</v>
      </c>
      <c r="M2459" s="13">
        <v>44620</v>
      </c>
      <c r="R2459">
        <v>100</v>
      </c>
      <c r="S2459" t="s">
        <v>416</v>
      </c>
      <c r="T2459" t="s">
        <v>57</v>
      </c>
      <c r="V2459" t="s">
        <v>478</v>
      </c>
      <c r="W2459" t="s">
        <v>2417</v>
      </c>
      <c r="X2459" t="s">
        <v>2417</v>
      </c>
      <c r="AF2459" t="s">
        <v>382</v>
      </c>
      <c r="AG2459" t="s">
        <v>3448</v>
      </c>
      <c r="AI2459">
        <v>-15</v>
      </c>
      <c r="AL2459" t="s">
        <v>2595</v>
      </c>
      <c r="AM2459">
        <v>1</v>
      </c>
      <c r="AN2459" t="s">
        <v>31</v>
      </c>
      <c r="AO2459">
        <v>0</v>
      </c>
      <c r="AS2459" t="s">
        <v>392</v>
      </c>
      <c r="AX2459" t="s">
        <v>57</v>
      </c>
      <c r="AY2459" t="s">
        <v>442</v>
      </c>
      <c r="AZ2459" t="s">
        <v>3449</v>
      </c>
      <c r="BF2459">
        <v>0</v>
      </c>
      <c r="BK2459" t="s">
        <v>31</v>
      </c>
      <c r="BS2459" t="s">
        <v>379</v>
      </c>
      <c r="BT2459" t="s">
        <v>379</v>
      </c>
      <c r="CI2459" t="s">
        <v>388</v>
      </c>
      <c r="CJ2459" s="14">
        <v>45015</v>
      </c>
      <c r="CK2459">
        <v>1</v>
      </c>
    </row>
    <row r="2460" spans="1:89">
      <c r="A2460" t="s">
        <v>454</v>
      </c>
      <c r="B2460" t="s">
        <v>374</v>
      </c>
      <c r="C2460" t="s">
        <v>455</v>
      </c>
      <c r="D2460" t="s">
        <v>3450</v>
      </c>
      <c r="E2460" t="s">
        <v>3451</v>
      </c>
      <c r="F2460" s="13">
        <v>44595.729166666664</v>
      </c>
      <c r="G2460" t="s">
        <v>2399</v>
      </c>
      <c r="H2460" t="s">
        <v>2400</v>
      </c>
      <c r="I2460" s="13">
        <v>44624.468576388892</v>
      </c>
      <c r="K2460" t="s">
        <v>379</v>
      </c>
      <c r="M2460" s="13">
        <v>44620</v>
      </c>
      <c r="R2460">
        <v>100</v>
      </c>
      <c r="S2460" t="s">
        <v>416</v>
      </c>
      <c r="T2460" t="s">
        <v>57</v>
      </c>
      <c r="V2460" t="s">
        <v>478</v>
      </c>
      <c r="W2460" t="s">
        <v>2417</v>
      </c>
      <c r="X2460" t="s">
        <v>2417</v>
      </c>
      <c r="AF2460" t="s">
        <v>382</v>
      </c>
      <c r="AG2460" t="s">
        <v>3452</v>
      </c>
      <c r="AI2460">
        <v>-4</v>
      </c>
      <c r="AL2460" t="s">
        <v>2558</v>
      </c>
      <c r="AM2460">
        <v>1</v>
      </c>
      <c r="AN2460" t="s">
        <v>31</v>
      </c>
      <c r="AO2460">
        <v>0</v>
      </c>
      <c r="AS2460" t="s">
        <v>385</v>
      </c>
      <c r="AX2460" t="s">
        <v>57</v>
      </c>
      <c r="AY2460" t="s">
        <v>442</v>
      </c>
      <c r="AZ2460" t="s">
        <v>3453</v>
      </c>
      <c r="BF2460">
        <v>0</v>
      </c>
      <c r="BK2460" t="s">
        <v>31</v>
      </c>
      <c r="BS2460" t="s">
        <v>379</v>
      </c>
      <c r="BT2460" t="s">
        <v>379</v>
      </c>
      <c r="CI2460" t="s">
        <v>388</v>
      </c>
      <c r="CJ2460" s="14">
        <v>45015</v>
      </c>
      <c r="CK2460">
        <v>1</v>
      </c>
    </row>
    <row r="2461" spans="1:89">
      <c r="A2461" t="s">
        <v>454</v>
      </c>
      <c r="B2461" t="s">
        <v>374</v>
      </c>
      <c r="C2461" t="s">
        <v>455</v>
      </c>
      <c r="D2461" t="s">
        <v>3454</v>
      </c>
      <c r="E2461" t="s">
        <v>3455</v>
      </c>
      <c r="F2461" s="13">
        <v>44595.601770833331</v>
      </c>
      <c r="G2461" t="s">
        <v>1264</v>
      </c>
      <c r="H2461" t="s">
        <v>1265</v>
      </c>
      <c r="I2461" s="13">
        <v>44620.69295138889</v>
      </c>
      <c r="K2461" t="s">
        <v>409</v>
      </c>
      <c r="R2461">
        <v>0</v>
      </c>
      <c r="S2461" t="s">
        <v>380</v>
      </c>
      <c r="T2461" t="s">
        <v>57</v>
      </c>
      <c r="V2461" t="s">
        <v>381</v>
      </c>
      <c r="W2461" t="s">
        <v>3456</v>
      </c>
      <c r="X2461" t="s">
        <v>3456</v>
      </c>
      <c r="AC2461" s="13">
        <v>44620</v>
      </c>
      <c r="AD2461" s="13">
        <v>44620</v>
      </c>
      <c r="AI2461">
        <v>25</v>
      </c>
      <c r="AL2461" t="s">
        <v>2463</v>
      </c>
      <c r="AN2461" t="s">
        <v>31</v>
      </c>
      <c r="AO2461">
        <v>0</v>
      </c>
      <c r="AS2461" t="s">
        <v>385</v>
      </c>
      <c r="AX2461" t="s">
        <v>57</v>
      </c>
      <c r="AY2461" t="s">
        <v>386</v>
      </c>
      <c r="AZ2461" t="s">
        <v>3457</v>
      </c>
      <c r="BE2461" t="s">
        <v>3458</v>
      </c>
      <c r="BF2461">
        <v>0</v>
      </c>
      <c r="BK2461" t="s">
        <v>31</v>
      </c>
      <c r="BS2461" t="s">
        <v>409</v>
      </c>
      <c r="BT2461" t="s">
        <v>409</v>
      </c>
      <c r="CI2461" t="s">
        <v>388</v>
      </c>
      <c r="CJ2461" s="14">
        <v>45015</v>
      </c>
      <c r="CK2461">
        <v>1</v>
      </c>
    </row>
    <row r="2462" spans="1:89">
      <c r="A2462" t="s">
        <v>454</v>
      </c>
      <c r="B2462" t="s">
        <v>374</v>
      </c>
      <c r="C2462" t="s">
        <v>455</v>
      </c>
      <c r="D2462" t="s">
        <v>3459</v>
      </c>
      <c r="E2462" t="s">
        <v>3460</v>
      </c>
      <c r="F2462" s="13">
        <v>44595.594456018516</v>
      </c>
      <c r="G2462" t="s">
        <v>1264</v>
      </c>
      <c r="H2462" t="s">
        <v>1265</v>
      </c>
      <c r="I2462" s="13">
        <v>45012.043692129628</v>
      </c>
      <c r="K2462" t="s">
        <v>415</v>
      </c>
      <c r="M2462" s="13">
        <v>44727</v>
      </c>
      <c r="R2462">
        <v>0</v>
      </c>
      <c r="S2462" t="s">
        <v>380</v>
      </c>
      <c r="T2462" t="s">
        <v>57</v>
      </c>
      <c r="V2462" t="s">
        <v>478</v>
      </c>
      <c r="W2462" t="s">
        <v>2306</v>
      </c>
      <c r="X2462" t="s">
        <v>2306</v>
      </c>
      <c r="AF2462" t="s">
        <v>451</v>
      </c>
      <c r="AI2462">
        <v>-285</v>
      </c>
      <c r="AL2462" t="s">
        <v>3461</v>
      </c>
      <c r="AN2462" t="s">
        <v>31</v>
      </c>
      <c r="AO2462">
        <v>0</v>
      </c>
      <c r="AS2462" t="s">
        <v>392</v>
      </c>
      <c r="AX2462" t="s">
        <v>57</v>
      </c>
      <c r="AY2462" t="s">
        <v>442</v>
      </c>
      <c r="AZ2462" t="s">
        <v>3462</v>
      </c>
      <c r="BE2462" t="s">
        <v>3463</v>
      </c>
      <c r="BF2462">
        <v>0</v>
      </c>
      <c r="BK2462" t="s">
        <v>31</v>
      </c>
      <c r="BS2462" t="s">
        <v>419</v>
      </c>
      <c r="BT2462" t="s">
        <v>419</v>
      </c>
      <c r="CI2462" t="s">
        <v>388</v>
      </c>
      <c r="CJ2462" s="14">
        <v>45015</v>
      </c>
      <c r="CK2462">
        <v>1</v>
      </c>
    </row>
    <row r="2463" spans="1:89">
      <c r="A2463" t="s">
        <v>454</v>
      </c>
      <c r="B2463" t="s">
        <v>374</v>
      </c>
      <c r="C2463" t="s">
        <v>455</v>
      </c>
      <c r="D2463" t="s">
        <v>3464</v>
      </c>
      <c r="E2463" t="s">
        <v>3465</v>
      </c>
      <c r="F2463" s="13">
        <v>44595.564745370371</v>
      </c>
      <c r="G2463" t="s">
        <v>1264</v>
      </c>
      <c r="H2463" t="s">
        <v>1265</v>
      </c>
      <c r="I2463" s="13">
        <v>45012.043680555558</v>
      </c>
      <c r="K2463" t="s">
        <v>415</v>
      </c>
      <c r="M2463" s="13">
        <v>44666</v>
      </c>
      <c r="R2463">
        <v>0</v>
      </c>
      <c r="S2463" t="s">
        <v>380</v>
      </c>
      <c r="T2463" t="s">
        <v>57</v>
      </c>
      <c r="V2463" t="s">
        <v>478</v>
      </c>
      <c r="W2463" t="s">
        <v>2306</v>
      </c>
      <c r="X2463" t="s">
        <v>2306</v>
      </c>
      <c r="AC2463" s="13">
        <v>44666</v>
      </c>
      <c r="AD2463" s="13">
        <v>44666</v>
      </c>
      <c r="AF2463" t="s">
        <v>451</v>
      </c>
      <c r="AI2463">
        <v>-346</v>
      </c>
      <c r="AL2463" t="s">
        <v>3466</v>
      </c>
      <c r="AN2463" t="s">
        <v>57</v>
      </c>
      <c r="AO2463">
        <v>0</v>
      </c>
      <c r="AS2463" t="s">
        <v>526</v>
      </c>
      <c r="AX2463" t="s">
        <v>57</v>
      </c>
      <c r="AY2463" t="s">
        <v>442</v>
      </c>
      <c r="AZ2463" t="s">
        <v>3467</v>
      </c>
      <c r="BE2463" t="s">
        <v>3468</v>
      </c>
      <c r="BF2463">
        <v>0</v>
      </c>
      <c r="BK2463" t="s">
        <v>31</v>
      </c>
      <c r="BS2463" t="s">
        <v>419</v>
      </c>
      <c r="BT2463" t="s">
        <v>419</v>
      </c>
      <c r="CI2463" t="s">
        <v>388</v>
      </c>
      <c r="CJ2463" s="14">
        <v>45015</v>
      </c>
      <c r="CK2463">
        <v>1</v>
      </c>
    </row>
    <row r="2464" spans="1:89">
      <c r="A2464" t="s">
        <v>454</v>
      </c>
      <c r="B2464" t="s">
        <v>374</v>
      </c>
      <c r="C2464" t="s">
        <v>455</v>
      </c>
      <c r="D2464" t="s">
        <v>3469</v>
      </c>
      <c r="E2464" t="s">
        <v>3470</v>
      </c>
      <c r="F2464" s="13">
        <v>44595.532986111109</v>
      </c>
      <c r="G2464" t="s">
        <v>1264</v>
      </c>
      <c r="H2464" t="s">
        <v>1265</v>
      </c>
      <c r="I2464" s="13">
        <v>44624.473298611112</v>
      </c>
      <c r="K2464" t="s">
        <v>379</v>
      </c>
      <c r="M2464" s="13">
        <v>44621</v>
      </c>
      <c r="R2464">
        <v>100</v>
      </c>
      <c r="S2464" t="s">
        <v>416</v>
      </c>
      <c r="T2464" t="s">
        <v>57</v>
      </c>
      <c r="V2464" t="s">
        <v>478</v>
      </c>
      <c r="W2464" t="s">
        <v>2306</v>
      </c>
      <c r="X2464" t="s">
        <v>2306</v>
      </c>
      <c r="AF2464" t="s">
        <v>382</v>
      </c>
      <c r="AG2464" t="s">
        <v>3471</v>
      </c>
      <c r="AI2464">
        <v>-3</v>
      </c>
      <c r="AL2464" t="s">
        <v>2307</v>
      </c>
      <c r="AM2464">
        <v>1</v>
      </c>
      <c r="AN2464" t="s">
        <v>31</v>
      </c>
      <c r="AO2464">
        <v>0</v>
      </c>
      <c r="AS2464" t="s">
        <v>392</v>
      </c>
      <c r="AX2464" t="s">
        <v>57</v>
      </c>
      <c r="AY2464" t="s">
        <v>386</v>
      </c>
      <c r="AZ2464" t="s">
        <v>3472</v>
      </c>
      <c r="BE2464" t="s">
        <v>3473</v>
      </c>
      <c r="BF2464">
        <v>0</v>
      </c>
      <c r="BK2464" t="s">
        <v>31</v>
      </c>
      <c r="BS2464" t="s">
        <v>379</v>
      </c>
      <c r="BT2464" t="s">
        <v>379</v>
      </c>
      <c r="CI2464" t="s">
        <v>388</v>
      </c>
      <c r="CJ2464" s="14">
        <v>45015</v>
      </c>
      <c r="CK2464">
        <v>1</v>
      </c>
    </row>
    <row r="2465" spans="1:89">
      <c r="A2465" t="s">
        <v>3474</v>
      </c>
      <c r="B2465" t="s">
        <v>374</v>
      </c>
      <c r="C2465" t="s">
        <v>3475</v>
      </c>
      <c r="D2465" t="s">
        <v>3476</v>
      </c>
      <c r="E2465" t="s">
        <v>3477</v>
      </c>
      <c r="F2465" s="13">
        <v>44594.652569444443</v>
      </c>
      <c r="G2465" t="s">
        <v>2506</v>
      </c>
      <c r="H2465" t="s">
        <v>2507</v>
      </c>
      <c r="I2465" s="13">
        <v>44624.521481481483</v>
      </c>
      <c r="K2465" t="s">
        <v>379</v>
      </c>
      <c r="M2465" s="13">
        <v>44651</v>
      </c>
      <c r="R2465">
        <v>100</v>
      </c>
      <c r="S2465" t="s">
        <v>380</v>
      </c>
      <c r="T2465" t="s">
        <v>57</v>
      </c>
      <c r="V2465" t="s">
        <v>381</v>
      </c>
      <c r="W2465" t="s">
        <v>3478</v>
      </c>
      <c r="X2465" t="s">
        <v>3478</v>
      </c>
      <c r="AF2465" t="s">
        <v>382</v>
      </c>
      <c r="AG2465" t="s">
        <v>3479</v>
      </c>
      <c r="AI2465">
        <v>27</v>
      </c>
      <c r="AL2465" t="s">
        <v>3480</v>
      </c>
      <c r="AN2465" t="s">
        <v>31</v>
      </c>
      <c r="AO2465">
        <v>0</v>
      </c>
      <c r="AS2465" t="s">
        <v>648</v>
      </c>
      <c r="AX2465" t="s">
        <v>57</v>
      </c>
      <c r="AY2465" t="s">
        <v>386</v>
      </c>
      <c r="AZ2465" t="s">
        <v>3481</v>
      </c>
      <c r="BF2465">
        <v>0</v>
      </c>
      <c r="BK2465" t="s">
        <v>31</v>
      </c>
      <c r="BS2465" t="s">
        <v>379</v>
      </c>
      <c r="BT2465" t="s">
        <v>379</v>
      </c>
      <c r="CI2465" t="s">
        <v>388</v>
      </c>
      <c r="CJ2465" s="14">
        <v>45015</v>
      </c>
      <c r="CK2465">
        <v>1</v>
      </c>
    </row>
    <row r="2466" spans="1:89">
      <c r="A2466" t="s">
        <v>3482</v>
      </c>
      <c r="B2466" t="s">
        <v>374</v>
      </c>
      <c r="C2466" t="s">
        <v>3483</v>
      </c>
      <c r="D2466" t="s">
        <v>3484</v>
      </c>
      <c r="E2466" t="s">
        <v>3485</v>
      </c>
      <c r="F2466" s="13">
        <v>44593.627511574072</v>
      </c>
      <c r="G2466" t="s">
        <v>3486</v>
      </c>
      <c r="H2466" t="s">
        <v>3487</v>
      </c>
      <c r="I2466" s="13">
        <v>45012.043680555558</v>
      </c>
      <c r="K2466" t="s">
        <v>415</v>
      </c>
      <c r="M2466" s="13">
        <v>44658</v>
      </c>
      <c r="R2466">
        <v>0</v>
      </c>
      <c r="S2466" t="s">
        <v>380</v>
      </c>
      <c r="T2466" t="s">
        <v>57</v>
      </c>
      <c r="V2466" t="s">
        <v>478</v>
      </c>
      <c r="W2466" t="s">
        <v>3488</v>
      </c>
      <c r="X2466" t="s">
        <v>3488</v>
      </c>
      <c r="AF2466" t="s">
        <v>451</v>
      </c>
      <c r="AG2466" t="s">
        <v>3489</v>
      </c>
      <c r="AI2466">
        <v>-354</v>
      </c>
      <c r="AL2466" t="s">
        <v>3490</v>
      </c>
      <c r="AN2466" t="s">
        <v>31</v>
      </c>
      <c r="AO2466">
        <v>0</v>
      </c>
      <c r="AS2466" t="s">
        <v>385</v>
      </c>
      <c r="AX2466" t="s">
        <v>31</v>
      </c>
      <c r="AY2466" t="s">
        <v>442</v>
      </c>
      <c r="AZ2466" t="s">
        <v>3491</v>
      </c>
      <c r="BE2466" t="s">
        <v>3492</v>
      </c>
      <c r="BF2466">
        <v>0</v>
      </c>
      <c r="BK2466" t="s">
        <v>31</v>
      </c>
      <c r="BS2466" t="s">
        <v>419</v>
      </c>
      <c r="BT2466" t="s">
        <v>419</v>
      </c>
      <c r="CI2466" t="s">
        <v>388</v>
      </c>
      <c r="CJ2466" s="14">
        <v>45015</v>
      </c>
      <c r="CK2466">
        <v>1</v>
      </c>
    </row>
    <row r="2467" spans="1:89">
      <c r="A2467" t="s">
        <v>2075</v>
      </c>
      <c r="B2467" t="s">
        <v>374</v>
      </c>
      <c r="C2467" t="s">
        <v>2076</v>
      </c>
      <c r="D2467" t="s">
        <v>3493</v>
      </c>
      <c r="E2467" t="s">
        <v>3494</v>
      </c>
      <c r="F2467" s="13">
        <v>44593.508912037039</v>
      </c>
      <c r="G2467" t="s">
        <v>2079</v>
      </c>
      <c r="H2467" t="s">
        <v>2080</v>
      </c>
      <c r="I2467" s="13">
        <v>44645.339571759258</v>
      </c>
      <c r="K2467" t="s">
        <v>379</v>
      </c>
      <c r="M2467" s="13">
        <v>44620</v>
      </c>
      <c r="R2467">
        <v>100</v>
      </c>
      <c r="S2467" t="s">
        <v>416</v>
      </c>
      <c r="T2467" t="s">
        <v>57</v>
      </c>
      <c r="V2467" t="s">
        <v>478</v>
      </c>
      <c r="W2467" t="s">
        <v>3495</v>
      </c>
      <c r="X2467" t="s">
        <v>3495</v>
      </c>
      <c r="AF2467" t="s">
        <v>382</v>
      </c>
      <c r="AG2467" t="s">
        <v>3496</v>
      </c>
      <c r="AI2467">
        <v>-25</v>
      </c>
      <c r="AJ2467" s="13">
        <v>44673</v>
      </c>
      <c r="AL2467" t="s">
        <v>2082</v>
      </c>
      <c r="AM2467">
        <v>1</v>
      </c>
      <c r="AN2467" t="s">
        <v>31</v>
      </c>
      <c r="AO2467">
        <v>0</v>
      </c>
      <c r="AR2467" t="s">
        <v>3497</v>
      </c>
      <c r="AS2467" t="s">
        <v>385</v>
      </c>
      <c r="AX2467" t="s">
        <v>57</v>
      </c>
      <c r="AY2467" t="s">
        <v>386</v>
      </c>
      <c r="AZ2467" t="s">
        <v>3498</v>
      </c>
      <c r="BF2467">
        <v>0</v>
      </c>
      <c r="BK2467" t="s">
        <v>31</v>
      </c>
      <c r="BS2467" t="s">
        <v>379</v>
      </c>
      <c r="BT2467" t="s">
        <v>379</v>
      </c>
      <c r="CI2467" t="s">
        <v>388</v>
      </c>
      <c r="CJ2467" s="14">
        <v>45015</v>
      </c>
      <c r="CK2467">
        <v>1</v>
      </c>
    </row>
    <row r="2468" spans="1:89">
      <c r="A2468" t="s">
        <v>2089</v>
      </c>
      <c r="B2468" t="s">
        <v>374</v>
      </c>
      <c r="C2468" t="s">
        <v>2090</v>
      </c>
      <c r="D2468" t="s">
        <v>3499</v>
      </c>
      <c r="E2468" t="s">
        <v>3500</v>
      </c>
      <c r="F2468" s="13">
        <v>44593.432650462964</v>
      </c>
      <c r="G2468" t="s">
        <v>2079</v>
      </c>
      <c r="H2468" t="s">
        <v>2080</v>
      </c>
      <c r="I2468" s="13">
        <v>44645.338842592595</v>
      </c>
      <c r="K2468" t="s">
        <v>379</v>
      </c>
      <c r="M2468" s="13">
        <v>44620</v>
      </c>
      <c r="R2468">
        <v>100</v>
      </c>
      <c r="S2468" t="s">
        <v>416</v>
      </c>
      <c r="T2468" t="s">
        <v>57</v>
      </c>
      <c r="V2468" t="s">
        <v>478</v>
      </c>
      <c r="W2468" t="s">
        <v>3501</v>
      </c>
      <c r="X2468" t="s">
        <v>3501</v>
      </c>
      <c r="AF2468" t="s">
        <v>382</v>
      </c>
      <c r="AG2468" t="s">
        <v>3502</v>
      </c>
      <c r="AI2468">
        <v>-25</v>
      </c>
      <c r="AL2468" t="s">
        <v>2094</v>
      </c>
      <c r="AM2468">
        <v>1</v>
      </c>
      <c r="AN2468" t="s">
        <v>31</v>
      </c>
      <c r="AO2468">
        <v>0</v>
      </c>
      <c r="AS2468" t="s">
        <v>522</v>
      </c>
      <c r="AX2468" t="s">
        <v>57</v>
      </c>
      <c r="AY2468" t="s">
        <v>386</v>
      </c>
      <c r="AZ2468" t="s">
        <v>3503</v>
      </c>
      <c r="BF2468">
        <v>0</v>
      </c>
      <c r="BK2468" t="s">
        <v>31</v>
      </c>
      <c r="BS2468" t="s">
        <v>379</v>
      </c>
      <c r="BT2468" t="s">
        <v>379</v>
      </c>
      <c r="CI2468" t="s">
        <v>388</v>
      </c>
      <c r="CJ2468" s="14">
        <v>45015</v>
      </c>
      <c r="CK2468">
        <v>1</v>
      </c>
    </row>
    <row r="2469" spans="1:89">
      <c r="A2469" t="s">
        <v>3504</v>
      </c>
      <c r="B2469" t="s">
        <v>374</v>
      </c>
      <c r="C2469" t="s">
        <v>3505</v>
      </c>
      <c r="D2469" t="s">
        <v>3506</v>
      </c>
      <c r="E2469" t="s">
        <v>3507</v>
      </c>
      <c r="F2469" s="13">
        <v>44592.727453703701</v>
      </c>
      <c r="G2469" t="s">
        <v>2271</v>
      </c>
      <c r="H2469" t="s">
        <v>2272</v>
      </c>
      <c r="I2469" s="13">
        <v>45012.043680555558</v>
      </c>
      <c r="K2469" t="s">
        <v>415</v>
      </c>
      <c r="M2469" s="13">
        <v>44680</v>
      </c>
      <c r="R2469">
        <v>0</v>
      </c>
      <c r="S2469" t="s">
        <v>380</v>
      </c>
      <c r="T2469" t="s">
        <v>57</v>
      </c>
      <c r="V2469" t="s">
        <v>478</v>
      </c>
      <c r="W2469" t="s">
        <v>3508</v>
      </c>
      <c r="X2469" t="s">
        <v>3508</v>
      </c>
      <c r="AF2469" t="s">
        <v>451</v>
      </c>
      <c r="AI2469">
        <v>-332</v>
      </c>
      <c r="AL2469" t="s">
        <v>3509</v>
      </c>
      <c r="AN2469" t="s">
        <v>31</v>
      </c>
      <c r="AO2469">
        <v>0</v>
      </c>
      <c r="AS2469" t="s">
        <v>702</v>
      </c>
      <c r="AX2469" t="s">
        <v>31</v>
      </c>
      <c r="AY2469" t="s">
        <v>386</v>
      </c>
      <c r="AZ2469" t="s">
        <v>3510</v>
      </c>
      <c r="BF2469">
        <v>0</v>
      </c>
      <c r="BK2469" t="s">
        <v>31</v>
      </c>
      <c r="BS2469" t="s">
        <v>419</v>
      </c>
      <c r="BT2469" t="s">
        <v>419</v>
      </c>
      <c r="CI2469" t="s">
        <v>388</v>
      </c>
      <c r="CJ2469" s="14">
        <v>45015</v>
      </c>
      <c r="CK2469">
        <v>1</v>
      </c>
    </row>
    <row r="2470" spans="1:89">
      <c r="A2470" t="s">
        <v>2368</v>
      </c>
      <c r="B2470" t="s">
        <v>374</v>
      </c>
      <c r="C2470" t="s">
        <v>2369</v>
      </c>
      <c r="D2470" t="s">
        <v>3511</v>
      </c>
      <c r="E2470" t="s">
        <v>3512</v>
      </c>
      <c r="F2470" s="13">
        <v>44592.681157407409</v>
      </c>
      <c r="G2470" t="s">
        <v>3155</v>
      </c>
      <c r="H2470" t="s">
        <v>3156</v>
      </c>
      <c r="I2470" s="13">
        <v>45012.043680555558</v>
      </c>
      <c r="K2470" t="s">
        <v>415</v>
      </c>
      <c r="M2470" s="13">
        <v>44680</v>
      </c>
      <c r="R2470">
        <v>70</v>
      </c>
      <c r="S2470" t="s">
        <v>380</v>
      </c>
      <c r="T2470" t="s">
        <v>57</v>
      </c>
      <c r="V2470" t="s">
        <v>478</v>
      </c>
      <c r="W2470" t="s">
        <v>3513</v>
      </c>
      <c r="X2470" t="s">
        <v>3513</v>
      </c>
      <c r="AE2470" t="s">
        <v>3514</v>
      </c>
      <c r="AF2470" t="s">
        <v>451</v>
      </c>
      <c r="AG2470" t="s">
        <v>3515</v>
      </c>
      <c r="AI2470">
        <v>-332</v>
      </c>
      <c r="AL2470" t="s">
        <v>3516</v>
      </c>
      <c r="AN2470" t="s">
        <v>31</v>
      </c>
      <c r="AO2470">
        <v>0</v>
      </c>
      <c r="AS2470" t="s">
        <v>538</v>
      </c>
      <c r="AX2470" t="s">
        <v>31</v>
      </c>
      <c r="AY2470" t="s">
        <v>442</v>
      </c>
      <c r="AZ2470" t="s">
        <v>3517</v>
      </c>
      <c r="BF2470">
        <v>0</v>
      </c>
      <c r="BK2470" t="s">
        <v>31</v>
      </c>
      <c r="BS2470" t="s">
        <v>419</v>
      </c>
      <c r="BT2470" t="s">
        <v>419</v>
      </c>
      <c r="CI2470" t="s">
        <v>388</v>
      </c>
      <c r="CJ2470" s="14">
        <v>45015</v>
      </c>
      <c r="CK2470">
        <v>1</v>
      </c>
    </row>
    <row r="2471" spans="1:89">
      <c r="A2471" t="s">
        <v>2227</v>
      </c>
      <c r="B2471" t="s">
        <v>374</v>
      </c>
      <c r="C2471" t="s">
        <v>2228</v>
      </c>
      <c r="D2471" t="s">
        <v>3518</v>
      </c>
      <c r="E2471" t="s">
        <v>3519</v>
      </c>
      <c r="F2471" s="13">
        <v>44589.319340277776</v>
      </c>
      <c r="G2471" t="s">
        <v>2231</v>
      </c>
      <c r="H2471" t="s">
        <v>2232</v>
      </c>
      <c r="I2471" s="13">
        <v>44972.596226851849</v>
      </c>
      <c r="K2471" t="s">
        <v>379</v>
      </c>
      <c r="M2471" s="13">
        <v>44620</v>
      </c>
      <c r="R2471">
        <v>100</v>
      </c>
      <c r="S2471" t="s">
        <v>380</v>
      </c>
      <c r="T2471" t="s">
        <v>57</v>
      </c>
      <c r="V2471" t="s">
        <v>381</v>
      </c>
      <c r="W2471" t="s">
        <v>3520</v>
      </c>
      <c r="X2471" t="s">
        <v>3520</v>
      </c>
      <c r="AF2471" t="s">
        <v>382</v>
      </c>
      <c r="AG2471" t="s">
        <v>3519</v>
      </c>
      <c r="AI2471">
        <v>28</v>
      </c>
      <c r="AL2471" t="s">
        <v>3521</v>
      </c>
      <c r="AN2471" t="s">
        <v>31</v>
      </c>
      <c r="AO2471">
        <v>0</v>
      </c>
      <c r="AS2471" t="s">
        <v>385</v>
      </c>
      <c r="AX2471" t="s">
        <v>31</v>
      </c>
      <c r="AY2471" t="s">
        <v>442</v>
      </c>
      <c r="AZ2471" t="s">
        <v>3522</v>
      </c>
      <c r="BF2471">
        <v>0</v>
      </c>
      <c r="BK2471" t="s">
        <v>31</v>
      </c>
      <c r="BS2471" t="s">
        <v>379</v>
      </c>
      <c r="BT2471" t="s">
        <v>379</v>
      </c>
      <c r="CI2471" t="s">
        <v>388</v>
      </c>
      <c r="CJ2471" s="14">
        <v>45015</v>
      </c>
      <c r="CK2471">
        <v>1</v>
      </c>
    </row>
    <row r="2472" spans="1:89">
      <c r="A2472" t="s">
        <v>2227</v>
      </c>
      <c r="B2472" t="s">
        <v>374</v>
      </c>
      <c r="C2472" t="s">
        <v>2228</v>
      </c>
      <c r="D2472" t="s">
        <v>3523</v>
      </c>
      <c r="E2472" t="s">
        <v>3524</v>
      </c>
      <c r="F2472" s="13">
        <v>44589.313692129632</v>
      </c>
      <c r="G2472" t="s">
        <v>2231</v>
      </c>
      <c r="H2472" t="s">
        <v>2232</v>
      </c>
      <c r="I2472" s="13">
        <v>44972.596226851849</v>
      </c>
      <c r="K2472" t="s">
        <v>409</v>
      </c>
      <c r="R2472">
        <v>0</v>
      </c>
      <c r="S2472" t="s">
        <v>380</v>
      </c>
      <c r="T2472" t="s">
        <v>57</v>
      </c>
      <c r="V2472" t="s">
        <v>381</v>
      </c>
      <c r="W2472" t="s">
        <v>2233</v>
      </c>
      <c r="X2472" t="s">
        <v>2233</v>
      </c>
      <c r="AI2472">
        <v>31</v>
      </c>
      <c r="AL2472" t="s">
        <v>3521</v>
      </c>
      <c r="AN2472" t="s">
        <v>31</v>
      </c>
      <c r="AO2472">
        <v>0</v>
      </c>
      <c r="AS2472" t="s">
        <v>385</v>
      </c>
      <c r="AX2472" t="s">
        <v>31</v>
      </c>
      <c r="AY2472" t="s">
        <v>442</v>
      </c>
      <c r="AZ2472" t="s">
        <v>3525</v>
      </c>
      <c r="BF2472">
        <v>0</v>
      </c>
      <c r="BK2472" t="s">
        <v>31</v>
      </c>
      <c r="BS2472" t="s">
        <v>409</v>
      </c>
      <c r="BT2472" t="s">
        <v>409</v>
      </c>
      <c r="CI2472" t="s">
        <v>388</v>
      </c>
      <c r="CJ2472" s="14">
        <v>45015</v>
      </c>
      <c r="CK2472">
        <v>1</v>
      </c>
    </row>
    <row r="2473" spans="1:89">
      <c r="A2473" t="s">
        <v>2227</v>
      </c>
      <c r="B2473" t="s">
        <v>374</v>
      </c>
      <c r="C2473" t="s">
        <v>2228</v>
      </c>
      <c r="D2473" t="s">
        <v>3526</v>
      </c>
      <c r="E2473" t="s">
        <v>3527</v>
      </c>
      <c r="F2473" s="13">
        <v>44588.675081018519</v>
      </c>
      <c r="G2473" t="s">
        <v>2231</v>
      </c>
      <c r="H2473" t="s">
        <v>2232</v>
      </c>
      <c r="I2473" s="13">
        <v>44972.596226851849</v>
      </c>
      <c r="K2473" t="s">
        <v>379</v>
      </c>
      <c r="M2473" s="13">
        <v>44589</v>
      </c>
      <c r="R2473">
        <v>100</v>
      </c>
      <c r="S2473" t="s">
        <v>380</v>
      </c>
      <c r="T2473" t="s">
        <v>57</v>
      </c>
      <c r="V2473" t="s">
        <v>478</v>
      </c>
      <c r="W2473" t="s">
        <v>3528</v>
      </c>
      <c r="X2473" t="s">
        <v>3528</v>
      </c>
      <c r="AF2473" t="s">
        <v>382</v>
      </c>
      <c r="AG2473" t="s">
        <v>3529</v>
      </c>
      <c r="AI2473">
        <v>-13</v>
      </c>
      <c r="AJ2473" s="13">
        <v>44602</v>
      </c>
      <c r="AL2473" t="s">
        <v>3530</v>
      </c>
      <c r="AN2473" t="s">
        <v>31</v>
      </c>
      <c r="AO2473">
        <v>0</v>
      </c>
      <c r="AR2473" t="s">
        <v>3531</v>
      </c>
      <c r="AS2473" t="s">
        <v>392</v>
      </c>
      <c r="AX2473" t="s">
        <v>31</v>
      </c>
      <c r="AY2473" t="s">
        <v>442</v>
      </c>
      <c r="AZ2473" t="s">
        <v>3532</v>
      </c>
      <c r="BF2473">
        <v>0</v>
      </c>
      <c r="BK2473" t="s">
        <v>31</v>
      </c>
      <c r="BS2473" t="s">
        <v>379</v>
      </c>
      <c r="BT2473" t="s">
        <v>379</v>
      </c>
      <c r="CI2473" t="s">
        <v>388</v>
      </c>
      <c r="CJ2473" s="14">
        <v>45015</v>
      </c>
      <c r="CK2473">
        <v>1</v>
      </c>
    </row>
    <row r="2474" spans="1:89">
      <c r="A2474" t="s">
        <v>673</v>
      </c>
      <c r="B2474" t="s">
        <v>374</v>
      </c>
      <c r="C2474" t="s">
        <v>674</v>
      </c>
      <c r="D2474" t="s">
        <v>3533</v>
      </c>
      <c r="E2474" t="s">
        <v>3534</v>
      </c>
      <c r="F2474" s="13">
        <v>44588.51185185185</v>
      </c>
      <c r="G2474" t="s">
        <v>3535</v>
      </c>
      <c r="H2474" t="s">
        <v>3536</v>
      </c>
      <c r="I2474" s="13">
        <v>44588.563263888886</v>
      </c>
      <c r="K2474" t="s">
        <v>379</v>
      </c>
      <c r="M2474" s="13">
        <v>44593</v>
      </c>
      <c r="R2474">
        <v>100</v>
      </c>
      <c r="S2474" t="s">
        <v>380</v>
      </c>
      <c r="T2474" t="s">
        <v>57</v>
      </c>
      <c r="V2474" t="s">
        <v>381</v>
      </c>
      <c r="W2474" t="s">
        <v>3537</v>
      </c>
      <c r="X2474" t="s">
        <v>3537</v>
      </c>
      <c r="AC2474" s="13">
        <v>44593</v>
      </c>
      <c r="AD2474" s="13">
        <v>44593</v>
      </c>
      <c r="AF2474" t="s">
        <v>382</v>
      </c>
      <c r="AG2474" t="s">
        <v>3538</v>
      </c>
      <c r="AI2474">
        <v>5</v>
      </c>
      <c r="AL2474" t="s">
        <v>3539</v>
      </c>
      <c r="AN2474" t="s">
        <v>31</v>
      </c>
      <c r="AO2474">
        <v>0</v>
      </c>
      <c r="AS2474" t="s">
        <v>385</v>
      </c>
      <c r="AX2474" t="s">
        <v>31</v>
      </c>
      <c r="AY2474" t="s">
        <v>442</v>
      </c>
      <c r="AZ2474" t="s">
        <v>3540</v>
      </c>
      <c r="BF2474">
        <v>0</v>
      </c>
      <c r="BK2474" t="s">
        <v>31</v>
      </c>
      <c r="BS2474" t="s">
        <v>379</v>
      </c>
      <c r="BT2474" t="s">
        <v>379</v>
      </c>
      <c r="CI2474" t="s">
        <v>388</v>
      </c>
      <c r="CJ2474" s="14">
        <v>45015</v>
      </c>
      <c r="CK2474">
        <v>1</v>
      </c>
    </row>
    <row r="2475" spans="1:89">
      <c r="A2475" t="s">
        <v>3541</v>
      </c>
      <c r="B2475" t="s">
        <v>374</v>
      </c>
      <c r="C2475" t="s">
        <v>3542</v>
      </c>
      <c r="D2475" t="s">
        <v>3543</v>
      </c>
      <c r="E2475" t="s">
        <v>3544</v>
      </c>
      <c r="F2475" s="13">
        <v>44587.414942129632</v>
      </c>
      <c r="G2475" t="s">
        <v>3346</v>
      </c>
      <c r="H2475" t="s">
        <v>3347</v>
      </c>
      <c r="I2475" s="13">
        <v>44610.689918981479</v>
      </c>
      <c r="K2475" t="s">
        <v>379</v>
      </c>
      <c r="M2475" s="13">
        <v>44592</v>
      </c>
      <c r="R2475">
        <v>100</v>
      </c>
      <c r="S2475" t="s">
        <v>380</v>
      </c>
      <c r="T2475" t="s">
        <v>57</v>
      </c>
      <c r="V2475" t="s">
        <v>381</v>
      </c>
      <c r="W2475" t="s">
        <v>2817</v>
      </c>
      <c r="X2475" t="s">
        <v>2817</v>
      </c>
      <c r="AF2475" t="s">
        <v>382</v>
      </c>
      <c r="AG2475" t="s">
        <v>1387</v>
      </c>
      <c r="AI2475">
        <v>0</v>
      </c>
      <c r="AK2475" t="s">
        <v>480</v>
      </c>
      <c r="AL2475" t="s">
        <v>3545</v>
      </c>
      <c r="AN2475" t="s">
        <v>31</v>
      </c>
      <c r="AO2475">
        <v>0</v>
      </c>
      <c r="AS2475" t="s">
        <v>730</v>
      </c>
      <c r="AX2475" t="s">
        <v>57</v>
      </c>
      <c r="AY2475" t="s">
        <v>386</v>
      </c>
      <c r="AZ2475" t="s">
        <v>3546</v>
      </c>
      <c r="BF2475">
        <v>0</v>
      </c>
      <c r="BK2475" t="s">
        <v>31</v>
      </c>
      <c r="BS2475" t="s">
        <v>379</v>
      </c>
      <c r="BT2475" t="s">
        <v>379</v>
      </c>
      <c r="CI2475" t="s">
        <v>388</v>
      </c>
      <c r="CJ2475" s="14">
        <v>45015</v>
      </c>
      <c r="CK2475">
        <v>1</v>
      </c>
    </row>
    <row r="2476" spans="1:89">
      <c r="A2476" t="s">
        <v>1415</v>
      </c>
      <c r="B2476" t="s">
        <v>374</v>
      </c>
      <c r="C2476" t="s">
        <v>1416</v>
      </c>
      <c r="D2476" t="s">
        <v>3547</v>
      </c>
      <c r="E2476" t="s">
        <v>3548</v>
      </c>
      <c r="F2476" s="13">
        <v>44585.422210648147</v>
      </c>
      <c r="G2476" t="s">
        <v>1418</v>
      </c>
      <c r="H2476" t="s">
        <v>1419</v>
      </c>
      <c r="I2476" s="13">
        <v>45012.043668981481</v>
      </c>
      <c r="K2476" t="s">
        <v>415</v>
      </c>
      <c r="M2476" s="13">
        <v>44742</v>
      </c>
      <c r="R2476">
        <v>0</v>
      </c>
      <c r="S2476" t="s">
        <v>380</v>
      </c>
      <c r="T2476" t="s">
        <v>57</v>
      </c>
      <c r="V2476" t="s">
        <v>478</v>
      </c>
      <c r="W2476" t="s">
        <v>3549</v>
      </c>
      <c r="X2476" t="s">
        <v>3549</v>
      </c>
      <c r="AF2476" t="s">
        <v>451</v>
      </c>
      <c r="AI2476">
        <v>-270</v>
      </c>
      <c r="AL2476" t="s">
        <v>3550</v>
      </c>
      <c r="AN2476" t="s">
        <v>31</v>
      </c>
      <c r="AO2476">
        <v>0</v>
      </c>
      <c r="AS2476" t="s">
        <v>385</v>
      </c>
      <c r="AX2476" t="s">
        <v>31</v>
      </c>
      <c r="AY2476" t="s">
        <v>442</v>
      </c>
      <c r="AZ2476" t="s">
        <v>3551</v>
      </c>
      <c r="BF2476">
        <v>0</v>
      </c>
      <c r="BK2476" t="s">
        <v>31</v>
      </c>
      <c r="BS2476" t="s">
        <v>419</v>
      </c>
      <c r="BT2476" t="s">
        <v>419</v>
      </c>
      <c r="CI2476" t="s">
        <v>388</v>
      </c>
      <c r="CJ2476" s="14">
        <v>45015</v>
      </c>
      <c r="CK2476">
        <v>1</v>
      </c>
    </row>
    <row r="2477" spans="1:89">
      <c r="A2477" t="s">
        <v>3552</v>
      </c>
      <c r="B2477" t="s">
        <v>374</v>
      </c>
      <c r="C2477" t="s">
        <v>3553</v>
      </c>
      <c r="D2477" t="s">
        <v>3554</v>
      </c>
      <c r="E2477" t="s">
        <v>3555</v>
      </c>
      <c r="F2477" s="13">
        <v>44585.318055555559</v>
      </c>
      <c r="G2477" t="s">
        <v>377</v>
      </c>
      <c r="H2477" t="s">
        <v>378</v>
      </c>
      <c r="I2477" s="13">
        <v>44585.325486111113</v>
      </c>
      <c r="K2477" t="s">
        <v>409</v>
      </c>
      <c r="R2477">
        <v>0</v>
      </c>
      <c r="S2477" t="s">
        <v>380</v>
      </c>
      <c r="T2477" t="s">
        <v>57</v>
      </c>
      <c r="V2477" t="s">
        <v>381</v>
      </c>
      <c r="W2477" t="s">
        <v>3556</v>
      </c>
      <c r="X2477" t="s">
        <v>3556</v>
      </c>
      <c r="AI2477">
        <v>7</v>
      </c>
      <c r="AL2477" t="s">
        <v>3557</v>
      </c>
      <c r="AN2477" t="s">
        <v>31</v>
      </c>
      <c r="AO2477">
        <v>0</v>
      </c>
      <c r="AS2477" t="s">
        <v>730</v>
      </c>
      <c r="AX2477" t="s">
        <v>57</v>
      </c>
      <c r="AY2477" t="s">
        <v>386</v>
      </c>
      <c r="AZ2477" t="s">
        <v>3558</v>
      </c>
      <c r="BF2477">
        <v>0</v>
      </c>
      <c r="BK2477" t="s">
        <v>31</v>
      </c>
      <c r="BS2477" t="s">
        <v>409</v>
      </c>
      <c r="BT2477" t="s">
        <v>409</v>
      </c>
      <c r="CI2477" t="s">
        <v>388</v>
      </c>
      <c r="CJ2477" s="14">
        <v>45015</v>
      </c>
      <c r="CK2477">
        <v>1</v>
      </c>
    </row>
    <row r="2478" spans="1:89">
      <c r="A2478" t="s">
        <v>2267</v>
      </c>
      <c r="B2478" t="s">
        <v>374</v>
      </c>
      <c r="C2478" t="s">
        <v>2268</v>
      </c>
      <c r="D2478" t="s">
        <v>3559</v>
      </c>
      <c r="E2478" t="s">
        <v>3560</v>
      </c>
      <c r="F2478" s="13">
        <v>44571.72</v>
      </c>
      <c r="G2478" t="s">
        <v>2271</v>
      </c>
      <c r="H2478" t="s">
        <v>2272</v>
      </c>
      <c r="I2478" s="13">
        <v>45012.043668981481</v>
      </c>
      <c r="K2478" t="s">
        <v>415</v>
      </c>
      <c r="M2478" s="13">
        <v>44631</v>
      </c>
      <c r="R2478">
        <v>0</v>
      </c>
      <c r="S2478" t="s">
        <v>416</v>
      </c>
      <c r="T2478" t="s">
        <v>57</v>
      </c>
      <c r="V2478" t="s">
        <v>478</v>
      </c>
      <c r="W2478" t="s">
        <v>3561</v>
      </c>
      <c r="X2478" t="s">
        <v>3561</v>
      </c>
      <c r="AF2478" t="s">
        <v>451</v>
      </c>
      <c r="AI2478">
        <v>-381</v>
      </c>
      <c r="AL2478" t="s">
        <v>3562</v>
      </c>
      <c r="AN2478" t="s">
        <v>31</v>
      </c>
      <c r="AO2478">
        <v>0</v>
      </c>
      <c r="AS2478" t="s">
        <v>385</v>
      </c>
      <c r="AX2478" t="s">
        <v>31</v>
      </c>
      <c r="AY2478" t="s">
        <v>386</v>
      </c>
      <c r="AZ2478" t="s">
        <v>3563</v>
      </c>
      <c r="BF2478">
        <v>0</v>
      </c>
      <c r="BK2478" t="s">
        <v>31</v>
      </c>
      <c r="BS2478" t="s">
        <v>419</v>
      </c>
      <c r="BT2478" t="s">
        <v>419</v>
      </c>
      <c r="CI2478" t="s">
        <v>388</v>
      </c>
      <c r="CJ2478" s="14">
        <v>45015</v>
      </c>
      <c r="CK2478">
        <v>1</v>
      </c>
    </row>
    <row r="2479" spans="1:89">
      <c r="A2479" t="s">
        <v>454</v>
      </c>
      <c r="B2479" t="s">
        <v>374</v>
      </c>
      <c r="C2479" t="s">
        <v>455</v>
      </c>
      <c r="D2479" t="s">
        <v>3564</v>
      </c>
      <c r="E2479" t="s">
        <v>3565</v>
      </c>
      <c r="F2479" s="13">
        <v>44559.565185185187</v>
      </c>
      <c r="G2479" t="s">
        <v>1264</v>
      </c>
      <c r="H2479" t="s">
        <v>1265</v>
      </c>
      <c r="I2479" s="13">
        <v>44624.44866898148</v>
      </c>
      <c r="K2479" t="s">
        <v>379</v>
      </c>
      <c r="M2479" s="13">
        <v>44620</v>
      </c>
      <c r="R2479">
        <v>100</v>
      </c>
      <c r="S2479" t="s">
        <v>416</v>
      </c>
      <c r="T2479" t="s">
        <v>57</v>
      </c>
      <c r="V2479" t="s">
        <v>478</v>
      </c>
      <c r="W2479" t="s">
        <v>2306</v>
      </c>
      <c r="X2479" t="s">
        <v>2306</v>
      </c>
      <c r="AF2479" t="s">
        <v>382</v>
      </c>
      <c r="AG2479" t="s">
        <v>3566</v>
      </c>
      <c r="AI2479">
        <v>-4</v>
      </c>
      <c r="AL2479" t="s">
        <v>2389</v>
      </c>
      <c r="AM2479">
        <v>1</v>
      </c>
      <c r="AN2479" t="s">
        <v>31</v>
      </c>
      <c r="AO2479">
        <v>0</v>
      </c>
      <c r="AS2479" t="s">
        <v>385</v>
      </c>
      <c r="AX2479" t="s">
        <v>57</v>
      </c>
      <c r="AY2479" t="s">
        <v>442</v>
      </c>
      <c r="AZ2479" t="s">
        <v>3567</v>
      </c>
      <c r="BE2479" t="s">
        <v>2391</v>
      </c>
      <c r="BF2479">
        <v>0</v>
      </c>
      <c r="BK2479" t="s">
        <v>31</v>
      </c>
      <c r="BS2479" t="s">
        <v>379</v>
      </c>
      <c r="BT2479" t="s">
        <v>379</v>
      </c>
      <c r="CI2479" t="s">
        <v>388</v>
      </c>
      <c r="CJ2479" s="14">
        <v>45015</v>
      </c>
      <c r="CK2479">
        <v>1</v>
      </c>
    </row>
    <row r="2480" spans="1:89">
      <c r="A2480" t="s">
        <v>454</v>
      </c>
      <c r="B2480" t="s">
        <v>374</v>
      </c>
      <c r="C2480" t="s">
        <v>455</v>
      </c>
      <c r="D2480" t="s">
        <v>3568</v>
      </c>
      <c r="E2480" t="s">
        <v>3569</v>
      </c>
      <c r="F2480" s="13">
        <v>44559.564780092594</v>
      </c>
      <c r="G2480" t="s">
        <v>3570</v>
      </c>
      <c r="H2480" t="s">
        <v>3571</v>
      </c>
      <c r="I2480" s="13">
        <v>44624.454050925924</v>
      </c>
      <c r="K2480" t="s">
        <v>379</v>
      </c>
      <c r="M2480" s="13">
        <v>44620</v>
      </c>
      <c r="R2480">
        <v>100</v>
      </c>
      <c r="S2480" t="s">
        <v>416</v>
      </c>
      <c r="T2480" t="s">
        <v>57</v>
      </c>
      <c r="V2480" t="s">
        <v>478</v>
      </c>
      <c r="W2480" t="s">
        <v>2306</v>
      </c>
      <c r="X2480" t="s">
        <v>2306</v>
      </c>
      <c r="AF2480" t="s">
        <v>382</v>
      </c>
      <c r="AG2480" t="s">
        <v>3572</v>
      </c>
      <c r="AI2480">
        <v>-4</v>
      </c>
      <c r="AL2480" t="s">
        <v>2394</v>
      </c>
      <c r="AM2480">
        <v>1</v>
      </c>
      <c r="AN2480" t="s">
        <v>31</v>
      </c>
      <c r="AO2480">
        <v>0</v>
      </c>
      <c r="AS2480" t="s">
        <v>385</v>
      </c>
      <c r="AX2480" t="s">
        <v>57</v>
      </c>
      <c r="AY2480" t="s">
        <v>386</v>
      </c>
      <c r="AZ2480" t="s">
        <v>3573</v>
      </c>
      <c r="BE2480" t="s">
        <v>2396</v>
      </c>
      <c r="BF2480">
        <v>0</v>
      </c>
      <c r="BK2480" t="s">
        <v>31</v>
      </c>
      <c r="BS2480" t="s">
        <v>379</v>
      </c>
      <c r="BT2480" t="s">
        <v>379</v>
      </c>
      <c r="CI2480" t="s">
        <v>388</v>
      </c>
      <c r="CJ2480" s="14">
        <v>45015</v>
      </c>
      <c r="CK2480">
        <v>1</v>
      </c>
    </row>
    <row r="2481" spans="1:89">
      <c r="A2481" t="s">
        <v>3574</v>
      </c>
      <c r="B2481" t="s">
        <v>374</v>
      </c>
      <c r="C2481" t="s">
        <v>3575</v>
      </c>
      <c r="D2481" t="s">
        <v>3576</v>
      </c>
      <c r="E2481" t="s">
        <v>3577</v>
      </c>
      <c r="F2481" s="13">
        <v>44559.560624999998</v>
      </c>
      <c r="G2481" t="s">
        <v>1264</v>
      </c>
      <c r="H2481" t="s">
        <v>1265</v>
      </c>
      <c r="I2481" s="13">
        <v>45012.043668981481</v>
      </c>
      <c r="K2481" t="s">
        <v>415</v>
      </c>
      <c r="M2481" s="13">
        <v>44742</v>
      </c>
      <c r="R2481">
        <v>0</v>
      </c>
      <c r="S2481" t="s">
        <v>380</v>
      </c>
      <c r="T2481" t="s">
        <v>57</v>
      </c>
      <c r="V2481" t="s">
        <v>478</v>
      </c>
      <c r="W2481" t="s">
        <v>3578</v>
      </c>
      <c r="X2481" t="s">
        <v>3578</v>
      </c>
      <c r="AF2481" t="s">
        <v>451</v>
      </c>
      <c r="AI2481">
        <v>-270</v>
      </c>
      <c r="AL2481" t="s">
        <v>3579</v>
      </c>
      <c r="AN2481" t="s">
        <v>31</v>
      </c>
      <c r="AO2481">
        <v>0</v>
      </c>
      <c r="AS2481" t="s">
        <v>385</v>
      </c>
      <c r="AX2481" t="s">
        <v>57</v>
      </c>
      <c r="AY2481" t="s">
        <v>442</v>
      </c>
      <c r="AZ2481" t="s">
        <v>1460</v>
      </c>
      <c r="BE2481" t="s">
        <v>3580</v>
      </c>
      <c r="BF2481">
        <v>0</v>
      </c>
      <c r="BK2481" t="s">
        <v>31</v>
      </c>
      <c r="BS2481" t="s">
        <v>419</v>
      </c>
      <c r="BT2481" t="s">
        <v>419</v>
      </c>
      <c r="CI2481" t="s">
        <v>388</v>
      </c>
      <c r="CJ2481" s="14">
        <v>45015</v>
      </c>
      <c r="CK2481">
        <v>1</v>
      </c>
    </row>
    <row r="2482" spans="1:89">
      <c r="A2482" t="s">
        <v>454</v>
      </c>
      <c r="B2482" t="s">
        <v>374</v>
      </c>
      <c r="C2482" t="s">
        <v>455</v>
      </c>
      <c r="D2482" t="s">
        <v>3581</v>
      </c>
      <c r="E2482" t="s">
        <v>3582</v>
      </c>
      <c r="F2482" s="13">
        <v>44559.55505787037</v>
      </c>
      <c r="G2482" t="s">
        <v>1264</v>
      </c>
      <c r="H2482" t="s">
        <v>1265</v>
      </c>
      <c r="I2482" s="13">
        <v>45012.043668981481</v>
      </c>
      <c r="K2482" t="s">
        <v>415</v>
      </c>
      <c r="M2482" s="13">
        <v>44910</v>
      </c>
      <c r="R2482">
        <v>0</v>
      </c>
      <c r="S2482" t="s">
        <v>380</v>
      </c>
      <c r="T2482" t="s">
        <v>57</v>
      </c>
      <c r="V2482" t="s">
        <v>478</v>
      </c>
      <c r="W2482" t="s">
        <v>2306</v>
      </c>
      <c r="X2482" t="s">
        <v>2306</v>
      </c>
      <c r="AF2482" t="s">
        <v>451</v>
      </c>
      <c r="AI2482">
        <v>-102</v>
      </c>
      <c r="AL2482" t="s">
        <v>3583</v>
      </c>
      <c r="AN2482" t="s">
        <v>31</v>
      </c>
      <c r="AO2482">
        <v>0</v>
      </c>
      <c r="AS2482" t="s">
        <v>385</v>
      </c>
      <c r="AX2482" t="s">
        <v>57</v>
      </c>
      <c r="AY2482" t="s">
        <v>442</v>
      </c>
      <c r="AZ2482" t="s">
        <v>3584</v>
      </c>
      <c r="BE2482" t="s">
        <v>3585</v>
      </c>
      <c r="BF2482">
        <v>0</v>
      </c>
      <c r="BK2482" t="s">
        <v>31</v>
      </c>
      <c r="BS2482" t="s">
        <v>419</v>
      </c>
      <c r="BT2482" t="s">
        <v>419</v>
      </c>
      <c r="CI2482" t="s">
        <v>388</v>
      </c>
      <c r="CJ2482" s="14">
        <v>45015</v>
      </c>
      <c r="CK2482">
        <v>1</v>
      </c>
    </row>
    <row r="2483" spans="1:89">
      <c r="A2483" t="s">
        <v>3574</v>
      </c>
      <c r="B2483" t="s">
        <v>374</v>
      </c>
      <c r="C2483" t="s">
        <v>3575</v>
      </c>
      <c r="D2483" t="s">
        <v>3586</v>
      </c>
      <c r="E2483" t="s">
        <v>3587</v>
      </c>
      <c r="F2483" s="13">
        <v>44559.549722222226</v>
      </c>
      <c r="G2483" t="s">
        <v>1264</v>
      </c>
      <c r="H2483" t="s">
        <v>1265</v>
      </c>
      <c r="I2483" s="13">
        <v>45012.043657407405</v>
      </c>
      <c r="K2483" t="s">
        <v>415</v>
      </c>
      <c r="M2483" s="13">
        <v>44804</v>
      </c>
      <c r="R2483">
        <v>0</v>
      </c>
      <c r="S2483" t="s">
        <v>380</v>
      </c>
      <c r="T2483" t="s">
        <v>57</v>
      </c>
      <c r="V2483" t="s">
        <v>478</v>
      </c>
      <c r="W2483" t="s">
        <v>3578</v>
      </c>
      <c r="X2483" t="s">
        <v>3578</v>
      </c>
      <c r="AF2483" t="s">
        <v>451</v>
      </c>
      <c r="AI2483">
        <v>-208</v>
      </c>
      <c r="AL2483" t="s">
        <v>3588</v>
      </c>
      <c r="AN2483" t="s">
        <v>31</v>
      </c>
      <c r="AO2483">
        <v>0</v>
      </c>
      <c r="AS2483" t="s">
        <v>385</v>
      </c>
      <c r="AX2483" t="s">
        <v>57</v>
      </c>
      <c r="AY2483" t="s">
        <v>386</v>
      </c>
      <c r="AZ2483" t="s">
        <v>3589</v>
      </c>
      <c r="BE2483" t="s">
        <v>3590</v>
      </c>
      <c r="BF2483">
        <v>0</v>
      </c>
      <c r="BK2483" t="s">
        <v>31</v>
      </c>
      <c r="BS2483" t="s">
        <v>419</v>
      </c>
      <c r="BT2483" t="s">
        <v>419</v>
      </c>
      <c r="CI2483" t="s">
        <v>388</v>
      </c>
      <c r="CJ2483" s="14">
        <v>45015</v>
      </c>
      <c r="CK2483">
        <v>1</v>
      </c>
    </row>
    <row r="2484" spans="1:89">
      <c r="A2484" t="s">
        <v>3591</v>
      </c>
      <c r="B2484" t="s">
        <v>374</v>
      </c>
      <c r="C2484" t="s">
        <v>3592</v>
      </c>
      <c r="D2484" t="s">
        <v>3593</v>
      </c>
      <c r="E2484" t="s">
        <v>3594</v>
      </c>
      <c r="F2484" s="13">
        <v>44559.504583333335</v>
      </c>
      <c r="G2484" t="s">
        <v>3570</v>
      </c>
      <c r="H2484" t="s">
        <v>3571</v>
      </c>
      <c r="I2484" s="13">
        <v>45012.043657407405</v>
      </c>
      <c r="K2484" t="s">
        <v>415</v>
      </c>
      <c r="M2484" s="13">
        <v>44680</v>
      </c>
      <c r="R2484">
        <v>0</v>
      </c>
      <c r="S2484" t="s">
        <v>380</v>
      </c>
      <c r="T2484" t="s">
        <v>57</v>
      </c>
      <c r="V2484" t="s">
        <v>478</v>
      </c>
      <c r="W2484" t="s">
        <v>3595</v>
      </c>
      <c r="X2484" t="s">
        <v>3595</v>
      </c>
      <c r="AF2484" t="s">
        <v>451</v>
      </c>
      <c r="AI2484">
        <v>-332</v>
      </c>
      <c r="AL2484" t="s">
        <v>3596</v>
      </c>
      <c r="AN2484" t="s">
        <v>31</v>
      </c>
      <c r="AO2484">
        <v>0</v>
      </c>
      <c r="AS2484" t="s">
        <v>385</v>
      </c>
      <c r="AX2484" t="s">
        <v>57</v>
      </c>
      <c r="AY2484" t="s">
        <v>442</v>
      </c>
      <c r="AZ2484" t="s">
        <v>3597</v>
      </c>
      <c r="BE2484" t="s">
        <v>3598</v>
      </c>
      <c r="BF2484">
        <v>0</v>
      </c>
      <c r="BK2484" t="s">
        <v>31</v>
      </c>
      <c r="BS2484" t="s">
        <v>419</v>
      </c>
      <c r="BT2484" t="s">
        <v>419</v>
      </c>
      <c r="CI2484" t="s">
        <v>388</v>
      </c>
      <c r="CJ2484" s="14">
        <v>45015</v>
      </c>
      <c r="CK2484">
        <v>1</v>
      </c>
    </row>
    <row r="2485" spans="1:89">
      <c r="A2485" t="s">
        <v>454</v>
      </c>
      <c r="B2485" t="s">
        <v>374</v>
      </c>
      <c r="C2485" t="s">
        <v>455</v>
      </c>
      <c r="D2485" t="s">
        <v>3599</v>
      </c>
      <c r="E2485" t="s">
        <v>3600</v>
      </c>
      <c r="F2485" s="13">
        <v>44559.495370370372</v>
      </c>
      <c r="G2485" t="s">
        <v>3570</v>
      </c>
      <c r="H2485" t="s">
        <v>3571</v>
      </c>
      <c r="I2485" s="13">
        <v>45012.043657407405</v>
      </c>
      <c r="K2485" t="s">
        <v>415</v>
      </c>
      <c r="M2485" s="13">
        <v>44651</v>
      </c>
      <c r="R2485">
        <v>0</v>
      </c>
      <c r="S2485" t="s">
        <v>380</v>
      </c>
      <c r="T2485" t="s">
        <v>57</v>
      </c>
      <c r="V2485" t="s">
        <v>478</v>
      </c>
      <c r="W2485" t="s">
        <v>2306</v>
      </c>
      <c r="X2485" t="s">
        <v>2306</v>
      </c>
      <c r="AF2485" t="s">
        <v>451</v>
      </c>
      <c r="AI2485">
        <v>-361</v>
      </c>
      <c r="AL2485" t="s">
        <v>3601</v>
      </c>
      <c r="AN2485" t="s">
        <v>31</v>
      </c>
      <c r="AO2485">
        <v>0</v>
      </c>
      <c r="AS2485" t="s">
        <v>385</v>
      </c>
      <c r="AX2485" t="s">
        <v>57</v>
      </c>
      <c r="AY2485" t="s">
        <v>442</v>
      </c>
      <c r="AZ2485" t="s">
        <v>3602</v>
      </c>
      <c r="BE2485" t="s">
        <v>3603</v>
      </c>
      <c r="BF2485">
        <v>0</v>
      </c>
      <c r="BK2485" t="s">
        <v>31</v>
      </c>
      <c r="BS2485" t="s">
        <v>419</v>
      </c>
      <c r="BT2485" t="s">
        <v>419</v>
      </c>
      <c r="CI2485" t="s">
        <v>388</v>
      </c>
      <c r="CJ2485" s="14">
        <v>45015</v>
      </c>
      <c r="CK2485">
        <v>1</v>
      </c>
    </row>
    <row r="2486" spans="1:89">
      <c r="A2486" t="s">
        <v>454</v>
      </c>
      <c r="B2486" t="s">
        <v>374</v>
      </c>
      <c r="C2486" t="s">
        <v>455</v>
      </c>
      <c r="D2486" t="s">
        <v>3604</v>
      </c>
      <c r="E2486" t="s">
        <v>3605</v>
      </c>
      <c r="F2486" s="13">
        <v>44558.728958333333</v>
      </c>
      <c r="G2486" t="s">
        <v>3570</v>
      </c>
      <c r="H2486" t="s">
        <v>3571</v>
      </c>
      <c r="I2486" s="13">
        <v>45012.043657407405</v>
      </c>
      <c r="K2486" t="s">
        <v>415</v>
      </c>
      <c r="M2486" s="13">
        <v>44651</v>
      </c>
      <c r="R2486">
        <v>0</v>
      </c>
      <c r="S2486" t="s">
        <v>416</v>
      </c>
      <c r="T2486" t="s">
        <v>57</v>
      </c>
      <c r="V2486" t="s">
        <v>478</v>
      </c>
      <c r="W2486" t="s">
        <v>3606</v>
      </c>
      <c r="X2486" t="s">
        <v>3606</v>
      </c>
      <c r="AF2486" t="s">
        <v>451</v>
      </c>
      <c r="AI2486">
        <v>-361</v>
      </c>
      <c r="AL2486" t="s">
        <v>3607</v>
      </c>
      <c r="AN2486" t="s">
        <v>31</v>
      </c>
      <c r="AO2486">
        <v>0</v>
      </c>
      <c r="AS2486" t="s">
        <v>385</v>
      </c>
      <c r="AX2486" t="s">
        <v>57</v>
      </c>
      <c r="AY2486" t="s">
        <v>386</v>
      </c>
      <c r="AZ2486" t="s">
        <v>3608</v>
      </c>
      <c r="BE2486" t="s">
        <v>3609</v>
      </c>
      <c r="BF2486">
        <v>0</v>
      </c>
      <c r="BK2486" t="s">
        <v>31</v>
      </c>
      <c r="BS2486" t="s">
        <v>419</v>
      </c>
      <c r="BT2486" t="s">
        <v>419</v>
      </c>
      <c r="CI2486" t="s">
        <v>388</v>
      </c>
      <c r="CJ2486" s="14">
        <v>45015</v>
      </c>
      <c r="CK2486">
        <v>1</v>
      </c>
    </row>
    <row r="2487" spans="1:89">
      <c r="A2487" t="s">
        <v>454</v>
      </c>
      <c r="B2487" t="s">
        <v>374</v>
      </c>
      <c r="C2487" t="s">
        <v>455</v>
      </c>
      <c r="D2487" t="s">
        <v>3610</v>
      </c>
      <c r="E2487" t="s">
        <v>3611</v>
      </c>
      <c r="F2487" s="13">
        <v>44558.691643518519</v>
      </c>
      <c r="G2487" t="s">
        <v>3570</v>
      </c>
      <c r="H2487" t="s">
        <v>3571</v>
      </c>
      <c r="I2487" s="13">
        <v>45012.043645833335</v>
      </c>
      <c r="K2487" t="s">
        <v>415</v>
      </c>
      <c r="M2487" s="13">
        <v>44645</v>
      </c>
      <c r="R2487">
        <v>100</v>
      </c>
      <c r="S2487" t="s">
        <v>380</v>
      </c>
      <c r="T2487" t="s">
        <v>57</v>
      </c>
      <c r="V2487" t="s">
        <v>478</v>
      </c>
      <c r="W2487" t="s">
        <v>2306</v>
      </c>
      <c r="X2487" t="s">
        <v>2306</v>
      </c>
      <c r="AB2487" t="s">
        <v>57</v>
      </c>
      <c r="AF2487" t="s">
        <v>382</v>
      </c>
      <c r="AG2487" t="s">
        <v>3612</v>
      </c>
      <c r="AI2487">
        <v>-367</v>
      </c>
      <c r="AL2487" t="s">
        <v>3613</v>
      </c>
      <c r="AN2487" t="s">
        <v>57</v>
      </c>
      <c r="AO2487">
        <v>0</v>
      </c>
      <c r="AS2487" t="s">
        <v>385</v>
      </c>
      <c r="AX2487" t="s">
        <v>57</v>
      </c>
      <c r="AY2487" t="s">
        <v>386</v>
      </c>
      <c r="AZ2487" t="s">
        <v>3614</v>
      </c>
      <c r="BE2487" t="s">
        <v>3615</v>
      </c>
      <c r="BF2487">
        <v>0</v>
      </c>
      <c r="BK2487" t="s">
        <v>31</v>
      </c>
      <c r="BS2487" t="s">
        <v>1201</v>
      </c>
      <c r="BT2487" t="s">
        <v>1202</v>
      </c>
      <c r="CI2487" t="s">
        <v>388</v>
      </c>
      <c r="CJ2487" s="14">
        <v>45015</v>
      </c>
      <c r="CK2487">
        <v>1</v>
      </c>
    </row>
    <row r="2488" spans="1:89">
      <c r="A2488" t="s">
        <v>454</v>
      </c>
      <c r="B2488" t="s">
        <v>374</v>
      </c>
      <c r="C2488" t="s">
        <v>455</v>
      </c>
      <c r="D2488" t="s">
        <v>3616</v>
      </c>
      <c r="E2488" t="s">
        <v>3617</v>
      </c>
      <c r="F2488" s="13">
        <v>44558.680104166669</v>
      </c>
      <c r="G2488" t="s">
        <v>1264</v>
      </c>
      <c r="H2488" t="s">
        <v>1265</v>
      </c>
      <c r="I2488" s="13">
        <v>45012.043645833335</v>
      </c>
      <c r="K2488" t="s">
        <v>415</v>
      </c>
      <c r="M2488" s="13">
        <v>45107</v>
      </c>
      <c r="R2488">
        <v>0</v>
      </c>
      <c r="S2488" t="s">
        <v>380</v>
      </c>
      <c r="T2488" t="s">
        <v>57</v>
      </c>
      <c r="V2488" t="s">
        <v>381</v>
      </c>
      <c r="W2488" t="s">
        <v>3255</v>
      </c>
      <c r="X2488" t="s">
        <v>3255</v>
      </c>
      <c r="AF2488" t="s">
        <v>451</v>
      </c>
      <c r="AI2488">
        <v>95</v>
      </c>
      <c r="AL2488" t="s">
        <v>3618</v>
      </c>
      <c r="AN2488" t="s">
        <v>31</v>
      </c>
      <c r="AO2488">
        <v>0</v>
      </c>
      <c r="AS2488" t="s">
        <v>522</v>
      </c>
      <c r="AX2488" t="s">
        <v>57</v>
      </c>
      <c r="AY2488" t="s">
        <v>386</v>
      </c>
      <c r="AZ2488" t="s">
        <v>3619</v>
      </c>
      <c r="BE2488" t="s">
        <v>3620</v>
      </c>
      <c r="BF2488">
        <v>0</v>
      </c>
      <c r="BK2488" t="s">
        <v>31</v>
      </c>
      <c r="BS2488" t="s">
        <v>419</v>
      </c>
      <c r="BT2488" t="s">
        <v>419</v>
      </c>
      <c r="CI2488" t="s">
        <v>388</v>
      </c>
      <c r="CJ2488" s="14">
        <v>45015</v>
      </c>
      <c r="CK2488">
        <v>1</v>
      </c>
    </row>
    <row r="2489" spans="1:89">
      <c r="A2489" t="s">
        <v>454</v>
      </c>
      <c r="B2489" t="s">
        <v>374</v>
      </c>
      <c r="C2489" t="s">
        <v>455</v>
      </c>
      <c r="D2489" t="s">
        <v>3621</v>
      </c>
      <c r="E2489" t="s">
        <v>3622</v>
      </c>
      <c r="F2489" s="13">
        <v>44558.639861111114</v>
      </c>
      <c r="G2489" t="s">
        <v>1264</v>
      </c>
      <c r="H2489" t="s">
        <v>1265</v>
      </c>
      <c r="I2489" s="13">
        <v>45012.043645833335</v>
      </c>
      <c r="K2489" t="s">
        <v>415</v>
      </c>
      <c r="M2489" s="13">
        <v>44757</v>
      </c>
      <c r="R2489">
        <v>0</v>
      </c>
      <c r="S2489" t="s">
        <v>380</v>
      </c>
      <c r="T2489" t="s">
        <v>57</v>
      </c>
      <c r="V2489" t="s">
        <v>478</v>
      </c>
      <c r="W2489" t="s">
        <v>2306</v>
      </c>
      <c r="X2489" t="s">
        <v>2306</v>
      </c>
      <c r="AF2489" t="s">
        <v>451</v>
      </c>
      <c r="AI2489">
        <v>-255</v>
      </c>
      <c r="AL2489" t="s">
        <v>3623</v>
      </c>
      <c r="AN2489" t="s">
        <v>31</v>
      </c>
      <c r="AO2489">
        <v>0</v>
      </c>
      <c r="AS2489" t="s">
        <v>385</v>
      </c>
      <c r="AX2489" t="s">
        <v>57</v>
      </c>
      <c r="AY2489" t="s">
        <v>386</v>
      </c>
      <c r="AZ2489" t="s">
        <v>3624</v>
      </c>
      <c r="BF2489">
        <v>0</v>
      </c>
      <c r="BK2489" t="s">
        <v>31</v>
      </c>
      <c r="BS2489" t="s">
        <v>419</v>
      </c>
      <c r="BT2489" t="s">
        <v>419</v>
      </c>
      <c r="CI2489" t="s">
        <v>388</v>
      </c>
      <c r="CJ2489" s="14">
        <v>45015</v>
      </c>
      <c r="CK2489">
        <v>1</v>
      </c>
    </row>
    <row r="2490" spans="1:89">
      <c r="A2490" t="s">
        <v>454</v>
      </c>
      <c r="B2490" t="s">
        <v>374</v>
      </c>
      <c r="C2490" t="s">
        <v>455</v>
      </c>
      <c r="D2490" t="s">
        <v>3625</v>
      </c>
      <c r="E2490" t="s">
        <v>3626</v>
      </c>
      <c r="F2490" s="13">
        <v>44558.563657407409</v>
      </c>
      <c r="G2490" t="s">
        <v>1264</v>
      </c>
      <c r="H2490" t="s">
        <v>1265</v>
      </c>
      <c r="I2490" s="13">
        <v>44616.442569444444</v>
      </c>
      <c r="K2490" t="s">
        <v>379</v>
      </c>
      <c r="M2490" s="13">
        <v>44615</v>
      </c>
      <c r="R2490">
        <v>100</v>
      </c>
      <c r="S2490" t="s">
        <v>380</v>
      </c>
      <c r="T2490" t="s">
        <v>57</v>
      </c>
      <c r="V2490" t="s">
        <v>478</v>
      </c>
      <c r="W2490" t="s">
        <v>3627</v>
      </c>
      <c r="X2490" t="s">
        <v>3627</v>
      </c>
      <c r="AF2490" t="s">
        <v>382</v>
      </c>
      <c r="AG2490" t="s">
        <v>3628</v>
      </c>
      <c r="AI2490">
        <v>-1</v>
      </c>
      <c r="AJ2490" s="13">
        <v>44616</v>
      </c>
      <c r="AL2490" t="s">
        <v>3629</v>
      </c>
      <c r="AN2490" t="s">
        <v>31</v>
      </c>
      <c r="AO2490">
        <v>0</v>
      </c>
      <c r="AR2490" t="s">
        <v>3630</v>
      </c>
      <c r="AS2490" t="s">
        <v>385</v>
      </c>
      <c r="AX2490" t="s">
        <v>57</v>
      </c>
      <c r="AY2490" t="s">
        <v>386</v>
      </c>
      <c r="AZ2490" t="s">
        <v>3631</v>
      </c>
      <c r="BE2490" t="s">
        <v>3632</v>
      </c>
      <c r="BF2490">
        <v>0</v>
      </c>
      <c r="BK2490" t="s">
        <v>31</v>
      </c>
      <c r="BS2490" t="s">
        <v>379</v>
      </c>
      <c r="BT2490" t="s">
        <v>379</v>
      </c>
      <c r="CI2490" t="s">
        <v>388</v>
      </c>
      <c r="CJ2490" s="14">
        <v>45015</v>
      </c>
      <c r="CK2490">
        <v>1</v>
      </c>
    </row>
    <row r="2491" spans="1:89">
      <c r="A2491" t="s">
        <v>454</v>
      </c>
      <c r="B2491" t="s">
        <v>374</v>
      </c>
      <c r="C2491" t="s">
        <v>455</v>
      </c>
      <c r="D2491" t="s">
        <v>3633</v>
      </c>
      <c r="E2491" t="s">
        <v>3634</v>
      </c>
      <c r="F2491" s="13">
        <v>44558.563611111109</v>
      </c>
      <c r="G2491" t="s">
        <v>3570</v>
      </c>
      <c r="H2491" t="s">
        <v>3571</v>
      </c>
      <c r="I2491" s="13">
        <v>45012.043634259258</v>
      </c>
      <c r="K2491" t="s">
        <v>415</v>
      </c>
      <c r="M2491" s="13">
        <v>44615</v>
      </c>
      <c r="R2491">
        <v>100</v>
      </c>
      <c r="S2491" t="s">
        <v>380</v>
      </c>
      <c r="T2491" t="s">
        <v>57</v>
      </c>
      <c r="V2491" t="s">
        <v>478</v>
      </c>
      <c r="W2491" t="s">
        <v>3627</v>
      </c>
      <c r="X2491" t="s">
        <v>3627</v>
      </c>
      <c r="AF2491" t="s">
        <v>382</v>
      </c>
      <c r="AG2491" t="s">
        <v>3635</v>
      </c>
      <c r="AI2491">
        <v>-397</v>
      </c>
      <c r="AL2491" t="s">
        <v>3636</v>
      </c>
      <c r="AN2491" t="s">
        <v>31</v>
      </c>
      <c r="AO2491">
        <v>0</v>
      </c>
      <c r="AS2491" t="s">
        <v>385</v>
      </c>
      <c r="AX2491" t="s">
        <v>57</v>
      </c>
      <c r="AY2491" t="s">
        <v>386</v>
      </c>
      <c r="AZ2491" t="s">
        <v>3637</v>
      </c>
      <c r="BE2491" t="s">
        <v>3638</v>
      </c>
      <c r="BF2491">
        <v>0</v>
      </c>
      <c r="BK2491" t="s">
        <v>31</v>
      </c>
      <c r="BS2491" t="s">
        <v>622</v>
      </c>
      <c r="BT2491" t="s">
        <v>419</v>
      </c>
      <c r="CI2491" t="s">
        <v>388</v>
      </c>
      <c r="CJ2491" s="14">
        <v>45015</v>
      </c>
      <c r="CK2491">
        <v>1</v>
      </c>
    </row>
    <row r="2492" spans="1:89">
      <c r="A2492" t="s">
        <v>454</v>
      </c>
      <c r="B2492" t="s">
        <v>374</v>
      </c>
      <c r="C2492" t="s">
        <v>455</v>
      </c>
      <c r="D2492" t="s">
        <v>3639</v>
      </c>
      <c r="E2492" t="s">
        <v>3640</v>
      </c>
      <c r="F2492" s="13">
        <v>44558.466145833336</v>
      </c>
      <c r="G2492" t="s">
        <v>3570</v>
      </c>
      <c r="H2492" t="s">
        <v>3571</v>
      </c>
      <c r="I2492" s="13">
        <v>45012.043634259258</v>
      </c>
      <c r="K2492" t="s">
        <v>415</v>
      </c>
      <c r="M2492" s="13">
        <v>44792</v>
      </c>
      <c r="R2492">
        <v>0</v>
      </c>
      <c r="S2492" t="s">
        <v>380</v>
      </c>
      <c r="T2492" t="s">
        <v>57</v>
      </c>
      <c r="V2492" t="s">
        <v>478</v>
      </c>
      <c r="W2492" t="s">
        <v>2306</v>
      </c>
      <c r="X2492" t="s">
        <v>2306</v>
      </c>
      <c r="AF2492" t="s">
        <v>451</v>
      </c>
      <c r="AI2492">
        <v>-220</v>
      </c>
      <c r="AL2492" t="s">
        <v>3641</v>
      </c>
      <c r="AN2492" t="s">
        <v>31</v>
      </c>
      <c r="AO2492">
        <v>0</v>
      </c>
      <c r="AS2492" t="s">
        <v>385</v>
      </c>
      <c r="AX2492" t="s">
        <v>57</v>
      </c>
      <c r="AY2492" t="s">
        <v>386</v>
      </c>
      <c r="AZ2492" t="s">
        <v>3642</v>
      </c>
      <c r="BE2492" t="s">
        <v>3643</v>
      </c>
      <c r="BF2492">
        <v>0</v>
      </c>
      <c r="BK2492" t="s">
        <v>31</v>
      </c>
      <c r="BS2492" t="s">
        <v>419</v>
      </c>
      <c r="BT2492" t="s">
        <v>419</v>
      </c>
      <c r="CI2492" t="s">
        <v>388</v>
      </c>
      <c r="CJ2492" s="14">
        <v>45015</v>
      </c>
      <c r="CK2492">
        <v>1</v>
      </c>
    </row>
    <row r="2493" spans="1:89">
      <c r="A2493" t="s">
        <v>454</v>
      </c>
      <c r="B2493" t="s">
        <v>374</v>
      </c>
      <c r="C2493" t="s">
        <v>455</v>
      </c>
      <c r="D2493" t="s">
        <v>3644</v>
      </c>
      <c r="E2493" t="s">
        <v>3645</v>
      </c>
      <c r="F2493" s="13">
        <v>44558.397546296299</v>
      </c>
      <c r="G2493" t="s">
        <v>3570</v>
      </c>
      <c r="H2493" t="s">
        <v>3571</v>
      </c>
      <c r="I2493" s="13">
        <v>45012.043634259258</v>
      </c>
      <c r="K2493" t="s">
        <v>415</v>
      </c>
      <c r="M2493" s="13">
        <v>44558</v>
      </c>
      <c r="R2493">
        <v>0</v>
      </c>
      <c r="S2493" t="s">
        <v>416</v>
      </c>
      <c r="T2493" t="s">
        <v>57</v>
      </c>
      <c r="V2493" t="s">
        <v>478</v>
      </c>
      <c r="W2493" t="s">
        <v>2306</v>
      </c>
      <c r="X2493" t="s">
        <v>2306</v>
      </c>
      <c r="AF2493" t="s">
        <v>451</v>
      </c>
      <c r="AI2493">
        <v>-454</v>
      </c>
      <c r="AL2493" t="s">
        <v>3646</v>
      </c>
      <c r="AN2493" t="s">
        <v>31</v>
      </c>
      <c r="AO2493">
        <v>0</v>
      </c>
      <c r="AS2493" t="s">
        <v>385</v>
      </c>
      <c r="AX2493" t="s">
        <v>57</v>
      </c>
      <c r="AY2493" t="s">
        <v>442</v>
      </c>
      <c r="AZ2493" t="s">
        <v>3647</v>
      </c>
      <c r="BE2493" t="s">
        <v>3648</v>
      </c>
      <c r="BF2493">
        <v>0</v>
      </c>
      <c r="BK2493" t="s">
        <v>31</v>
      </c>
      <c r="BS2493" t="s">
        <v>419</v>
      </c>
      <c r="BT2493" t="s">
        <v>419</v>
      </c>
      <c r="CI2493" t="s">
        <v>388</v>
      </c>
      <c r="CJ2493" s="14">
        <v>45015</v>
      </c>
      <c r="CK2493">
        <v>1</v>
      </c>
    </row>
    <row r="2494" spans="1:89">
      <c r="A2494" t="s">
        <v>454</v>
      </c>
      <c r="B2494" t="s">
        <v>374</v>
      </c>
      <c r="C2494" t="s">
        <v>455</v>
      </c>
      <c r="D2494" t="s">
        <v>3649</v>
      </c>
      <c r="E2494" t="s">
        <v>3650</v>
      </c>
      <c r="F2494" s="13">
        <v>44553.51085648148</v>
      </c>
      <c r="G2494" t="s">
        <v>3570</v>
      </c>
      <c r="H2494" t="s">
        <v>3571</v>
      </c>
      <c r="I2494" s="13">
        <v>45012.043622685182</v>
      </c>
      <c r="K2494" t="s">
        <v>415</v>
      </c>
      <c r="M2494" s="13">
        <v>44651</v>
      </c>
      <c r="R2494">
        <v>0</v>
      </c>
      <c r="S2494" t="s">
        <v>380</v>
      </c>
      <c r="T2494" t="s">
        <v>57</v>
      </c>
      <c r="V2494" t="s">
        <v>478</v>
      </c>
      <c r="W2494" t="s">
        <v>3651</v>
      </c>
      <c r="X2494" t="s">
        <v>3651</v>
      </c>
      <c r="AF2494" t="s">
        <v>451</v>
      </c>
      <c r="AI2494">
        <v>-361</v>
      </c>
      <c r="AL2494" t="s">
        <v>3652</v>
      </c>
      <c r="AN2494" t="s">
        <v>31</v>
      </c>
      <c r="AO2494">
        <v>0</v>
      </c>
      <c r="AS2494" t="s">
        <v>538</v>
      </c>
      <c r="AX2494" t="s">
        <v>31</v>
      </c>
      <c r="AY2494" t="s">
        <v>386</v>
      </c>
      <c r="AZ2494" t="s">
        <v>3653</v>
      </c>
      <c r="BE2494" t="s">
        <v>3654</v>
      </c>
      <c r="BF2494">
        <v>0</v>
      </c>
      <c r="BK2494" t="s">
        <v>31</v>
      </c>
      <c r="BS2494" t="s">
        <v>419</v>
      </c>
      <c r="BT2494" t="s">
        <v>419</v>
      </c>
      <c r="CI2494" t="s">
        <v>388</v>
      </c>
      <c r="CJ2494" s="14">
        <v>45015</v>
      </c>
      <c r="CK2494">
        <v>1</v>
      </c>
    </row>
    <row r="2495" spans="1:89">
      <c r="A2495" t="s">
        <v>3258</v>
      </c>
      <c r="B2495" t="s">
        <v>374</v>
      </c>
      <c r="C2495" t="s">
        <v>3259</v>
      </c>
      <c r="D2495" t="s">
        <v>3655</v>
      </c>
      <c r="E2495" t="s">
        <v>3334</v>
      </c>
      <c r="F2495" s="13">
        <v>44552.562476851854</v>
      </c>
      <c r="G2495" t="s">
        <v>3262</v>
      </c>
      <c r="H2495" t="s">
        <v>3263</v>
      </c>
      <c r="I2495" s="13">
        <v>45012.043622685182</v>
      </c>
      <c r="K2495" t="s">
        <v>415</v>
      </c>
      <c r="M2495" s="13">
        <v>44608</v>
      </c>
      <c r="R2495">
        <v>100</v>
      </c>
      <c r="S2495" t="s">
        <v>416</v>
      </c>
      <c r="T2495" t="s">
        <v>57</v>
      </c>
      <c r="V2495" t="s">
        <v>478</v>
      </c>
      <c r="W2495" t="s">
        <v>3264</v>
      </c>
      <c r="X2495" t="s">
        <v>3264</v>
      </c>
      <c r="AF2495" t="s">
        <v>382</v>
      </c>
      <c r="AG2495" t="s">
        <v>3656</v>
      </c>
      <c r="AI2495">
        <v>-404</v>
      </c>
      <c r="AL2495" t="s">
        <v>3265</v>
      </c>
      <c r="AM2495">
        <v>1</v>
      </c>
      <c r="AN2495" t="s">
        <v>31</v>
      </c>
      <c r="AO2495">
        <v>0</v>
      </c>
      <c r="AS2495" t="s">
        <v>538</v>
      </c>
      <c r="AU2495" t="s">
        <v>57</v>
      </c>
      <c r="AX2495" t="s">
        <v>31</v>
      </c>
      <c r="AY2495" t="s">
        <v>442</v>
      </c>
      <c r="AZ2495" t="s">
        <v>3657</v>
      </c>
      <c r="BF2495">
        <v>0</v>
      </c>
      <c r="BK2495" t="s">
        <v>31</v>
      </c>
      <c r="BS2495" t="s">
        <v>418</v>
      </c>
      <c r="BT2495" t="s">
        <v>419</v>
      </c>
      <c r="CI2495" t="s">
        <v>388</v>
      </c>
      <c r="CJ2495" s="14">
        <v>45015</v>
      </c>
      <c r="CK2495">
        <v>1</v>
      </c>
    </row>
    <row r="2496" spans="1:89">
      <c r="A2496" t="s">
        <v>3658</v>
      </c>
      <c r="B2496" t="s">
        <v>374</v>
      </c>
      <c r="C2496" t="s">
        <v>3659</v>
      </c>
      <c r="D2496" t="s">
        <v>3660</v>
      </c>
      <c r="E2496" t="s">
        <v>3534</v>
      </c>
      <c r="F2496" s="13">
        <v>44550.647627314815</v>
      </c>
      <c r="G2496" t="s">
        <v>3535</v>
      </c>
      <c r="H2496" t="s">
        <v>3536</v>
      </c>
      <c r="I2496" s="13">
        <v>44550.655023148145</v>
      </c>
      <c r="K2496" t="s">
        <v>409</v>
      </c>
      <c r="R2496">
        <v>0</v>
      </c>
      <c r="S2496" t="s">
        <v>380</v>
      </c>
      <c r="V2496" t="s">
        <v>381</v>
      </c>
      <c r="W2496" t="s">
        <v>3661</v>
      </c>
      <c r="X2496" t="s">
        <v>3661</v>
      </c>
      <c r="AI2496">
        <v>1</v>
      </c>
      <c r="AL2496" t="s">
        <v>3662</v>
      </c>
      <c r="AN2496" t="s">
        <v>31</v>
      </c>
      <c r="AO2496">
        <v>0</v>
      </c>
      <c r="AZ2496" t="s">
        <v>3663</v>
      </c>
      <c r="BF2496">
        <v>0</v>
      </c>
      <c r="BK2496" t="s">
        <v>31</v>
      </c>
      <c r="BS2496" t="s">
        <v>409</v>
      </c>
      <c r="BT2496" t="s">
        <v>409</v>
      </c>
      <c r="CI2496" t="s">
        <v>388</v>
      </c>
      <c r="CJ2496" s="14">
        <v>45015</v>
      </c>
      <c r="CK2496">
        <v>1</v>
      </c>
    </row>
    <row r="2497" spans="1:89">
      <c r="A2497" t="s">
        <v>435</v>
      </c>
      <c r="B2497" t="s">
        <v>374</v>
      </c>
      <c r="C2497" t="s">
        <v>436</v>
      </c>
      <c r="D2497" t="s">
        <v>3664</v>
      </c>
      <c r="E2497" t="s">
        <v>3665</v>
      </c>
      <c r="F2497" s="13">
        <v>44547.485127314816</v>
      </c>
      <c r="G2497" t="s">
        <v>3666</v>
      </c>
      <c r="H2497" t="s">
        <v>3667</v>
      </c>
      <c r="I2497" s="13">
        <v>44547.485659722224</v>
      </c>
      <c r="K2497" t="s">
        <v>412</v>
      </c>
      <c r="R2497">
        <v>0</v>
      </c>
      <c r="S2497" t="s">
        <v>416</v>
      </c>
      <c r="T2497" t="s">
        <v>57</v>
      </c>
      <c r="V2497" t="s">
        <v>381</v>
      </c>
      <c r="W2497" t="s">
        <v>3668</v>
      </c>
      <c r="X2497" t="s">
        <v>3668</v>
      </c>
      <c r="AI2497">
        <v>0</v>
      </c>
      <c r="AL2497" t="s">
        <v>3669</v>
      </c>
      <c r="AN2497" t="s">
        <v>31</v>
      </c>
      <c r="AO2497">
        <v>0</v>
      </c>
      <c r="AS2497" t="s">
        <v>526</v>
      </c>
      <c r="AX2497" t="s">
        <v>57</v>
      </c>
      <c r="AY2497" t="s">
        <v>442</v>
      </c>
      <c r="AZ2497" t="s">
        <v>3670</v>
      </c>
      <c r="BF2497">
        <v>0</v>
      </c>
      <c r="BK2497" t="s">
        <v>31</v>
      </c>
      <c r="BS2497" t="s">
        <v>412</v>
      </c>
      <c r="BT2497" t="s">
        <v>412</v>
      </c>
      <c r="CI2497" t="s">
        <v>388</v>
      </c>
      <c r="CJ2497" s="14">
        <v>45015</v>
      </c>
      <c r="CK2497">
        <v>1</v>
      </c>
    </row>
    <row r="2498" spans="1:89">
      <c r="A2498" t="s">
        <v>2927</v>
      </c>
      <c r="B2498" t="s">
        <v>374</v>
      </c>
      <c r="C2498" t="s">
        <v>2928</v>
      </c>
      <c r="D2498" t="s">
        <v>3671</v>
      </c>
      <c r="E2498" t="s">
        <v>3672</v>
      </c>
      <c r="F2498" s="13">
        <v>44545.600243055553</v>
      </c>
      <c r="G2498" t="s">
        <v>3535</v>
      </c>
      <c r="H2498" t="s">
        <v>3536</v>
      </c>
      <c r="I2498" s="13">
        <v>44581.439618055556</v>
      </c>
      <c r="K2498" t="s">
        <v>379</v>
      </c>
      <c r="M2498" s="13">
        <v>44546</v>
      </c>
      <c r="R2498">
        <v>100</v>
      </c>
      <c r="S2498" t="s">
        <v>380</v>
      </c>
      <c r="T2498" t="s">
        <v>57</v>
      </c>
      <c r="V2498" t="s">
        <v>478</v>
      </c>
      <c r="W2498" t="s">
        <v>3673</v>
      </c>
      <c r="X2498" t="s">
        <v>3673</v>
      </c>
      <c r="AF2498" t="s">
        <v>382</v>
      </c>
      <c r="AG2498" t="s">
        <v>3674</v>
      </c>
      <c r="AI2498">
        <v>-35</v>
      </c>
      <c r="AJ2498" s="13">
        <v>44599</v>
      </c>
      <c r="AL2498" t="s">
        <v>3675</v>
      </c>
      <c r="AN2498" t="s">
        <v>31</v>
      </c>
      <c r="AO2498">
        <v>0</v>
      </c>
      <c r="AR2498" t="s">
        <v>3676</v>
      </c>
      <c r="AS2498" t="s">
        <v>385</v>
      </c>
      <c r="AX2498" t="s">
        <v>31</v>
      </c>
      <c r="AY2498" t="s">
        <v>386</v>
      </c>
      <c r="AZ2498" t="s">
        <v>3677</v>
      </c>
      <c r="BF2498">
        <v>0</v>
      </c>
      <c r="BK2498" t="s">
        <v>31</v>
      </c>
      <c r="BS2498" t="s">
        <v>379</v>
      </c>
      <c r="BT2498" t="s">
        <v>379</v>
      </c>
      <c r="CI2498" t="s">
        <v>388</v>
      </c>
      <c r="CJ2498" s="14">
        <v>45015</v>
      </c>
      <c r="CK2498">
        <v>1</v>
      </c>
    </row>
    <row r="2499" spans="1:89">
      <c r="A2499" t="s">
        <v>1675</v>
      </c>
      <c r="B2499" t="s">
        <v>374</v>
      </c>
      <c r="C2499" t="s">
        <v>1676</v>
      </c>
      <c r="D2499" t="s">
        <v>3678</v>
      </c>
      <c r="E2499" t="s">
        <v>3665</v>
      </c>
      <c r="F2499" s="13">
        <v>44545.435243055559</v>
      </c>
      <c r="G2499" t="s">
        <v>3666</v>
      </c>
      <c r="H2499" t="s">
        <v>3667</v>
      </c>
      <c r="I2499" s="13">
        <v>44545.436145833337</v>
      </c>
      <c r="K2499" t="s">
        <v>409</v>
      </c>
      <c r="R2499">
        <v>0</v>
      </c>
      <c r="S2499" t="s">
        <v>380</v>
      </c>
      <c r="T2499" t="s">
        <v>57</v>
      </c>
      <c r="V2499" t="s">
        <v>381</v>
      </c>
      <c r="W2499" t="s">
        <v>3679</v>
      </c>
      <c r="X2499" t="s">
        <v>3679</v>
      </c>
      <c r="AI2499">
        <v>2</v>
      </c>
      <c r="AL2499" t="s">
        <v>3680</v>
      </c>
      <c r="AN2499" t="s">
        <v>31</v>
      </c>
      <c r="AO2499">
        <v>0</v>
      </c>
      <c r="AS2499" t="s">
        <v>392</v>
      </c>
      <c r="AX2499" t="s">
        <v>31</v>
      </c>
      <c r="AY2499" t="s">
        <v>442</v>
      </c>
      <c r="AZ2499" t="s">
        <v>3681</v>
      </c>
      <c r="BF2499">
        <v>0</v>
      </c>
      <c r="BK2499" t="s">
        <v>31</v>
      </c>
      <c r="BS2499" t="s">
        <v>409</v>
      </c>
      <c r="BT2499" t="s">
        <v>409</v>
      </c>
      <c r="CI2499" t="s">
        <v>388</v>
      </c>
      <c r="CJ2499" s="14">
        <v>45015</v>
      </c>
      <c r="CK2499">
        <v>1</v>
      </c>
    </row>
    <row r="2500" spans="1:89">
      <c r="A2500" t="s">
        <v>1579</v>
      </c>
      <c r="B2500" t="s">
        <v>374</v>
      </c>
      <c r="C2500" t="s">
        <v>1580</v>
      </c>
      <c r="D2500" t="s">
        <v>3682</v>
      </c>
      <c r="E2500" t="s">
        <v>3683</v>
      </c>
      <c r="F2500" s="13">
        <v>44544.647905092592</v>
      </c>
      <c r="G2500" t="s">
        <v>2271</v>
      </c>
      <c r="H2500" t="s">
        <v>2272</v>
      </c>
      <c r="I2500" s="13">
        <v>44586.725057870368</v>
      </c>
      <c r="K2500" t="s">
        <v>379</v>
      </c>
      <c r="M2500" s="13">
        <v>44560</v>
      </c>
      <c r="R2500">
        <v>100</v>
      </c>
      <c r="S2500" t="s">
        <v>380</v>
      </c>
      <c r="T2500" t="s">
        <v>57</v>
      </c>
      <c r="V2500" t="s">
        <v>478</v>
      </c>
      <c r="W2500" t="s">
        <v>3684</v>
      </c>
      <c r="X2500" t="s">
        <v>3684</v>
      </c>
      <c r="AC2500" s="13">
        <v>44561</v>
      </c>
      <c r="AD2500" s="13">
        <v>44561</v>
      </c>
      <c r="AF2500" t="s">
        <v>382</v>
      </c>
      <c r="AG2500" t="s">
        <v>3685</v>
      </c>
      <c r="AI2500">
        <v>-26</v>
      </c>
      <c r="AJ2500" s="13">
        <v>44586</v>
      </c>
      <c r="AL2500" t="s">
        <v>3686</v>
      </c>
      <c r="AN2500" t="s">
        <v>31</v>
      </c>
      <c r="AO2500">
        <v>0</v>
      </c>
      <c r="AR2500" t="s">
        <v>3687</v>
      </c>
      <c r="AS2500" t="s">
        <v>526</v>
      </c>
      <c r="AX2500" t="s">
        <v>31</v>
      </c>
      <c r="AY2500" t="s">
        <v>386</v>
      </c>
      <c r="AZ2500" t="s">
        <v>3688</v>
      </c>
      <c r="BF2500">
        <v>0</v>
      </c>
      <c r="BK2500" t="s">
        <v>31</v>
      </c>
      <c r="BS2500" t="s">
        <v>379</v>
      </c>
      <c r="BT2500" t="s">
        <v>379</v>
      </c>
      <c r="CI2500" t="s">
        <v>388</v>
      </c>
      <c r="CJ2500" s="14">
        <v>45015</v>
      </c>
      <c r="CK2500">
        <v>1</v>
      </c>
    </row>
    <row r="2501" spans="1:89">
      <c r="A2501" t="s">
        <v>3504</v>
      </c>
      <c r="B2501" t="s">
        <v>374</v>
      </c>
      <c r="C2501" t="s">
        <v>3505</v>
      </c>
      <c r="D2501" t="s">
        <v>3689</v>
      </c>
      <c r="E2501" t="s">
        <v>3690</v>
      </c>
      <c r="F2501" s="13">
        <v>44530.854363425926</v>
      </c>
      <c r="G2501" t="s">
        <v>2271</v>
      </c>
      <c r="H2501" t="s">
        <v>2272</v>
      </c>
      <c r="I2501" s="13">
        <v>44715.502106481479</v>
      </c>
      <c r="K2501" t="s">
        <v>379</v>
      </c>
      <c r="M2501" s="13">
        <v>44592</v>
      </c>
      <c r="R2501">
        <v>100</v>
      </c>
      <c r="S2501" t="s">
        <v>416</v>
      </c>
      <c r="T2501" t="s">
        <v>57</v>
      </c>
      <c r="V2501" t="s">
        <v>478</v>
      </c>
      <c r="W2501" t="s">
        <v>3691</v>
      </c>
      <c r="X2501" t="s">
        <v>3691</v>
      </c>
      <c r="AF2501" t="s">
        <v>382</v>
      </c>
      <c r="AG2501" t="s">
        <v>3692</v>
      </c>
      <c r="AI2501">
        <v>-1</v>
      </c>
      <c r="AL2501" t="s">
        <v>3509</v>
      </c>
      <c r="AM2501">
        <v>1</v>
      </c>
      <c r="AN2501" t="s">
        <v>31</v>
      </c>
      <c r="AO2501">
        <v>0</v>
      </c>
      <c r="AS2501" t="s">
        <v>526</v>
      </c>
      <c r="AX2501" t="s">
        <v>31</v>
      </c>
      <c r="AY2501" t="s">
        <v>386</v>
      </c>
      <c r="AZ2501" t="s">
        <v>3693</v>
      </c>
      <c r="BF2501">
        <v>0</v>
      </c>
      <c r="BK2501" t="s">
        <v>31</v>
      </c>
      <c r="BS2501" t="s">
        <v>379</v>
      </c>
      <c r="BT2501" t="s">
        <v>379</v>
      </c>
      <c r="CI2501" t="s">
        <v>388</v>
      </c>
      <c r="CJ2501" s="14">
        <v>45015</v>
      </c>
      <c r="CK2501">
        <v>1</v>
      </c>
    </row>
    <row r="2502" spans="1:89">
      <c r="A2502" t="s">
        <v>3504</v>
      </c>
      <c r="B2502" t="s">
        <v>374</v>
      </c>
      <c r="C2502" t="s">
        <v>3505</v>
      </c>
      <c r="D2502" t="s">
        <v>3694</v>
      </c>
      <c r="E2502" t="s">
        <v>3695</v>
      </c>
      <c r="F2502" s="13">
        <v>44530.571886574071</v>
      </c>
      <c r="G2502" t="s">
        <v>2271</v>
      </c>
      <c r="H2502" t="s">
        <v>2272</v>
      </c>
      <c r="I2502" s="13">
        <v>45012.043622685182</v>
      </c>
      <c r="K2502" t="s">
        <v>415</v>
      </c>
      <c r="M2502" s="13">
        <v>44645</v>
      </c>
      <c r="R2502">
        <v>0</v>
      </c>
      <c r="S2502" t="s">
        <v>416</v>
      </c>
      <c r="T2502" t="s">
        <v>57</v>
      </c>
      <c r="V2502" t="s">
        <v>478</v>
      </c>
      <c r="W2502" t="s">
        <v>3696</v>
      </c>
      <c r="X2502" t="s">
        <v>3696</v>
      </c>
      <c r="AF2502" t="s">
        <v>451</v>
      </c>
      <c r="AI2502">
        <v>-367</v>
      </c>
      <c r="AL2502" t="s">
        <v>3697</v>
      </c>
      <c r="AN2502" t="s">
        <v>31</v>
      </c>
      <c r="AO2502">
        <v>0</v>
      </c>
      <c r="AS2502" t="s">
        <v>526</v>
      </c>
      <c r="AX2502" t="s">
        <v>31</v>
      </c>
      <c r="AY2502" t="s">
        <v>386</v>
      </c>
      <c r="AZ2502" t="s">
        <v>3698</v>
      </c>
      <c r="BF2502">
        <v>0</v>
      </c>
      <c r="BK2502" t="s">
        <v>31</v>
      </c>
      <c r="BS2502" t="s">
        <v>419</v>
      </c>
      <c r="BT2502" t="s">
        <v>419</v>
      </c>
      <c r="CI2502" t="s">
        <v>388</v>
      </c>
      <c r="CJ2502" s="14">
        <v>45015</v>
      </c>
      <c r="CK2502">
        <v>1</v>
      </c>
    </row>
    <row r="2503" spans="1:89">
      <c r="A2503" t="s">
        <v>3504</v>
      </c>
      <c r="B2503" t="s">
        <v>374</v>
      </c>
      <c r="C2503" t="s">
        <v>3505</v>
      </c>
      <c r="D2503" t="s">
        <v>3699</v>
      </c>
      <c r="E2503" t="s">
        <v>3700</v>
      </c>
      <c r="F2503" s="13">
        <v>44530.560115740744</v>
      </c>
      <c r="G2503" t="s">
        <v>2271</v>
      </c>
      <c r="H2503" t="s">
        <v>2272</v>
      </c>
      <c r="I2503" s="13">
        <v>44715.502106481479</v>
      </c>
      <c r="K2503" t="s">
        <v>379</v>
      </c>
      <c r="M2503" s="13">
        <v>44592</v>
      </c>
      <c r="R2503">
        <v>100</v>
      </c>
      <c r="S2503" t="s">
        <v>380</v>
      </c>
      <c r="T2503" t="s">
        <v>57</v>
      </c>
      <c r="V2503" t="s">
        <v>381</v>
      </c>
      <c r="W2503" t="s">
        <v>3701</v>
      </c>
      <c r="X2503" t="s">
        <v>3701</v>
      </c>
      <c r="AF2503" t="s">
        <v>382</v>
      </c>
      <c r="AG2503" t="s">
        <v>3702</v>
      </c>
      <c r="AI2503">
        <v>6</v>
      </c>
      <c r="AK2503" t="s">
        <v>480</v>
      </c>
      <c r="AL2503" t="s">
        <v>3703</v>
      </c>
      <c r="AN2503" t="s">
        <v>31</v>
      </c>
      <c r="AO2503">
        <v>0</v>
      </c>
      <c r="AS2503" t="s">
        <v>392</v>
      </c>
      <c r="AX2503" t="s">
        <v>31</v>
      </c>
      <c r="AY2503" t="s">
        <v>442</v>
      </c>
      <c r="AZ2503" t="s">
        <v>3704</v>
      </c>
      <c r="BF2503">
        <v>0</v>
      </c>
      <c r="BK2503" t="s">
        <v>31</v>
      </c>
      <c r="BS2503" t="s">
        <v>379</v>
      </c>
      <c r="BT2503" t="s">
        <v>379</v>
      </c>
      <c r="CI2503" t="s">
        <v>388</v>
      </c>
      <c r="CJ2503" s="14">
        <v>45015</v>
      </c>
      <c r="CK2503">
        <v>1</v>
      </c>
    </row>
    <row r="2504" spans="1:89">
      <c r="A2504" t="s">
        <v>2164</v>
      </c>
      <c r="B2504" t="s">
        <v>374</v>
      </c>
      <c r="C2504" t="s">
        <v>2165</v>
      </c>
      <c r="D2504" t="s">
        <v>3705</v>
      </c>
      <c r="E2504" t="s">
        <v>3706</v>
      </c>
      <c r="F2504" s="13">
        <v>44530.541377314818</v>
      </c>
      <c r="G2504" t="s">
        <v>2271</v>
      </c>
      <c r="H2504" t="s">
        <v>2272</v>
      </c>
      <c r="I2504" s="13">
        <v>45012.043622685182</v>
      </c>
      <c r="K2504" t="s">
        <v>415</v>
      </c>
      <c r="M2504" s="13">
        <v>44533</v>
      </c>
      <c r="R2504">
        <v>100</v>
      </c>
      <c r="S2504" t="s">
        <v>416</v>
      </c>
      <c r="T2504" t="s">
        <v>57</v>
      </c>
      <c r="V2504" t="s">
        <v>478</v>
      </c>
      <c r="W2504" t="s">
        <v>3707</v>
      </c>
      <c r="X2504" t="s">
        <v>3707</v>
      </c>
      <c r="AF2504" t="s">
        <v>382</v>
      </c>
      <c r="AG2504" t="s">
        <v>3708</v>
      </c>
      <c r="AI2504">
        <v>-479</v>
      </c>
      <c r="AJ2504" s="13">
        <v>44587</v>
      </c>
      <c r="AL2504" t="s">
        <v>3709</v>
      </c>
      <c r="AN2504" t="s">
        <v>31</v>
      </c>
      <c r="AO2504">
        <v>0</v>
      </c>
      <c r="AR2504" t="s">
        <v>3710</v>
      </c>
      <c r="AS2504" t="s">
        <v>392</v>
      </c>
      <c r="AX2504" t="s">
        <v>31</v>
      </c>
      <c r="AY2504" t="s">
        <v>386</v>
      </c>
      <c r="AZ2504" t="s">
        <v>3711</v>
      </c>
      <c r="BF2504">
        <v>0</v>
      </c>
      <c r="BK2504" t="s">
        <v>31</v>
      </c>
      <c r="BS2504" t="s">
        <v>419</v>
      </c>
      <c r="BT2504" t="s">
        <v>419</v>
      </c>
      <c r="CI2504" t="s">
        <v>388</v>
      </c>
      <c r="CJ2504" s="14">
        <v>45015</v>
      </c>
      <c r="CK2504">
        <v>1</v>
      </c>
    </row>
    <row r="2505" spans="1:89">
      <c r="A2505" t="s">
        <v>1415</v>
      </c>
      <c r="B2505" t="s">
        <v>374</v>
      </c>
      <c r="C2505" t="s">
        <v>1416</v>
      </c>
      <c r="D2505" t="s">
        <v>3712</v>
      </c>
      <c r="E2505" t="s">
        <v>3713</v>
      </c>
      <c r="F2505" s="13">
        <v>44529.648229166669</v>
      </c>
      <c r="G2505" t="s">
        <v>1418</v>
      </c>
      <c r="H2505" t="s">
        <v>1419</v>
      </c>
      <c r="I2505" s="13">
        <v>45012.043611111112</v>
      </c>
      <c r="K2505" t="s">
        <v>415</v>
      </c>
      <c r="M2505" s="13">
        <v>44681</v>
      </c>
      <c r="R2505">
        <v>0</v>
      </c>
      <c r="S2505" t="s">
        <v>380</v>
      </c>
      <c r="T2505" t="s">
        <v>57</v>
      </c>
      <c r="V2505" t="s">
        <v>478</v>
      </c>
      <c r="W2505" t="s">
        <v>3714</v>
      </c>
      <c r="X2505" t="s">
        <v>3714</v>
      </c>
      <c r="AF2505" t="s">
        <v>451</v>
      </c>
      <c r="AI2505">
        <v>-331</v>
      </c>
      <c r="AL2505" t="s">
        <v>3715</v>
      </c>
      <c r="AN2505" t="s">
        <v>31</v>
      </c>
      <c r="AO2505">
        <v>0</v>
      </c>
      <c r="AS2505" t="s">
        <v>385</v>
      </c>
      <c r="AX2505" t="s">
        <v>31</v>
      </c>
      <c r="AY2505" t="s">
        <v>442</v>
      </c>
      <c r="AZ2505" t="s">
        <v>3716</v>
      </c>
      <c r="BF2505">
        <v>0</v>
      </c>
      <c r="BK2505" t="s">
        <v>31</v>
      </c>
      <c r="BS2505" t="s">
        <v>419</v>
      </c>
      <c r="BT2505" t="s">
        <v>419</v>
      </c>
      <c r="CI2505" t="s">
        <v>388</v>
      </c>
      <c r="CJ2505" s="14">
        <v>45015</v>
      </c>
      <c r="CK2505">
        <v>1</v>
      </c>
    </row>
    <row r="2506" spans="1:89">
      <c r="A2506" t="s">
        <v>1415</v>
      </c>
      <c r="B2506" t="s">
        <v>374</v>
      </c>
      <c r="C2506" t="s">
        <v>1416</v>
      </c>
      <c r="D2506" t="s">
        <v>3717</v>
      </c>
      <c r="E2506" t="s">
        <v>3718</v>
      </c>
      <c r="F2506" s="13">
        <v>44529.623252314814</v>
      </c>
      <c r="G2506" t="s">
        <v>1418</v>
      </c>
      <c r="H2506" t="s">
        <v>1419</v>
      </c>
      <c r="I2506" s="13">
        <v>45012.043611111112</v>
      </c>
      <c r="K2506" t="s">
        <v>415</v>
      </c>
      <c r="M2506" s="13">
        <v>44742</v>
      </c>
      <c r="R2506">
        <v>100</v>
      </c>
      <c r="S2506" t="s">
        <v>380</v>
      </c>
      <c r="T2506" t="s">
        <v>57</v>
      </c>
      <c r="V2506" t="s">
        <v>478</v>
      </c>
      <c r="W2506" t="s">
        <v>3719</v>
      </c>
      <c r="X2506" t="s">
        <v>3719</v>
      </c>
      <c r="AF2506" t="s">
        <v>382</v>
      </c>
      <c r="AG2506" t="s">
        <v>3720</v>
      </c>
      <c r="AI2506">
        <v>-270</v>
      </c>
      <c r="AL2506" t="s">
        <v>3721</v>
      </c>
      <c r="AN2506" t="s">
        <v>31</v>
      </c>
      <c r="AO2506">
        <v>0</v>
      </c>
      <c r="AS2506" t="s">
        <v>385</v>
      </c>
      <c r="AX2506" t="s">
        <v>31</v>
      </c>
      <c r="AY2506" t="s">
        <v>442</v>
      </c>
      <c r="AZ2506" t="s">
        <v>3722</v>
      </c>
      <c r="BF2506">
        <v>0</v>
      </c>
      <c r="BK2506" t="s">
        <v>31</v>
      </c>
      <c r="BS2506" t="s">
        <v>622</v>
      </c>
      <c r="BT2506" t="s">
        <v>419</v>
      </c>
      <c r="CI2506" t="s">
        <v>388</v>
      </c>
      <c r="CJ2506" s="14">
        <v>45015</v>
      </c>
      <c r="CK2506">
        <v>1</v>
      </c>
    </row>
    <row r="2507" spans="1:89">
      <c r="A2507" t="s">
        <v>1415</v>
      </c>
      <c r="B2507" t="s">
        <v>374</v>
      </c>
      <c r="C2507" t="s">
        <v>1416</v>
      </c>
      <c r="D2507" t="s">
        <v>3723</v>
      </c>
      <c r="E2507" t="s">
        <v>3724</v>
      </c>
      <c r="F2507" s="13">
        <v>44529.615752314814</v>
      </c>
      <c r="G2507" t="s">
        <v>1418</v>
      </c>
      <c r="H2507" t="s">
        <v>1419</v>
      </c>
      <c r="I2507" s="13">
        <v>44580.338912037034</v>
      </c>
      <c r="K2507" t="s">
        <v>379</v>
      </c>
      <c r="M2507" s="13">
        <v>44592</v>
      </c>
      <c r="R2507">
        <v>100</v>
      </c>
      <c r="S2507" t="s">
        <v>380</v>
      </c>
      <c r="T2507" t="s">
        <v>57</v>
      </c>
      <c r="V2507" t="s">
        <v>381</v>
      </c>
      <c r="W2507" t="s">
        <v>3725</v>
      </c>
      <c r="X2507" t="s">
        <v>3725</v>
      </c>
      <c r="AF2507" t="s">
        <v>382</v>
      </c>
      <c r="AG2507" t="s">
        <v>3726</v>
      </c>
      <c r="AI2507">
        <v>12</v>
      </c>
      <c r="AL2507" t="s">
        <v>3727</v>
      </c>
      <c r="AN2507" t="s">
        <v>31</v>
      </c>
      <c r="AO2507">
        <v>0</v>
      </c>
      <c r="AS2507" t="s">
        <v>385</v>
      </c>
      <c r="AX2507" t="s">
        <v>31</v>
      </c>
      <c r="AY2507" t="s">
        <v>442</v>
      </c>
      <c r="AZ2507" t="s">
        <v>3728</v>
      </c>
      <c r="BF2507">
        <v>0</v>
      </c>
      <c r="BK2507" t="s">
        <v>31</v>
      </c>
      <c r="BS2507" t="s">
        <v>379</v>
      </c>
      <c r="BT2507" t="s">
        <v>379</v>
      </c>
      <c r="CI2507" t="s">
        <v>388</v>
      </c>
      <c r="CJ2507" s="14">
        <v>45015</v>
      </c>
      <c r="CK2507">
        <v>1</v>
      </c>
    </row>
    <row r="2508" spans="1:89">
      <c r="A2508" t="s">
        <v>1415</v>
      </c>
      <c r="B2508" t="s">
        <v>374</v>
      </c>
      <c r="C2508" t="s">
        <v>1416</v>
      </c>
      <c r="D2508" t="s">
        <v>3729</v>
      </c>
      <c r="E2508" t="s">
        <v>3730</v>
      </c>
      <c r="F2508" s="13">
        <v>44529.572013888886</v>
      </c>
      <c r="G2508" t="s">
        <v>1418</v>
      </c>
      <c r="H2508" t="s">
        <v>1419</v>
      </c>
      <c r="I2508" s="13">
        <v>45012.043611111112</v>
      </c>
      <c r="K2508" t="s">
        <v>415</v>
      </c>
      <c r="M2508" s="13">
        <v>44926</v>
      </c>
      <c r="R2508">
        <v>100</v>
      </c>
      <c r="S2508" t="s">
        <v>380</v>
      </c>
      <c r="T2508" t="s">
        <v>57</v>
      </c>
      <c r="V2508" t="s">
        <v>478</v>
      </c>
      <c r="W2508" t="s">
        <v>3714</v>
      </c>
      <c r="X2508" t="s">
        <v>3714</v>
      </c>
      <c r="AF2508" t="s">
        <v>382</v>
      </c>
      <c r="AG2508" t="s">
        <v>3731</v>
      </c>
      <c r="AI2508">
        <v>-86</v>
      </c>
      <c r="AL2508" t="s">
        <v>3732</v>
      </c>
      <c r="AN2508" t="s">
        <v>31</v>
      </c>
      <c r="AO2508">
        <v>0</v>
      </c>
      <c r="AS2508" t="s">
        <v>385</v>
      </c>
      <c r="AX2508" t="s">
        <v>31</v>
      </c>
      <c r="AY2508" t="s">
        <v>442</v>
      </c>
      <c r="AZ2508" t="s">
        <v>3733</v>
      </c>
      <c r="BF2508">
        <v>0</v>
      </c>
      <c r="BK2508" t="s">
        <v>31</v>
      </c>
      <c r="BS2508" t="s">
        <v>622</v>
      </c>
      <c r="BT2508" t="s">
        <v>419</v>
      </c>
      <c r="CI2508" t="s">
        <v>388</v>
      </c>
      <c r="CJ2508" s="14">
        <v>45015</v>
      </c>
      <c r="CK2508">
        <v>1</v>
      </c>
    </row>
    <row r="2509" spans="1:89">
      <c r="A2509" t="s">
        <v>1415</v>
      </c>
      <c r="B2509" t="s">
        <v>374</v>
      </c>
      <c r="C2509" t="s">
        <v>1416</v>
      </c>
      <c r="D2509" t="s">
        <v>3734</v>
      </c>
      <c r="E2509" t="s">
        <v>3735</v>
      </c>
      <c r="F2509" s="13">
        <v>44529.546620370369</v>
      </c>
      <c r="G2509" t="s">
        <v>1418</v>
      </c>
      <c r="H2509" t="s">
        <v>1419</v>
      </c>
      <c r="I2509" s="13">
        <v>44587.742175925923</v>
      </c>
      <c r="K2509" t="s">
        <v>379</v>
      </c>
      <c r="M2509" s="13">
        <v>44712</v>
      </c>
      <c r="R2509">
        <v>100</v>
      </c>
      <c r="S2509" t="s">
        <v>380</v>
      </c>
      <c r="T2509" t="s">
        <v>57</v>
      </c>
      <c r="V2509" t="s">
        <v>381</v>
      </c>
      <c r="W2509" t="s">
        <v>3736</v>
      </c>
      <c r="X2509" t="s">
        <v>3736</v>
      </c>
      <c r="AF2509" t="s">
        <v>382</v>
      </c>
      <c r="AG2509" t="s">
        <v>3737</v>
      </c>
      <c r="AI2509">
        <v>125</v>
      </c>
      <c r="AL2509" t="s">
        <v>3738</v>
      </c>
      <c r="AN2509" t="s">
        <v>31</v>
      </c>
      <c r="AO2509">
        <v>0</v>
      </c>
      <c r="AS2509" t="s">
        <v>392</v>
      </c>
      <c r="AX2509" t="s">
        <v>31</v>
      </c>
      <c r="AY2509" t="s">
        <v>386</v>
      </c>
      <c r="AZ2509" t="s">
        <v>3739</v>
      </c>
      <c r="BF2509">
        <v>0</v>
      </c>
      <c r="BK2509" t="s">
        <v>31</v>
      </c>
      <c r="BS2509" t="s">
        <v>379</v>
      </c>
      <c r="BT2509" t="s">
        <v>379</v>
      </c>
      <c r="CI2509" t="s">
        <v>388</v>
      </c>
      <c r="CJ2509" s="14">
        <v>45015</v>
      </c>
      <c r="CK2509">
        <v>1</v>
      </c>
    </row>
    <row r="2510" spans="1:89">
      <c r="A2510" t="s">
        <v>1415</v>
      </c>
      <c r="B2510" t="s">
        <v>374</v>
      </c>
      <c r="C2510" t="s">
        <v>1416</v>
      </c>
      <c r="D2510" t="s">
        <v>3740</v>
      </c>
      <c r="E2510" t="s">
        <v>3741</v>
      </c>
      <c r="F2510" s="13">
        <v>44529.445648148147</v>
      </c>
      <c r="G2510" t="s">
        <v>1418</v>
      </c>
      <c r="H2510" t="s">
        <v>1419</v>
      </c>
      <c r="I2510" s="13">
        <v>44544.575613425928</v>
      </c>
      <c r="K2510" t="s">
        <v>379</v>
      </c>
      <c r="M2510" s="13">
        <v>44561</v>
      </c>
      <c r="R2510">
        <v>100</v>
      </c>
      <c r="S2510" t="s">
        <v>380</v>
      </c>
      <c r="T2510" t="s">
        <v>57</v>
      </c>
      <c r="V2510" t="s">
        <v>381</v>
      </c>
      <c r="W2510" t="s">
        <v>3387</v>
      </c>
      <c r="X2510" t="s">
        <v>3387</v>
      </c>
      <c r="AF2510" t="s">
        <v>382</v>
      </c>
      <c r="AG2510" t="s">
        <v>3742</v>
      </c>
      <c r="AI2510">
        <v>17</v>
      </c>
      <c r="AL2510" t="s">
        <v>3743</v>
      </c>
      <c r="AN2510" t="s">
        <v>31</v>
      </c>
      <c r="AO2510">
        <v>0</v>
      </c>
      <c r="AS2510" t="s">
        <v>461</v>
      </c>
      <c r="AX2510" t="s">
        <v>31</v>
      </c>
      <c r="AY2510" t="s">
        <v>386</v>
      </c>
      <c r="AZ2510" t="s">
        <v>3744</v>
      </c>
      <c r="BF2510">
        <v>0</v>
      </c>
      <c r="BK2510" t="s">
        <v>31</v>
      </c>
      <c r="BS2510" t="s">
        <v>379</v>
      </c>
      <c r="BT2510" t="s">
        <v>379</v>
      </c>
      <c r="CI2510" t="s">
        <v>388</v>
      </c>
      <c r="CJ2510" s="14">
        <v>45015</v>
      </c>
      <c r="CK2510">
        <v>1</v>
      </c>
    </row>
    <row r="2511" spans="1:89">
      <c r="A2511" t="s">
        <v>1415</v>
      </c>
      <c r="B2511" t="s">
        <v>374</v>
      </c>
      <c r="C2511" t="s">
        <v>1416</v>
      </c>
      <c r="D2511" t="s">
        <v>3745</v>
      </c>
      <c r="E2511" t="s">
        <v>3746</v>
      </c>
      <c r="F2511" s="13">
        <v>44529.430960648147</v>
      </c>
      <c r="G2511" t="s">
        <v>1418</v>
      </c>
      <c r="H2511" t="s">
        <v>1419</v>
      </c>
      <c r="I2511" s="13">
        <v>44529.433958333335</v>
      </c>
      <c r="K2511" t="s">
        <v>409</v>
      </c>
      <c r="R2511">
        <v>0</v>
      </c>
      <c r="S2511" t="s">
        <v>380</v>
      </c>
      <c r="T2511" t="s">
        <v>57</v>
      </c>
      <c r="V2511" t="s">
        <v>381</v>
      </c>
      <c r="W2511" t="s">
        <v>3747</v>
      </c>
      <c r="X2511" t="s">
        <v>3747</v>
      </c>
      <c r="AI2511">
        <v>63</v>
      </c>
      <c r="AL2511" t="s">
        <v>3748</v>
      </c>
      <c r="AN2511" t="s">
        <v>31</v>
      </c>
      <c r="AO2511">
        <v>0</v>
      </c>
      <c r="AS2511" t="s">
        <v>385</v>
      </c>
      <c r="AX2511" t="s">
        <v>31</v>
      </c>
      <c r="AY2511" t="s">
        <v>386</v>
      </c>
      <c r="AZ2511" t="s">
        <v>3749</v>
      </c>
      <c r="BF2511">
        <v>0</v>
      </c>
      <c r="BK2511" t="s">
        <v>31</v>
      </c>
      <c r="BS2511" t="s">
        <v>409</v>
      </c>
      <c r="BT2511" t="s">
        <v>409</v>
      </c>
      <c r="CI2511" t="s">
        <v>388</v>
      </c>
      <c r="CJ2511" s="14">
        <v>45015</v>
      </c>
      <c r="CK2511">
        <v>1</v>
      </c>
    </row>
    <row r="2512" spans="1:89">
      <c r="A2512" t="s">
        <v>2267</v>
      </c>
      <c r="B2512" t="s">
        <v>374</v>
      </c>
      <c r="C2512" t="s">
        <v>2268</v>
      </c>
      <c r="D2512" t="s">
        <v>3750</v>
      </c>
      <c r="E2512" t="s">
        <v>3751</v>
      </c>
      <c r="F2512" s="13">
        <v>44529.413923611108</v>
      </c>
      <c r="G2512" t="s">
        <v>2271</v>
      </c>
      <c r="H2512" t="s">
        <v>2272</v>
      </c>
      <c r="I2512" s="13">
        <v>45012.043599537035</v>
      </c>
      <c r="K2512" t="s">
        <v>415</v>
      </c>
      <c r="M2512" s="13">
        <v>44645</v>
      </c>
      <c r="R2512">
        <v>95</v>
      </c>
      <c r="S2512" t="s">
        <v>380</v>
      </c>
      <c r="T2512" t="s">
        <v>57</v>
      </c>
      <c r="V2512" t="s">
        <v>478</v>
      </c>
      <c r="W2512" t="s">
        <v>3752</v>
      </c>
      <c r="X2512" t="s">
        <v>3752</v>
      </c>
      <c r="AF2512" t="s">
        <v>1301</v>
      </c>
      <c r="AG2512" t="s">
        <v>3753</v>
      </c>
      <c r="AI2512">
        <v>-367</v>
      </c>
      <c r="AL2512" t="s">
        <v>3754</v>
      </c>
      <c r="AN2512" t="s">
        <v>31</v>
      </c>
      <c r="AO2512">
        <v>0</v>
      </c>
      <c r="AS2512" t="s">
        <v>392</v>
      </c>
      <c r="AT2512" t="s">
        <v>31</v>
      </c>
      <c r="AX2512" t="s">
        <v>31</v>
      </c>
      <c r="AY2512" t="s">
        <v>442</v>
      </c>
      <c r="AZ2512" t="s">
        <v>3755</v>
      </c>
      <c r="BF2512">
        <v>0</v>
      </c>
      <c r="BK2512" t="s">
        <v>31</v>
      </c>
      <c r="BS2512" t="s">
        <v>484</v>
      </c>
      <c r="BT2512" t="s">
        <v>484</v>
      </c>
      <c r="CI2512" t="s">
        <v>388</v>
      </c>
      <c r="CJ2512" s="14">
        <v>45015</v>
      </c>
      <c r="CK2512">
        <v>1</v>
      </c>
    </row>
    <row r="2513" spans="1:89">
      <c r="A2513" t="s">
        <v>2267</v>
      </c>
      <c r="B2513" t="s">
        <v>374</v>
      </c>
      <c r="C2513" t="s">
        <v>2268</v>
      </c>
      <c r="D2513" t="s">
        <v>3756</v>
      </c>
      <c r="E2513" t="s">
        <v>3757</v>
      </c>
      <c r="F2513" s="13">
        <v>44529.400810185187</v>
      </c>
      <c r="G2513" t="s">
        <v>2271</v>
      </c>
      <c r="H2513" t="s">
        <v>2272</v>
      </c>
      <c r="I2513" s="13">
        <v>44715.499756944446</v>
      </c>
      <c r="K2513" t="s">
        <v>379</v>
      </c>
      <c r="M2513" s="13">
        <v>44530</v>
      </c>
      <c r="R2513">
        <v>100</v>
      </c>
      <c r="S2513" t="s">
        <v>380</v>
      </c>
      <c r="T2513" t="s">
        <v>57</v>
      </c>
      <c r="V2513" t="s">
        <v>478</v>
      </c>
      <c r="W2513" t="s">
        <v>3758</v>
      </c>
      <c r="X2513" t="s">
        <v>3758</v>
      </c>
      <c r="AF2513" t="s">
        <v>382</v>
      </c>
      <c r="AG2513" t="s">
        <v>3759</v>
      </c>
      <c r="AI2513">
        <v>-41</v>
      </c>
      <c r="AJ2513" s="13">
        <v>44571</v>
      </c>
      <c r="AL2513" t="s">
        <v>3760</v>
      </c>
      <c r="AN2513" t="s">
        <v>31</v>
      </c>
      <c r="AO2513">
        <v>0</v>
      </c>
      <c r="AR2513" t="s">
        <v>3761</v>
      </c>
      <c r="AS2513" t="s">
        <v>702</v>
      </c>
      <c r="AX2513" t="s">
        <v>31</v>
      </c>
      <c r="AY2513" t="s">
        <v>386</v>
      </c>
      <c r="AZ2513" t="s">
        <v>3762</v>
      </c>
      <c r="BF2513">
        <v>0</v>
      </c>
      <c r="BK2513" t="s">
        <v>31</v>
      </c>
      <c r="BS2513" t="s">
        <v>379</v>
      </c>
      <c r="BT2513" t="s">
        <v>379</v>
      </c>
      <c r="CI2513" t="s">
        <v>388</v>
      </c>
      <c r="CJ2513" s="14">
        <v>45015</v>
      </c>
      <c r="CK2513">
        <v>1</v>
      </c>
    </row>
    <row r="2514" spans="1:89">
      <c r="A2514" t="s">
        <v>1415</v>
      </c>
      <c r="B2514" t="s">
        <v>374</v>
      </c>
      <c r="C2514" t="s">
        <v>1416</v>
      </c>
      <c r="D2514" t="s">
        <v>3763</v>
      </c>
      <c r="E2514" t="s">
        <v>3764</v>
      </c>
      <c r="F2514" s="13">
        <v>44526.669270833336</v>
      </c>
      <c r="G2514" t="s">
        <v>1418</v>
      </c>
      <c r="H2514" t="s">
        <v>1419</v>
      </c>
      <c r="I2514" s="13">
        <v>45012.043599537035</v>
      </c>
      <c r="K2514" t="s">
        <v>415</v>
      </c>
      <c r="M2514" s="13">
        <v>44742</v>
      </c>
      <c r="R2514">
        <v>0</v>
      </c>
      <c r="S2514" t="s">
        <v>380</v>
      </c>
      <c r="T2514" t="s">
        <v>57</v>
      </c>
      <c r="V2514" t="s">
        <v>478</v>
      </c>
      <c r="W2514" t="s">
        <v>3701</v>
      </c>
      <c r="X2514" t="s">
        <v>3701</v>
      </c>
      <c r="AF2514" t="s">
        <v>451</v>
      </c>
      <c r="AI2514">
        <v>-270</v>
      </c>
      <c r="AL2514" t="s">
        <v>3765</v>
      </c>
      <c r="AN2514" t="s">
        <v>31</v>
      </c>
      <c r="AO2514">
        <v>0</v>
      </c>
      <c r="AS2514" t="s">
        <v>392</v>
      </c>
      <c r="AX2514" t="s">
        <v>31</v>
      </c>
      <c r="AY2514" t="s">
        <v>442</v>
      </c>
      <c r="AZ2514" t="s">
        <v>3766</v>
      </c>
      <c r="BF2514">
        <v>0</v>
      </c>
      <c r="BK2514" t="s">
        <v>31</v>
      </c>
      <c r="BS2514" t="s">
        <v>419</v>
      </c>
      <c r="BT2514" t="s">
        <v>419</v>
      </c>
      <c r="CI2514" t="s">
        <v>388</v>
      </c>
      <c r="CJ2514" s="14">
        <v>45015</v>
      </c>
      <c r="CK2514">
        <v>1</v>
      </c>
    </row>
    <row r="2515" spans="1:89">
      <c r="A2515" t="s">
        <v>1415</v>
      </c>
      <c r="B2515" t="s">
        <v>374</v>
      </c>
      <c r="C2515" t="s">
        <v>1416</v>
      </c>
      <c r="D2515" t="s">
        <v>3767</v>
      </c>
      <c r="E2515" t="s">
        <v>3768</v>
      </c>
      <c r="F2515" s="13">
        <v>44526.54210648148</v>
      </c>
      <c r="G2515" t="s">
        <v>1418</v>
      </c>
      <c r="H2515" t="s">
        <v>1419</v>
      </c>
      <c r="I2515" s="13">
        <v>44544.572581018518</v>
      </c>
      <c r="K2515" t="s">
        <v>379</v>
      </c>
      <c r="M2515" s="13">
        <v>44561</v>
      </c>
      <c r="R2515">
        <v>100</v>
      </c>
      <c r="S2515" t="s">
        <v>380</v>
      </c>
      <c r="T2515" t="s">
        <v>57</v>
      </c>
      <c r="V2515" t="s">
        <v>381</v>
      </c>
      <c r="W2515" t="s">
        <v>3769</v>
      </c>
      <c r="X2515" t="s">
        <v>3769</v>
      </c>
      <c r="AF2515" t="s">
        <v>382</v>
      </c>
      <c r="AG2515" t="s">
        <v>3770</v>
      </c>
      <c r="AI2515">
        <v>17</v>
      </c>
      <c r="AL2515" t="s">
        <v>3771</v>
      </c>
      <c r="AN2515" t="s">
        <v>31</v>
      </c>
      <c r="AO2515">
        <v>0</v>
      </c>
      <c r="AS2515" t="s">
        <v>461</v>
      </c>
      <c r="AX2515" t="s">
        <v>31</v>
      </c>
      <c r="AY2515" t="s">
        <v>386</v>
      </c>
      <c r="AZ2515" t="s">
        <v>3772</v>
      </c>
      <c r="BF2515">
        <v>0</v>
      </c>
      <c r="BK2515" t="s">
        <v>31</v>
      </c>
      <c r="BS2515" t="s">
        <v>379</v>
      </c>
      <c r="BT2515" t="s">
        <v>379</v>
      </c>
      <c r="CI2515" t="s">
        <v>388</v>
      </c>
      <c r="CJ2515" s="14">
        <v>45015</v>
      </c>
      <c r="CK2515">
        <v>1</v>
      </c>
    </row>
    <row r="2516" spans="1:89">
      <c r="A2516" t="s">
        <v>1415</v>
      </c>
      <c r="B2516" t="s">
        <v>374</v>
      </c>
      <c r="C2516" t="s">
        <v>1416</v>
      </c>
      <c r="D2516" t="s">
        <v>3773</v>
      </c>
      <c r="E2516" t="s">
        <v>3774</v>
      </c>
      <c r="F2516" s="13">
        <v>44526.491319444445</v>
      </c>
      <c r="G2516" t="s">
        <v>1418</v>
      </c>
      <c r="H2516" t="s">
        <v>1419</v>
      </c>
      <c r="I2516" s="13">
        <v>44544.560127314813</v>
      </c>
      <c r="K2516" t="s">
        <v>379</v>
      </c>
      <c r="M2516" s="13">
        <v>44561</v>
      </c>
      <c r="R2516">
        <v>100</v>
      </c>
      <c r="S2516" t="s">
        <v>380</v>
      </c>
      <c r="T2516" t="s">
        <v>57</v>
      </c>
      <c r="V2516" t="s">
        <v>381</v>
      </c>
      <c r="W2516" t="s">
        <v>3769</v>
      </c>
      <c r="X2516" t="s">
        <v>3769</v>
      </c>
      <c r="AF2516" t="s">
        <v>382</v>
      </c>
      <c r="AG2516" t="s">
        <v>3775</v>
      </c>
      <c r="AI2516">
        <v>17</v>
      </c>
      <c r="AL2516" t="s">
        <v>3776</v>
      </c>
      <c r="AN2516" t="s">
        <v>31</v>
      </c>
      <c r="AO2516">
        <v>0</v>
      </c>
      <c r="AS2516" t="s">
        <v>702</v>
      </c>
      <c r="AX2516" t="s">
        <v>31</v>
      </c>
      <c r="AY2516" t="s">
        <v>386</v>
      </c>
      <c r="AZ2516" t="s">
        <v>3777</v>
      </c>
      <c r="BF2516">
        <v>0</v>
      </c>
      <c r="BK2516" t="s">
        <v>31</v>
      </c>
      <c r="BS2516" t="s">
        <v>379</v>
      </c>
      <c r="BT2516" t="s">
        <v>379</v>
      </c>
      <c r="CI2516" t="s">
        <v>388</v>
      </c>
      <c r="CJ2516" s="14">
        <v>45015</v>
      </c>
      <c r="CK2516">
        <v>1</v>
      </c>
    </row>
    <row r="2517" spans="1:89">
      <c r="A2517" t="s">
        <v>1415</v>
      </c>
      <c r="B2517" t="s">
        <v>374</v>
      </c>
      <c r="C2517" t="s">
        <v>1416</v>
      </c>
      <c r="D2517" t="s">
        <v>3778</v>
      </c>
      <c r="E2517" t="s">
        <v>3779</v>
      </c>
      <c r="F2517" s="13">
        <v>44524.658634259256</v>
      </c>
      <c r="G2517" t="s">
        <v>1418</v>
      </c>
      <c r="H2517" t="s">
        <v>1419</v>
      </c>
      <c r="I2517" s="13">
        <v>44529.661574074074</v>
      </c>
      <c r="K2517" t="s">
        <v>379</v>
      </c>
      <c r="M2517" s="13">
        <v>44530</v>
      </c>
      <c r="R2517">
        <v>100</v>
      </c>
      <c r="S2517" t="s">
        <v>416</v>
      </c>
      <c r="T2517" t="s">
        <v>57</v>
      </c>
      <c r="V2517" t="s">
        <v>381</v>
      </c>
      <c r="W2517" t="s">
        <v>3736</v>
      </c>
      <c r="X2517" t="s">
        <v>3736</v>
      </c>
      <c r="AF2517" t="s">
        <v>382</v>
      </c>
      <c r="AG2517" t="s">
        <v>3780</v>
      </c>
      <c r="AI2517">
        <v>1</v>
      </c>
      <c r="AL2517" t="s">
        <v>3738</v>
      </c>
      <c r="AM2517">
        <v>1</v>
      </c>
      <c r="AN2517" t="s">
        <v>31</v>
      </c>
      <c r="AO2517">
        <v>0</v>
      </c>
      <c r="AS2517" t="s">
        <v>1720</v>
      </c>
      <c r="AX2517" t="s">
        <v>31</v>
      </c>
      <c r="AY2517" t="s">
        <v>386</v>
      </c>
      <c r="AZ2517" t="s">
        <v>3781</v>
      </c>
      <c r="BF2517">
        <v>0</v>
      </c>
      <c r="BK2517" t="s">
        <v>31</v>
      </c>
      <c r="BS2517" t="s">
        <v>379</v>
      </c>
      <c r="BT2517" t="s">
        <v>379</v>
      </c>
      <c r="CI2517" t="s">
        <v>388</v>
      </c>
      <c r="CJ2517" s="14">
        <v>45015</v>
      </c>
      <c r="CK2517">
        <v>1</v>
      </c>
    </row>
    <row r="2518" spans="1:89">
      <c r="A2518" t="s">
        <v>3782</v>
      </c>
      <c r="B2518" t="s">
        <v>374</v>
      </c>
      <c r="C2518" t="s">
        <v>3783</v>
      </c>
      <c r="D2518" t="s">
        <v>3784</v>
      </c>
      <c r="E2518" t="s">
        <v>3785</v>
      </c>
      <c r="F2518" s="13">
        <v>44524.604131944441</v>
      </c>
      <c r="G2518" t="s">
        <v>2271</v>
      </c>
      <c r="H2518" t="s">
        <v>2272</v>
      </c>
      <c r="I2518" s="13">
        <v>44543.440949074073</v>
      </c>
      <c r="K2518" t="s">
        <v>379</v>
      </c>
      <c r="M2518" s="13">
        <v>44545</v>
      </c>
      <c r="R2518">
        <v>100</v>
      </c>
      <c r="S2518" t="s">
        <v>380</v>
      </c>
      <c r="T2518" t="s">
        <v>57</v>
      </c>
      <c r="V2518" t="s">
        <v>381</v>
      </c>
      <c r="W2518" t="s">
        <v>3786</v>
      </c>
      <c r="X2518" t="s">
        <v>3786</v>
      </c>
      <c r="AF2518" t="s">
        <v>382</v>
      </c>
      <c r="AG2518" t="s">
        <v>3787</v>
      </c>
      <c r="AI2518">
        <v>2</v>
      </c>
      <c r="AL2518" t="s">
        <v>3788</v>
      </c>
      <c r="AN2518" t="s">
        <v>31</v>
      </c>
      <c r="AO2518">
        <v>0</v>
      </c>
      <c r="AS2518" t="s">
        <v>702</v>
      </c>
      <c r="AX2518" t="s">
        <v>57</v>
      </c>
      <c r="AY2518" t="s">
        <v>442</v>
      </c>
      <c r="AZ2518" t="s">
        <v>3789</v>
      </c>
      <c r="BE2518" t="s">
        <v>3790</v>
      </c>
      <c r="BF2518">
        <v>0</v>
      </c>
      <c r="BK2518" t="s">
        <v>31</v>
      </c>
      <c r="BS2518" t="s">
        <v>379</v>
      </c>
      <c r="BT2518" t="s">
        <v>379</v>
      </c>
      <c r="CI2518" t="s">
        <v>388</v>
      </c>
      <c r="CJ2518" s="14">
        <v>45015</v>
      </c>
      <c r="CK2518">
        <v>1</v>
      </c>
    </row>
    <row r="2519" spans="1:89">
      <c r="A2519" t="s">
        <v>2502</v>
      </c>
      <c r="B2519" t="s">
        <v>374</v>
      </c>
      <c r="C2519" t="s">
        <v>2503</v>
      </c>
      <c r="D2519" t="s">
        <v>3791</v>
      </c>
      <c r="E2519" t="s">
        <v>3792</v>
      </c>
      <c r="F2519" s="13">
        <v>44518.478993055556</v>
      </c>
      <c r="G2519" t="s">
        <v>2506</v>
      </c>
      <c r="H2519" t="s">
        <v>2507</v>
      </c>
      <c r="I2519" s="13">
        <v>44518.479942129627</v>
      </c>
      <c r="K2519" t="s">
        <v>412</v>
      </c>
      <c r="R2519">
        <v>0</v>
      </c>
      <c r="S2519" t="s">
        <v>380</v>
      </c>
      <c r="T2519" t="s">
        <v>57</v>
      </c>
      <c r="V2519" t="s">
        <v>381</v>
      </c>
      <c r="W2519" t="s">
        <v>3793</v>
      </c>
      <c r="X2519" t="s">
        <v>3793</v>
      </c>
      <c r="AC2519" s="13">
        <v>44651</v>
      </c>
      <c r="AD2519" s="13">
        <v>44651</v>
      </c>
      <c r="AI2519">
        <v>133</v>
      </c>
      <c r="AL2519" t="s">
        <v>3794</v>
      </c>
      <c r="AN2519" t="s">
        <v>31</v>
      </c>
      <c r="AO2519">
        <v>0</v>
      </c>
      <c r="AS2519" t="s">
        <v>385</v>
      </c>
      <c r="AX2519" t="s">
        <v>31</v>
      </c>
      <c r="AY2519" t="s">
        <v>442</v>
      </c>
      <c r="AZ2519" t="s">
        <v>3795</v>
      </c>
      <c r="BF2519">
        <v>0</v>
      </c>
      <c r="BK2519" t="s">
        <v>31</v>
      </c>
      <c r="BS2519" t="s">
        <v>412</v>
      </c>
      <c r="BT2519" t="s">
        <v>412</v>
      </c>
      <c r="CI2519" t="s">
        <v>388</v>
      </c>
      <c r="CJ2519" s="14">
        <v>45015</v>
      </c>
      <c r="CK2519">
        <v>1</v>
      </c>
    </row>
    <row r="2520" spans="1:89">
      <c r="A2520" t="s">
        <v>2227</v>
      </c>
      <c r="B2520" t="s">
        <v>374</v>
      </c>
      <c r="C2520" t="s">
        <v>2228</v>
      </c>
      <c r="D2520" t="s">
        <v>3796</v>
      </c>
      <c r="E2520" t="s">
        <v>3797</v>
      </c>
      <c r="F2520" s="13">
        <v>44516.551932870374</v>
      </c>
      <c r="G2520" t="s">
        <v>2231</v>
      </c>
      <c r="H2520" t="s">
        <v>2232</v>
      </c>
      <c r="I2520" s="13">
        <v>44972.596226851849</v>
      </c>
      <c r="K2520" t="s">
        <v>379</v>
      </c>
      <c r="M2520" s="13">
        <v>44606</v>
      </c>
      <c r="R2520">
        <v>100</v>
      </c>
      <c r="S2520" t="s">
        <v>416</v>
      </c>
      <c r="T2520" t="s">
        <v>57</v>
      </c>
      <c r="V2520" t="s">
        <v>478</v>
      </c>
      <c r="W2520" t="s">
        <v>2233</v>
      </c>
      <c r="X2520" t="s">
        <v>2233</v>
      </c>
      <c r="Y2520" t="s">
        <v>480</v>
      </c>
      <c r="AF2520" t="s">
        <v>382</v>
      </c>
      <c r="AG2520" t="s">
        <v>3798</v>
      </c>
      <c r="AI2520">
        <v>-14</v>
      </c>
      <c r="AL2520" t="s">
        <v>2518</v>
      </c>
      <c r="AM2520">
        <v>1</v>
      </c>
      <c r="AN2520" t="s">
        <v>31</v>
      </c>
      <c r="AO2520">
        <v>0</v>
      </c>
      <c r="AS2520" t="s">
        <v>385</v>
      </c>
      <c r="AX2520" t="s">
        <v>31</v>
      </c>
      <c r="AY2520" t="s">
        <v>442</v>
      </c>
      <c r="AZ2520" t="s">
        <v>3799</v>
      </c>
      <c r="BE2520" t="s">
        <v>1404</v>
      </c>
      <c r="BF2520">
        <v>0</v>
      </c>
      <c r="BK2520" t="s">
        <v>31</v>
      </c>
      <c r="BS2520" t="s">
        <v>379</v>
      </c>
      <c r="BT2520" t="s">
        <v>379</v>
      </c>
      <c r="CI2520" t="s">
        <v>388</v>
      </c>
      <c r="CJ2520" s="14">
        <v>45015</v>
      </c>
      <c r="CK2520">
        <v>1</v>
      </c>
    </row>
    <row r="2521" spans="1:89">
      <c r="A2521" t="s">
        <v>2227</v>
      </c>
      <c r="B2521" t="s">
        <v>374</v>
      </c>
      <c r="C2521" t="s">
        <v>2228</v>
      </c>
      <c r="D2521" t="s">
        <v>3800</v>
      </c>
      <c r="E2521" t="s">
        <v>3801</v>
      </c>
      <c r="F2521" s="13">
        <v>44516.431805555556</v>
      </c>
      <c r="G2521" t="s">
        <v>2231</v>
      </c>
      <c r="H2521" t="s">
        <v>2232</v>
      </c>
      <c r="I2521" s="13">
        <v>44972.596226851849</v>
      </c>
      <c r="K2521" t="s">
        <v>379</v>
      </c>
      <c r="M2521" s="13">
        <v>44592</v>
      </c>
      <c r="R2521">
        <v>100</v>
      </c>
      <c r="S2521" t="s">
        <v>416</v>
      </c>
      <c r="T2521" t="s">
        <v>57</v>
      </c>
      <c r="V2521" t="s">
        <v>381</v>
      </c>
      <c r="W2521" t="s">
        <v>2233</v>
      </c>
      <c r="X2521" t="s">
        <v>2233</v>
      </c>
      <c r="AF2521" t="s">
        <v>382</v>
      </c>
      <c r="AG2521" t="s">
        <v>3802</v>
      </c>
      <c r="AI2521">
        <v>3</v>
      </c>
      <c r="AL2521" t="s">
        <v>3521</v>
      </c>
      <c r="AM2521">
        <v>1</v>
      </c>
      <c r="AN2521" t="s">
        <v>31</v>
      </c>
      <c r="AO2521">
        <v>0</v>
      </c>
      <c r="AS2521" t="s">
        <v>385</v>
      </c>
      <c r="AX2521" t="s">
        <v>31</v>
      </c>
      <c r="AY2521" t="s">
        <v>442</v>
      </c>
      <c r="AZ2521" t="s">
        <v>3522</v>
      </c>
      <c r="BE2521" t="s">
        <v>1404</v>
      </c>
      <c r="BF2521">
        <v>0</v>
      </c>
      <c r="BK2521" t="s">
        <v>31</v>
      </c>
      <c r="BS2521" t="s">
        <v>379</v>
      </c>
      <c r="BT2521" t="s">
        <v>379</v>
      </c>
      <c r="CI2521" t="s">
        <v>388</v>
      </c>
      <c r="CJ2521" s="14">
        <v>45015</v>
      </c>
      <c r="CK2521">
        <v>1</v>
      </c>
    </row>
    <row r="2522" spans="1:89">
      <c r="A2522" t="s">
        <v>2227</v>
      </c>
      <c r="B2522" t="s">
        <v>374</v>
      </c>
      <c r="C2522" t="s">
        <v>2228</v>
      </c>
      <c r="D2522" t="s">
        <v>3803</v>
      </c>
      <c r="E2522" t="s">
        <v>3804</v>
      </c>
      <c r="F2522" s="13">
        <v>44516.40116898148</v>
      </c>
      <c r="G2522" t="s">
        <v>2231</v>
      </c>
      <c r="H2522" t="s">
        <v>2232</v>
      </c>
      <c r="I2522" s="13">
        <v>44972.596226851849</v>
      </c>
      <c r="K2522" t="s">
        <v>379</v>
      </c>
      <c r="M2522" s="13">
        <v>44561</v>
      </c>
      <c r="R2522">
        <v>100</v>
      </c>
      <c r="S2522" t="s">
        <v>416</v>
      </c>
      <c r="T2522" t="s">
        <v>57</v>
      </c>
      <c r="V2522" t="s">
        <v>478</v>
      </c>
      <c r="W2522" t="s">
        <v>3528</v>
      </c>
      <c r="X2522" t="s">
        <v>3528</v>
      </c>
      <c r="AE2522" t="s">
        <v>3805</v>
      </c>
      <c r="AF2522" t="s">
        <v>382</v>
      </c>
      <c r="AG2522" t="s">
        <v>3806</v>
      </c>
      <c r="AI2522">
        <v>-40</v>
      </c>
      <c r="AJ2522" s="13">
        <v>44592</v>
      </c>
      <c r="AL2522" t="s">
        <v>3530</v>
      </c>
      <c r="AM2522">
        <v>1</v>
      </c>
      <c r="AN2522" t="s">
        <v>31</v>
      </c>
      <c r="AO2522">
        <v>0</v>
      </c>
      <c r="AR2522" t="s">
        <v>3806</v>
      </c>
      <c r="AS2522" t="s">
        <v>385</v>
      </c>
      <c r="AX2522" t="s">
        <v>31</v>
      </c>
      <c r="AY2522" t="s">
        <v>442</v>
      </c>
      <c r="AZ2522" t="s">
        <v>3532</v>
      </c>
      <c r="BE2522" t="s">
        <v>1404</v>
      </c>
      <c r="BF2522">
        <v>0</v>
      </c>
      <c r="BK2522" t="s">
        <v>31</v>
      </c>
      <c r="BS2522" t="s">
        <v>379</v>
      </c>
      <c r="BT2522" t="s">
        <v>379</v>
      </c>
      <c r="CI2522" t="s">
        <v>388</v>
      </c>
      <c r="CJ2522" s="14">
        <v>45015</v>
      </c>
      <c r="CK2522">
        <v>1</v>
      </c>
    </row>
    <row r="2523" spans="1:89">
      <c r="A2523" t="s">
        <v>1497</v>
      </c>
      <c r="B2523" t="s">
        <v>374</v>
      </c>
      <c r="C2523" t="s">
        <v>1498</v>
      </c>
      <c r="D2523" t="s">
        <v>3807</v>
      </c>
      <c r="E2523" t="s">
        <v>3808</v>
      </c>
      <c r="F2523" s="13">
        <v>44503.556354166663</v>
      </c>
      <c r="G2523" t="s">
        <v>1501</v>
      </c>
      <c r="H2523" t="s">
        <v>1502</v>
      </c>
      <c r="I2523" s="13">
        <v>45012.043599537035</v>
      </c>
      <c r="K2523" t="s">
        <v>415</v>
      </c>
      <c r="M2523" s="13">
        <v>44895</v>
      </c>
      <c r="R2523">
        <v>0</v>
      </c>
      <c r="S2523" t="s">
        <v>380</v>
      </c>
      <c r="T2523" t="s">
        <v>57</v>
      </c>
      <c r="V2523" t="s">
        <v>478</v>
      </c>
      <c r="W2523" t="s">
        <v>1684</v>
      </c>
      <c r="X2523" t="s">
        <v>1684</v>
      </c>
      <c r="AF2523" t="s">
        <v>451</v>
      </c>
      <c r="AI2523">
        <v>-117</v>
      </c>
      <c r="AL2523" t="s">
        <v>3809</v>
      </c>
      <c r="AN2523" t="s">
        <v>57</v>
      </c>
      <c r="AO2523">
        <v>0</v>
      </c>
      <c r="AS2523" t="s">
        <v>392</v>
      </c>
      <c r="AX2523" t="s">
        <v>57</v>
      </c>
      <c r="AY2523" t="s">
        <v>442</v>
      </c>
      <c r="AZ2523" t="s">
        <v>3810</v>
      </c>
      <c r="BF2523">
        <v>0</v>
      </c>
      <c r="BK2523" t="s">
        <v>31</v>
      </c>
      <c r="BS2523" t="s">
        <v>419</v>
      </c>
      <c r="BT2523" t="s">
        <v>419</v>
      </c>
      <c r="CI2523" t="s">
        <v>388</v>
      </c>
      <c r="CJ2523" s="14">
        <v>45015</v>
      </c>
      <c r="CK2523">
        <v>1</v>
      </c>
    </row>
    <row r="2524" spans="1:89">
      <c r="A2524" t="s">
        <v>2227</v>
      </c>
      <c r="B2524" t="s">
        <v>374</v>
      </c>
      <c r="C2524" t="s">
        <v>2228</v>
      </c>
      <c r="D2524" t="s">
        <v>3811</v>
      </c>
      <c r="E2524" t="s">
        <v>3812</v>
      </c>
      <c r="F2524" s="13">
        <v>44503.398298611108</v>
      </c>
      <c r="G2524" t="s">
        <v>2231</v>
      </c>
      <c r="H2524" t="s">
        <v>2232</v>
      </c>
      <c r="I2524" s="13">
        <v>45012.043599537035</v>
      </c>
      <c r="K2524" t="s">
        <v>415</v>
      </c>
      <c r="M2524" s="13">
        <v>44666</v>
      </c>
      <c r="R2524">
        <v>0</v>
      </c>
      <c r="S2524" t="s">
        <v>380</v>
      </c>
      <c r="T2524" t="s">
        <v>57</v>
      </c>
      <c r="V2524" t="s">
        <v>478</v>
      </c>
      <c r="W2524" t="s">
        <v>3528</v>
      </c>
      <c r="X2524" t="s">
        <v>3528</v>
      </c>
      <c r="AF2524" t="s">
        <v>451</v>
      </c>
      <c r="AG2524" t="s">
        <v>3813</v>
      </c>
      <c r="AI2524">
        <v>-346</v>
      </c>
      <c r="AL2524" t="s">
        <v>3814</v>
      </c>
      <c r="AN2524" t="s">
        <v>31</v>
      </c>
      <c r="AO2524">
        <v>0</v>
      </c>
      <c r="AS2524" t="s">
        <v>385</v>
      </c>
      <c r="AX2524" t="s">
        <v>31</v>
      </c>
      <c r="AY2524" t="s">
        <v>386</v>
      </c>
      <c r="AZ2524" t="s">
        <v>3815</v>
      </c>
      <c r="BF2524">
        <v>0</v>
      </c>
      <c r="BK2524" t="s">
        <v>31</v>
      </c>
      <c r="BS2524" t="s">
        <v>419</v>
      </c>
      <c r="BT2524" t="s">
        <v>419</v>
      </c>
      <c r="CI2524" t="s">
        <v>388</v>
      </c>
      <c r="CJ2524" s="14">
        <v>45015</v>
      </c>
      <c r="CK2524">
        <v>1</v>
      </c>
    </row>
    <row r="2525" spans="1:89">
      <c r="A2525" t="s">
        <v>2502</v>
      </c>
      <c r="B2525" t="s">
        <v>374</v>
      </c>
      <c r="C2525" t="s">
        <v>2503</v>
      </c>
      <c r="D2525" t="s">
        <v>3816</v>
      </c>
      <c r="E2525" t="s">
        <v>3817</v>
      </c>
      <c r="F2525" s="13">
        <v>44502.819351851853</v>
      </c>
      <c r="G2525" t="s">
        <v>2506</v>
      </c>
      <c r="H2525" t="s">
        <v>2507</v>
      </c>
      <c r="I2525" s="13">
        <v>44524.765069444446</v>
      </c>
      <c r="K2525" t="s">
        <v>379</v>
      </c>
      <c r="M2525" s="13">
        <v>44505</v>
      </c>
      <c r="R2525">
        <v>100</v>
      </c>
      <c r="S2525" t="s">
        <v>380</v>
      </c>
      <c r="T2525" t="s">
        <v>57</v>
      </c>
      <c r="V2525" t="s">
        <v>381</v>
      </c>
      <c r="W2525" t="s">
        <v>3793</v>
      </c>
      <c r="X2525" t="s">
        <v>3793</v>
      </c>
      <c r="AC2525" s="13">
        <v>44505</v>
      </c>
      <c r="AD2525" s="13">
        <v>44505</v>
      </c>
      <c r="AF2525" t="s">
        <v>382</v>
      </c>
      <c r="AG2525" t="s">
        <v>3818</v>
      </c>
      <c r="AI2525">
        <v>-19</v>
      </c>
      <c r="AL2525" t="s">
        <v>3819</v>
      </c>
      <c r="AN2525" t="s">
        <v>31</v>
      </c>
      <c r="AO2525">
        <v>0</v>
      </c>
      <c r="AS2525" t="s">
        <v>730</v>
      </c>
      <c r="AX2525" t="s">
        <v>57</v>
      </c>
      <c r="AY2525" t="s">
        <v>386</v>
      </c>
      <c r="AZ2525" t="s">
        <v>3820</v>
      </c>
      <c r="BF2525">
        <v>0</v>
      </c>
      <c r="BK2525" t="s">
        <v>31</v>
      </c>
      <c r="BS2525" t="s">
        <v>379</v>
      </c>
      <c r="BT2525" t="s">
        <v>379</v>
      </c>
      <c r="CI2525" t="s">
        <v>388</v>
      </c>
      <c r="CJ2525" s="14">
        <v>45015</v>
      </c>
      <c r="CK2525">
        <v>1</v>
      </c>
    </row>
    <row r="2526" spans="1:89">
      <c r="A2526" t="s">
        <v>1415</v>
      </c>
      <c r="B2526" t="s">
        <v>374</v>
      </c>
      <c r="C2526" t="s">
        <v>1416</v>
      </c>
      <c r="D2526" t="s">
        <v>3821</v>
      </c>
      <c r="E2526" t="s">
        <v>3822</v>
      </c>
      <c r="F2526" s="13">
        <v>44502.636817129627</v>
      </c>
      <c r="G2526" t="s">
        <v>1418</v>
      </c>
      <c r="H2526" t="s">
        <v>1419</v>
      </c>
      <c r="I2526" s="13">
        <v>45012.043587962966</v>
      </c>
      <c r="K2526" t="s">
        <v>415</v>
      </c>
      <c r="M2526" s="13">
        <v>44651</v>
      </c>
      <c r="R2526">
        <v>0</v>
      </c>
      <c r="S2526" t="s">
        <v>380</v>
      </c>
      <c r="T2526" t="s">
        <v>57</v>
      </c>
      <c r="V2526" t="s">
        <v>478</v>
      </c>
      <c r="W2526" t="s">
        <v>3823</v>
      </c>
      <c r="X2526" t="s">
        <v>3823</v>
      </c>
      <c r="AF2526" t="s">
        <v>451</v>
      </c>
      <c r="AI2526">
        <v>-361</v>
      </c>
      <c r="AL2526" t="s">
        <v>3824</v>
      </c>
      <c r="AN2526" t="s">
        <v>57</v>
      </c>
      <c r="AO2526">
        <v>0</v>
      </c>
      <c r="AS2526" t="s">
        <v>392</v>
      </c>
      <c r="AX2526" t="s">
        <v>57</v>
      </c>
      <c r="AY2526" t="s">
        <v>442</v>
      </c>
      <c r="AZ2526" t="s">
        <v>3825</v>
      </c>
      <c r="BF2526">
        <v>0</v>
      </c>
      <c r="BK2526" t="s">
        <v>31</v>
      </c>
      <c r="BS2526" t="s">
        <v>419</v>
      </c>
      <c r="BT2526" t="s">
        <v>419</v>
      </c>
      <c r="CI2526" t="s">
        <v>388</v>
      </c>
      <c r="CJ2526" s="14">
        <v>45015</v>
      </c>
      <c r="CK2526">
        <v>1</v>
      </c>
    </row>
    <row r="2527" spans="1:89">
      <c r="A2527" t="s">
        <v>2121</v>
      </c>
      <c r="B2527" t="s">
        <v>374</v>
      </c>
      <c r="C2527" t="s">
        <v>2122</v>
      </c>
      <c r="D2527" t="s">
        <v>3826</v>
      </c>
      <c r="E2527" t="s">
        <v>3827</v>
      </c>
      <c r="F2527" s="13">
        <v>44498.655023148145</v>
      </c>
      <c r="G2527" t="s">
        <v>1501</v>
      </c>
      <c r="H2527" t="s">
        <v>1502</v>
      </c>
      <c r="I2527" s="13">
        <v>44509.620266203703</v>
      </c>
      <c r="K2527" t="s">
        <v>379</v>
      </c>
      <c r="M2527" s="13">
        <v>44502</v>
      </c>
      <c r="R2527">
        <v>100</v>
      </c>
      <c r="S2527" t="s">
        <v>380</v>
      </c>
      <c r="T2527" t="s">
        <v>57</v>
      </c>
      <c r="V2527" t="s">
        <v>478</v>
      </c>
      <c r="W2527" t="s">
        <v>3828</v>
      </c>
      <c r="X2527" t="s">
        <v>3828</v>
      </c>
      <c r="AF2527" t="s">
        <v>382</v>
      </c>
      <c r="AG2527" t="s">
        <v>3829</v>
      </c>
      <c r="AI2527">
        <v>-7</v>
      </c>
      <c r="AJ2527" s="13">
        <v>44512</v>
      </c>
      <c r="AL2527" t="s">
        <v>3830</v>
      </c>
      <c r="AN2527" t="s">
        <v>31</v>
      </c>
      <c r="AO2527">
        <v>0</v>
      </c>
      <c r="AR2527" t="s">
        <v>3831</v>
      </c>
      <c r="AS2527" t="s">
        <v>385</v>
      </c>
      <c r="AX2527" t="s">
        <v>57</v>
      </c>
      <c r="AY2527" t="s">
        <v>386</v>
      </c>
      <c r="AZ2527" t="s">
        <v>3832</v>
      </c>
      <c r="BF2527">
        <v>0</v>
      </c>
      <c r="BK2527" t="s">
        <v>31</v>
      </c>
      <c r="BS2527" t="s">
        <v>379</v>
      </c>
      <c r="BT2527" t="s">
        <v>379</v>
      </c>
      <c r="CI2527" t="s">
        <v>388</v>
      </c>
      <c r="CJ2527" s="14">
        <v>45015</v>
      </c>
      <c r="CK2527">
        <v>1</v>
      </c>
    </row>
    <row r="2528" spans="1:89">
      <c r="A2528" t="s">
        <v>1497</v>
      </c>
      <c r="B2528" t="s">
        <v>374</v>
      </c>
      <c r="C2528" t="s">
        <v>1498</v>
      </c>
      <c r="D2528" t="s">
        <v>3833</v>
      </c>
      <c r="E2528" t="s">
        <v>3834</v>
      </c>
      <c r="F2528" s="13">
        <v>44495.703460648147</v>
      </c>
      <c r="G2528" t="s">
        <v>1501</v>
      </c>
      <c r="H2528" t="s">
        <v>1502</v>
      </c>
      <c r="I2528" s="13">
        <v>44587.395960648151</v>
      </c>
      <c r="K2528" t="s">
        <v>379</v>
      </c>
      <c r="M2528" s="13">
        <v>44498</v>
      </c>
      <c r="R2528">
        <v>100</v>
      </c>
      <c r="S2528" t="s">
        <v>380</v>
      </c>
      <c r="T2528" t="s">
        <v>57</v>
      </c>
      <c r="V2528" t="s">
        <v>478</v>
      </c>
      <c r="W2528" t="s">
        <v>3835</v>
      </c>
      <c r="X2528" t="s">
        <v>3835</v>
      </c>
      <c r="AB2528" t="s">
        <v>57</v>
      </c>
      <c r="AF2528" t="s">
        <v>382</v>
      </c>
      <c r="AG2528" t="s">
        <v>3836</v>
      </c>
      <c r="AI2528">
        <v>-89</v>
      </c>
      <c r="AJ2528" s="13">
        <v>44568</v>
      </c>
      <c r="AL2528" t="s">
        <v>3837</v>
      </c>
      <c r="AN2528" t="s">
        <v>57</v>
      </c>
      <c r="AO2528">
        <v>0</v>
      </c>
      <c r="AR2528" t="s">
        <v>3838</v>
      </c>
      <c r="AS2528" t="s">
        <v>392</v>
      </c>
      <c r="AX2528" t="s">
        <v>57</v>
      </c>
      <c r="AY2528" t="s">
        <v>386</v>
      </c>
      <c r="AZ2528" t="s">
        <v>3839</v>
      </c>
      <c r="BC2528" t="s">
        <v>480</v>
      </c>
      <c r="BD2528" t="s">
        <v>3840</v>
      </c>
      <c r="BF2528">
        <v>0</v>
      </c>
      <c r="BK2528" t="s">
        <v>31</v>
      </c>
      <c r="BS2528" t="s">
        <v>379</v>
      </c>
      <c r="BT2528" t="s">
        <v>379</v>
      </c>
      <c r="CC2528" t="s">
        <v>3841</v>
      </c>
      <c r="CI2528" t="s">
        <v>388</v>
      </c>
      <c r="CJ2528" s="14">
        <v>45015</v>
      </c>
      <c r="CK2528">
        <v>1</v>
      </c>
    </row>
    <row r="2529" spans="1:89">
      <c r="A2529" t="s">
        <v>1497</v>
      </c>
      <c r="B2529" t="s">
        <v>374</v>
      </c>
      <c r="C2529" t="s">
        <v>1498</v>
      </c>
      <c r="D2529" t="s">
        <v>3842</v>
      </c>
      <c r="E2529" t="s">
        <v>3843</v>
      </c>
      <c r="F2529" s="13">
        <v>44495.408101851855</v>
      </c>
      <c r="G2529" t="s">
        <v>1501</v>
      </c>
      <c r="H2529" t="s">
        <v>1502</v>
      </c>
      <c r="I2529" s="13">
        <v>45012.043587962966</v>
      </c>
      <c r="K2529" t="s">
        <v>415</v>
      </c>
      <c r="M2529" s="13">
        <v>44895</v>
      </c>
      <c r="R2529">
        <v>0</v>
      </c>
      <c r="S2529" t="s">
        <v>380</v>
      </c>
      <c r="T2529" t="s">
        <v>57</v>
      </c>
      <c r="V2529" t="s">
        <v>478</v>
      </c>
      <c r="W2529" t="s">
        <v>1684</v>
      </c>
      <c r="X2529" t="s">
        <v>1684</v>
      </c>
      <c r="AF2529" t="s">
        <v>451</v>
      </c>
      <c r="AI2529">
        <v>-117</v>
      </c>
      <c r="AL2529" t="s">
        <v>3844</v>
      </c>
      <c r="AN2529" t="s">
        <v>57</v>
      </c>
      <c r="AO2529">
        <v>0</v>
      </c>
      <c r="AS2529" t="s">
        <v>392</v>
      </c>
      <c r="AX2529" t="s">
        <v>57</v>
      </c>
      <c r="AY2529" t="s">
        <v>442</v>
      </c>
      <c r="AZ2529" t="s">
        <v>3845</v>
      </c>
      <c r="BF2529">
        <v>0</v>
      </c>
      <c r="BK2529" t="s">
        <v>31</v>
      </c>
      <c r="BS2529" t="s">
        <v>419</v>
      </c>
      <c r="BT2529" t="s">
        <v>419</v>
      </c>
      <c r="CI2529" t="s">
        <v>388</v>
      </c>
      <c r="CJ2529" s="14">
        <v>45015</v>
      </c>
      <c r="CK2529">
        <v>1</v>
      </c>
    </row>
    <row r="2530" spans="1:89">
      <c r="A2530" t="s">
        <v>1497</v>
      </c>
      <c r="B2530" t="s">
        <v>374</v>
      </c>
      <c r="C2530" t="s">
        <v>1498</v>
      </c>
      <c r="D2530" t="s">
        <v>3846</v>
      </c>
      <c r="E2530" t="s">
        <v>3847</v>
      </c>
      <c r="F2530" s="13">
        <v>44495.390868055554</v>
      </c>
      <c r="G2530" t="s">
        <v>1501</v>
      </c>
      <c r="H2530" t="s">
        <v>1502</v>
      </c>
      <c r="I2530" s="13">
        <v>45012.043587962966</v>
      </c>
      <c r="K2530" t="s">
        <v>415</v>
      </c>
      <c r="M2530" s="13">
        <v>44895</v>
      </c>
      <c r="R2530">
        <v>0</v>
      </c>
      <c r="S2530" t="s">
        <v>380</v>
      </c>
      <c r="T2530" t="s">
        <v>57</v>
      </c>
      <c r="V2530" t="s">
        <v>478</v>
      </c>
      <c r="W2530" t="s">
        <v>3848</v>
      </c>
      <c r="X2530" t="s">
        <v>3848</v>
      </c>
      <c r="AF2530" t="s">
        <v>451</v>
      </c>
      <c r="AI2530">
        <v>-117</v>
      </c>
      <c r="AL2530" t="s">
        <v>3849</v>
      </c>
      <c r="AN2530" t="s">
        <v>57</v>
      </c>
      <c r="AO2530">
        <v>0</v>
      </c>
      <c r="AS2530" t="s">
        <v>392</v>
      </c>
      <c r="AX2530" t="s">
        <v>57</v>
      </c>
      <c r="AY2530" t="s">
        <v>442</v>
      </c>
      <c r="AZ2530" t="s">
        <v>3850</v>
      </c>
      <c r="BF2530">
        <v>0</v>
      </c>
      <c r="BK2530" t="s">
        <v>31</v>
      </c>
      <c r="BS2530" t="s">
        <v>419</v>
      </c>
      <c r="BT2530" t="s">
        <v>419</v>
      </c>
      <c r="CI2530" t="s">
        <v>388</v>
      </c>
      <c r="CJ2530" s="14">
        <v>45015</v>
      </c>
      <c r="CK2530">
        <v>1</v>
      </c>
    </row>
    <row r="2531" spans="1:89">
      <c r="A2531" t="s">
        <v>1497</v>
      </c>
      <c r="B2531" t="s">
        <v>374</v>
      </c>
      <c r="C2531" t="s">
        <v>1498</v>
      </c>
      <c r="D2531" t="s">
        <v>3851</v>
      </c>
      <c r="E2531" t="s">
        <v>3852</v>
      </c>
      <c r="F2531" s="13">
        <v>44490.643877314818</v>
      </c>
      <c r="G2531" t="s">
        <v>1501</v>
      </c>
      <c r="H2531" t="s">
        <v>1502</v>
      </c>
      <c r="I2531" s="13">
        <v>44496.361898148149</v>
      </c>
      <c r="K2531" t="s">
        <v>379</v>
      </c>
      <c r="M2531" s="13">
        <v>44498</v>
      </c>
      <c r="R2531">
        <v>100</v>
      </c>
      <c r="S2531" t="s">
        <v>380</v>
      </c>
      <c r="T2531" t="s">
        <v>57</v>
      </c>
      <c r="V2531" t="s">
        <v>381</v>
      </c>
      <c r="W2531" t="s">
        <v>3853</v>
      </c>
      <c r="X2531" t="s">
        <v>3853</v>
      </c>
      <c r="AF2531" t="s">
        <v>382</v>
      </c>
      <c r="AG2531" t="s">
        <v>3854</v>
      </c>
      <c r="AI2531">
        <v>2</v>
      </c>
      <c r="AL2531" t="s">
        <v>3855</v>
      </c>
      <c r="AN2531" t="s">
        <v>31</v>
      </c>
      <c r="AO2531">
        <v>0</v>
      </c>
      <c r="AS2531" t="s">
        <v>385</v>
      </c>
      <c r="AX2531" t="s">
        <v>57</v>
      </c>
      <c r="AY2531" t="s">
        <v>386</v>
      </c>
      <c r="AZ2531" t="s">
        <v>3856</v>
      </c>
      <c r="BF2531">
        <v>0</v>
      </c>
      <c r="BK2531" t="s">
        <v>31</v>
      </c>
      <c r="BS2531" t="s">
        <v>379</v>
      </c>
      <c r="BT2531" t="s">
        <v>379</v>
      </c>
      <c r="CI2531" t="s">
        <v>388</v>
      </c>
      <c r="CJ2531" s="14">
        <v>45015</v>
      </c>
      <c r="CK2531">
        <v>1</v>
      </c>
    </row>
    <row r="2532" spans="1:89">
      <c r="A2532" t="s">
        <v>1497</v>
      </c>
      <c r="B2532" t="s">
        <v>374</v>
      </c>
      <c r="C2532" t="s">
        <v>1498</v>
      </c>
      <c r="D2532" t="s">
        <v>3857</v>
      </c>
      <c r="E2532" t="s">
        <v>3858</v>
      </c>
      <c r="F2532" s="13">
        <v>44490.597384259258</v>
      </c>
      <c r="G2532" t="s">
        <v>1501</v>
      </c>
      <c r="H2532" t="s">
        <v>1502</v>
      </c>
      <c r="I2532" s="13">
        <v>44529.599583333336</v>
      </c>
      <c r="K2532" t="s">
        <v>379</v>
      </c>
      <c r="M2532" s="13">
        <v>44498</v>
      </c>
      <c r="R2532">
        <v>100</v>
      </c>
      <c r="S2532" t="s">
        <v>416</v>
      </c>
      <c r="T2532" t="s">
        <v>57</v>
      </c>
      <c r="V2532" t="s">
        <v>478</v>
      </c>
      <c r="W2532" t="s">
        <v>3835</v>
      </c>
      <c r="X2532" t="s">
        <v>3835</v>
      </c>
      <c r="AF2532" t="s">
        <v>382</v>
      </c>
      <c r="AG2532" t="s">
        <v>3859</v>
      </c>
      <c r="AI2532">
        <v>-31</v>
      </c>
      <c r="AL2532" t="s">
        <v>3837</v>
      </c>
      <c r="AM2532">
        <v>1</v>
      </c>
      <c r="AN2532" t="s">
        <v>31</v>
      </c>
      <c r="AO2532">
        <v>0</v>
      </c>
      <c r="AS2532" t="s">
        <v>392</v>
      </c>
      <c r="AX2532" t="s">
        <v>57</v>
      </c>
      <c r="AY2532" t="s">
        <v>386</v>
      </c>
      <c r="AZ2532" t="s">
        <v>3860</v>
      </c>
      <c r="BF2532">
        <v>0</v>
      </c>
      <c r="BK2532" t="s">
        <v>31</v>
      </c>
      <c r="BS2532" t="s">
        <v>379</v>
      </c>
      <c r="BT2532" t="s">
        <v>379</v>
      </c>
      <c r="CI2532" t="s">
        <v>388</v>
      </c>
      <c r="CJ2532" s="14">
        <v>45015</v>
      </c>
      <c r="CK2532">
        <v>1</v>
      </c>
    </row>
    <row r="2533" spans="1:89">
      <c r="A2533" t="s">
        <v>1675</v>
      </c>
      <c r="B2533" t="s">
        <v>374</v>
      </c>
      <c r="C2533" t="s">
        <v>1676</v>
      </c>
      <c r="D2533" t="s">
        <v>3861</v>
      </c>
      <c r="E2533" t="s">
        <v>3862</v>
      </c>
      <c r="F2533" s="13">
        <v>44488.564467592594</v>
      </c>
      <c r="G2533" t="s">
        <v>1501</v>
      </c>
      <c r="H2533" t="s">
        <v>1502</v>
      </c>
      <c r="I2533" s="13">
        <v>45012.043587962966</v>
      </c>
      <c r="K2533" t="s">
        <v>415</v>
      </c>
      <c r="M2533" s="13">
        <v>44895</v>
      </c>
      <c r="R2533">
        <v>0</v>
      </c>
      <c r="S2533" t="s">
        <v>380</v>
      </c>
      <c r="T2533" t="s">
        <v>57</v>
      </c>
      <c r="V2533" t="s">
        <v>478</v>
      </c>
      <c r="W2533" t="s">
        <v>3863</v>
      </c>
      <c r="X2533" t="s">
        <v>3863</v>
      </c>
      <c r="AF2533" t="s">
        <v>451</v>
      </c>
      <c r="AI2533">
        <v>-117</v>
      </c>
      <c r="AL2533" t="s">
        <v>3864</v>
      </c>
      <c r="AN2533" t="s">
        <v>31</v>
      </c>
      <c r="AO2533">
        <v>0</v>
      </c>
      <c r="AS2533" t="s">
        <v>392</v>
      </c>
      <c r="AX2533" t="s">
        <v>57</v>
      </c>
      <c r="AY2533" t="s">
        <v>442</v>
      </c>
      <c r="AZ2533" t="s">
        <v>3865</v>
      </c>
      <c r="BF2533">
        <v>0</v>
      </c>
      <c r="BK2533" t="s">
        <v>31</v>
      </c>
      <c r="BS2533" t="s">
        <v>419</v>
      </c>
      <c r="BT2533" t="s">
        <v>419</v>
      </c>
      <c r="CI2533" t="s">
        <v>388</v>
      </c>
      <c r="CJ2533" s="14">
        <v>45015</v>
      </c>
      <c r="CK2533">
        <v>1</v>
      </c>
    </row>
    <row r="2534" spans="1:89">
      <c r="A2534" t="s">
        <v>1675</v>
      </c>
      <c r="B2534" t="s">
        <v>374</v>
      </c>
      <c r="C2534" t="s">
        <v>1676</v>
      </c>
      <c r="D2534" t="s">
        <v>3866</v>
      </c>
      <c r="E2534" t="s">
        <v>3867</v>
      </c>
      <c r="F2534" s="13">
        <v>44488.56009259259</v>
      </c>
      <c r="G2534" t="s">
        <v>1501</v>
      </c>
      <c r="H2534" t="s">
        <v>1502</v>
      </c>
      <c r="I2534" s="13">
        <v>45012.043576388889</v>
      </c>
      <c r="K2534" t="s">
        <v>415</v>
      </c>
      <c r="M2534" s="13">
        <v>44895</v>
      </c>
      <c r="R2534">
        <v>0</v>
      </c>
      <c r="S2534" t="s">
        <v>380</v>
      </c>
      <c r="T2534" t="s">
        <v>57</v>
      </c>
      <c r="V2534" t="s">
        <v>478</v>
      </c>
      <c r="W2534" t="s">
        <v>440</v>
      </c>
      <c r="X2534" t="s">
        <v>440</v>
      </c>
      <c r="AF2534" t="s">
        <v>451</v>
      </c>
      <c r="AI2534">
        <v>-117</v>
      </c>
      <c r="AL2534" t="s">
        <v>3864</v>
      </c>
      <c r="AN2534" t="s">
        <v>31</v>
      </c>
      <c r="AO2534">
        <v>0</v>
      </c>
      <c r="AS2534" t="s">
        <v>392</v>
      </c>
      <c r="AX2534" t="s">
        <v>57</v>
      </c>
      <c r="AY2534" t="s">
        <v>442</v>
      </c>
      <c r="AZ2534" t="s">
        <v>3868</v>
      </c>
      <c r="BF2534">
        <v>0</v>
      </c>
      <c r="BK2534" t="s">
        <v>31</v>
      </c>
      <c r="BS2534" t="s">
        <v>419</v>
      </c>
      <c r="BT2534" t="s">
        <v>419</v>
      </c>
      <c r="CI2534" t="s">
        <v>388</v>
      </c>
      <c r="CJ2534" s="14">
        <v>45015</v>
      </c>
      <c r="CK2534">
        <v>1</v>
      </c>
    </row>
    <row r="2535" spans="1:89">
      <c r="A2535" t="s">
        <v>1497</v>
      </c>
      <c r="B2535" t="s">
        <v>374</v>
      </c>
      <c r="C2535" t="s">
        <v>1498</v>
      </c>
      <c r="D2535" t="s">
        <v>3869</v>
      </c>
      <c r="E2535" t="s">
        <v>3870</v>
      </c>
      <c r="F2535" s="13">
        <v>44487.409502314818</v>
      </c>
      <c r="G2535" t="s">
        <v>1501</v>
      </c>
      <c r="H2535" t="s">
        <v>1502</v>
      </c>
      <c r="I2535" s="13">
        <v>45012.043576388889</v>
      </c>
      <c r="K2535" t="s">
        <v>415</v>
      </c>
      <c r="M2535" s="13">
        <v>44651</v>
      </c>
      <c r="R2535">
        <v>0</v>
      </c>
      <c r="S2535" t="s">
        <v>380</v>
      </c>
      <c r="T2535" t="s">
        <v>57</v>
      </c>
      <c r="V2535" t="s">
        <v>478</v>
      </c>
      <c r="W2535" t="s">
        <v>3871</v>
      </c>
      <c r="X2535" t="s">
        <v>3871</v>
      </c>
      <c r="AF2535" t="s">
        <v>451</v>
      </c>
      <c r="AI2535">
        <v>-361</v>
      </c>
      <c r="AL2535" t="s">
        <v>3872</v>
      </c>
      <c r="AN2535" t="s">
        <v>31</v>
      </c>
      <c r="AO2535">
        <v>0</v>
      </c>
      <c r="AS2535" t="s">
        <v>392</v>
      </c>
      <c r="AX2535" t="s">
        <v>57</v>
      </c>
      <c r="AY2535" t="s">
        <v>442</v>
      </c>
      <c r="AZ2535" t="s">
        <v>3873</v>
      </c>
      <c r="BF2535">
        <v>0</v>
      </c>
      <c r="BK2535" t="s">
        <v>31</v>
      </c>
      <c r="BS2535" t="s">
        <v>419</v>
      </c>
      <c r="BT2535" t="s">
        <v>419</v>
      </c>
      <c r="CI2535" t="s">
        <v>388</v>
      </c>
      <c r="CJ2535" s="14">
        <v>45015</v>
      </c>
      <c r="CK2535">
        <v>1</v>
      </c>
    </row>
    <row r="2536" spans="1:89">
      <c r="A2536" t="s">
        <v>1675</v>
      </c>
      <c r="B2536" t="s">
        <v>374</v>
      </c>
      <c r="C2536" t="s">
        <v>1676</v>
      </c>
      <c r="D2536" t="s">
        <v>3874</v>
      </c>
      <c r="E2536" t="s">
        <v>3875</v>
      </c>
      <c r="F2536" s="13">
        <v>44484.672638888886</v>
      </c>
      <c r="G2536" t="s">
        <v>1501</v>
      </c>
      <c r="H2536" t="s">
        <v>1502</v>
      </c>
      <c r="I2536" s="13">
        <v>45012.043576388889</v>
      </c>
      <c r="K2536" t="s">
        <v>415</v>
      </c>
      <c r="M2536" s="13">
        <v>44895</v>
      </c>
      <c r="R2536">
        <v>0</v>
      </c>
      <c r="S2536" t="s">
        <v>380</v>
      </c>
      <c r="T2536" t="s">
        <v>57</v>
      </c>
      <c r="V2536" t="s">
        <v>478</v>
      </c>
      <c r="W2536" t="s">
        <v>1679</v>
      </c>
      <c r="X2536" t="s">
        <v>1679</v>
      </c>
      <c r="AF2536" t="s">
        <v>451</v>
      </c>
      <c r="AI2536">
        <v>-117</v>
      </c>
      <c r="AL2536" t="s">
        <v>1680</v>
      </c>
      <c r="AN2536" t="s">
        <v>57</v>
      </c>
      <c r="AO2536">
        <v>0</v>
      </c>
      <c r="AS2536" t="s">
        <v>392</v>
      </c>
      <c r="AX2536" t="s">
        <v>57</v>
      </c>
      <c r="AY2536" t="s">
        <v>442</v>
      </c>
      <c r="AZ2536" t="s">
        <v>3876</v>
      </c>
      <c r="BF2536">
        <v>0</v>
      </c>
      <c r="BK2536" t="s">
        <v>31</v>
      </c>
      <c r="BS2536" t="s">
        <v>419</v>
      </c>
      <c r="BT2536" t="s">
        <v>419</v>
      </c>
      <c r="CI2536" t="s">
        <v>388</v>
      </c>
      <c r="CJ2536" s="14">
        <v>45015</v>
      </c>
      <c r="CK2536">
        <v>1</v>
      </c>
    </row>
    <row r="2537" spans="1:89">
      <c r="A2537" t="s">
        <v>1497</v>
      </c>
      <c r="B2537" t="s">
        <v>374</v>
      </c>
      <c r="C2537" t="s">
        <v>1498</v>
      </c>
      <c r="D2537" t="s">
        <v>3877</v>
      </c>
      <c r="E2537" t="s">
        <v>3878</v>
      </c>
      <c r="F2537" s="13">
        <v>44484.63517361111</v>
      </c>
      <c r="G2537" t="s">
        <v>1501</v>
      </c>
      <c r="H2537" t="s">
        <v>1502</v>
      </c>
      <c r="I2537" s="13">
        <v>45012.043564814812</v>
      </c>
      <c r="K2537" t="s">
        <v>415</v>
      </c>
      <c r="M2537" s="13">
        <v>44895</v>
      </c>
      <c r="R2537">
        <v>0</v>
      </c>
      <c r="S2537" t="s">
        <v>380</v>
      </c>
      <c r="T2537" t="s">
        <v>57</v>
      </c>
      <c r="V2537" t="s">
        <v>478</v>
      </c>
      <c r="W2537" t="s">
        <v>1679</v>
      </c>
      <c r="X2537" t="s">
        <v>1679</v>
      </c>
      <c r="AF2537" t="s">
        <v>451</v>
      </c>
      <c r="AI2537">
        <v>-117</v>
      </c>
      <c r="AL2537" t="s">
        <v>3879</v>
      </c>
      <c r="AN2537" t="s">
        <v>31</v>
      </c>
      <c r="AO2537">
        <v>0</v>
      </c>
      <c r="AS2537" t="s">
        <v>392</v>
      </c>
      <c r="AX2537" t="s">
        <v>57</v>
      </c>
      <c r="AY2537" t="s">
        <v>442</v>
      </c>
      <c r="AZ2537" t="s">
        <v>3880</v>
      </c>
      <c r="BF2537">
        <v>0</v>
      </c>
      <c r="BK2537" t="s">
        <v>31</v>
      </c>
      <c r="BS2537" t="s">
        <v>419</v>
      </c>
      <c r="BT2537" t="s">
        <v>419</v>
      </c>
      <c r="CI2537" t="s">
        <v>388</v>
      </c>
      <c r="CJ2537" s="14">
        <v>45015</v>
      </c>
      <c r="CK2537">
        <v>1</v>
      </c>
    </row>
    <row r="2538" spans="1:89">
      <c r="A2538" t="s">
        <v>1497</v>
      </c>
      <c r="B2538" t="s">
        <v>374</v>
      </c>
      <c r="C2538" t="s">
        <v>1498</v>
      </c>
      <c r="D2538" t="s">
        <v>3881</v>
      </c>
      <c r="E2538" t="s">
        <v>3882</v>
      </c>
      <c r="F2538" s="13">
        <v>44484.598668981482</v>
      </c>
      <c r="G2538" t="s">
        <v>1501</v>
      </c>
      <c r="H2538" t="s">
        <v>1502</v>
      </c>
      <c r="I2538" s="13">
        <v>45012.043564814812</v>
      </c>
      <c r="K2538" t="s">
        <v>415</v>
      </c>
      <c r="M2538" s="13">
        <v>44895</v>
      </c>
      <c r="R2538">
        <v>0</v>
      </c>
      <c r="S2538" t="s">
        <v>380</v>
      </c>
      <c r="T2538" t="s">
        <v>57</v>
      </c>
      <c r="V2538" t="s">
        <v>478</v>
      </c>
      <c r="W2538" t="s">
        <v>1684</v>
      </c>
      <c r="X2538" t="s">
        <v>1684</v>
      </c>
      <c r="AF2538" t="s">
        <v>451</v>
      </c>
      <c r="AI2538">
        <v>-117</v>
      </c>
      <c r="AL2538" t="s">
        <v>1685</v>
      </c>
      <c r="AN2538" t="s">
        <v>57</v>
      </c>
      <c r="AO2538">
        <v>0</v>
      </c>
      <c r="AS2538" t="s">
        <v>392</v>
      </c>
      <c r="AX2538" t="s">
        <v>57</v>
      </c>
      <c r="AY2538" t="s">
        <v>442</v>
      </c>
      <c r="AZ2538" t="s">
        <v>3883</v>
      </c>
      <c r="BF2538">
        <v>0</v>
      </c>
      <c r="BK2538" t="s">
        <v>31</v>
      </c>
      <c r="BS2538" t="s">
        <v>419</v>
      </c>
      <c r="BT2538" t="s">
        <v>419</v>
      </c>
      <c r="CI2538" t="s">
        <v>388</v>
      </c>
      <c r="CJ2538" s="14">
        <v>45015</v>
      </c>
      <c r="CK2538">
        <v>1</v>
      </c>
    </row>
    <row r="2539" spans="1:89">
      <c r="A2539" t="s">
        <v>1497</v>
      </c>
      <c r="B2539" t="s">
        <v>374</v>
      </c>
      <c r="C2539" t="s">
        <v>1498</v>
      </c>
      <c r="D2539" t="s">
        <v>3884</v>
      </c>
      <c r="E2539" t="s">
        <v>3885</v>
      </c>
      <c r="F2539" s="13">
        <v>44484.595393518517</v>
      </c>
      <c r="G2539" t="s">
        <v>1501</v>
      </c>
      <c r="H2539" t="s">
        <v>1502</v>
      </c>
      <c r="I2539" s="13">
        <v>45012.043564814812</v>
      </c>
      <c r="K2539" t="s">
        <v>415</v>
      </c>
      <c r="M2539" s="13">
        <v>44895</v>
      </c>
      <c r="R2539">
        <v>0</v>
      </c>
      <c r="S2539" t="s">
        <v>380</v>
      </c>
      <c r="T2539" t="s">
        <v>57</v>
      </c>
      <c r="V2539" t="s">
        <v>478</v>
      </c>
      <c r="W2539" t="s">
        <v>1684</v>
      </c>
      <c r="X2539" t="s">
        <v>1684</v>
      </c>
      <c r="AF2539" t="s">
        <v>451</v>
      </c>
      <c r="AI2539">
        <v>-117</v>
      </c>
      <c r="AL2539" t="s">
        <v>1685</v>
      </c>
      <c r="AN2539" t="s">
        <v>57</v>
      </c>
      <c r="AO2539">
        <v>0</v>
      </c>
      <c r="AS2539" t="s">
        <v>392</v>
      </c>
      <c r="AX2539" t="s">
        <v>57</v>
      </c>
      <c r="AY2539" t="s">
        <v>442</v>
      </c>
      <c r="AZ2539" t="s">
        <v>3886</v>
      </c>
      <c r="BF2539">
        <v>0</v>
      </c>
      <c r="BK2539" t="s">
        <v>31</v>
      </c>
      <c r="BS2539" t="s">
        <v>419</v>
      </c>
      <c r="BT2539" t="s">
        <v>419</v>
      </c>
      <c r="CI2539" t="s">
        <v>388</v>
      </c>
      <c r="CJ2539" s="14">
        <v>45015</v>
      </c>
      <c r="CK2539">
        <v>1</v>
      </c>
    </row>
    <row r="2540" spans="1:89">
      <c r="A2540" t="s">
        <v>1497</v>
      </c>
      <c r="B2540" t="s">
        <v>374</v>
      </c>
      <c r="C2540" t="s">
        <v>1498</v>
      </c>
      <c r="D2540" t="s">
        <v>3887</v>
      </c>
      <c r="E2540" t="s">
        <v>3888</v>
      </c>
      <c r="F2540" s="13">
        <v>44484.342002314814</v>
      </c>
      <c r="G2540" t="s">
        <v>1501</v>
      </c>
      <c r="H2540" t="s">
        <v>1502</v>
      </c>
      <c r="I2540" s="13">
        <v>45012.043564814812</v>
      </c>
      <c r="K2540" t="s">
        <v>415</v>
      </c>
      <c r="M2540" s="13">
        <v>44651</v>
      </c>
      <c r="R2540">
        <v>0</v>
      </c>
      <c r="S2540" t="s">
        <v>380</v>
      </c>
      <c r="T2540" t="s">
        <v>57</v>
      </c>
      <c r="V2540" t="s">
        <v>478</v>
      </c>
      <c r="W2540" t="s">
        <v>3871</v>
      </c>
      <c r="X2540" t="s">
        <v>3871</v>
      </c>
      <c r="AF2540" t="s">
        <v>451</v>
      </c>
      <c r="AI2540">
        <v>-361</v>
      </c>
      <c r="AL2540" t="s">
        <v>3889</v>
      </c>
      <c r="AN2540" t="s">
        <v>31</v>
      </c>
      <c r="AO2540">
        <v>0</v>
      </c>
      <c r="AS2540" t="s">
        <v>392</v>
      </c>
      <c r="AX2540" t="s">
        <v>57</v>
      </c>
      <c r="AY2540" t="s">
        <v>442</v>
      </c>
      <c r="AZ2540" t="s">
        <v>3890</v>
      </c>
      <c r="BF2540">
        <v>0</v>
      </c>
      <c r="BK2540" t="s">
        <v>31</v>
      </c>
      <c r="BS2540" t="s">
        <v>419</v>
      </c>
      <c r="BT2540" t="s">
        <v>419</v>
      </c>
      <c r="CI2540" t="s">
        <v>388</v>
      </c>
      <c r="CJ2540" s="14">
        <v>45015</v>
      </c>
      <c r="CK2540">
        <v>1</v>
      </c>
    </row>
    <row r="2541" spans="1:89">
      <c r="A2541" t="s">
        <v>1497</v>
      </c>
      <c r="B2541" t="s">
        <v>374</v>
      </c>
      <c r="C2541" t="s">
        <v>1498</v>
      </c>
      <c r="D2541" t="s">
        <v>3891</v>
      </c>
      <c r="E2541" t="s">
        <v>3892</v>
      </c>
      <c r="F2541" s="13">
        <v>44484.338923611111</v>
      </c>
      <c r="G2541" t="s">
        <v>1501</v>
      </c>
      <c r="H2541" t="s">
        <v>1502</v>
      </c>
      <c r="I2541" s="13">
        <v>45012.043553240743</v>
      </c>
      <c r="K2541" t="s">
        <v>415</v>
      </c>
      <c r="M2541" s="13">
        <v>44651</v>
      </c>
      <c r="R2541">
        <v>0</v>
      </c>
      <c r="S2541" t="s">
        <v>380</v>
      </c>
      <c r="T2541" t="s">
        <v>57</v>
      </c>
      <c r="V2541" t="s">
        <v>478</v>
      </c>
      <c r="W2541" t="s">
        <v>3871</v>
      </c>
      <c r="X2541" t="s">
        <v>3871</v>
      </c>
      <c r="AF2541" t="s">
        <v>451</v>
      </c>
      <c r="AI2541">
        <v>-361</v>
      </c>
      <c r="AL2541" t="s">
        <v>3889</v>
      </c>
      <c r="AN2541" t="s">
        <v>31</v>
      </c>
      <c r="AO2541">
        <v>0</v>
      </c>
      <c r="AS2541" t="s">
        <v>392</v>
      </c>
      <c r="AX2541" t="s">
        <v>57</v>
      </c>
      <c r="AY2541" t="s">
        <v>442</v>
      </c>
      <c r="AZ2541" t="s">
        <v>3893</v>
      </c>
      <c r="BF2541">
        <v>0</v>
      </c>
      <c r="BK2541" t="s">
        <v>31</v>
      </c>
      <c r="BS2541" t="s">
        <v>419</v>
      </c>
      <c r="BT2541" t="s">
        <v>419</v>
      </c>
      <c r="CI2541" t="s">
        <v>388</v>
      </c>
      <c r="CJ2541" s="14">
        <v>45015</v>
      </c>
      <c r="CK2541">
        <v>1</v>
      </c>
    </row>
    <row r="2542" spans="1:89">
      <c r="A2542" t="s">
        <v>1497</v>
      </c>
      <c r="B2542" t="s">
        <v>374</v>
      </c>
      <c r="C2542" t="s">
        <v>1498</v>
      </c>
      <c r="D2542" t="s">
        <v>3894</v>
      </c>
      <c r="E2542" t="s">
        <v>3895</v>
      </c>
      <c r="F2542" s="13">
        <v>44483.414004629631</v>
      </c>
      <c r="G2542" t="s">
        <v>1501</v>
      </c>
      <c r="H2542" t="s">
        <v>1502</v>
      </c>
      <c r="I2542" s="13">
        <v>45012.043530092589</v>
      </c>
      <c r="K2542" t="s">
        <v>415</v>
      </c>
      <c r="M2542" s="13">
        <v>44651</v>
      </c>
      <c r="R2542">
        <v>0</v>
      </c>
      <c r="S2542" t="s">
        <v>380</v>
      </c>
      <c r="T2542" t="s">
        <v>57</v>
      </c>
      <c r="V2542" t="s">
        <v>478</v>
      </c>
      <c r="W2542" t="s">
        <v>3871</v>
      </c>
      <c r="X2542" t="s">
        <v>3871</v>
      </c>
      <c r="AF2542" t="s">
        <v>451</v>
      </c>
      <c r="AI2542">
        <v>-361</v>
      </c>
      <c r="AL2542" t="s">
        <v>3889</v>
      </c>
      <c r="AN2542" t="s">
        <v>31</v>
      </c>
      <c r="AO2542">
        <v>0</v>
      </c>
      <c r="AS2542" t="s">
        <v>392</v>
      </c>
      <c r="AX2542" t="s">
        <v>57</v>
      </c>
      <c r="AY2542" t="s">
        <v>442</v>
      </c>
      <c r="AZ2542" t="s">
        <v>3896</v>
      </c>
      <c r="BF2542">
        <v>0</v>
      </c>
      <c r="BK2542" t="s">
        <v>31</v>
      </c>
      <c r="BS2542" t="s">
        <v>419</v>
      </c>
      <c r="BT2542" t="s">
        <v>419</v>
      </c>
      <c r="CI2542" t="s">
        <v>388</v>
      </c>
      <c r="CJ2542" s="14">
        <v>45015</v>
      </c>
      <c r="CK2542">
        <v>1</v>
      </c>
    </row>
    <row r="2543" spans="1:89">
      <c r="A2543" t="s">
        <v>3376</v>
      </c>
      <c r="B2543" t="s">
        <v>374</v>
      </c>
      <c r="C2543" t="s">
        <v>3377</v>
      </c>
      <c r="D2543" t="s">
        <v>3897</v>
      </c>
      <c r="E2543" t="s">
        <v>3898</v>
      </c>
      <c r="F2543" s="13">
        <v>44482.411689814813</v>
      </c>
      <c r="G2543" t="s">
        <v>3380</v>
      </c>
      <c r="H2543" t="s">
        <v>3381</v>
      </c>
      <c r="I2543" s="13">
        <v>44972.532002314816</v>
      </c>
      <c r="K2543" t="s">
        <v>379</v>
      </c>
      <c r="M2543" s="13">
        <v>44571</v>
      </c>
      <c r="R2543">
        <v>100</v>
      </c>
      <c r="S2543" t="s">
        <v>416</v>
      </c>
      <c r="T2543" t="s">
        <v>57</v>
      </c>
      <c r="V2543" t="s">
        <v>478</v>
      </c>
      <c r="W2543" t="s">
        <v>3899</v>
      </c>
      <c r="X2543" t="s">
        <v>3899</v>
      </c>
      <c r="AE2543" t="s">
        <v>3900</v>
      </c>
      <c r="AF2543" t="s">
        <v>382</v>
      </c>
      <c r="AG2543" t="s">
        <v>3901</v>
      </c>
      <c r="AI2543">
        <v>-29</v>
      </c>
      <c r="AJ2543" s="13">
        <v>44600</v>
      </c>
      <c r="AL2543" t="s">
        <v>3383</v>
      </c>
      <c r="AM2543">
        <v>1</v>
      </c>
      <c r="AN2543" t="s">
        <v>31</v>
      </c>
      <c r="AO2543">
        <v>0</v>
      </c>
      <c r="AR2543" t="s">
        <v>3902</v>
      </c>
      <c r="AS2543" t="s">
        <v>385</v>
      </c>
      <c r="AX2543" t="s">
        <v>31</v>
      </c>
      <c r="AY2543" t="s">
        <v>386</v>
      </c>
      <c r="AZ2543" t="s">
        <v>3903</v>
      </c>
      <c r="BF2543">
        <v>0</v>
      </c>
      <c r="BK2543" t="s">
        <v>31</v>
      </c>
      <c r="BS2543" t="s">
        <v>379</v>
      </c>
      <c r="BT2543" t="s">
        <v>379</v>
      </c>
      <c r="CI2543" t="s">
        <v>388</v>
      </c>
      <c r="CJ2543" s="14">
        <v>45015</v>
      </c>
      <c r="CK2543">
        <v>1</v>
      </c>
    </row>
    <row r="2544" spans="1:89">
      <c r="A2544" t="s">
        <v>3904</v>
      </c>
      <c r="B2544" t="s">
        <v>374</v>
      </c>
      <c r="C2544" t="s">
        <v>1929</v>
      </c>
      <c r="D2544" t="s">
        <v>3905</v>
      </c>
      <c r="E2544" t="s">
        <v>3906</v>
      </c>
      <c r="F2544" s="13">
        <v>44470.426759259259</v>
      </c>
      <c r="G2544" t="s">
        <v>3396</v>
      </c>
      <c r="H2544" t="s">
        <v>3397</v>
      </c>
      <c r="I2544" s="13">
        <v>44833.703101851854</v>
      </c>
      <c r="K2544" t="s">
        <v>379</v>
      </c>
      <c r="M2544" s="13">
        <v>44561</v>
      </c>
      <c r="R2544">
        <v>100</v>
      </c>
      <c r="S2544" t="s">
        <v>380</v>
      </c>
      <c r="T2544" t="s">
        <v>57</v>
      </c>
      <c r="V2544" t="s">
        <v>478</v>
      </c>
      <c r="W2544" t="s">
        <v>3406</v>
      </c>
      <c r="X2544" t="s">
        <v>3406</v>
      </c>
      <c r="AC2544" s="13">
        <v>44561</v>
      </c>
      <c r="AD2544" s="13">
        <v>44561</v>
      </c>
      <c r="AF2544" t="s">
        <v>382</v>
      </c>
      <c r="AG2544" t="s">
        <v>3907</v>
      </c>
      <c r="AI2544">
        <v>-5</v>
      </c>
      <c r="AL2544" t="s">
        <v>3908</v>
      </c>
      <c r="AN2544" t="s">
        <v>31</v>
      </c>
      <c r="AO2544">
        <v>0</v>
      </c>
      <c r="AS2544" t="s">
        <v>385</v>
      </c>
      <c r="AX2544" t="s">
        <v>31</v>
      </c>
      <c r="AY2544" t="s">
        <v>442</v>
      </c>
      <c r="AZ2544" t="s">
        <v>3909</v>
      </c>
      <c r="BF2544">
        <v>0</v>
      </c>
      <c r="BK2544" t="s">
        <v>31</v>
      </c>
      <c r="BS2544" t="s">
        <v>379</v>
      </c>
      <c r="BT2544" t="s">
        <v>379</v>
      </c>
      <c r="CI2544" t="s">
        <v>388</v>
      </c>
      <c r="CJ2544" s="14">
        <v>45015</v>
      </c>
      <c r="CK2544">
        <v>1</v>
      </c>
    </row>
    <row r="2545" spans="1:89">
      <c r="A2545" t="s">
        <v>3910</v>
      </c>
      <c r="B2545" t="s">
        <v>374</v>
      </c>
      <c r="C2545" t="s">
        <v>1929</v>
      </c>
      <c r="D2545" t="s">
        <v>3911</v>
      </c>
      <c r="E2545" t="s">
        <v>3912</v>
      </c>
      <c r="F2545" s="13">
        <v>44470.41883101852</v>
      </c>
      <c r="G2545" t="s">
        <v>3396</v>
      </c>
      <c r="H2545" t="s">
        <v>3397</v>
      </c>
      <c r="I2545" s="13">
        <v>44470.422592592593</v>
      </c>
      <c r="K2545" t="s">
        <v>409</v>
      </c>
      <c r="R2545">
        <v>0</v>
      </c>
      <c r="S2545" t="s">
        <v>380</v>
      </c>
      <c r="T2545" t="s">
        <v>57</v>
      </c>
      <c r="V2545" t="s">
        <v>381</v>
      </c>
      <c r="W2545" t="s">
        <v>3406</v>
      </c>
      <c r="X2545" t="s">
        <v>3406</v>
      </c>
      <c r="AC2545" s="13">
        <v>44561</v>
      </c>
      <c r="AD2545" s="13">
        <v>44561</v>
      </c>
      <c r="AI2545">
        <v>91</v>
      </c>
      <c r="AL2545" t="s">
        <v>3913</v>
      </c>
      <c r="AN2545" t="s">
        <v>31</v>
      </c>
      <c r="AO2545">
        <v>0</v>
      </c>
      <c r="AS2545" t="s">
        <v>385</v>
      </c>
      <c r="AX2545" t="s">
        <v>31</v>
      </c>
      <c r="AY2545" t="s">
        <v>386</v>
      </c>
      <c r="AZ2545" t="s">
        <v>3914</v>
      </c>
      <c r="BF2545">
        <v>0</v>
      </c>
      <c r="BK2545" t="s">
        <v>31</v>
      </c>
      <c r="BS2545" t="s">
        <v>409</v>
      </c>
      <c r="BT2545" t="s">
        <v>409</v>
      </c>
      <c r="CI2545" t="s">
        <v>388</v>
      </c>
      <c r="CJ2545" s="14">
        <v>45015</v>
      </c>
      <c r="CK2545">
        <v>1</v>
      </c>
    </row>
    <row r="2546" spans="1:89">
      <c r="A2546" t="s">
        <v>3915</v>
      </c>
      <c r="B2546" s="13">
        <v>45015.0628125</v>
      </c>
      <c r="C2546">
        <v>848</v>
      </c>
      <c r="D2546">
        <v>267</v>
      </c>
      <c r="E2546">
        <v>119</v>
      </c>
      <c r="CI2546" t="s">
        <v>3916</v>
      </c>
      <c r="CJ2546" s="14">
        <v>45015</v>
      </c>
      <c r="CK2546">
        <v>1</v>
      </c>
    </row>
    <row r="2547" spans="1:89">
      <c r="A2547" t="s">
        <v>624</v>
      </c>
      <c r="B2547" t="s">
        <v>374</v>
      </c>
      <c r="C2547" t="s">
        <v>375</v>
      </c>
      <c r="D2547" t="s">
        <v>3917</v>
      </c>
      <c r="E2547" t="s">
        <v>3918</v>
      </c>
      <c r="F2547" s="13">
        <v>45013.744571759256</v>
      </c>
      <c r="G2547" t="s">
        <v>610</v>
      </c>
      <c r="H2547" t="s">
        <v>611</v>
      </c>
      <c r="I2547" s="13">
        <v>45013.75209490741</v>
      </c>
      <c r="K2547" t="s">
        <v>379</v>
      </c>
      <c r="M2547" s="13">
        <v>45013</v>
      </c>
      <c r="R2547">
        <v>100</v>
      </c>
      <c r="S2547" t="s">
        <v>380</v>
      </c>
      <c r="T2547" t="s">
        <v>57</v>
      </c>
      <c r="V2547" t="s">
        <v>381</v>
      </c>
      <c r="W2547" t="s">
        <v>3919</v>
      </c>
      <c r="X2547" t="s">
        <v>3919</v>
      </c>
      <c r="AF2547" t="s">
        <v>382</v>
      </c>
      <c r="AG2547" t="s">
        <v>3918</v>
      </c>
      <c r="AI2547">
        <v>0</v>
      </c>
      <c r="AL2547" t="s">
        <v>3920</v>
      </c>
      <c r="AN2547" t="s">
        <v>31</v>
      </c>
      <c r="AO2547">
        <v>0</v>
      </c>
      <c r="AS2547" t="s">
        <v>526</v>
      </c>
      <c r="AX2547" t="s">
        <v>57</v>
      </c>
      <c r="AY2547" t="s">
        <v>442</v>
      </c>
      <c r="AZ2547" t="s">
        <v>3921</v>
      </c>
      <c r="BF2547">
        <v>0</v>
      </c>
      <c r="BK2547" t="s">
        <v>31</v>
      </c>
      <c r="BS2547" t="s">
        <v>379</v>
      </c>
      <c r="BT2547" t="s">
        <v>379</v>
      </c>
      <c r="CI2547" t="s">
        <v>388</v>
      </c>
      <c r="CJ2547" s="14">
        <v>45016</v>
      </c>
      <c r="CK2547">
        <v>1</v>
      </c>
    </row>
    <row r="2548" spans="1:89">
      <c r="A2548" t="s">
        <v>624</v>
      </c>
      <c r="B2548" t="s">
        <v>374</v>
      </c>
      <c r="C2548" t="s">
        <v>375</v>
      </c>
      <c r="D2548" t="s">
        <v>3922</v>
      </c>
      <c r="E2548" t="s">
        <v>648</v>
      </c>
      <c r="F2548" s="13">
        <v>45013.738321759258</v>
      </c>
      <c r="G2548" t="s">
        <v>610</v>
      </c>
      <c r="H2548" t="s">
        <v>611</v>
      </c>
      <c r="I2548" s="13">
        <v>45013.739259259259</v>
      </c>
      <c r="K2548" t="s">
        <v>415</v>
      </c>
      <c r="M2548" s="13">
        <v>45077</v>
      </c>
      <c r="R2548">
        <v>0</v>
      </c>
      <c r="S2548" t="s">
        <v>380</v>
      </c>
      <c r="T2548" t="s">
        <v>57</v>
      </c>
      <c r="V2548" t="s">
        <v>381</v>
      </c>
      <c r="W2548" t="s">
        <v>627</v>
      </c>
      <c r="X2548" t="s">
        <v>627</v>
      </c>
      <c r="Y2548" t="s">
        <v>480</v>
      </c>
      <c r="AF2548" t="s">
        <v>451</v>
      </c>
      <c r="AI2548">
        <v>64</v>
      </c>
      <c r="AL2548" t="s">
        <v>3923</v>
      </c>
      <c r="AN2548" t="s">
        <v>31</v>
      </c>
      <c r="AO2548">
        <v>0</v>
      </c>
      <c r="AT2548" t="s">
        <v>31</v>
      </c>
      <c r="AZ2548" t="s">
        <v>648</v>
      </c>
      <c r="BF2548">
        <v>0</v>
      </c>
      <c r="BK2548" t="s">
        <v>31</v>
      </c>
      <c r="BS2548" t="s">
        <v>484</v>
      </c>
      <c r="BT2548" t="s">
        <v>484</v>
      </c>
      <c r="CI2548" t="s">
        <v>388</v>
      </c>
      <c r="CJ2548" s="14">
        <v>45016</v>
      </c>
      <c r="CK2548">
        <v>1</v>
      </c>
    </row>
    <row r="2549" spans="1:89">
      <c r="A2549" t="s">
        <v>373</v>
      </c>
      <c r="B2549" t="s">
        <v>374</v>
      </c>
      <c r="C2549" t="s">
        <v>375</v>
      </c>
      <c r="D2549" t="s">
        <v>376</v>
      </c>
      <c r="E2549" t="s">
        <v>76</v>
      </c>
      <c r="F2549" s="13">
        <v>44998.389756944445</v>
      </c>
      <c r="G2549" t="s">
        <v>377</v>
      </c>
      <c r="H2549" t="s">
        <v>378</v>
      </c>
      <c r="I2549" s="13">
        <v>44998.39366898148</v>
      </c>
      <c r="K2549" t="s">
        <v>379</v>
      </c>
      <c r="M2549" s="13">
        <v>45127</v>
      </c>
      <c r="R2549">
        <v>100</v>
      </c>
      <c r="S2549" t="s">
        <v>380</v>
      </c>
      <c r="T2549" t="s">
        <v>57</v>
      </c>
      <c r="V2549" t="s">
        <v>381</v>
      </c>
      <c r="W2549" t="s">
        <v>378</v>
      </c>
      <c r="X2549" t="s">
        <v>378</v>
      </c>
      <c r="AF2549" t="s">
        <v>382</v>
      </c>
      <c r="AG2549" t="s">
        <v>383</v>
      </c>
      <c r="AI2549">
        <v>129</v>
      </c>
      <c r="AL2549" t="s">
        <v>384</v>
      </c>
      <c r="AN2549" t="s">
        <v>31</v>
      </c>
      <c r="AO2549">
        <v>0</v>
      </c>
      <c r="AS2549" t="s">
        <v>385</v>
      </c>
      <c r="AX2549" t="s">
        <v>57</v>
      </c>
      <c r="AY2549" t="s">
        <v>386</v>
      </c>
      <c r="AZ2549" t="s">
        <v>282</v>
      </c>
      <c r="BE2549" t="s">
        <v>387</v>
      </c>
      <c r="BF2549">
        <v>0</v>
      </c>
      <c r="BK2549" t="s">
        <v>31</v>
      </c>
      <c r="BS2549" t="s">
        <v>379</v>
      </c>
      <c r="BT2549" t="s">
        <v>379</v>
      </c>
      <c r="CI2549" t="s">
        <v>388</v>
      </c>
      <c r="CJ2549" s="14">
        <v>45016</v>
      </c>
      <c r="CK2549">
        <v>1</v>
      </c>
    </row>
    <row r="2550" spans="1:89">
      <c r="A2550" t="s">
        <v>373</v>
      </c>
      <c r="B2550" t="s">
        <v>374</v>
      </c>
      <c r="C2550" t="s">
        <v>375</v>
      </c>
      <c r="D2550" t="s">
        <v>389</v>
      </c>
      <c r="E2550" t="s">
        <v>76</v>
      </c>
      <c r="F2550" s="13">
        <v>44992.319872685184</v>
      </c>
      <c r="G2550" t="s">
        <v>377</v>
      </c>
      <c r="H2550" t="s">
        <v>378</v>
      </c>
      <c r="I2550" s="13">
        <v>44992.324988425928</v>
      </c>
      <c r="K2550" t="s">
        <v>379</v>
      </c>
      <c r="M2550" s="13">
        <v>45134</v>
      </c>
      <c r="R2550">
        <v>100</v>
      </c>
      <c r="S2550" t="s">
        <v>380</v>
      </c>
      <c r="T2550" t="s">
        <v>57</v>
      </c>
      <c r="V2550" t="s">
        <v>381</v>
      </c>
      <c r="W2550" t="s">
        <v>378</v>
      </c>
      <c r="X2550" t="s">
        <v>378</v>
      </c>
      <c r="AF2550" t="s">
        <v>382</v>
      </c>
      <c r="AG2550" t="s">
        <v>390</v>
      </c>
      <c r="AI2550">
        <v>142</v>
      </c>
      <c r="AL2550" t="s">
        <v>391</v>
      </c>
      <c r="AN2550" t="s">
        <v>31</v>
      </c>
      <c r="AO2550">
        <v>0</v>
      </c>
      <c r="AS2550" t="s">
        <v>392</v>
      </c>
      <c r="AX2550" t="s">
        <v>31</v>
      </c>
      <c r="AY2550" t="s">
        <v>386</v>
      </c>
      <c r="AZ2550" t="s">
        <v>282</v>
      </c>
      <c r="BE2550">
        <v>123</v>
      </c>
      <c r="BF2550">
        <v>0</v>
      </c>
      <c r="BK2550" t="s">
        <v>31</v>
      </c>
      <c r="BS2550" t="s">
        <v>379</v>
      </c>
      <c r="BT2550" t="s">
        <v>379</v>
      </c>
      <c r="CI2550" t="s">
        <v>388</v>
      </c>
      <c r="CJ2550" s="14">
        <v>45016</v>
      </c>
      <c r="CK2550">
        <v>1</v>
      </c>
    </row>
    <row r="2551" spans="1:89">
      <c r="A2551" t="s">
        <v>393</v>
      </c>
      <c r="B2551" t="s">
        <v>374</v>
      </c>
      <c r="C2551" t="s">
        <v>394</v>
      </c>
      <c r="D2551" t="s">
        <v>395</v>
      </c>
      <c r="E2551" t="s">
        <v>396</v>
      </c>
      <c r="F2551" s="13">
        <v>44988.550983796296</v>
      </c>
      <c r="G2551" t="s">
        <v>397</v>
      </c>
      <c r="H2551" t="s">
        <v>398</v>
      </c>
      <c r="I2551" s="13">
        <v>44988.559988425928</v>
      </c>
      <c r="K2551" t="s">
        <v>379</v>
      </c>
      <c r="M2551" s="13">
        <v>45137</v>
      </c>
      <c r="R2551">
        <v>100</v>
      </c>
      <c r="S2551" t="s">
        <v>380</v>
      </c>
      <c r="T2551" t="s">
        <v>57</v>
      </c>
      <c r="V2551" t="s">
        <v>381</v>
      </c>
      <c r="W2551" t="s">
        <v>399</v>
      </c>
      <c r="X2551" t="s">
        <v>399</v>
      </c>
      <c r="AC2551" s="13">
        <v>45199</v>
      </c>
      <c r="AD2551" s="13">
        <v>45132</v>
      </c>
      <c r="AF2551" t="s">
        <v>382</v>
      </c>
      <c r="AG2551" t="s">
        <v>400</v>
      </c>
      <c r="AI2551">
        <v>149</v>
      </c>
      <c r="AL2551" t="s">
        <v>401</v>
      </c>
      <c r="AN2551" t="s">
        <v>31</v>
      </c>
      <c r="AO2551">
        <v>0</v>
      </c>
      <c r="AS2551" t="s">
        <v>385</v>
      </c>
      <c r="AX2551" t="s">
        <v>31</v>
      </c>
      <c r="AY2551" t="s">
        <v>386</v>
      </c>
      <c r="AZ2551" t="s">
        <v>402</v>
      </c>
      <c r="BE2551" t="s">
        <v>403</v>
      </c>
      <c r="BF2551">
        <v>0</v>
      </c>
      <c r="BK2551" t="s">
        <v>31</v>
      </c>
      <c r="BS2551" t="s">
        <v>379</v>
      </c>
      <c r="BT2551" t="s">
        <v>379</v>
      </c>
      <c r="CI2551" t="s">
        <v>388</v>
      </c>
      <c r="CJ2551" s="14">
        <v>45016</v>
      </c>
      <c r="CK2551">
        <v>1</v>
      </c>
    </row>
    <row r="2552" spans="1:89">
      <c r="A2552" t="s">
        <v>404</v>
      </c>
      <c r="B2552" t="s">
        <v>374</v>
      </c>
      <c r="C2552" t="s">
        <v>375</v>
      </c>
      <c r="D2552" t="s">
        <v>405</v>
      </c>
      <c r="E2552" t="s">
        <v>406</v>
      </c>
      <c r="F2552" s="13">
        <v>44987.630289351851</v>
      </c>
      <c r="G2552" t="s">
        <v>407</v>
      </c>
      <c r="H2552" t="s">
        <v>408</v>
      </c>
      <c r="I2552" s="13">
        <v>44987.632326388892</v>
      </c>
      <c r="K2552" t="s">
        <v>409</v>
      </c>
      <c r="R2552">
        <v>0</v>
      </c>
      <c r="S2552" t="s">
        <v>380</v>
      </c>
      <c r="T2552" t="s">
        <v>57</v>
      </c>
      <c r="V2552" t="s">
        <v>381</v>
      </c>
      <c r="W2552" t="s">
        <v>406</v>
      </c>
      <c r="X2552" t="s">
        <v>406</v>
      </c>
      <c r="AI2552">
        <v>83</v>
      </c>
      <c r="AL2552" t="s">
        <v>410</v>
      </c>
      <c r="AN2552" t="s">
        <v>31</v>
      </c>
      <c r="AO2552">
        <v>0</v>
      </c>
      <c r="AZ2552" t="s">
        <v>406</v>
      </c>
      <c r="BF2552">
        <v>0</v>
      </c>
      <c r="BK2552" t="s">
        <v>31</v>
      </c>
      <c r="BS2552" t="s">
        <v>409</v>
      </c>
      <c r="BT2552" t="s">
        <v>409</v>
      </c>
      <c r="CI2552" t="s">
        <v>388</v>
      </c>
      <c r="CJ2552" s="14">
        <v>45016</v>
      </c>
      <c r="CK2552">
        <v>1</v>
      </c>
    </row>
    <row r="2553" spans="1:89">
      <c r="A2553" t="s">
        <v>373</v>
      </c>
      <c r="B2553" t="s">
        <v>374</v>
      </c>
      <c r="C2553" t="s">
        <v>375</v>
      </c>
      <c r="D2553" t="s">
        <v>411</v>
      </c>
      <c r="E2553" t="s">
        <v>76</v>
      </c>
      <c r="F2553" s="13">
        <v>44973.629270833335</v>
      </c>
      <c r="G2553" t="s">
        <v>377</v>
      </c>
      <c r="H2553" t="s">
        <v>378</v>
      </c>
      <c r="I2553" s="13">
        <v>44973.629942129628</v>
      </c>
      <c r="K2553" t="s">
        <v>412</v>
      </c>
      <c r="R2553">
        <v>0</v>
      </c>
      <c r="S2553" t="s">
        <v>380</v>
      </c>
      <c r="T2553" t="s">
        <v>57</v>
      </c>
      <c r="V2553" t="s">
        <v>381</v>
      </c>
      <c r="W2553" t="s">
        <v>378</v>
      </c>
      <c r="X2553" t="s">
        <v>378</v>
      </c>
      <c r="AI2553">
        <v>356</v>
      </c>
      <c r="AL2553" t="s">
        <v>413</v>
      </c>
      <c r="AN2553" t="s">
        <v>31</v>
      </c>
      <c r="AO2553">
        <v>0</v>
      </c>
      <c r="AS2553" t="s">
        <v>385</v>
      </c>
      <c r="AU2553" t="s">
        <v>57</v>
      </c>
      <c r="AX2553" t="s">
        <v>31</v>
      </c>
      <c r="AY2553" t="s">
        <v>386</v>
      </c>
      <c r="AZ2553" t="s">
        <v>282</v>
      </c>
      <c r="BE2553">
        <v>124</v>
      </c>
      <c r="BF2553">
        <v>0</v>
      </c>
      <c r="BK2553" t="s">
        <v>31</v>
      </c>
      <c r="BS2553" t="s">
        <v>412</v>
      </c>
      <c r="BT2553" t="s">
        <v>412</v>
      </c>
      <c r="CI2553" t="s">
        <v>388</v>
      </c>
      <c r="CJ2553" s="14">
        <v>45016</v>
      </c>
      <c r="CK2553">
        <v>1</v>
      </c>
    </row>
    <row r="2554" spans="1:89">
      <c r="A2554" t="s">
        <v>373</v>
      </c>
      <c r="B2554" t="s">
        <v>374</v>
      </c>
      <c r="C2554" t="s">
        <v>375</v>
      </c>
      <c r="D2554" t="s">
        <v>414</v>
      </c>
      <c r="E2554" t="s">
        <v>76</v>
      </c>
      <c r="F2554" s="13">
        <v>44973.623842592591</v>
      </c>
      <c r="G2554" t="s">
        <v>377</v>
      </c>
      <c r="H2554" t="s">
        <v>378</v>
      </c>
      <c r="I2554" s="13">
        <v>45012.04446759259</v>
      </c>
      <c r="K2554" t="s">
        <v>415</v>
      </c>
      <c r="M2554" s="13">
        <v>45015</v>
      </c>
      <c r="R2554">
        <v>100</v>
      </c>
      <c r="S2554" t="s">
        <v>416</v>
      </c>
      <c r="T2554" t="s">
        <v>57</v>
      </c>
      <c r="V2554" t="s">
        <v>381</v>
      </c>
      <c r="W2554" t="s">
        <v>378</v>
      </c>
      <c r="X2554" t="s">
        <v>378</v>
      </c>
      <c r="AF2554" t="s">
        <v>382</v>
      </c>
      <c r="AG2554" t="s">
        <v>417</v>
      </c>
      <c r="AI2554">
        <v>3</v>
      </c>
      <c r="AL2554" t="s">
        <v>413</v>
      </c>
      <c r="AM2554">
        <v>1</v>
      </c>
      <c r="AN2554" t="s">
        <v>31</v>
      </c>
      <c r="AO2554">
        <v>0</v>
      </c>
      <c r="AS2554" t="s">
        <v>385</v>
      </c>
      <c r="AU2554" t="s">
        <v>57</v>
      </c>
      <c r="AX2554" t="s">
        <v>31</v>
      </c>
      <c r="AY2554" t="s">
        <v>386</v>
      </c>
      <c r="AZ2554" t="s">
        <v>282</v>
      </c>
      <c r="BE2554">
        <v>124</v>
      </c>
      <c r="BF2554">
        <v>0</v>
      </c>
      <c r="BK2554" t="s">
        <v>31</v>
      </c>
      <c r="BS2554" t="s">
        <v>418</v>
      </c>
      <c r="BT2554" t="s">
        <v>419</v>
      </c>
      <c r="CI2554" t="s">
        <v>388</v>
      </c>
      <c r="CJ2554" s="14">
        <v>45016</v>
      </c>
      <c r="CK2554">
        <v>1</v>
      </c>
    </row>
    <row r="2555" spans="1:89">
      <c r="A2555" t="s">
        <v>373</v>
      </c>
      <c r="B2555" t="s">
        <v>374</v>
      </c>
      <c r="C2555" t="s">
        <v>375</v>
      </c>
      <c r="D2555" t="s">
        <v>420</v>
      </c>
      <c r="E2555" t="s">
        <v>70</v>
      </c>
      <c r="F2555" s="13">
        <v>44973.535486111112</v>
      </c>
      <c r="G2555" t="s">
        <v>377</v>
      </c>
      <c r="H2555" t="s">
        <v>378</v>
      </c>
      <c r="I2555" s="13">
        <v>44973.53638888889</v>
      </c>
      <c r="K2555" t="s">
        <v>412</v>
      </c>
      <c r="R2555">
        <v>0</v>
      </c>
      <c r="S2555" t="s">
        <v>380</v>
      </c>
      <c r="T2555" t="s">
        <v>57</v>
      </c>
      <c r="V2555" t="s">
        <v>381</v>
      </c>
      <c r="W2555" t="s">
        <v>378</v>
      </c>
      <c r="X2555" t="s">
        <v>378</v>
      </c>
      <c r="AI2555">
        <v>134</v>
      </c>
      <c r="AL2555" t="s">
        <v>421</v>
      </c>
      <c r="AN2555" t="s">
        <v>31</v>
      </c>
      <c r="AO2555">
        <v>0</v>
      </c>
      <c r="AS2555" t="s">
        <v>385</v>
      </c>
      <c r="AU2555" t="s">
        <v>57</v>
      </c>
      <c r="AX2555" t="s">
        <v>31</v>
      </c>
      <c r="AY2555" t="s">
        <v>386</v>
      </c>
      <c r="AZ2555" t="s">
        <v>422</v>
      </c>
      <c r="BE2555">
        <v>124</v>
      </c>
      <c r="BF2555">
        <v>0</v>
      </c>
      <c r="BK2555" t="s">
        <v>31</v>
      </c>
      <c r="BS2555" t="s">
        <v>412</v>
      </c>
      <c r="BT2555" t="s">
        <v>412</v>
      </c>
      <c r="CI2555" t="s">
        <v>388</v>
      </c>
      <c r="CJ2555" s="14">
        <v>45016</v>
      </c>
      <c r="CK2555">
        <v>1</v>
      </c>
    </row>
    <row r="2556" spans="1:89">
      <c r="A2556" t="s">
        <v>373</v>
      </c>
      <c r="B2556" t="s">
        <v>374</v>
      </c>
      <c r="C2556" t="s">
        <v>375</v>
      </c>
      <c r="D2556" t="s">
        <v>423</v>
      </c>
      <c r="E2556" t="s">
        <v>424</v>
      </c>
      <c r="F2556" s="13">
        <v>44973.519918981481</v>
      </c>
      <c r="G2556" t="s">
        <v>377</v>
      </c>
      <c r="H2556" t="s">
        <v>378</v>
      </c>
      <c r="I2556" s="13">
        <v>45012.04446759259</v>
      </c>
      <c r="K2556" t="s">
        <v>415</v>
      </c>
      <c r="M2556" s="13">
        <v>45015</v>
      </c>
      <c r="R2556">
        <v>100</v>
      </c>
      <c r="S2556" t="s">
        <v>416</v>
      </c>
      <c r="T2556" t="s">
        <v>57</v>
      </c>
      <c r="V2556" t="s">
        <v>381</v>
      </c>
      <c r="W2556" t="s">
        <v>378</v>
      </c>
      <c r="X2556" t="s">
        <v>378</v>
      </c>
      <c r="AF2556" t="s">
        <v>382</v>
      </c>
      <c r="AG2556" t="s">
        <v>425</v>
      </c>
      <c r="AI2556">
        <v>3</v>
      </c>
      <c r="AL2556" t="s">
        <v>421</v>
      </c>
      <c r="AM2556">
        <v>1</v>
      </c>
      <c r="AN2556" t="s">
        <v>31</v>
      </c>
      <c r="AO2556">
        <v>0</v>
      </c>
      <c r="AS2556" t="s">
        <v>385</v>
      </c>
      <c r="AU2556" t="s">
        <v>57</v>
      </c>
      <c r="AX2556" t="s">
        <v>57</v>
      </c>
      <c r="AY2556" t="s">
        <v>386</v>
      </c>
      <c r="AZ2556" t="s">
        <v>426</v>
      </c>
      <c r="BE2556" t="s">
        <v>427</v>
      </c>
      <c r="BF2556">
        <v>0</v>
      </c>
      <c r="BK2556" t="s">
        <v>31</v>
      </c>
      <c r="BS2556" t="s">
        <v>418</v>
      </c>
      <c r="BT2556" t="s">
        <v>419</v>
      </c>
      <c r="CI2556" t="s">
        <v>388</v>
      </c>
      <c r="CJ2556" s="14">
        <v>45016</v>
      </c>
      <c r="CK2556">
        <v>1</v>
      </c>
    </row>
    <row r="2557" spans="1:89">
      <c r="A2557" t="s">
        <v>373</v>
      </c>
      <c r="B2557" t="s">
        <v>374</v>
      </c>
      <c r="C2557" t="s">
        <v>375</v>
      </c>
      <c r="D2557" t="s">
        <v>428</v>
      </c>
      <c r="E2557" t="s">
        <v>429</v>
      </c>
      <c r="F2557" s="13">
        <v>44973.363749999997</v>
      </c>
      <c r="G2557" t="s">
        <v>377</v>
      </c>
      <c r="H2557" t="s">
        <v>378</v>
      </c>
      <c r="I2557" s="13">
        <v>44973.366180555553</v>
      </c>
      <c r="K2557" t="s">
        <v>412</v>
      </c>
      <c r="R2557">
        <v>0</v>
      </c>
      <c r="S2557" t="s">
        <v>380</v>
      </c>
      <c r="T2557" t="s">
        <v>57</v>
      </c>
      <c r="V2557" t="s">
        <v>381</v>
      </c>
      <c r="W2557" t="s">
        <v>378</v>
      </c>
      <c r="X2557" t="s">
        <v>378</v>
      </c>
      <c r="AI2557">
        <v>134</v>
      </c>
      <c r="AL2557" t="s">
        <v>430</v>
      </c>
      <c r="AN2557" t="s">
        <v>31</v>
      </c>
      <c r="AO2557">
        <v>0</v>
      </c>
      <c r="AS2557" t="s">
        <v>385</v>
      </c>
      <c r="AU2557" t="s">
        <v>57</v>
      </c>
      <c r="AX2557" t="s">
        <v>57</v>
      </c>
      <c r="AY2557" t="s">
        <v>386</v>
      </c>
      <c r="AZ2557" t="s">
        <v>431</v>
      </c>
      <c r="BE2557">
        <v>124</v>
      </c>
      <c r="BF2557">
        <v>0</v>
      </c>
      <c r="BK2557" t="s">
        <v>31</v>
      </c>
      <c r="BS2557" t="s">
        <v>412</v>
      </c>
      <c r="BT2557" t="s">
        <v>412</v>
      </c>
      <c r="CI2557" t="s">
        <v>388</v>
      </c>
      <c r="CJ2557" s="14">
        <v>45016</v>
      </c>
      <c r="CK2557">
        <v>1</v>
      </c>
    </row>
    <row r="2558" spans="1:89">
      <c r="A2558" t="s">
        <v>373</v>
      </c>
      <c r="B2558" t="s">
        <v>374</v>
      </c>
      <c r="C2558" t="s">
        <v>375</v>
      </c>
      <c r="D2558" t="s">
        <v>432</v>
      </c>
      <c r="E2558" t="s">
        <v>433</v>
      </c>
      <c r="F2558" s="13">
        <v>44973.354907407411</v>
      </c>
      <c r="G2558" t="s">
        <v>377</v>
      </c>
      <c r="H2558" t="s">
        <v>378</v>
      </c>
      <c r="I2558" s="13">
        <v>45012.04446759259</v>
      </c>
      <c r="K2558" t="s">
        <v>415</v>
      </c>
      <c r="M2558" s="13">
        <v>45015</v>
      </c>
      <c r="R2558">
        <v>100</v>
      </c>
      <c r="S2558" t="s">
        <v>416</v>
      </c>
      <c r="T2558" t="s">
        <v>57</v>
      </c>
      <c r="V2558" t="s">
        <v>381</v>
      </c>
      <c r="W2558" t="s">
        <v>378</v>
      </c>
      <c r="X2558" t="s">
        <v>378</v>
      </c>
      <c r="AF2558" t="s">
        <v>382</v>
      </c>
      <c r="AG2558" t="s">
        <v>434</v>
      </c>
      <c r="AI2558">
        <v>3</v>
      </c>
      <c r="AL2558" t="s">
        <v>430</v>
      </c>
      <c r="AM2558">
        <v>1</v>
      </c>
      <c r="AN2558" t="s">
        <v>31</v>
      </c>
      <c r="AO2558">
        <v>0</v>
      </c>
      <c r="AS2558" t="s">
        <v>385</v>
      </c>
      <c r="AU2558" t="s">
        <v>57</v>
      </c>
      <c r="AX2558" t="s">
        <v>57</v>
      </c>
      <c r="AY2558" t="s">
        <v>386</v>
      </c>
      <c r="AZ2558" t="s">
        <v>433</v>
      </c>
      <c r="BE2558">
        <v>124</v>
      </c>
      <c r="BF2558">
        <v>0</v>
      </c>
      <c r="BK2558" t="s">
        <v>31</v>
      </c>
      <c r="BS2558" t="s">
        <v>418</v>
      </c>
      <c r="BT2558" t="s">
        <v>419</v>
      </c>
      <c r="CI2558" t="s">
        <v>388</v>
      </c>
      <c r="CJ2558" s="14">
        <v>45016</v>
      </c>
      <c r="CK2558">
        <v>1</v>
      </c>
    </row>
    <row r="2559" spans="1:89">
      <c r="A2559" t="s">
        <v>435</v>
      </c>
      <c r="B2559" t="s">
        <v>374</v>
      </c>
      <c r="C2559" t="s">
        <v>436</v>
      </c>
      <c r="D2559" t="s">
        <v>437</v>
      </c>
      <c r="E2559" t="s">
        <v>438</v>
      </c>
      <c r="F2559" s="13">
        <v>44967.572453703702</v>
      </c>
      <c r="G2559" t="s">
        <v>439</v>
      </c>
      <c r="H2559" t="s">
        <v>440</v>
      </c>
      <c r="I2559" s="13">
        <v>44967.577175925922</v>
      </c>
      <c r="K2559" t="s">
        <v>379</v>
      </c>
      <c r="M2559" s="13">
        <v>45015</v>
      </c>
      <c r="R2559">
        <v>100</v>
      </c>
      <c r="S2559" t="s">
        <v>380</v>
      </c>
      <c r="T2559" t="s">
        <v>57</v>
      </c>
      <c r="V2559" t="s">
        <v>381</v>
      </c>
      <c r="W2559" t="s">
        <v>440</v>
      </c>
      <c r="X2559" t="s">
        <v>440</v>
      </c>
      <c r="AF2559" t="s">
        <v>382</v>
      </c>
      <c r="AG2559" t="s">
        <v>382</v>
      </c>
      <c r="AI2559">
        <v>48</v>
      </c>
      <c r="AL2559" t="s">
        <v>441</v>
      </c>
      <c r="AN2559" t="s">
        <v>31</v>
      </c>
      <c r="AO2559">
        <v>0</v>
      </c>
      <c r="AS2559" t="s">
        <v>385</v>
      </c>
      <c r="AX2559" t="s">
        <v>57</v>
      </c>
      <c r="AY2559" t="s">
        <v>442</v>
      </c>
      <c r="AZ2559" t="s">
        <v>443</v>
      </c>
      <c r="BF2559">
        <v>0</v>
      </c>
      <c r="BK2559" t="s">
        <v>31</v>
      </c>
      <c r="BS2559" t="s">
        <v>379</v>
      </c>
      <c r="BT2559" t="s">
        <v>379</v>
      </c>
      <c r="CI2559" t="s">
        <v>388</v>
      </c>
      <c r="CJ2559" s="14">
        <v>45016</v>
      </c>
      <c r="CK2559">
        <v>1</v>
      </c>
    </row>
    <row r="2560" spans="1:89">
      <c r="A2560" t="s">
        <v>444</v>
      </c>
      <c r="B2560" t="s">
        <v>374</v>
      </c>
      <c r="C2560" t="s">
        <v>445</v>
      </c>
      <c r="D2560" t="s">
        <v>446</v>
      </c>
      <c r="E2560" t="s">
        <v>447</v>
      </c>
      <c r="F2560" s="13">
        <v>44964.624756944446</v>
      </c>
      <c r="G2560" t="s">
        <v>448</v>
      </c>
      <c r="H2560" t="s">
        <v>449</v>
      </c>
      <c r="I2560" s="13">
        <v>45012.044456018521</v>
      </c>
      <c r="K2560" t="s">
        <v>415</v>
      </c>
      <c r="M2560" s="13">
        <v>45016</v>
      </c>
      <c r="R2560">
        <v>0</v>
      </c>
      <c r="S2560" t="s">
        <v>380</v>
      </c>
      <c r="V2560" t="s">
        <v>381</v>
      </c>
      <c r="W2560" t="s">
        <v>450</v>
      </c>
      <c r="X2560" t="s">
        <v>450</v>
      </c>
      <c r="AF2560" t="s">
        <v>451</v>
      </c>
      <c r="AI2560">
        <v>4</v>
      </c>
      <c r="AL2560" t="s">
        <v>452</v>
      </c>
      <c r="AN2560" t="s">
        <v>31</v>
      </c>
      <c r="AO2560">
        <v>0</v>
      </c>
      <c r="AZ2560" t="s">
        <v>453</v>
      </c>
      <c r="BF2560">
        <v>0</v>
      </c>
      <c r="BK2560" t="s">
        <v>31</v>
      </c>
      <c r="BS2560" t="s">
        <v>419</v>
      </c>
      <c r="BT2560" t="s">
        <v>419</v>
      </c>
      <c r="CI2560" t="s">
        <v>388</v>
      </c>
      <c r="CJ2560" s="14">
        <v>45016</v>
      </c>
      <c r="CK2560">
        <v>1</v>
      </c>
    </row>
    <row r="2561" spans="1:89">
      <c r="A2561" t="s">
        <v>454</v>
      </c>
      <c r="B2561" t="s">
        <v>374</v>
      </c>
      <c r="C2561" t="s">
        <v>455</v>
      </c>
      <c r="D2561" t="s">
        <v>456</v>
      </c>
      <c r="E2561" t="s">
        <v>457</v>
      </c>
      <c r="F2561" s="13">
        <v>44949.509699074071</v>
      </c>
      <c r="G2561" t="s">
        <v>458</v>
      </c>
      <c r="H2561" t="s">
        <v>459</v>
      </c>
      <c r="I2561" s="13">
        <v>44949.509710648148</v>
      </c>
      <c r="R2561">
        <v>0</v>
      </c>
      <c r="S2561" t="s">
        <v>416</v>
      </c>
      <c r="T2561" t="s">
        <v>57</v>
      </c>
      <c r="V2561" t="s">
        <v>381</v>
      </c>
      <c r="W2561" t="s">
        <v>460</v>
      </c>
      <c r="X2561" t="s">
        <v>460</v>
      </c>
      <c r="AI2561">
        <v>67</v>
      </c>
      <c r="AN2561" t="s">
        <v>31</v>
      </c>
      <c r="AO2561">
        <v>0</v>
      </c>
      <c r="AS2561" t="s">
        <v>461</v>
      </c>
      <c r="AX2561" t="s">
        <v>57</v>
      </c>
      <c r="AY2561" t="s">
        <v>386</v>
      </c>
      <c r="AZ2561" t="s">
        <v>462</v>
      </c>
      <c r="BF2561">
        <v>0</v>
      </c>
      <c r="BK2561" t="s">
        <v>31</v>
      </c>
      <c r="BS2561" t="s">
        <v>412</v>
      </c>
      <c r="CI2561" t="s">
        <v>388</v>
      </c>
      <c r="CJ2561" s="14">
        <v>45016</v>
      </c>
      <c r="CK2561">
        <v>1</v>
      </c>
    </row>
    <row r="2562" spans="1:89">
      <c r="A2562" t="s">
        <v>454</v>
      </c>
      <c r="B2562" t="s">
        <v>374</v>
      </c>
      <c r="C2562" t="s">
        <v>455</v>
      </c>
      <c r="D2562" t="s">
        <v>463</v>
      </c>
      <c r="E2562" t="s">
        <v>464</v>
      </c>
      <c r="F2562" s="13">
        <v>44949.509675925925</v>
      </c>
      <c r="G2562" t="s">
        <v>458</v>
      </c>
      <c r="H2562" t="s">
        <v>459</v>
      </c>
      <c r="I2562" s="13">
        <v>44949.509687500002</v>
      </c>
      <c r="R2562">
        <v>0</v>
      </c>
      <c r="S2562" t="s">
        <v>380</v>
      </c>
      <c r="T2562" t="s">
        <v>57</v>
      </c>
      <c r="V2562" t="s">
        <v>381</v>
      </c>
      <c r="W2562" t="s">
        <v>465</v>
      </c>
      <c r="X2562" t="s">
        <v>465</v>
      </c>
      <c r="AI2562">
        <v>23</v>
      </c>
      <c r="AN2562" t="s">
        <v>31</v>
      </c>
      <c r="AO2562">
        <v>0</v>
      </c>
      <c r="AS2562" t="s">
        <v>461</v>
      </c>
      <c r="AX2562" t="s">
        <v>57</v>
      </c>
      <c r="AY2562" t="s">
        <v>386</v>
      </c>
      <c r="AZ2562" t="s">
        <v>466</v>
      </c>
      <c r="BF2562">
        <v>0</v>
      </c>
      <c r="BK2562" t="s">
        <v>31</v>
      </c>
      <c r="BS2562" t="s">
        <v>412</v>
      </c>
      <c r="CI2562" t="s">
        <v>388</v>
      </c>
      <c r="CJ2562" s="14">
        <v>45016</v>
      </c>
      <c r="CK2562">
        <v>1</v>
      </c>
    </row>
    <row r="2563" spans="1:89">
      <c r="A2563" t="s">
        <v>454</v>
      </c>
      <c r="B2563" t="s">
        <v>374</v>
      </c>
      <c r="C2563" t="s">
        <v>455</v>
      </c>
      <c r="D2563" t="s">
        <v>467</v>
      </c>
      <c r="E2563" t="s">
        <v>468</v>
      </c>
      <c r="F2563" s="13">
        <v>44949.507824074077</v>
      </c>
      <c r="G2563" t="s">
        <v>458</v>
      </c>
      <c r="H2563" t="s">
        <v>459</v>
      </c>
      <c r="I2563" s="13">
        <v>45012.044456018521</v>
      </c>
      <c r="K2563" t="s">
        <v>415</v>
      </c>
      <c r="M2563" s="13">
        <v>45016</v>
      </c>
      <c r="R2563">
        <v>0</v>
      </c>
      <c r="S2563" t="s">
        <v>416</v>
      </c>
      <c r="T2563" t="s">
        <v>57</v>
      </c>
      <c r="V2563" t="s">
        <v>381</v>
      </c>
      <c r="W2563" t="s">
        <v>469</v>
      </c>
      <c r="X2563" t="s">
        <v>469</v>
      </c>
      <c r="AF2563" t="s">
        <v>451</v>
      </c>
      <c r="AI2563">
        <v>4</v>
      </c>
      <c r="AL2563" t="s">
        <v>470</v>
      </c>
      <c r="AN2563" t="s">
        <v>31</v>
      </c>
      <c r="AO2563">
        <v>0</v>
      </c>
      <c r="AZ2563" t="s">
        <v>471</v>
      </c>
      <c r="BF2563">
        <v>0</v>
      </c>
      <c r="BK2563" t="s">
        <v>31</v>
      </c>
      <c r="BS2563" t="s">
        <v>419</v>
      </c>
      <c r="BT2563" t="s">
        <v>419</v>
      </c>
      <c r="CI2563" t="s">
        <v>388</v>
      </c>
      <c r="CJ2563" s="14">
        <v>45016</v>
      </c>
      <c r="CK2563">
        <v>1</v>
      </c>
    </row>
    <row r="2564" spans="1:89">
      <c r="A2564" t="s">
        <v>472</v>
      </c>
      <c r="B2564" t="s">
        <v>374</v>
      </c>
      <c r="C2564" t="s">
        <v>473</v>
      </c>
      <c r="D2564" t="s">
        <v>474</v>
      </c>
      <c r="E2564" t="s">
        <v>475</v>
      </c>
      <c r="F2564" s="13">
        <v>44896.485972222225</v>
      </c>
      <c r="G2564" t="s">
        <v>476</v>
      </c>
      <c r="H2564" t="s">
        <v>477</v>
      </c>
      <c r="I2564" s="13">
        <v>45012.044456018521</v>
      </c>
      <c r="K2564" t="s">
        <v>415</v>
      </c>
      <c r="M2564" s="13">
        <v>44985</v>
      </c>
      <c r="R2564">
        <v>0</v>
      </c>
      <c r="S2564" t="s">
        <v>416</v>
      </c>
      <c r="T2564" t="s">
        <v>57</v>
      </c>
      <c r="V2564" t="s">
        <v>478</v>
      </c>
      <c r="W2564" t="s">
        <v>479</v>
      </c>
      <c r="X2564" t="s">
        <v>479</v>
      </c>
      <c r="Y2564" t="s">
        <v>480</v>
      </c>
      <c r="AC2564" s="13">
        <v>44910</v>
      </c>
      <c r="AD2564" s="13">
        <v>44903</v>
      </c>
      <c r="AF2564" t="s">
        <v>451</v>
      </c>
      <c r="AG2564" t="s">
        <v>481</v>
      </c>
      <c r="AI2564">
        <v>-27</v>
      </c>
      <c r="AL2564" t="s">
        <v>482</v>
      </c>
      <c r="AN2564" t="s">
        <v>31</v>
      </c>
      <c r="AO2564">
        <v>0</v>
      </c>
      <c r="AS2564" t="s">
        <v>385</v>
      </c>
      <c r="AT2564" t="s">
        <v>31</v>
      </c>
      <c r="AX2564" t="s">
        <v>31</v>
      </c>
      <c r="AY2564" t="s">
        <v>386</v>
      </c>
      <c r="AZ2564" t="s">
        <v>483</v>
      </c>
      <c r="BF2564">
        <v>0</v>
      </c>
      <c r="BK2564" t="s">
        <v>31</v>
      </c>
      <c r="BS2564" t="s">
        <v>484</v>
      </c>
      <c r="BT2564" t="s">
        <v>484</v>
      </c>
      <c r="CI2564" t="s">
        <v>388</v>
      </c>
      <c r="CJ2564" s="14">
        <v>45016</v>
      </c>
      <c r="CK2564">
        <v>1</v>
      </c>
    </row>
    <row r="2565" spans="1:89">
      <c r="A2565" t="s">
        <v>485</v>
      </c>
      <c r="B2565" t="s">
        <v>374</v>
      </c>
      <c r="C2565" t="s">
        <v>486</v>
      </c>
      <c r="D2565" t="s">
        <v>487</v>
      </c>
      <c r="E2565" t="s">
        <v>488</v>
      </c>
      <c r="F2565" s="13">
        <v>44894.408437500002</v>
      </c>
      <c r="G2565" t="s">
        <v>489</v>
      </c>
      <c r="H2565" t="s">
        <v>490</v>
      </c>
      <c r="I2565" s="13">
        <v>44894.408680555556</v>
      </c>
      <c r="K2565" t="s">
        <v>412</v>
      </c>
      <c r="R2565">
        <v>0</v>
      </c>
      <c r="S2565" t="s">
        <v>380</v>
      </c>
      <c r="T2565" t="s">
        <v>57</v>
      </c>
      <c r="V2565" t="s">
        <v>381</v>
      </c>
      <c r="W2565" t="s">
        <v>491</v>
      </c>
      <c r="X2565" t="s">
        <v>491</v>
      </c>
      <c r="AI2565">
        <v>9</v>
      </c>
      <c r="AL2565" t="s">
        <v>492</v>
      </c>
      <c r="AN2565" t="s">
        <v>31</v>
      </c>
      <c r="AO2565">
        <v>0</v>
      </c>
      <c r="AZ2565" t="s">
        <v>488</v>
      </c>
      <c r="BF2565">
        <v>0</v>
      </c>
      <c r="BK2565" t="s">
        <v>31</v>
      </c>
      <c r="BS2565" t="s">
        <v>412</v>
      </c>
      <c r="BT2565" t="s">
        <v>412</v>
      </c>
      <c r="CI2565" t="s">
        <v>388</v>
      </c>
      <c r="CJ2565" s="14">
        <v>45016</v>
      </c>
      <c r="CK2565">
        <v>1</v>
      </c>
    </row>
    <row r="2566" spans="1:89">
      <c r="A2566" t="s">
        <v>485</v>
      </c>
      <c r="B2566" t="s">
        <v>374</v>
      </c>
      <c r="C2566" t="s">
        <v>486</v>
      </c>
      <c r="D2566" t="s">
        <v>493</v>
      </c>
      <c r="E2566" t="s">
        <v>494</v>
      </c>
      <c r="F2566" s="13">
        <v>44894.401006944441</v>
      </c>
      <c r="G2566" t="s">
        <v>489</v>
      </c>
      <c r="H2566" t="s">
        <v>490</v>
      </c>
      <c r="I2566" s="13">
        <v>44894.404513888891</v>
      </c>
      <c r="K2566" t="s">
        <v>412</v>
      </c>
      <c r="R2566">
        <v>0</v>
      </c>
      <c r="S2566" t="s">
        <v>416</v>
      </c>
      <c r="T2566" t="s">
        <v>57</v>
      </c>
      <c r="V2566" t="s">
        <v>381</v>
      </c>
      <c r="W2566" t="s">
        <v>490</v>
      </c>
      <c r="X2566" t="s">
        <v>490</v>
      </c>
      <c r="AI2566">
        <v>9</v>
      </c>
      <c r="AL2566" t="s">
        <v>492</v>
      </c>
      <c r="AN2566" t="s">
        <v>31</v>
      </c>
      <c r="AO2566">
        <v>0</v>
      </c>
      <c r="AZ2566" t="s">
        <v>495</v>
      </c>
      <c r="BF2566">
        <v>0</v>
      </c>
      <c r="BK2566" t="s">
        <v>31</v>
      </c>
      <c r="BS2566" t="s">
        <v>412</v>
      </c>
      <c r="BT2566" t="s">
        <v>412</v>
      </c>
      <c r="CI2566" t="s">
        <v>388</v>
      </c>
      <c r="CJ2566" s="14">
        <v>45016</v>
      </c>
      <c r="CK2566">
        <v>1</v>
      </c>
    </row>
    <row r="2567" spans="1:89">
      <c r="A2567" t="s">
        <v>496</v>
      </c>
      <c r="B2567" t="s">
        <v>374</v>
      </c>
      <c r="C2567" t="s">
        <v>497</v>
      </c>
      <c r="D2567" t="s">
        <v>498</v>
      </c>
      <c r="E2567" t="s">
        <v>499</v>
      </c>
      <c r="F2567" s="13">
        <v>44847.489108796297</v>
      </c>
      <c r="G2567" t="s">
        <v>500</v>
      </c>
      <c r="H2567" t="s">
        <v>501</v>
      </c>
      <c r="I2567" s="13">
        <v>44847.489131944443</v>
      </c>
      <c r="K2567" t="s">
        <v>412</v>
      </c>
      <c r="R2567">
        <v>0</v>
      </c>
      <c r="S2567" t="s">
        <v>380</v>
      </c>
      <c r="V2567" t="s">
        <v>381</v>
      </c>
      <c r="W2567" t="s">
        <v>502</v>
      </c>
      <c r="X2567" t="s">
        <v>502</v>
      </c>
      <c r="AI2567">
        <v>0</v>
      </c>
      <c r="AL2567" t="s">
        <v>503</v>
      </c>
      <c r="AN2567" t="s">
        <v>31</v>
      </c>
      <c r="AO2567">
        <v>0</v>
      </c>
      <c r="AZ2567" t="s">
        <v>438</v>
      </c>
      <c r="BF2567">
        <v>0</v>
      </c>
      <c r="BK2567" t="s">
        <v>31</v>
      </c>
      <c r="BS2567" t="s">
        <v>412</v>
      </c>
      <c r="BT2567" t="s">
        <v>412</v>
      </c>
      <c r="CI2567" t="s">
        <v>388</v>
      </c>
      <c r="CJ2567" s="14">
        <v>45016</v>
      </c>
      <c r="CK2567">
        <v>1</v>
      </c>
    </row>
    <row r="2568" spans="1:89">
      <c r="A2568" t="s">
        <v>496</v>
      </c>
      <c r="B2568" t="s">
        <v>374</v>
      </c>
      <c r="C2568" t="s">
        <v>497</v>
      </c>
      <c r="D2568" t="s">
        <v>504</v>
      </c>
      <c r="E2568" t="s">
        <v>438</v>
      </c>
      <c r="F2568" s="13">
        <v>44847.458472222221</v>
      </c>
      <c r="G2568" t="s">
        <v>500</v>
      </c>
      <c r="H2568" t="s">
        <v>501</v>
      </c>
      <c r="I2568" s="13">
        <v>45012.044456018521</v>
      </c>
      <c r="K2568" t="s">
        <v>415</v>
      </c>
      <c r="M2568" s="13">
        <v>44925</v>
      </c>
      <c r="R2568">
        <v>0</v>
      </c>
      <c r="S2568" t="s">
        <v>416</v>
      </c>
      <c r="T2568" t="s">
        <v>57</v>
      </c>
      <c r="V2568" t="s">
        <v>478</v>
      </c>
      <c r="W2568" t="s">
        <v>505</v>
      </c>
      <c r="X2568" t="s">
        <v>505</v>
      </c>
      <c r="Y2568" t="s">
        <v>480</v>
      </c>
      <c r="AF2568" t="s">
        <v>451</v>
      </c>
      <c r="AG2568" t="s">
        <v>438</v>
      </c>
      <c r="AI2568">
        <v>-87</v>
      </c>
      <c r="AL2568" t="s">
        <v>506</v>
      </c>
      <c r="AN2568" t="s">
        <v>31</v>
      </c>
      <c r="AO2568">
        <v>0</v>
      </c>
      <c r="AT2568" t="s">
        <v>31</v>
      </c>
      <c r="AZ2568" t="s">
        <v>438</v>
      </c>
      <c r="BF2568">
        <v>0</v>
      </c>
      <c r="BK2568" t="s">
        <v>31</v>
      </c>
      <c r="BS2568" t="s">
        <v>484</v>
      </c>
      <c r="BT2568" t="s">
        <v>484</v>
      </c>
      <c r="CI2568" t="s">
        <v>388</v>
      </c>
      <c r="CJ2568" s="14">
        <v>45016</v>
      </c>
      <c r="CK2568">
        <v>1</v>
      </c>
    </row>
    <row r="2569" spans="1:89">
      <c r="A2569" t="s">
        <v>507</v>
      </c>
      <c r="B2569" t="s">
        <v>374</v>
      </c>
      <c r="C2569" t="s">
        <v>508</v>
      </c>
      <c r="D2569" t="s">
        <v>509</v>
      </c>
      <c r="E2569" t="s">
        <v>406</v>
      </c>
      <c r="F2569" s="13">
        <v>44847.450138888889</v>
      </c>
      <c r="G2569" t="s">
        <v>407</v>
      </c>
      <c r="H2569" t="s">
        <v>408</v>
      </c>
      <c r="I2569" s="13">
        <v>45012.044444444444</v>
      </c>
      <c r="K2569" t="s">
        <v>415</v>
      </c>
      <c r="M2569" s="13">
        <v>44902</v>
      </c>
      <c r="R2569">
        <v>0</v>
      </c>
      <c r="S2569" t="s">
        <v>380</v>
      </c>
      <c r="T2569" t="s">
        <v>57</v>
      </c>
      <c r="V2569" t="s">
        <v>478</v>
      </c>
      <c r="W2569" t="s">
        <v>510</v>
      </c>
      <c r="X2569" t="s">
        <v>510</v>
      </c>
      <c r="AF2569" t="s">
        <v>451</v>
      </c>
      <c r="AI2569">
        <v>-110</v>
      </c>
      <c r="AL2569" t="s">
        <v>511</v>
      </c>
      <c r="AN2569" t="s">
        <v>31</v>
      </c>
      <c r="AO2569">
        <v>0</v>
      </c>
      <c r="AZ2569" t="s">
        <v>406</v>
      </c>
      <c r="BF2569">
        <v>0</v>
      </c>
      <c r="BK2569" t="s">
        <v>31</v>
      </c>
      <c r="BS2569" t="s">
        <v>419</v>
      </c>
      <c r="BT2569" t="s">
        <v>419</v>
      </c>
      <c r="CI2569" t="s">
        <v>388</v>
      </c>
      <c r="CJ2569" s="14">
        <v>45016</v>
      </c>
      <c r="CK2569">
        <v>1</v>
      </c>
    </row>
    <row r="2570" spans="1:89">
      <c r="A2570" t="s">
        <v>496</v>
      </c>
      <c r="B2570" t="s">
        <v>374</v>
      </c>
      <c r="C2570" t="s">
        <v>497</v>
      </c>
      <c r="D2570" t="s">
        <v>512</v>
      </c>
      <c r="E2570" t="s">
        <v>438</v>
      </c>
      <c r="F2570" s="13">
        <v>44847.40898148148</v>
      </c>
      <c r="G2570" t="s">
        <v>500</v>
      </c>
      <c r="H2570" t="s">
        <v>501</v>
      </c>
      <c r="I2570" s="13">
        <v>44847.446898148148</v>
      </c>
      <c r="K2570" t="s">
        <v>379</v>
      </c>
      <c r="M2570" s="13">
        <v>44895</v>
      </c>
      <c r="R2570">
        <v>100</v>
      </c>
      <c r="S2570" t="s">
        <v>380</v>
      </c>
      <c r="T2570" t="s">
        <v>57</v>
      </c>
      <c r="V2570" t="s">
        <v>381</v>
      </c>
      <c r="W2570" t="s">
        <v>513</v>
      </c>
      <c r="X2570" t="s">
        <v>513</v>
      </c>
      <c r="AF2570" t="s">
        <v>382</v>
      </c>
      <c r="AG2570" t="s">
        <v>438</v>
      </c>
      <c r="AI2570">
        <v>48</v>
      </c>
      <c r="AK2570" t="s">
        <v>480</v>
      </c>
      <c r="AL2570" t="s">
        <v>514</v>
      </c>
      <c r="AN2570" t="s">
        <v>31</v>
      </c>
      <c r="AO2570">
        <v>0</v>
      </c>
      <c r="AS2570" t="s">
        <v>385</v>
      </c>
      <c r="AX2570" t="s">
        <v>31</v>
      </c>
      <c r="AY2570" t="s">
        <v>442</v>
      </c>
      <c r="AZ2570" t="s">
        <v>438</v>
      </c>
      <c r="BF2570">
        <v>0</v>
      </c>
      <c r="BK2570" t="s">
        <v>31</v>
      </c>
      <c r="BS2570" t="s">
        <v>379</v>
      </c>
      <c r="BT2570" t="s">
        <v>379</v>
      </c>
      <c r="CI2570" t="s">
        <v>388</v>
      </c>
      <c r="CJ2570" s="14">
        <v>45016</v>
      </c>
      <c r="CK2570">
        <v>1</v>
      </c>
    </row>
    <row r="2571" spans="1:89">
      <c r="A2571" t="s">
        <v>515</v>
      </c>
      <c r="B2571" t="s">
        <v>374</v>
      </c>
      <c r="C2571" t="s">
        <v>516</v>
      </c>
      <c r="D2571" t="s">
        <v>517</v>
      </c>
      <c r="E2571" t="s">
        <v>438</v>
      </c>
      <c r="F2571" s="13">
        <v>44847.395972222221</v>
      </c>
      <c r="G2571" t="s">
        <v>500</v>
      </c>
      <c r="H2571" t="s">
        <v>501</v>
      </c>
      <c r="I2571" s="13">
        <v>44847.404999999999</v>
      </c>
      <c r="K2571" t="s">
        <v>412</v>
      </c>
      <c r="R2571">
        <v>0</v>
      </c>
      <c r="S2571" t="s">
        <v>380</v>
      </c>
      <c r="T2571" t="s">
        <v>57</v>
      </c>
      <c r="V2571" t="s">
        <v>381</v>
      </c>
      <c r="W2571" t="s">
        <v>438</v>
      </c>
      <c r="X2571" t="s">
        <v>438</v>
      </c>
      <c r="AI2571">
        <v>56</v>
      </c>
      <c r="AL2571" t="s">
        <v>518</v>
      </c>
      <c r="AN2571" t="s">
        <v>31</v>
      </c>
      <c r="AO2571">
        <v>0</v>
      </c>
      <c r="AZ2571" t="s">
        <v>438</v>
      </c>
      <c r="BF2571">
        <v>0</v>
      </c>
      <c r="BK2571" t="s">
        <v>31</v>
      </c>
      <c r="BS2571" t="s">
        <v>412</v>
      </c>
      <c r="BT2571" t="s">
        <v>412</v>
      </c>
      <c r="CI2571" t="s">
        <v>388</v>
      </c>
      <c r="CJ2571" s="14">
        <v>45016</v>
      </c>
      <c r="CK2571">
        <v>1</v>
      </c>
    </row>
    <row r="2572" spans="1:89">
      <c r="A2572" t="s">
        <v>404</v>
      </c>
      <c r="B2572" t="s">
        <v>374</v>
      </c>
      <c r="C2572" t="s">
        <v>375</v>
      </c>
      <c r="D2572" t="s">
        <v>519</v>
      </c>
      <c r="E2572" t="s">
        <v>406</v>
      </c>
      <c r="F2572" s="13">
        <v>44846.509340277778</v>
      </c>
      <c r="G2572" t="s">
        <v>407</v>
      </c>
      <c r="H2572" t="s">
        <v>408</v>
      </c>
      <c r="I2572" s="13">
        <v>44846.562060185184</v>
      </c>
      <c r="K2572" t="s">
        <v>379</v>
      </c>
      <c r="M2572" s="13">
        <v>45000</v>
      </c>
      <c r="R2572">
        <v>100</v>
      </c>
      <c r="S2572" t="s">
        <v>380</v>
      </c>
      <c r="T2572" t="s">
        <v>57</v>
      </c>
      <c r="V2572" t="s">
        <v>381</v>
      </c>
      <c r="W2572" t="s">
        <v>520</v>
      </c>
      <c r="X2572" t="s">
        <v>520</v>
      </c>
      <c r="AB2572" t="s">
        <v>31</v>
      </c>
      <c r="AF2572" t="s">
        <v>382</v>
      </c>
      <c r="AG2572" t="s">
        <v>406</v>
      </c>
      <c r="AI2572">
        <v>154</v>
      </c>
      <c r="AL2572" t="s">
        <v>521</v>
      </c>
      <c r="AN2572" t="s">
        <v>57</v>
      </c>
      <c r="AO2572">
        <v>0</v>
      </c>
      <c r="AS2572" t="s">
        <v>522</v>
      </c>
      <c r="AX2572" t="s">
        <v>57</v>
      </c>
      <c r="AY2572" t="s">
        <v>442</v>
      </c>
      <c r="AZ2572" t="s">
        <v>406</v>
      </c>
      <c r="BC2572" t="s">
        <v>480</v>
      </c>
      <c r="BD2572" t="s">
        <v>406</v>
      </c>
      <c r="BF2572">
        <v>0</v>
      </c>
      <c r="BK2572" t="s">
        <v>31</v>
      </c>
      <c r="BS2572" t="s">
        <v>379</v>
      </c>
      <c r="BT2572" t="s">
        <v>379</v>
      </c>
      <c r="CC2572" t="s">
        <v>523</v>
      </c>
      <c r="CI2572" t="s">
        <v>388</v>
      </c>
      <c r="CJ2572" s="14">
        <v>45016</v>
      </c>
      <c r="CK2572">
        <v>1</v>
      </c>
    </row>
    <row r="2573" spans="1:89">
      <c r="A2573" t="s">
        <v>404</v>
      </c>
      <c r="B2573" t="s">
        <v>374</v>
      </c>
      <c r="C2573" t="s">
        <v>375</v>
      </c>
      <c r="D2573" t="s">
        <v>524</v>
      </c>
      <c r="E2573" t="s">
        <v>406</v>
      </c>
      <c r="F2573" s="13">
        <v>44846.501620370371</v>
      </c>
      <c r="G2573" t="s">
        <v>407</v>
      </c>
      <c r="H2573" t="s">
        <v>408</v>
      </c>
      <c r="I2573" s="13">
        <v>44846.563599537039</v>
      </c>
      <c r="K2573" t="s">
        <v>379</v>
      </c>
      <c r="M2573" s="13">
        <v>45043</v>
      </c>
      <c r="R2573">
        <v>100</v>
      </c>
      <c r="S2573" t="s">
        <v>380</v>
      </c>
      <c r="T2573" t="s">
        <v>57</v>
      </c>
      <c r="V2573" t="s">
        <v>381</v>
      </c>
      <c r="W2573" t="s">
        <v>520</v>
      </c>
      <c r="X2573" t="s">
        <v>520</v>
      </c>
      <c r="AF2573" t="s">
        <v>382</v>
      </c>
      <c r="AG2573" t="s">
        <v>406</v>
      </c>
      <c r="AI2573">
        <v>197</v>
      </c>
      <c r="AL2573" t="s">
        <v>521</v>
      </c>
      <c r="AN2573" t="s">
        <v>31</v>
      </c>
      <c r="AO2573">
        <v>0</v>
      </c>
      <c r="AS2573" t="s">
        <v>461</v>
      </c>
      <c r="AX2573" t="s">
        <v>31</v>
      </c>
      <c r="AY2573" t="s">
        <v>386</v>
      </c>
      <c r="AZ2573" t="s">
        <v>406</v>
      </c>
      <c r="BF2573">
        <v>0</v>
      </c>
      <c r="BK2573" t="s">
        <v>31</v>
      </c>
      <c r="BS2573" t="s">
        <v>379</v>
      </c>
      <c r="BT2573" t="s">
        <v>379</v>
      </c>
      <c r="CI2573" t="s">
        <v>388</v>
      </c>
      <c r="CJ2573" s="14">
        <v>45016</v>
      </c>
      <c r="CK2573">
        <v>1</v>
      </c>
    </row>
    <row r="2574" spans="1:89">
      <c r="A2574" t="s">
        <v>404</v>
      </c>
      <c r="B2574" t="s">
        <v>374</v>
      </c>
      <c r="C2574" t="s">
        <v>375</v>
      </c>
      <c r="D2574" t="s">
        <v>525</v>
      </c>
      <c r="E2574" t="s">
        <v>406</v>
      </c>
      <c r="F2574" s="13">
        <v>44846.500868055555</v>
      </c>
      <c r="G2574" t="s">
        <v>407</v>
      </c>
      <c r="H2574" t="s">
        <v>408</v>
      </c>
      <c r="I2574" s="13">
        <v>44846.542951388888</v>
      </c>
      <c r="K2574" t="s">
        <v>379</v>
      </c>
      <c r="M2574" s="13">
        <v>44936</v>
      </c>
      <c r="R2574">
        <v>100</v>
      </c>
      <c r="S2574" t="s">
        <v>416</v>
      </c>
      <c r="T2574" t="s">
        <v>57</v>
      </c>
      <c r="V2574" t="s">
        <v>381</v>
      </c>
      <c r="W2574" t="s">
        <v>510</v>
      </c>
      <c r="X2574" t="s">
        <v>510</v>
      </c>
      <c r="AF2574" t="s">
        <v>382</v>
      </c>
      <c r="AG2574" t="s">
        <v>406</v>
      </c>
      <c r="AI2574">
        <v>90</v>
      </c>
      <c r="AL2574" t="s">
        <v>521</v>
      </c>
      <c r="AM2574">
        <v>1</v>
      </c>
      <c r="AN2574" t="s">
        <v>31</v>
      </c>
      <c r="AO2574">
        <v>0</v>
      </c>
      <c r="AS2574" t="s">
        <v>526</v>
      </c>
      <c r="AX2574" t="s">
        <v>31</v>
      </c>
      <c r="AY2574" t="s">
        <v>386</v>
      </c>
      <c r="AZ2574" t="s">
        <v>406</v>
      </c>
      <c r="BE2574" t="s">
        <v>406</v>
      </c>
      <c r="BF2574">
        <v>0</v>
      </c>
      <c r="BK2574" t="s">
        <v>31</v>
      </c>
      <c r="BS2574" t="s">
        <v>379</v>
      </c>
      <c r="BT2574" t="s">
        <v>379</v>
      </c>
      <c r="CI2574" t="s">
        <v>388</v>
      </c>
      <c r="CJ2574" s="14">
        <v>45016</v>
      </c>
      <c r="CK2574">
        <v>1</v>
      </c>
    </row>
    <row r="2575" spans="1:89">
      <c r="A2575" t="s">
        <v>404</v>
      </c>
      <c r="B2575" t="s">
        <v>374</v>
      </c>
      <c r="C2575" t="s">
        <v>375</v>
      </c>
      <c r="D2575" t="s">
        <v>527</v>
      </c>
      <c r="E2575" t="s">
        <v>406</v>
      </c>
      <c r="F2575" s="13">
        <v>44846.480497685188</v>
      </c>
      <c r="G2575" t="s">
        <v>407</v>
      </c>
      <c r="H2575" t="s">
        <v>408</v>
      </c>
      <c r="I2575" s="13">
        <v>44846.49019675926</v>
      </c>
      <c r="K2575" t="s">
        <v>379</v>
      </c>
      <c r="M2575" s="13">
        <v>45015</v>
      </c>
      <c r="R2575">
        <v>100</v>
      </c>
      <c r="S2575" t="s">
        <v>380</v>
      </c>
      <c r="T2575" t="s">
        <v>57</v>
      </c>
      <c r="V2575" t="s">
        <v>381</v>
      </c>
      <c r="W2575" t="s">
        <v>510</v>
      </c>
      <c r="X2575" t="s">
        <v>510</v>
      </c>
      <c r="AC2575" s="13">
        <v>45056</v>
      </c>
      <c r="AD2575" s="13">
        <v>44993</v>
      </c>
      <c r="AF2575" t="s">
        <v>382</v>
      </c>
      <c r="AG2575" t="s">
        <v>406</v>
      </c>
      <c r="AI2575">
        <v>169</v>
      </c>
      <c r="AL2575" t="s">
        <v>528</v>
      </c>
      <c r="AN2575" t="s">
        <v>31</v>
      </c>
      <c r="AO2575">
        <v>0</v>
      </c>
      <c r="AS2575" t="s">
        <v>526</v>
      </c>
      <c r="AX2575" t="s">
        <v>57</v>
      </c>
      <c r="AY2575" t="s">
        <v>442</v>
      </c>
      <c r="AZ2575" t="s">
        <v>406</v>
      </c>
      <c r="BF2575">
        <v>0</v>
      </c>
      <c r="BK2575" t="s">
        <v>31</v>
      </c>
      <c r="BS2575" t="s">
        <v>379</v>
      </c>
      <c r="BT2575" t="s">
        <v>379</v>
      </c>
      <c r="CI2575" t="s">
        <v>388</v>
      </c>
      <c r="CJ2575" s="14">
        <v>45016</v>
      </c>
      <c r="CK2575">
        <v>1</v>
      </c>
    </row>
    <row r="2576" spans="1:89">
      <c r="A2576" t="s">
        <v>404</v>
      </c>
      <c r="B2576" t="s">
        <v>374</v>
      </c>
      <c r="C2576" t="s">
        <v>375</v>
      </c>
      <c r="D2576" t="s">
        <v>529</v>
      </c>
      <c r="E2576" t="s">
        <v>406</v>
      </c>
      <c r="F2576" s="13">
        <v>44846.469733796293</v>
      </c>
      <c r="G2576" t="s">
        <v>407</v>
      </c>
      <c r="H2576" t="s">
        <v>408</v>
      </c>
      <c r="I2576" s="13">
        <v>44846.488055555557</v>
      </c>
      <c r="K2576" t="s">
        <v>379</v>
      </c>
      <c r="M2576" s="13">
        <v>44936</v>
      </c>
      <c r="R2576">
        <v>100</v>
      </c>
      <c r="S2576" t="s">
        <v>416</v>
      </c>
      <c r="T2576" t="s">
        <v>57</v>
      </c>
      <c r="V2576" t="s">
        <v>381</v>
      </c>
      <c r="W2576" t="s">
        <v>510</v>
      </c>
      <c r="X2576" t="s">
        <v>510</v>
      </c>
      <c r="AF2576" t="s">
        <v>382</v>
      </c>
      <c r="AG2576" t="s">
        <v>406</v>
      </c>
      <c r="AI2576">
        <v>90</v>
      </c>
      <c r="AL2576" t="s">
        <v>528</v>
      </c>
      <c r="AM2576">
        <v>1</v>
      </c>
      <c r="AN2576" t="s">
        <v>31</v>
      </c>
      <c r="AO2576">
        <v>0</v>
      </c>
      <c r="AS2576" t="s">
        <v>385</v>
      </c>
      <c r="AX2576" t="s">
        <v>31</v>
      </c>
      <c r="AY2576" t="s">
        <v>386</v>
      </c>
      <c r="AZ2576" t="s">
        <v>406</v>
      </c>
      <c r="BF2576">
        <v>0</v>
      </c>
      <c r="BK2576" t="s">
        <v>31</v>
      </c>
      <c r="BS2576" t="s">
        <v>379</v>
      </c>
      <c r="BT2576" t="s">
        <v>379</v>
      </c>
      <c r="CI2576" t="s">
        <v>388</v>
      </c>
      <c r="CJ2576" s="14">
        <v>45016</v>
      </c>
      <c r="CK2576">
        <v>1</v>
      </c>
    </row>
    <row r="2577" spans="1:89">
      <c r="A2577" t="s">
        <v>404</v>
      </c>
      <c r="B2577" t="s">
        <v>374</v>
      </c>
      <c r="C2577" t="s">
        <v>375</v>
      </c>
      <c r="D2577" t="s">
        <v>530</v>
      </c>
      <c r="E2577" t="s">
        <v>406</v>
      </c>
      <c r="F2577" s="13">
        <v>44846.388518518521</v>
      </c>
      <c r="G2577" t="s">
        <v>407</v>
      </c>
      <c r="H2577" t="s">
        <v>408</v>
      </c>
      <c r="I2577" s="13">
        <v>44846.429849537039</v>
      </c>
      <c r="K2577" t="s">
        <v>379</v>
      </c>
      <c r="M2577" s="13">
        <v>44895</v>
      </c>
      <c r="R2577">
        <v>100</v>
      </c>
      <c r="S2577" t="s">
        <v>380</v>
      </c>
      <c r="T2577" t="s">
        <v>57</v>
      </c>
      <c r="V2577" t="s">
        <v>381</v>
      </c>
      <c r="W2577" t="s">
        <v>531</v>
      </c>
      <c r="X2577" t="s">
        <v>531</v>
      </c>
      <c r="AC2577" s="13">
        <v>44887</v>
      </c>
      <c r="AD2577" s="13">
        <v>44881</v>
      </c>
      <c r="AF2577" t="s">
        <v>382</v>
      </c>
      <c r="AG2577" t="s">
        <v>406</v>
      </c>
      <c r="AI2577">
        <v>49</v>
      </c>
      <c r="AK2577" t="s">
        <v>480</v>
      </c>
      <c r="AL2577" t="s">
        <v>532</v>
      </c>
      <c r="AN2577" t="s">
        <v>31</v>
      </c>
      <c r="AO2577">
        <v>0</v>
      </c>
      <c r="AS2577" t="s">
        <v>385</v>
      </c>
      <c r="AX2577" t="s">
        <v>31</v>
      </c>
      <c r="AY2577" t="s">
        <v>386</v>
      </c>
      <c r="AZ2577" t="s">
        <v>406</v>
      </c>
      <c r="BF2577">
        <v>0</v>
      </c>
      <c r="BK2577" t="s">
        <v>31</v>
      </c>
      <c r="BS2577" t="s">
        <v>379</v>
      </c>
      <c r="BT2577" t="s">
        <v>379</v>
      </c>
      <c r="CI2577" t="s">
        <v>388</v>
      </c>
      <c r="CJ2577" s="14">
        <v>45016</v>
      </c>
      <c r="CK2577">
        <v>1</v>
      </c>
    </row>
    <row r="2578" spans="1:89">
      <c r="A2578" t="s">
        <v>533</v>
      </c>
      <c r="B2578" t="s">
        <v>374</v>
      </c>
      <c r="C2578" t="s">
        <v>534</v>
      </c>
      <c r="D2578" t="s">
        <v>535</v>
      </c>
      <c r="E2578" t="s">
        <v>536</v>
      </c>
      <c r="F2578" s="13">
        <v>44839.570752314816</v>
      </c>
      <c r="G2578" t="s">
        <v>458</v>
      </c>
      <c r="H2578" t="s">
        <v>459</v>
      </c>
      <c r="I2578" s="13">
        <v>44839.570752314816</v>
      </c>
      <c r="R2578">
        <v>0</v>
      </c>
      <c r="S2578" t="s">
        <v>380</v>
      </c>
      <c r="T2578" t="s">
        <v>57</v>
      </c>
      <c r="V2578" t="s">
        <v>381</v>
      </c>
      <c r="W2578" t="s">
        <v>537</v>
      </c>
      <c r="X2578" t="s">
        <v>537</v>
      </c>
      <c r="AC2578" s="13">
        <v>44832</v>
      </c>
      <c r="AD2578" s="13">
        <v>44832</v>
      </c>
      <c r="AI2578">
        <v>-7</v>
      </c>
      <c r="AN2578" t="s">
        <v>31</v>
      </c>
      <c r="AO2578">
        <v>0</v>
      </c>
      <c r="AS2578" t="s">
        <v>538</v>
      </c>
      <c r="AX2578" t="s">
        <v>31</v>
      </c>
      <c r="AY2578" t="s">
        <v>386</v>
      </c>
      <c r="AZ2578" t="s">
        <v>539</v>
      </c>
      <c r="BF2578">
        <v>0</v>
      </c>
      <c r="BK2578" t="s">
        <v>31</v>
      </c>
      <c r="BS2578" t="s">
        <v>412</v>
      </c>
      <c r="CI2578" t="s">
        <v>388</v>
      </c>
      <c r="CJ2578" s="14">
        <v>45016</v>
      </c>
      <c r="CK2578">
        <v>1</v>
      </c>
    </row>
    <row r="2579" spans="1:89">
      <c r="A2579" t="s">
        <v>540</v>
      </c>
      <c r="B2579" t="s">
        <v>374</v>
      </c>
      <c r="C2579" t="s">
        <v>541</v>
      </c>
      <c r="D2579" t="s">
        <v>542</v>
      </c>
      <c r="E2579" t="s">
        <v>543</v>
      </c>
      <c r="F2579" s="13">
        <v>44839.570729166669</v>
      </c>
      <c r="G2579" t="s">
        <v>458</v>
      </c>
      <c r="H2579" t="s">
        <v>459</v>
      </c>
      <c r="I2579" s="13">
        <v>44839.570740740739</v>
      </c>
      <c r="R2579">
        <v>0</v>
      </c>
      <c r="S2579" t="s">
        <v>380</v>
      </c>
      <c r="T2579" t="s">
        <v>57</v>
      </c>
      <c r="V2579" t="s">
        <v>381</v>
      </c>
      <c r="W2579" t="s">
        <v>537</v>
      </c>
      <c r="X2579" t="s">
        <v>537</v>
      </c>
      <c r="AC2579" s="13">
        <v>44830</v>
      </c>
      <c r="AD2579" s="13">
        <v>44830</v>
      </c>
      <c r="AI2579">
        <v>-9</v>
      </c>
      <c r="AN2579" t="s">
        <v>31</v>
      </c>
      <c r="AO2579">
        <v>0</v>
      </c>
      <c r="AS2579" t="s">
        <v>385</v>
      </c>
      <c r="AX2579" t="s">
        <v>31</v>
      </c>
      <c r="AY2579" t="s">
        <v>386</v>
      </c>
      <c r="AZ2579" t="s">
        <v>544</v>
      </c>
      <c r="BF2579">
        <v>0</v>
      </c>
      <c r="BK2579" t="s">
        <v>31</v>
      </c>
      <c r="BS2579" t="s">
        <v>412</v>
      </c>
      <c r="CI2579" t="s">
        <v>388</v>
      </c>
      <c r="CJ2579" s="14">
        <v>45016</v>
      </c>
      <c r="CK2579">
        <v>1</v>
      </c>
    </row>
    <row r="2580" spans="1:89">
      <c r="A2580" t="s">
        <v>545</v>
      </c>
      <c r="B2580" t="s">
        <v>374</v>
      </c>
      <c r="C2580" t="s">
        <v>546</v>
      </c>
      <c r="D2580" t="s">
        <v>547</v>
      </c>
      <c r="E2580" t="s">
        <v>548</v>
      </c>
      <c r="F2580" s="13">
        <v>44839.570706018516</v>
      </c>
      <c r="G2580" t="s">
        <v>458</v>
      </c>
      <c r="H2580" t="s">
        <v>459</v>
      </c>
      <c r="I2580" s="13">
        <v>44839.570717592593</v>
      </c>
      <c r="R2580">
        <v>0</v>
      </c>
      <c r="S2580" t="s">
        <v>380</v>
      </c>
      <c r="T2580" t="s">
        <v>57</v>
      </c>
      <c r="V2580" t="s">
        <v>381</v>
      </c>
      <c r="W2580" t="s">
        <v>537</v>
      </c>
      <c r="X2580" t="s">
        <v>537</v>
      </c>
      <c r="AC2580" s="13">
        <v>44827</v>
      </c>
      <c r="AD2580" s="13">
        <v>44827</v>
      </c>
      <c r="AI2580">
        <v>-12</v>
      </c>
      <c r="AN2580" t="s">
        <v>31</v>
      </c>
      <c r="AO2580">
        <v>0</v>
      </c>
      <c r="AS2580" t="s">
        <v>385</v>
      </c>
      <c r="AX2580" t="s">
        <v>31</v>
      </c>
      <c r="AY2580" t="s">
        <v>386</v>
      </c>
      <c r="AZ2580" t="s">
        <v>549</v>
      </c>
      <c r="BF2580">
        <v>0</v>
      </c>
      <c r="BK2580" t="s">
        <v>31</v>
      </c>
      <c r="BS2580" t="s">
        <v>412</v>
      </c>
      <c r="CI2580" t="s">
        <v>388</v>
      </c>
      <c r="CJ2580" s="14">
        <v>45016</v>
      </c>
      <c r="CK2580">
        <v>1</v>
      </c>
    </row>
    <row r="2581" spans="1:89">
      <c r="A2581" t="s">
        <v>550</v>
      </c>
      <c r="B2581" t="s">
        <v>374</v>
      </c>
      <c r="C2581" t="s">
        <v>551</v>
      </c>
      <c r="D2581" t="s">
        <v>552</v>
      </c>
      <c r="E2581" t="s">
        <v>553</v>
      </c>
      <c r="F2581" s="13">
        <v>44839.57068287037</v>
      </c>
      <c r="G2581" t="s">
        <v>458</v>
      </c>
      <c r="H2581" t="s">
        <v>459</v>
      </c>
      <c r="I2581" s="13">
        <v>44839.570694444446</v>
      </c>
      <c r="R2581">
        <v>0</v>
      </c>
      <c r="S2581" t="s">
        <v>380</v>
      </c>
      <c r="T2581" t="s">
        <v>57</v>
      </c>
      <c r="V2581" t="s">
        <v>381</v>
      </c>
      <c r="W2581" t="s">
        <v>554</v>
      </c>
      <c r="X2581" t="s">
        <v>554</v>
      </c>
      <c r="AC2581" s="13">
        <v>44834</v>
      </c>
      <c r="AD2581" s="13">
        <v>44834</v>
      </c>
      <c r="AI2581">
        <v>-5</v>
      </c>
      <c r="AN2581" t="s">
        <v>31</v>
      </c>
      <c r="AO2581">
        <v>0</v>
      </c>
      <c r="AS2581" t="s">
        <v>385</v>
      </c>
      <c r="AX2581" t="s">
        <v>31</v>
      </c>
      <c r="AY2581" t="s">
        <v>386</v>
      </c>
      <c r="AZ2581" t="s">
        <v>555</v>
      </c>
      <c r="BF2581">
        <v>0</v>
      </c>
      <c r="BK2581" t="s">
        <v>31</v>
      </c>
      <c r="BS2581" t="s">
        <v>412</v>
      </c>
      <c r="CI2581" t="s">
        <v>388</v>
      </c>
      <c r="CJ2581" s="14">
        <v>45016</v>
      </c>
      <c r="CK2581">
        <v>1</v>
      </c>
    </row>
    <row r="2582" spans="1:89">
      <c r="A2582" t="s">
        <v>533</v>
      </c>
      <c r="B2582" t="s">
        <v>374</v>
      </c>
      <c r="C2582" t="s">
        <v>534</v>
      </c>
      <c r="D2582" t="s">
        <v>556</v>
      </c>
      <c r="E2582" t="s">
        <v>557</v>
      </c>
      <c r="F2582" s="13">
        <v>44839.570659722223</v>
      </c>
      <c r="G2582" t="s">
        <v>458</v>
      </c>
      <c r="H2582" t="s">
        <v>459</v>
      </c>
      <c r="I2582" s="13">
        <v>44839.570671296293</v>
      </c>
      <c r="R2582">
        <v>0</v>
      </c>
      <c r="S2582" t="s">
        <v>380</v>
      </c>
      <c r="T2582" t="s">
        <v>57</v>
      </c>
      <c r="V2582" t="s">
        <v>381</v>
      </c>
      <c r="W2582" t="s">
        <v>558</v>
      </c>
      <c r="X2582" t="s">
        <v>558</v>
      </c>
      <c r="AC2582" s="13">
        <v>44742</v>
      </c>
      <c r="AD2582" s="13">
        <v>44742</v>
      </c>
      <c r="AI2582">
        <v>-97</v>
      </c>
      <c r="AN2582" t="s">
        <v>31</v>
      </c>
      <c r="AO2582">
        <v>0</v>
      </c>
      <c r="AS2582" t="s">
        <v>538</v>
      </c>
      <c r="AX2582" t="s">
        <v>31</v>
      </c>
      <c r="AY2582" t="s">
        <v>386</v>
      </c>
      <c r="AZ2582" t="s">
        <v>559</v>
      </c>
      <c r="BF2582">
        <v>0</v>
      </c>
      <c r="BK2582" t="s">
        <v>31</v>
      </c>
      <c r="BS2582" t="s">
        <v>412</v>
      </c>
      <c r="CI2582" t="s">
        <v>388</v>
      </c>
      <c r="CJ2582" s="14">
        <v>45016</v>
      </c>
      <c r="CK2582">
        <v>1</v>
      </c>
    </row>
    <row r="2583" spans="1:89">
      <c r="A2583" t="s">
        <v>540</v>
      </c>
      <c r="B2583" t="s">
        <v>374</v>
      </c>
      <c r="C2583" t="s">
        <v>541</v>
      </c>
      <c r="D2583" t="s">
        <v>560</v>
      </c>
      <c r="E2583" t="s">
        <v>561</v>
      </c>
      <c r="F2583" s="13">
        <v>44839.570636574077</v>
      </c>
      <c r="G2583" t="s">
        <v>458</v>
      </c>
      <c r="H2583" t="s">
        <v>459</v>
      </c>
      <c r="I2583" s="13">
        <v>44839.570648148147</v>
      </c>
      <c r="R2583">
        <v>0</v>
      </c>
      <c r="S2583" t="s">
        <v>380</v>
      </c>
      <c r="T2583" t="s">
        <v>57</v>
      </c>
      <c r="V2583" t="s">
        <v>381</v>
      </c>
      <c r="W2583" t="s">
        <v>558</v>
      </c>
      <c r="X2583" t="s">
        <v>558</v>
      </c>
      <c r="AC2583" s="13">
        <v>44742</v>
      </c>
      <c r="AD2583" s="13">
        <v>44742</v>
      </c>
      <c r="AI2583">
        <v>-97</v>
      </c>
      <c r="AN2583" t="s">
        <v>31</v>
      </c>
      <c r="AO2583">
        <v>0</v>
      </c>
      <c r="AS2583" t="s">
        <v>538</v>
      </c>
      <c r="AX2583" t="s">
        <v>31</v>
      </c>
      <c r="AY2583" t="s">
        <v>386</v>
      </c>
      <c r="AZ2583" t="s">
        <v>562</v>
      </c>
      <c r="BF2583">
        <v>0</v>
      </c>
      <c r="BK2583" t="s">
        <v>31</v>
      </c>
      <c r="BS2583" t="s">
        <v>412</v>
      </c>
      <c r="CI2583" t="s">
        <v>388</v>
      </c>
      <c r="CJ2583" s="14">
        <v>45016</v>
      </c>
      <c r="CK2583">
        <v>1</v>
      </c>
    </row>
    <row r="2584" spans="1:89">
      <c r="A2584" t="s">
        <v>545</v>
      </c>
      <c r="B2584" t="s">
        <v>374</v>
      </c>
      <c r="C2584" t="s">
        <v>546</v>
      </c>
      <c r="D2584" t="s">
        <v>563</v>
      </c>
      <c r="E2584" t="s">
        <v>564</v>
      </c>
      <c r="F2584" s="13">
        <v>44839.570613425924</v>
      </c>
      <c r="G2584" t="s">
        <v>458</v>
      </c>
      <c r="H2584" t="s">
        <v>459</v>
      </c>
      <c r="I2584" s="13">
        <v>44839.570625</v>
      </c>
      <c r="R2584">
        <v>0</v>
      </c>
      <c r="S2584" t="s">
        <v>380</v>
      </c>
      <c r="T2584" t="s">
        <v>57</v>
      </c>
      <c r="V2584" t="s">
        <v>381</v>
      </c>
      <c r="W2584" t="s">
        <v>565</v>
      </c>
      <c r="X2584" t="s">
        <v>565</v>
      </c>
      <c r="AC2584" s="13">
        <v>44772</v>
      </c>
      <c r="AD2584" s="13">
        <v>44772</v>
      </c>
      <c r="AI2584">
        <v>-67</v>
      </c>
      <c r="AN2584" t="s">
        <v>31</v>
      </c>
      <c r="AO2584">
        <v>0</v>
      </c>
      <c r="AS2584" t="s">
        <v>385</v>
      </c>
      <c r="AX2584" t="s">
        <v>31</v>
      </c>
      <c r="AY2584" t="s">
        <v>386</v>
      </c>
      <c r="AZ2584" t="s">
        <v>566</v>
      </c>
      <c r="BF2584">
        <v>0</v>
      </c>
      <c r="BK2584" t="s">
        <v>31</v>
      </c>
      <c r="BS2584" t="s">
        <v>412</v>
      </c>
      <c r="CI2584" t="s">
        <v>388</v>
      </c>
      <c r="CJ2584" s="14">
        <v>45016</v>
      </c>
      <c r="CK2584">
        <v>1</v>
      </c>
    </row>
    <row r="2585" spans="1:89">
      <c r="A2585" t="s">
        <v>567</v>
      </c>
      <c r="B2585" t="s">
        <v>374</v>
      </c>
      <c r="C2585" t="s">
        <v>568</v>
      </c>
      <c r="D2585" t="s">
        <v>569</v>
      </c>
      <c r="E2585" t="s">
        <v>406</v>
      </c>
      <c r="F2585" s="13">
        <v>44839.478483796294</v>
      </c>
      <c r="G2585" t="s">
        <v>570</v>
      </c>
      <c r="H2585" t="s">
        <v>571</v>
      </c>
      <c r="I2585" s="13">
        <v>44839.49050925926</v>
      </c>
      <c r="K2585" t="s">
        <v>379</v>
      </c>
      <c r="M2585" s="13">
        <v>44854</v>
      </c>
      <c r="R2585">
        <v>100</v>
      </c>
      <c r="S2585" t="s">
        <v>380</v>
      </c>
      <c r="T2585" t="s">
        <v>57</v>
      </c>
      <c r="V2585" t="s">
        <v>381</v>
      </c>
      <c r="W2585" t="s">
        <v>406</v>
      </c>
      <c r="X2585" t="s">
        <v>406</v>
      </c>
      <c r="AF2585" t="s">
        <v>382</v>
      </c>
      <c r="AG2585" t="s">
        <v>406</v>
      </c>
      <c r="AI2585">
        <v>15</v>
      </c>
      <c r="AK2585" t="s">
        <v>480</v>
      </c>
      <c r="AL2585" t="s">
        <v>572</v>
      </c>
      <c r="AN2585" t="s">
        <v>31</v>
      </c>
      <c r="AO2585">
        <v>0</v>
      </c>
      <c r="AS2585" t="s">
        <v>526</v>
      </c>
      <c r="AX2585" t="s">
        <v>57</v>
      </c>
      <c r="AY2585" t="s">
        <v>442</v>
      </c>
      <c r="AZ2585">
        <v>1607</v>
      </c>
      <c r="BE2585">
        <v>3434</v>
      </c>
      <c r="BF2585">
        <v>0</v>
      </c>
      <c r="BK2585" t="s">
        <v>31</v>
      </c>
      <c r="BS2585" t="s">
        <v>379</v>
      </c>
      <c r="BT2585" t="s">
        <v>379</v>
      </c>
      <c r="CI2585" t="s">
        <v>388</v>
      </c>
      <c r="CJ2585" s="14">
        <v>45016</v>
      </c>
      <c r="CK2585">
        <v>1</v>
      </c>
    </row>
    <row r="2586" spans="1:89">
      <c r="A2586" t="s">
        <v>567</v>
      </c>
      <c r="B2586" t="s">
        <v>374</v>
      </c>
      <c r="C2586" t="s">
        <v>568</v>
      </c>
      <c r="D2586" t="s">
        <v>573</v>
      </c>
      <c r="E2586" t="s">
        <v>574</v>
      </c>
      <c r="F2586" s="13">
        <v>44839.448611111111</v>
      </c>
      <c r="G2586" t="s">
        <v>570</v>
      </c>
      <c r="H2586" t="s">
        <v>571</v>
      </c>
      <c r="I2586" s="13">
        <v>45012.044444444444</v>
      </c>
      <c r="K2586" t="s">
        <v>415</v>
      </c>
      <c r="M2586" s="13">
        <v>44854</v>
      </c>
      <c r="R2586">
        <v>100</v>
      </c>
      <c r="S2586" t="s">
        <v>416</v>
      </c>
      <c r="T2586" t="s">
        <v>57</v>
      </c>
      <c r="V2586" t="s">
        <v>478</v>
      </c>
      <c r="W2586" t="s">
        <v>575</v>
      </c>
      <c r="X2586" t="s">
        <v>575</v>
      </c>
      <c r="Y2586" t="s">
        <v>480</v>
      </c>
      <c r="AC2586" s="13">
        <v>44860</v>
      </c>
      <c r="AD2586" s="13">
        <v>44847</v>
      </c>
      <c r="AF2586" t="s">
        <v>382</v>
      </c>
      <c r="AG2586" t="s">
        <v>574</v>
      </c>
      <c r="AI2586">
        <v>-158</v>
      </c>
      <c r="AL2586" t="s">
        <v>576</v>
      </c>
      <c r="AN2586" t="s">
        <v>31</v>
      </c>
      <c r="AO2586">
        <v>0</v>
      </c>
      <c r="AS2586" t="s">
        <v>522</v>
      </c>
      <c r="AX2586" t="s">
        <v>57</v>
      </c>
      <c r="AY2586" t="s">
        <v>442</v>
      </c>
      <c r="AZ2586" t="s">
        <v>577</v>
      </c>
      <c r="BE2586">
        <v>244343</v>
      </c>
      <c r="BF2586">
        <v>0</v>
      </c>
      <c r="BK2586" t="s">
        <v>31</v>
      </c>
      <c r="BS2586" t="s">
        <v>419</v>
      </c>
      <c r="BT2586" t="s">
        <v>419</v>
      </c>
      <c r="CI2586" t="s">
        <v>388</v>
      </c>
      <c r="CJ2586" s="14">
        <v>45016</v>
      </c>
      <c r="CK2586">
        <v>1</v>
      </c>
    </row>
    <row r="2587" spans="1:89">
      <c r="A2587" t="s">
        <v>567</v>
      </c>
      <c r="B2587" t="s">
        <v>374</v>
      </c>
      <c r="C2587" t="s">
        <v>568</v>
      </c>
      <c r="D2587" t="s">
        <v>578</v>
      </c>
      <c r="E2587" t="s">
        <v>406</v>
      </c>
      <c r="F2587" s="13">
        <v>44818.566261574073</v>
      </c>
      <c r="G2587" t="s">
        <v>579</v>
      </c>
      <c r="H2587" t="s">
        <v>580</v>
      </c>
      <c r="I2587" s="13">
        <v>44818.581331018519</v>
      </c>
      <c r="K2587" t="s">
        <v>379</v>
      </c>
      <c r="M2587" s="13">
        <v>44826</v>
      </c>
      <c r="R2587">
        <v>100</v>
      </c>
      <c r="S2587" t="s">
        <v>380</v>
      </c>
      <c r="T2587" t="s">
        <v>57</v>
      </c>
      <c r="V2587" t="s">
        <v>381</v>
      </c>
      <c r="W2587" t="s">
        <v>574</v>
      </c>
      <c r="X2587" t="s">
        <v>574</v>
      </c>
      <c r="AB2587" t="s">
        <v>57</v>
      </c>
      <c r="AF2587" t="s">
        <v>382</v>
      </c>
      <c r="AG2587" t="s">
        <v>406</v>
      </c>
      <c r="AI2587">
        <v>8</v>
      </c>
      <c r="AL2587" t="s">
        <v>581</v>
      </c>
      <c r="AN2587" t="s">
        <v>57</v>
      </c>
      <c r="AO2587">
        <v>0</v>
      </c>
      <c r="AS2587" t="s">
        <v>526</v>
      </c>
      <c r="AX2587" t="s">
        <v>57</v>
      </c>
      <c r="AY2587" t="s">
        <v>386</v>
      </c>
      <c r="AZ2587" t="s">
        <v>582</v>
      </c>
      <c r="BC2587" t="s">
        <v>480</v>
      </c>
      <c r="BD2587" t="s">
        <v>406</v>
      </c>
      <c r="BE2587">
        <v>343</v>
      </c>
      <c r="BF2587">
        <v>0</v>
      </c>
      <c r="BK2587" t="s">
        <v>31</v>
      </c>
      <c r="BS2587" t="s">
        <v>379</v>
      </c>
      <c r="BT2587" t="s">
        <v>379</v>
      </c>
      <c r="CC2587" t="s">
        <v>583</v>
      </c>
      <c r="CI2587" t="s">
        <v>388</v>
      </c>
      <c r="CJ2587" s="14">
        <v>45016</v>
      </c>
      <c r="CK2587">
        <v>1</v>
      </c>
    </row>
    <row r="2588" spans="1:89">
      <c r="A2588" t="s">
        <v>567</v>
      </c>
      <c r="B2588" t="s">
        <v>374</v>
      </c>
      <c r="C2588" t="s">
        <v>568</v>
      </c>
      <c r="D2588" t="s">
        <v>584</v>
      </c>
      <c r="E2588" t="s">
        <v>406</v>
      </c>
      <c r="F2588" s="13">
        <v>44818.548692129632</v>
      </c>
      <c r="G2588" t="s">
        <v>579</v>
      </c>
      <c r="H2588" t="s">
        <v>580</v>
      </c>
      <c r="I2588" s="13">
        <v>44818.570439814815</v>
      </c>
      <c r="K2588" t="s">
        <v>379</v>
      </c>
      <c r="M2588" s="13">
        <v>44819</v>
      </c>
      <c r="R2588">
        <v>100</v>
      </c>
      <c r="S2588" t="s">
        <v>416</v>
      </c>
      <c r="T2588" t="s">
        <v>57</v>
      </c>
      <c r="V2588" t="s">
        <v>381</v>
      </c>
      <c r="W2588" t="s">
        <v>574</v>
      </c>
      <c r="X2588" t="s">
        <v>574</v>
      </c>
      <c r="Y2588" t="s">
        <v>480</v>
      </c>
      <c r="AF2588" t="s">
        <v>382</v>
      </c>
      <c r="AG2588" t="s">
        <v>406</v>
      </c>
      <c r="AI2588">
        <v>1</v>
      </c>
      <c r="AL2588" t="s">
        <v>581</v>
      </c>
      <c r="AM2588">
        <v>1</v>
      </c>
      <c r="AN2588" t="s">
        <v>31</v>
      </c>
      <c r="AO2588">
        <v>0</v>
      </c>
      <c r="AS2588" t="s">
        <v>385</v>
      </c>
      <c r="AX2588" t="s">
        <v>57</v>
      </c>
      <c r="AY2588" t="s">
        <v>442</v>
      </c>
      <c r="AZ2588">
        <v>2003</v>
      </c>
      <c r="BE2588">
        <v>34535</v>
      </c>
      <c r="BF2588">
        <v>0</v>
      </c>
      <c r="BK2588" t="s">
        <v>31</v>
      </c>
      <c r="BS2588" t="s">
        <v>379</v>
      </c>
      <c r="BT2588" t="s">
        <v>379</v>
      </c>
      <c r="CI2588" t="s">
        <v>388</v>
      </c>
      <c r="CJ2588" s="14">
        <v>45016</v>
      </c>
      <c r="CK2588">
        <v>1</v>
      </c>
    </row>
    <row r="2589" spans="1:89">
      <c r="A2589" t="s">
        <v>567</v>
      </c>
      <c r="B2589" t="s">
        <v>374</v>
      </c>
      <c r="C2589" t="s">
        <v>568</v>
      </c>
      <c r="D2589" t="s">
        <v>585</v>
      </c>
      <c r="E2589" t="s">
        <v>586</v>
      </c>
      <c r="F2589" s="13">
        <v>44816.654710648145</v>
      </c>
      <c r="G2589" t="s">
        <v>570</v>
      </c>
      <c r="H2589" t="s">
        <v>571</v>
      </c>
      <c r="I2589" s="13">
        <v>44816.660787037035</v>
      </c>
      <c r="K2589" t="s">
        <v>379</v>
      </c>
      <c r="M2589" s="13">
        <v>44832</v>
      </c>
      <c r="R2589">
        <v>100</v>
      </c>
      <c r="S2589" t="s">
        <v>380</v>
      </c>
      <c r="T2589" t="s">
        <v>57</v>
      </c>
      <c r="V2589" t="s">
        <v>381</v>
      </c>
      <c r="W2589" t="s">
        <v>587</v>
      </c>
      <c r="X2589" t="s">
        <v>587</v>
      </c>
      <c r="AC2589" s="13">
        <v>44824</v>
      </c>
      <c r="AD2589" s="13">
        <v>44815</v>
      </c>
      <c r="AF2589" t="s">
        <v>382</v>
      </c>
      <c r="AG2589" t="s">
        <v>574</v>
      </c>
      <c r="AI2589">
        <v>16</v>
      </c>
      <c r="AL2589" t="s">
        <v>588</v>
      </c>
      <c r="AN2589" t="s">
        <v>31</v>
      </c>
      <c r="AO2589">
        <v>0</v>
      </c>
      <c r="AS2589" t="s">
        <v>526</v>
      </c>
      <c r="AX2589" t="s">
        <v>57</v>
      </c>
      <c r="AY2589" t="s">
        <v>442</v>
      </c>
      <c r="AZ2589" t="s">
        <v>586</v>
      </c>
      <c r="BE2589">
        <v>3848</v>
      </c>
      <c r="BF2589">
        <v>0</v>
      </c>
      <c r="BK2589" t="s">
        <v>31</v>
      </c>
      <c r="BS2589" t="s">
        <v>379</v>
      </c>
      <c r="BT2589" t="s">
        <v>379</v>
      </c>
      <c r="CI2589" t="s">
        <v>388</v>
      </c>
      <c r="CJ2589" s="14">
        <v>45016</v>
      </c>
      <c r="CK2589">
        <v>1</v>
      </c>
    </row>
    <row r="2590" spans="1:89">
      <c r="A2590" t="s">
        <v>404</v>
      </c>
      <c r="B2590" t="s">
        <v>374</v>
      </c>
      <c r="C2590" t="s">
        <v>375</v>
      </c>
      <c r="D2590" t="s">
        <v>589</v>
      </c>
      <c r="E2590" t="s">
        <v>406</v>
      </c>
      <c r="F2590" s="13">
        <v>44806.478807870371</v>
      </c>
      <c r="G2590" t="s">
        <v>590</v>
      </c>
      <c r="H2590" t="s">
        <v>591</v>
      </c>
      <c r="I2590" s="13">
        <v>44806.486319444448</v>
      </c>
      <c r="K2590" t="s">
        <v>412</v>
      </c>
      <c r="R2590">
        <v>0</v>
      </c>
      <c r="S2590" t="s">
        <v>416</v>
      </c>
      <c r="T2590" t="s">
        <v>57</v>
      </c>
      <c r="V2590" t="s">
        <v>381</v>
      </c>
      <c r="W2590" t="s">
        <v>591</v>
      </c>
      <c r="X2590" t="s">
        <v>591</v>
      </c>
      <c r="AI2590">
        <v>84</v>
      </c>
      <c r="AL2590" t="s">
        <v>592</v>
      </c>
      <c r="AN2590" t="s">
        <v>31</v>
      </c>
      <c r="AO2590">
        <v>0</v>
      </c>
      <c r="AZ2590" t="s">
        <v>593</v>
      </c>
      <c r="BF2590">
        <v>0</v>
      </c>
      <c r="BK2590" t="s">
        <v>31</v>
      </c>
      <c r="BS2590" t="s">
        <v>412</v>
      </c>
      <c r="BT2590" t="s">
        <v>412</v>
      </c>
      <c r="CI2590" t="s">
        <v>388</v>
      </c>
      <c r="CJ2590" s="14">
        <v>45016</v>
      </c>
      <c r="CK2590">
        <v>1</v>
      </c>
    </row>
    <row r="2591" spans="1:89">
      <c r="A2591" t="s">
        <v>404</v>
      </c>
      <c r="B2591" t="s">
        <v>374</v>
      </c>
      <c r="C2591" t="s">
        <v>375</v>
      </c>
      <c r="D2591" t="s">
        <v>594</v>
      </c>
      <c r="E2591" t="s">
        <v>595</v>
      </c>
      <c r="F2591" s="13">
        <v>44806.470891203702</v>
      </c>
      <c r="G2591" t="s">
        <v>407</v>
      </c>
      <c r="H2591" t="s">
        <v>408</v>
      </c>
      <c r="I2591" s="13">
        <v>44806.470995370371</v>
      </c>
      <c r="K2591" t="s">
        <v>412</v>
      </c>
      <c r="R2591">
        <v>0</v>
      </c>
      <c r="S2591" t="s">
        <v>380</v>
      </c>
      <c r="T2591" t="s">
        <v>57</v>
      </c>
      <c r="V2591" t="s">
        <v>381</v>
      </c>
      <c r="W2591" t="s">
        <v>510</v>
      </c>
      <c r="X2591" t="s">
        <v>510</v>
      </c>
      <c r="AI2591">
        <v>59</v>
      </c>
      <c r="AL2591" t="s">
        <v>596</v>
      </c>
      <c r="AN2591" t="s">
        <v>31</v>
      </c>
      <c r="AO2591">
        <v>0</v>
      </c>
      <c r="AZ2591" t="s">
        <v>406</v>
      </c>
      <c r="BF2591">
        <v>0</v>
      </c>
      <c r="BK2591" t="s">
        <v>31</v>
      </c>
      <c r="BS2591" t="s">
        <v>412</v>
      </c>
      <c r="BT2591" t="s">
        <v>412</v>
      </c>
      <c r="CI2591" t="s">
        <v>388</v>
      </c>
      <c r="CJ2591" s="14">
        <v>45016</v>
      </c>
      <c r="CK2591">
        <v>1</v>
      </c>
    </row>
    <row r="2592" spans="1:89">
      <c r="A2592" t="s">
        <v>404</v>
      </c>
      <c r="B2592" t="s">
        <v>374</v>
      </c>
      <c r="C2592" t="s">
        <v>375</v>
      </c>
      <c r="D2592" t="s">
        <v>597</v>
      </c>
      <c r="E2592" t="s">
        <v>406</v>
      </c>
      <c r="F2592" s="13">
        <v>44806.470451388886</v>
      </c>
      <c r="G2592" t="s">
        <v>407</v>
      </c>
      <c r="H2592" t="s">
        <v>408</v>
      </c>
      <c r="I2592" s="13">
        <v>44806.470567129632</v>
      </c>
      <c r="K2592" t="s">
        <v>412</v>
      </c>
      <c r="R2592">
        <v>0</v>
      </c>
      <c r="S2592" t="s">
        <v>416</v>
      </c>
      <c r="T2592" t="s">
        <v>57</v>
      </c>
      <c r="V2592" t="s">
        <v>381</v>
      </c>
      <c r="W2592" t="s">
        <v>510</v>
      </c>
      <c r="X2592" t="s">
        <v>510</v>
      </c>
      <c r="AI2592">
        <v>89</v>
      </c>
      <c r="AL2592" t="s">
        <v>596</v>
      </c>
      <c r="AN2592" t="s">
        <v>31</v>
      </c>
      <c r="AO2592">
        <v>0</v>
      </c>
      <c r="AZ2592" t="s">
        <v>406</v>
      </c>
      <c r="BF2592">
        <v>0</v>
      </c>
      <c r="BK2592" t="s">
        <v>31</v>
      </c>
      <c r="BS2592" t="s">
        <v>412</v>
      </c>
      <c r="BT2592" t="s">
        <v>412</v>
      </c>
      <c r="CI2592" t="s">
        <v>388</v>
      </c>
      <c r="CJ2592" s="14">
        <v>45016</v>
      </c>
      <c r="CK2592">
        <v>1</v>
      </c>
    </row>
    <row r="2593" spans="1:89">
      <c r="A2593" t="s">
        <v>404</v>
      </c>
      <c r="B2593" t="s">
        <v>374</v>
      </c>
      <c r="C2593" t="s">
        <v>375</v>
      </c>
      <c r="D2593" t="s">
        <v>598</v>
      </c>
      <c r="E2593" t="s">
        <v>574</v>
      </c>
      <c r="F2593" s="13">
        <v>44806.448969907404</v>
      </c>
      <c r="G2593" t="s">
        <v>590</v>
      </c>
      <c r="H2593" t="s">
        <v>591</v>
      </c>
      <c r="I2593" s="13">
        <v>44806.456585648149</v>
      </c>
      <c r="K2593" t="s">
        <v>409</v>
      </c>
      <c r="R2593">
        <v>0</v>
      </c>
      <c r="S2593" t="s">
        <v>416</v>
      </c>
      <c r="T2593" t="s">
        <v>57</v>
      </c>
      <c r="V2593" t="s">
        <v>381</v>
      </c>
      <c r="W2593" t="s">
        <v>591</v>
      </c>
      <c r="X2593" t="s">
        <v>591</v>
      </c>
      <c r="AI2593">
        <v>91</v>
      </c>
      <c r="AL2593" t="s">
        <v>599</v>
      </c>
      <c r="AN2593" t="s">
        <v>31</v>
      </c>
      <c r="AO2593">
        <v>0</v>
      </c>
      <c r="AZ2593" t="s">
        <v>600</v>
      </c>
      <c r="BF2593">
        <v>0</v>
      </c>
      <c r="BK2593" t="s">
        <v>31</v>
      </c>
      <c r="BS2593" t="s">
        <v>409</v>
      </c>
      <c r="BT2593" t="s">
        <v>409</v>
      </c>
      <c r="CI2593" t="s">
        <v>388</v>
      </c>
      <c r="CJ2593" s="14">
        <v>45016</v>
      </c>
      <c r="CK2593">
        <v>1</v>
      </c>
    </row>
    <row r="2594" spans="1:89">
      <c r="A2594" t="s">
        <v>404</v>
      </c>
      <c r="B2594" t="s">
        <v>374</v>
      </c>
      <c r="C2594" t="s">
        <v>375</v>
      </c>
      <c r="D2594" t="s">
        <v>601</v>
      </c>
      <c r="E2594" t="s">
        <v>602</v>
      </c>
      <c r="F2594" s="13">
        <v>44806.445787037039</v>
      </c>
      <c r="G2594" t="s">
        <v>407</v>
      </c>
      <c r="H2594" t="s">
        <v>408</v>
      </c>
      <c r="I2594" s="13">
        <v>44806.446076388886</v>
      </c>
      <c r="K2594" t="s">
        <v>412</v>
      </c>
      <c r="R2594">
        <v>0</v>
      </c>
      <c r="S2594" t="s">
        <v>380</v>
      </c>
      <c r="T2594" t="s">
        <v>57</v>
      </c>
      <c r="V2594" t="s">
        <v>381</v>
      </c>
      <c r="W2594" t="s">
        <v>603</v>
      </c>
      <c r="X2594" t="s">
        <v>603</v>
      </c>
      <c r="AI2594">
        <v>59</v>
      </c>
      <c r="AL2594" t="s">
        <v>604</v>
      </c>
      <c r="AN2594" t="s">
        <v>31</v>
      </c>
      <c r="AO2594">
        <v>0</v>
      </c>
      <c r="AS2594" t="s">
        <v>522</v>
      </c>
      <c r="AX2594" t="s">
        <v>31</v>
      </c>
      <c r="AY2594" t="s">
        <v>442</v>
      </c>
      <c r="AZ2594" t="s">
        <v>602</v>
      </c>
      <c r="BF2594">
        <v>0</v>
      </c>
      <c r="BK2594" t="s">
        <v>31</v>
      </c>
      <c r="BS2594" t="s">
        <v>412</v>
      </c>
      <c r="BT2594" t="s">
        <v>412</v>
      </c>
      <c r="CI2594" t="s">
        <v>388</v>
      </c>
      <c r="CJ2594" s="14">
        <v>45016</v>
      </c>
      <c r="CK2594">
        <v>1</v>
      </c>
    </row>
    <row r="2595" spans="1:89">
      <c r="A2595" t="s">
        <v>404</v>
      </c>
      <c r="B2595" t="s">
        <v>374</v>
      </c>
      <c r="C2595" t="s">
        <v>375</v>
      </c>
      <c r="D2595" t="s">
        <v>605</v>
      </c>
      <c r="E2595" t="s">
        <v>602</v>
      </c>
      <c r="F2595" s="13">
        <v>44806.444895833331</v>
      </c>
      <c r="G2595" t="s">
        <v>407</v>
      </c>
      <c r="H2595" t="s">
        <v>408</v>
      </c>
      <c r="I2595" s="13">
        <v>44806.445335648146</v>
      </c>
      <c r="K2595" t="s">
        <v>412</v>
      </c>
      <c r="R2595">
        <v>0</v>
      </c>
      <c r="S2595" t="s">
        <v>416</v>
      </c>
      <c r="T2595" t="s">
        <v>57</v>
      </c>
      <c r="V2595" t="s">
        <v>381</v>
      </c>
      <c r="W2595" t="s">
        <v>603</v>
      </c>
      <c r="X2595" t="s">
        <v>603</v>
      </c>
      <c r="AI2595">
        <v>89</v>
      </c>
      <c r="AL2595" t="s">
        <v>604</v>
      </c>
      <c r="AN2595" t="s">
        <v>31</v>
      </c>
      <c r="AO2595">
        <v>0</v>
      </c>
      <c r="AS2595" t="s">
        <v>522</v>
      </c>
      <c r="AX2595" t="s">
        <v>57</v>
      </c>
      <c r="AY2595" t="s">
        <v>442</v>
      </c>
      <c r="AZ2595" t="s">
        <v>602</v>
      </c>
      <c r="BF2595">
        <v>0</v>
      </c>
      <c r="BK2595" t="s">
        <v>31</v>
      </c>
      <c r="BS2595" t="s">
        <v>412</v>
      </c>
      <c r="BT2595" t="s">
        <v>412</v>
      </c>
      <c r="CI2595" t="s">
        <v>388</v>
      </c>
      <c r="CJ2595" s="14">
        <v>45016</v>
      </c>
      <c r="CK2595">
        <v>1</v>
      </c>
    </row>
    <row r="2596" spans="1:89">
      <c r="A2596" t="s">
        <v>606</v>
      </c>
      <c r="B2596" t="s">
        <v>374</v>
      </c>
      <c r="C2596" t="s">
        <v>607</v>
      </c>
      <c r="D2596" t="s">
        <v>608</v>
      </c>
      <c r="E2596" t="s">
        <v>609</v>
      </c>
      <c r="F2596" s="13">
        <v>44805.624618055554</v>
      </c>
      <c r="G2596" t="s">
        <v>610</v>
      </c>
      <c r="H2596" t="s">
        <v>611</v>
      </c>
      <c r="I2596" s="13">
        <v>45013.359976851854</v>
      </c>
      <c r="K2596" t="s">
        <v>415</v>
      </c>
      <c r="M2596" s="13">
        <v>44895</v>
      </c>
      <c r="R2596">
        <v>0</v>
      </c>
      <c r="S2596" t="s">
        <v>416</v>
      </c>
      <c r="T2596" t="s">
        <v>57</v>
      </c>
      <c r="V2596" t="s">
        <v>478</v>
      </c>
      <c r="W2596" t="s">
        <v>612</v>
      </c>
      <c r="X2596" t="s">
        <v>612</v>
      </c>
      <c r="Y2596" t="s">
        <v>480</v>
      </c>
      <c r="AF2596" t="s">
        <v>451</v>
      </c>
      <c r="AI2596">
        <v>-117</v>
      </c>
      <c r="AL2596" t="s">
        <v>613</v>
      </c>
      <c r="AN2596" t="s">
        <v>31</v>
      </c>
      <c r="AO2596">
        <v>0</v>
      </c>
      <c r="AT2596" t="s">
        <v>31</v>
      </c>
      <c r="AZ2596" t="s">
        <v>609</v>
      </c>
      <c r="BF2596">
        <v>0</v>
      </c>
      <c r="BK2596" t="s">
        <v>31</v>
      </c>
      <c r="BS2596" t="s">
        <v>484</v>
      </c>
      <c r="BT2596" t="s">
        <v>484</v>
      </c>
      <c r="CI2596" t="s">
        <v>388</v>
      </c>
      <c r="CJ2596" s="14">
        <v>45016</v>
      </c>
      <c r="CK2596">
        <v>1</v>
      </c>
    </row>
    <row r="2597" spans="1:89">
      <c r="A2597" t="s">
        <v>404</v>
      </c>
      <c r="B2597" t="s">
        <v>374</v>
      </c>
      <c r="C2597" t="s">
        <v>375</v>
      </c>
      <c r="D2597" t="s">
        <v>614</v>
      </c>
      <c r="E2597" t="s">
        <v>615</v>
      </c>
      <c r="F2597" s="13">
        <v>44805.55537037037</v>
      </c>
      <c r="G2597" t="s">
        <v>407</v>
      </c>
      <c r="H2597" t="s">
        <v>408</v>
      </c>
      <c r="I2597" s="13">
        <v>44805.666805555556</v>
      </c>
      <c r="K2597" t="s">
        <v>379</v>
      </c>
      <c r="M2597" s="13">
        <v>44957</v>
      </c>
      <c r="R2597">
        <v>100</v>
      </c>
      <c r="S2597" t="s">
        <v>380</v>
      </c>
      <c r="T2597" t="s">
        <v>57</v>
      </c>
      <c r="V2597" t="s">
        <v>381</v>
      </c>
      <c r="W2597" t="s">
        <v>603</v>
      </c>
      <c r="X2597" t="s">
        <v>603</v>
      </c>
      <c r="AF2597" t="s">
        <v>382</v>
      </c>
      <c r="AG2597" t="s">
        <v>480</v>
      </c>
      <c r="AI2597">
        <v>152</v>
      </c>
      <c r="AL2597" t="s">
        <v>616</v>
      </c>
      <c r="AN2597" t="s">
        <v>31</v>
      </c>
      <c r="AO2597">
        <v>0</v>
      </c>
      <c r="AS2597" t="s">
        <v>385</v>
      </c>
      <c r="AX2597" t="s">
        <v>57</v>
      </c>
      <c r="AY2597" t="s">
        <v>442</v>
      </c>
      <c r="AZ2597" t="s">
        <v>617</v>
      </c>
      <c r="BF2597">
        <v>0</v>
      </c>
      <c r="BK2597" t="s">
        <v>31</v>
      </c>
      <c r="BS2597" t="s">
        <v>379</v>
      </c>
      <c r="BT2597" t="s">
        <v>379</v>
      </c>
      <c r="CI2597" t="s">
        <v>388</v>
      </c>
      <c r="CJ2597" s="14">
        <v>45016</v>
      </c>
      <c r="CK2597">
        <v>1</v>
      </c>
    </row>
    <row r="2598" spans="1:89">
      <c r="A2598" t="s">
        <v>404</v>
      </c>
      <c r="B2598" t="s">
        <v>374</v>
      </c>
      <c r="C2598" t="s">
        <v>375</v>
      </c>
      <c r="D2598" t="s">
        <v>618</v>
      </c>
      <c r="E2598" t="s">
        <v>615</v>
      </c>
      <c r="F2598" s="13">
        <v>44805.547719907408</v>
      </c>
      <c r="G2598" t="s">
        <v>407</v>
      </c>
      <c r="H2598" t="s">
        <v>408</v>
      </c>
      <c r="I2598" s="13">
        <v>44805.620659722219</v>
      </c>
      <c r="K2598" t="s">
        <v>379</v>
      </c>
      <c r="M2598" s="13">
        <v>44895</v>
      </c>
      <c r="R2598">
        <v>100</v>
      </c>
      <c r="S2598" t="s">
        <v>416</v>
      </c>
      <c r="T2598" t="s">
        <v>57</v>
      </c>
      <c r="V2598" t="s">
        <v>381</v>
      </c>
      <c r="W2598" t="s">
        <v>603</v>
      </c>
      <c r="X2598" t="s">
        <v>603</v>
      </c>
      <c r="AF2598" t="s">
        <v>382</v>
      </c>
      <c r="AG2598" t="s">
        <v>615</v>
      </c>
      <c r="AI2598">
        <v>90</v>
      </c>
      <c r="AL2598" t="s">
        <v>616</v>
      </c>
      <c r="AM2598">
        <v>1</v>
      </c>
      <c r="AN2598" t="s">
        <v>31</v>
      </c>
      <c r="AO2598">
        <v>0</v>
      </c>
      <c r="AS2598" t="s">
        <v>522</v>
      </c>
      <c r="AX2598" t="s">
        <v>57</v>
      </c>
      <c r="AY2598" t="s">
        <v>386</v>
      </c>
      <c r="AZ2598" t="s">
        <v>615</v>
      </c>
      <c r="BF2598">
        <v>0</v>
      </c>
      <c r="BK2598" t="s">
        <v>31</v>
      </c>
      <c r="BS2598" t="s">
        <v>379</v>
      </c>
      <c r="BT2598" t="s">
        <v>379</v>
      </c>
      <c r="CI2598" t="s">
        <v>388</v>
      </c>
      <c r="CJ2598" s="14">
        <v>45016</v>
      </c>
      <c r="CK2598">
        <v>1</v>
      </c>
    </row>
    <row r="2599" spans="1:89">
      <c r="A2599" t="s">
        <v>404</v>
      </c>
      <c r="B2599" t="s">
        <v>374</v>
      </c>
      <c r="C2599" t="s">
        <v>375</v>
      </c>
      <c r="D2599" t="s">
        <v>619</v>
      </c>
      <c r="E2599" t="s">
        <v>406</v>
      </c>
      <c r="F2599" s="13">
        <v>44805.526226851849</v>
      </c>
      <c r="G2599" t="s">
        <v>590</v>
      </c>
      <c r="H2599" t="s">
        <v>591</v>
      </c>
      <c r="I2599" s="13">
        <v>45012.044432870367</v>
      </c>
      <c r="K2599" t="s">
        <v>415</v>
      </c>
      <c r="M2599" s="13">
        <v>44834</v>
      </c>
      <c r="R2599">
        <v>100</v>
      </c>
      <c r="S2599" t="s">
        <v>380</v>
      </c>
      <c r="T2599" t="s">
        <v>57</v>
      </c>
      <c r="V2599" t="s">
        <v>478</v>
      </c>
      <c r="W2599" t="s">
        <v>591</v>
      </c>
      <c r="X2599" t="s">
        <v>591</v>
      </c>
      <c r="AF2599" t="s">
        <v>382</v>
      </c>
      <c r="AG2599" t="s">
        <v>406</v>
      </c>
      <c r="AI2599">
        <v>-178</v>
      </c>
      <c r="AJ2599" s="13">
        <v>44862</v>
      </c>
      <c r="AK2599" t="s">
        <v>480</v>
      </c>
      <c r="AL2599" t="s">
        <v>620</v>
      </c>
      <c r="AN2599" t="s">
        <v>31</v>
      </c>
      <c r="AO2599">
        <v>0</v>
      </c>
      <c r="AS2599" t="s">
        <v>526</v>
      </c>
      <c r="AX2599" t="s">
        <v>31</v>
      </c>
      <c r="AY2599" t="s">
        <v>386</v>
      </c>
      <c r="AZ2599" t="s">
        <v>621</v>
      </c>
      <c r="BF2599">
        <v>1</v>
      </c>
      <c r="BK2599" t="s">
        <v>57</v>
      </c>
      <c r="BR2599" s="13">
        <v>44862</v>
      </c>
      <c r="BS2599" t="s">
        <v>622</v>
      </c>
      <c r="BT2599" t="s">
        <v>623</v>
      </c>
      <c r="BZ2599" s="13">
        <v>44806</v>
      </c>
      <c r="CI2599" t="s">
        <v>388</v>
      </c>
      <c r="CJ2599" s="14">
        <v>45016</v>
      </c>
      <c r="CK2599">
        <v>1</v>
      </c>
    </row>
    <row r="2600" spans="1:89">
      <c r="A2600" t="s">
        <v>624</v>
      </c>
      <c r="B2600" t="s">
        <v>374</v>
      </c>
      <c r="C2600" t="s">
        <v>375</v>
      </c>
      <c r="D2600" t="s">
        <v>625</v>
      </c>
      <c r="E2600" t="s">
        <v>626</v>
      </c>
      <c r="F2600" s="13">
        <v>44805.478263888886</v>
      </c>
      <c r="G2600" t="s">
        <v>610</v>
      </c>
      <c r="H2600" t="s">
        <v>611</v>
      </c>
      <c r="I2600" s="13">
        <v>45012.044432870367</v>
      </c>
      <c r="K2600" t="s">
        <v>415</v>
      </c>
      <c r="M2600" s="13">
        <v>44834</v>
      </c>
      <c r="R2600">
        <v>0</v>
      </c>
      <c r="S2600" t="s">
        <v>380</v>
      </c>
      <c r="V2600" t="s">
        <v>478</v>
      </c>
      <c r="W2600" t="s">
        <v>627</v>
      </c>
      <c r="X2600" t="s">
        <v>627</v>
      </c>
      <c r="AF2600" t="s">
        <v>451</v>
      </c>
      <c r="AI2600">
        <v>-178</v>
      </c>
      <c r="AL2600" t="s">
        <v>628</v>
      </c>
      <c r="AN2600" t="s">
        <v>31</v>
      </c>
      <c r="AO2600">
        <v>0</v>
      </c>
      <c r="AZ2600" t="s">
        <v>629</v>
      </c>
      <c r="BF2600">
        <v>0</v>
      </c>
      <c r="BK2600" t="s">
        <v>31</v>
      </c>
      <c r="BS2600" t="s">
        <v>419</v>
      </c>
      <c r="BT2600" t="s">
        <v>419</v>
      </c>
      <c r="CI2600" t="s">
        <v>388</v>
      </c>
      <c r="CJ2600" s="14">
        <v>45016</v>
      </c>
      <c r="CK2600">
        <v>1</v>
      </c>
    </row>
    <row r="2601" spans="1:89">
      <c r="A2601" t="s">
        <v>404</v>
      </c>
      <c r="B2601" t="s">
        <v>374</v>
      </c>
      <c r="C2601" t="s">
        <v>375</v>
      </c>
      <c r="D2601" t="s">
        <v>630</v>
      </c>
      <c r="E2601" t="s">
        <v>631</v>
      </c>
      <c r="F2601" s="13">
        <v>44805.470196759263</v>
      </c>
      <c r="G2601" t="s">
        <v>407</v>
      </c>
      <c r="H2601" t="s">
        <v>408</v>
      </c>
      <c r="I2601" s="13">
        <v>44805.495474537034</v>
      </c>
      <c r="K2601" t="s">
        <v>379</v>
      </c>
      <c r="M2601" s="13">
        <v>44865</v>
      </c>
      <c r="R2601">
        <v>100</v>
      </c>
      <c r="S2601" t="s">
        <v>380</v>
      </c>
      <c r="T2601" t="s">
        <v>57</v>
      </c>
      <c r="V2601" t="s">
        <v>381</v>
      </c>
      <c r="W2601" t="s">
        <v>603</v>
      </c>
      <c r="X2601" t="s">
        <v>603</v>
      </c>
      <c r="AC2601" s="13">
        <v>44895</v>
      </c>
      <c r="AD2601" s="13">
        <v>44837</v>
      </c>
      <c r="AF2601" t="s">
        <v>382</v>
      </c>
      <c r="AG2601" t="s">
        <v>480</v>
      </c>
      <c r="AI2601">
        <v>60</v>
      </c>
      <c r="AK2601" t="s">
        <v>480</v>
      </c>
      <c r="AL2601" t="s">
        <v>632</v>
      </c>
      <c r="AN2601" t="s">
        <v>31</v>
      </c>
      <c r="AO2601">
        <v>0</v>
      </c>
      <c r="AS2601" t="s">
        <v>385</v>
      </c>
      <c r="AX2601" t="s">
        <v>57</v>
      </c>
      <c r="AY2601" t="s">
        <v>442</v>
      </c>
      <c r="AZ2601" t="s">
        <v>631</v>
      </c>
      <c r="BF2601">
        <v>0</v>
      </c>
      <c r="BK2601" t="s">
        <v>31</v>
      </c>
      <c r="BS2601" t="s">
        <v>379</v>
      </c>
      <c r="BT2601" t="s">
        <v>379</v>
      </c>
      <c r="CI2601" t="s">
        <v>388</v>
      </c>
      <c r="CJ2601" s="14">
        <v>45016</v>
      </c>
      <c r="CK2601">
        <v>1</v>
      </c>
    </row>
    <row r="2602" spans="1:89">
      <c r="A2602" t="s">
        <v>624</v>
      </c>
      <c r="B2602" t="s">
        <v>374</v>
      </c>
      <c r="C2602" t="s">
        <v>375</v>
      </c>
      <c r="D2602" t="s">
        <v>633</v>
      </c>
      <c r="E2602" t="s">
        <v>629</v>
      </c>
      <c r="F2602" s="13">
        <v>44805.449259259258</v>
      </c>
      <c r="G2602" t="s">
        <v>610</v>
      </c>
      <c r="H2602" t="s">
        <v>611</v>
      </c>
      <c r="I2602" s="13">
        <v>45012.044432870367</v>
      </c>
      <c r="K2602" t="s">
        <v>415</v>
      </c>
      <c r="M2602" s="13">
        <v>44834</v>
      </c>
      <c r="R2602">
        <v>100</v>
      </c>
      <c r="S2602" t="s">
        <v>380</v>
      </c>
      <c r="T2602" t="s">
        <v>57</v>
      </c>
      <c r="V2602" t="s">
        <v>478</v>
      </c>
      <c r="W2602" t="s">
        <v>627</v>
      </c>
      <c r="X2602" t="s">
        <v>627</v>
      </c>
      <c r="Y2602" t="s">
        <v>480</v>
      </c>
      <c r="AF2602" t="s">
        <v>382</v>
      </c>
      <c r="AG2602" t="s">
        <v>634</v>
      </c>
      <c r="AI2602">
        <v>-178</v>
      </c>
      <c r="AL2602" t="s">
        <v>635</v>
      </c>
      <c r="AN2602" t="s">
        <v>31</v>
      </c>
      <c r="AO2602">
        <v>0</v>
      </c>
      <c r="AS2602" t="s">
        <v>526</v>
      </c>
      <c r="AT2602" t="s">
        <v>31</v>
      </c>
      <c r="AX2602" t="s">
        <v>31</v>
      </c>
      <c r="AY2602" t="s">
        <v>386</v>
      </c>
      <c r="AZ2602" t="s">
        <v>636</v>
      </c>
      <c r="BF2602">
        <v>0</v>
      </c>
      <c r="BK2602" t="s">
        <v>31</v>
      </c>
      <c r="BS2602" t="s">
        <v>484</v>
      </c>
      <c r="BT2602" t="s">
        <v>484</v>
      </c>
      <c r="CI2602" t="s">
        <v>388</v>
      </c>
      <c r="CJ2602" s="14">
        <v>45016</v>
      </c>
      <c r="CK2602">
        <v>1</v>
      </c>
    </row>
    <row r="2603" spans="1:89">
      <c r="A2603" t="s">
        <v>637</v>
      </c>
      <c r="B2603" t="s">
        <v>374</v>
      </c>
      <c r="C2603" t="s">
        <v>638</v>
      </c>
      <c r="D2603" t="s">
        <v>639</v>
      </c>
      <c r="E2603" t="s">
        <v>640</v>
      </c>
      <c r="F2603" s="13">
        <v>44804.672384259262</v>
      </c>
      <c r="G2603" t="s">
        <v>641</v>
      </c>
      <c r="H2603" t="s">
        <v>642</v>
      </c>
      <c r="I2603" s="13">
        <v>44833.703101851854</v>
      </c>
      <c r="K2603" t="s">
        <v>412</v>
      </c>
      <c r="M2603" s="13">
        <v>44742</v>
      </c>
      <c r="R2603">
        <v>0</v>
      </c>
      <c r="S2603" t="s">
        <v>380</v>
      </c>
      <c r="T2603" t="s">
        <v>57</v>
      </c>
      <c r="V2603" t="s">
        <v>381</v>
      </c>
      <c r="W2603" t="s">
        <v>643</v>
      </c>
      <c r="X2603" t="s">
        <v>643</v>
      </c>
      <c r="AC2603" s="13">
        <v>44834</v>
      </c>
      <c r="AD2603" s="13">
        <v>44834</v>
      </c>
      <c r="AI2603">
        <v>-62</v>
      </c>
      <c r="AN2603" t="s">
        <v>31</v>
      </c>
      <c r="AO2603">
        <v>0</v>
      </c>
      <c r="AS2603" t="s">
        <v>538</v>
      </c>
      <c r="AX2603" t="s">
        <v>57</v>
      </c>
      <c r="AY2603" t="s">
        <v>442</v>
      </c>
      <c r="AZ2603" t="s">
        <v>644</v>
      </c>
      <c r="BF2603">
        <v>0</v>
      </c>
      <c r="BK2603" t="s">
        <v>31</v>
      </c>
      <c r="BS2603" t="s">
        <v>412</v>
      </c>
      <c r="CI2603" t="s">
        <v>388</v>
      </c>
      <c r="CJ2603" s="14">
        <v>45016</v>
      </c>
      <c r="CK2603">
        <v>1</v>
      </c>
    </row>
    <row r="2604" spans="1:89">
      <c r="A2604" t="s">
        <v>637</v>
      </c>
      <c r="B2604" t="s">
        <v>374</v>
      </c>
      <c r="C2604" t="s">
        <v>638</v>
      </c>
      <c r="D2604" t="s">
        <v>645</v>
      </c>
      <c r="E2604" t="s">
        <v>646</v>
      </c>
      <c r="F2604" s="13">
        <v>44804.672361111108</v>
      </c>
      <c r="G2604" t="s">
        <v>641</v>
      </c>
      <c r="H2604" t="s">
        <v>642</v>
      </c>
      <c r="I2604" s="13">
        <v>44833.703101851854</v>
      </c>
      <c r="K2604" t="s">
        <v>412</v>
      </c>
      <c r="M2604" s="13">
        <v>44620</v>
      </c>
      <c r="R2604">
        <v>0</v>
      </c>
      <c r="S2604" t="s">
        <v>416</v>
      </c>
      <c r="T2604" t="s">
        <v>57</v>
      </c>
      <c r="V2604" t="s">
        <v>381</v>
      </c>
      <c r="W2604" t="s">
        <v>647</v>
      </c>
      <c r="X2604" t="s">
        <v>647</v>
      </c>
      <c r="AC2604" s="13">
        <v>44711</v>
      </c>
      <c r="AD2604" s="13">
        <v>44711</v>
      </c>
      <c r="AI2604">
        <v>-184</v>
      </c>
      <c r="AN2604" t="s">
        <v>31</v>
      </c>
      <c r="AO2604">
        <v>0</v>
      </c>
      <c r="AS2604" t="s">
        <v>648</v>
      </c>
      <c r="AX2604" t="s">
        <v>31</v>
      </c>
      <c r="AY2604" t="s">
        <v>386</v>
      </c>
      <c r="AZ2604" t="s">
        <v>649</v>
      </c>
      <c r="BF2604">
        <v>0</v>
      </c>
      <c r="BK2604" t="s">
        <v>31</v>
      </c>
      <c r="BS2604" t="s">
        <v>412</v>
      </c>
      <c r="CI2604" t="s">
        <v>388</v>
      </c>
      <c r="CJ2604" s="14">
        <v>45016</v>
      </c>
      <c r="CK2604">
        <v>1</v>
      </c>
    </row>
    <row r="2605" spans="1:89">
      <c r="A2605" t="s">
        <v>637</v>
      </c>
      <c r="B2605" t="s">
        <v>374</v>
      </c>
      <c r="C2605" t="s">
        <v>638</v>
      </c>
      <c r="D2605" t="s">
        <v>650</v>
      </c>
      <c r="E2605" t="s">
        <v>651</v>
      </c>
      <c r="F2605" s="13">
        <v>44804.672337962962</v>
      </c>
      <c r="G2605" t="s">
        <v>641</v>
      </c>
      <c r="H2605" t="s">
        <v>642</v>
      </c>
      <c r="I2605" s="13">
        <v>44833.703101851854</v>
      </c>
      <c r="K2605" t="s">
        <v>412</v>
      </c>
      <c r="M2605" s="13">
        <v>44620</v>
      </c>
      <c r="R2605">
        <v>0</v>
      </c>
      <c r="S2605" t="s">
        <v>416</v>
      </c>
      <c r="T2605" t="s">
        <v>57</v>
      </c>
      <c r="V2605" t="s">
        <v>381</v>
      </c>
      <c r="W2605" t="s">
        <v>647</v>
      </c>
      <c r="X2605" t="s">
        <v>647</v>
      </c>
      <c r="AC2605" s="13">
        <v>44711</v>
      </c>
      <c r="AD2605" s="13">
        <v>44711</v>
      </c>
      <c r="AI2605">
        <v>-184</v>
      </c>
      <c r="AN2605" t="s">
        <v>31</v>
      </c>
      <c r="AO2605">
        <v>0</v>
      </c>
      <c r="AS2605" t="s">
        <v>392</v>
      </c>
      <c r="AX2605" t="s">
        <v>31</v>
      </c>
      <c r="AY2605" t="s">
        <v>386</v>
      </c>
      <c r="AZ2605" t="s">
        <v>652</v>
      </c>
      <c r="BF2605">
        <v>0</v>
      </c>
      <c r="BK2605" t="s">
        <v>31</v>
      </c>
      <c r="BS2605" t="s">
        <v>412</v>
      </c>
      <c r="CI2605" t="s">
        <v>388</v>
      </c>
      <c r="CJ2605" s="14">
        <v>45016</v>
      </c>
      <c r="CK2605">
        <v>1</v>
      </c>
    </row>
    <row r="2606" spans="1:89">
      <c r="A2606" t="s">
        <v>637</v>
      </c>
      <c r="B2606" t="s">
        <v>374</v>
      </c>
      <c r="C2606" t="s">
        <v>638</v>
      </c>
      <c r="D2606" t="s">
        <v>653</v>
      </c>
      <c r="E2606" t="s">
        <v>654</v>
      </c>
      <c r="F2606" s="13">
        <v>44804.672314814816</v>
      </c>
      <c r="G2606" t="s">
        <v>641</v>
      </c>
      <c r="H2606" t="s">
        <v>642</v>
      </c>
      <c r="I2606" s="13">
        <v>44833.703101851854</v>
      </c>
      <c r="K2606" t="s">
        <v>412</v>
      </c>
      <c r="M2606" s="13">
        <v>44620</v>
      </c>
      <c r="R2606">
        <v>0</v>
      </c>
      <c r="S2606" t="s">
        <v>380</v>
      </c>
      <c r="T2606" t="s">
        <v>57</v>
      </c>
      <c r="V2606" t="s">
        <v>381</v>
      </c>
      <c r="W2606" t="s">
        <v>647</v>
      </c>
      <c r="X2606" t="s">
        <v>647</v>
      </c>
      <c r="AC2606" s="13">
        <v>44711</v>
      </c>
      <c r="AD2606" s="13">
        <v>44711</v>
      </c>
      <c r="AI2606">
        <v>-184</v>
      </c>
      <c r="AN2606" t="s">
        <v>31</v>
      </c>
      <c r="AO2606">
        <v>0</v>
      </c>
      <c r="AS2606" t="s">
        <v>385</v>
      </c>
      <c r="AX2606" t="s">
        <v>31</v>
      </c>
      <c r="AY2606" t="s">
        <v>442</v>
      </c>
      <c r="AZ2606" t="s">
        <v>655</v>
      </c>
      <c r="BF2606">
        <v>0</v>
      </c>
      <c r="BK2606" t="s">
        <v>31</v>
      </c>
      <c r="BS2606" t="s">
        <v>412</v>
      </c>
      <c r="CI2606" t="s">
        <v>388</v>
      </c>
      <c r="CJ2606" s="14">
        <v>45016</v>
      </c>
      <c r="CK2606">
        <v>1</v>
      </c>
    </row>
    <row r="2607" spans="1:89">
      <c r="A2607" t="s">
        <v>637</v>
      </c>
      <c r="B2607" t="s">
        <v>374</v>
      </c>
      <c r="C2607" t="s">
        <v>638</v>
      </c>
      <c r="D2607" t="s">
        <v>656</v>
      </c>
      <c r="E2607" t="s">
        <v>657</v>
      </c>
      <c r="F2607" s="13">
        <v>44804.672303240739</v>
      </c>
      <c r="G2607" t="s">
        <v>641</v>
      </c>
      <c r="H2607" t="s">
        <v>642</v>
      </c>
      <c r="I2607" s="13">
        <v>44833.703101851854</v>
      </c>
      <c r="K2607" t="s">
        <v>412</v>
      </c>
      <c r="M2607" s="13">
        <v>44620</v>
      </c>
      <c r="R2607">
        <v>0</v>
      </c>
      <c r="S2607" t="s">
        <v>380</v>
      </c>
      <c r="T2607" t="s">
        <v>57</v>
      </c>
      <c r="V2607" t="s">
        <v>381</v>
      </c>
      <c r="W2607" t="s">
        <v>647</v>
      </c>
      <c r="X2607" t="s">
        <v>647</v>
      </c>
      <c r="AC2607" s="13">
        <v>44711</v>
      </c>
      <c r="AD2607" s="13">
        <v>44711</v>
      </c>
      <c r="AI2607">
        <v>-184</v>
      </c>
      <c r="AN2607" t="s">
        <v>31</v>
      </c>
      <c r="AO2607">
        <v>0</v>
      </c>
      <c r="AS2607" t="s">
        <v>385</v>
      </c>
      <c r="AX2607" t="s">
        <v>31</v>
      </c>
      <c r="AY2607" t="s">
        <v>442</v>
      </c>
      <c r="AZ2607" t="s">
        <v>658</v>
      </c>
      <c r="BF2607">
        <v>0</v>
      </c>
      <c r="BK2607" t="s">
        <v>31</v>
      </c>
      <c r="BS2607" t="s">
        <v>412</v>
      </c>
      <c r="CI2607" t="s">
        <v>388</v>
      </c>
      <c r="CJ2607" s="14">
        <v>45016</v>
      </c>
      <c r="CK2607">
        <v>1</v>
      </c>
    </row>
    <row r="2608" spans="1:89">
      <c r="A2608" t="s">
        <v>637</v>
      </c>
      <c r="B2608" t="s">
        <v>374</v>
      </c>
      <c r="C2608" t="s">
        <v>638</v>
      </c>
      <c r="D2608" t="s">
        <v>659</v>
      </c>
      <c r="E2608" t="s">
        <v>660</v>
      </c>
      <c r="F2608" s="13">
        <v>44804.672280092593</v>
      </c>
      <c r="G2608" t="s">
        <v>641</v>
      </c>
      <c r="H2608" t="s">
        <v>642</v>
      </c>
      <c r="I2608" s="13">
        <v>44833.703101851854</v>
      </c>
      <c r="K2608" t="s">
        <v>412</v>
      </c>
      <c r="M2608" s="13">
        <v>44620</v>
      </c>
      <c r="R2608">
        <v>0</v>
      </c>
      <c r="S2608" t="s">
        <v>380</v>
      </c>
      <c r="T2608" t="s">
        <v>57</v>
      </c>
      <c r="V2608" t="s">
        <v>381</v>
      </c>
      <c r="W2608" t="s">
        <v>647</v>
      </c>
      <c r="X2608" t="s">
        <v>647</v>
      </c>
      <c r="AC2608" s="13">
        <v>44711</v>
      </c>
      <c r="AD2608" s="13">
        <v>44711</v>
      </c>
      <c r="AI2608">
        <v>-184</v>
      </c>
      <c r="AN2608" t="s">
        <v>31</v>
      </c>
      <c r="AO2608">
        <v>0</v>
      </c>
      <c r="AS2608" t="s">
        <v>526</v>
      </c>
      <c r="AX2608" t="s">
        <v>31</v>
      </c>
      <c r="AY2608" t="s">
        <v>442</v>
      </c>
      <c r="AZ2608" t="s">
        <v>661</v>
      </c>
      <c r="BF2608">
        <v>0</v>
      </c>
      <c r="BK2608" t="s">
        <v>31</v>
      </c>
      <c r="BS2608" t="s">
        <v>412</v>
      </c>
      <c r="CI2608" t="s">
        <v>388</v>
      </c>
      <c r="CJ2608" s="14">
        <v>45016</v>
      </c>
      <c r="CK2608">
        <v>1</v>
      </c>
    </row>
    <row r="2609" spans="1:89">
      <c r="A2609" t="s">
        <v>637</v>
      </c>
      <c r="B2609" t="s">
        <v>374</v>
      </c>
      <c r="C2609" t="s">
        <v>638</v>
      </c>
      <c r="D2609" t="s">
        <v>662</v>
      </c>
      <c r="E2609" t="s">
        <v>663</v>
      </c>
      <c r="F2609" s="13">
        <v>44804.672256944446</v>
      </c>
      <c r="G2609" t="s">
        <v>641</v>
      </c>
      <c r="H2609" t="s">
        <v>642</v>
      </c>
      <c r="I2609" s="13">
        <v>44833.703101851854</v>
      </c>
      <c r="K2609" t="s">
        <v>412</v>
      </c>
      <c r="M2609" s="13">
        <v>44620</v>
      </c>
      <c r="R2609">
        <v>0</v>
      </c>
      <c r="S2609" t="s">
        <v>380</v>
      </c>
      <c r="T2609" t="s">
        <v>57</v>
      </c>
      <c r="V2609" t="s">
        <v>381</v>
      </c>
      <c r="W2609" t="s">
        <v>647</v>
      </c>
      <c r="X2609" t="s">
        <v>647</v>
      </c>
      <c r="AC2609" s="13">
        <v>44711</v>
      </c>
      <c r="AD2609" s="13">
        <v>44711</v>
      </c>
      <c r="AI2609">
        <v>-184</v>
      </c>
      <c r="AN2609" t="s">
        <v>31</v>
      </c>
      <c r="AO2609">
        <v>0</v>
      </c>
      <c r="AS2609" t="s">
        <v>648</v>
      </c>
      <c r="AX2609" t="s">
        <v>31</v>
      </c>
      <c r="AY2609" t="s">
        <v>442</v>
      </c>
      <c r="AZ2609" t="s">
        <v>648</v>
      </c>
      <c r="BF2609">
        <v>0</v>
      </c>
      <c r="BK2609" t="s">
        <v>31</v>
      </c>
      <c r="BS2609" t="s">
        <v>412</v>
      </c>
      <c r="CI2609" t="s">
        <v>388</v>
      </c>
      <c r="CJ2609" s="14">
        <v>45016</v>
      </c>
      <c r="CK2609">
        <v>1</v>
      </c>
    </row>
    <row r="2610" spans="1:89">
      <c r="A2610" t="s">
        <v>637</v>
      </c>
      <c r="B2610" t="s">
        <v>374</v>
      </c>
      <c r="C2610" t="s">
        <v>638</v>
      </c>
      <c r="D2610" t="s">
        <v>664</v>
      </c>
      <c r="E2610" t="s">
        <v>665</v>
      </c>
      <c r="F2610" s="13">
        <v>44804.67224537037</v>
      </c>
      <c r="G2610" t="s">
        <v>641</v>
      </c>
      <c r="H2610" t="s">
        <v>642</v>
      </c>
      <c r="I2610" s="13">
        <v>44833.703101851854</v>
      </c>
      <c r="K2610" t="s">
        <v>412</v>
      </c>
      <c r="M2610" s="13">
        <v>44620</v>
      </c>
      <c r="R2610">
        <v>0</v>
      </c>
      <c r="S2610" t="s">
        <v>380</v>
      </c>
      <c r="T2610" t="s">
        <v>57</v>
      </c>
      <c r="V2610" t="s">
        <v>381</v>
      </c>
      <c r="W2610" t="s">
        <v>647</v>
      </c>
      <c r="X2610" t="s">
        <v>647</v>
      </c>
      <c r="AC2610" s="13">
        <v>44711</v>
      </c>
      <c r="AD2610" s="13">
        <v>44711</v>
      </c>
      <c r="AI2610">
        <v>-184</v>
      </c>
      <c r="AN2610" t="s">
        <v>31</v>
      </c>
      <c r="AO2610">
        <v>0</v>
      </c>
      <c r="AS2610" t="s">
        <v>385</v>
      </c>
      <c r="AX2610" t="s">
        <v>31</v>
      </c>
      <c r="AY2610" t="s">
        <v>442</v>
      </c>
      <c r="AZ2610" t="s">
        <v>666</v>
      </c>
      <c r="BF2610">
        <v>0</v>
      </c>
      <c r="BK2610" t="s">
        <v>31</v>
      </c>
      <c r="BS2610" t="s">
        <v>412</v>
      </c>
      <c r="CI2610" t="s">
        <v>388</v>
      </c>
      <c r="CJ2610" s="14">
        <v>45016</v>
      </c>
      <c r="CK2610">
        <v>1</v>
      </c>
    </row>
    <row r="2611" spans="1:89">
      <c r="A2611" t="s">
        <v>637</v>
      </c>
      <c r="B2611" t="s">
        <v>374</v>
      </c>
      <c r="C2611" t="s">
        <v>638</v>
      </c>
      <c r="D2611" t="s">
        <v>667</v>
      </c>
      <c r="E2611" t="s">
        <v>668</v>
      </c>
      <c r="F2611" s="13">
        <v>44804.672222222223</v>
      </c>
      <c r="G2611" t="s">
        <v>641</v>
      </c>
      <c r="H2611" t="s">
        <v>642</v>
      </c>
      <c r="I2611" s="13">
        <v>44833.703101851854</v>
      </c>
      <c r="K2611" t="s">
        <v>412</v>
      </c>
      <c r="M2611" s="13">
        <v>44620</v>
      </c>
      <c r="R2611">
        <v>0</v>
      </c>
      <c r="S2611" t="s">
        <v>380</v>
      </c>
      <c r="T2611" t="s">
        <v>57</v>
      </c>
      <c r="V2611" t="s">
        <v>381</v>
      </c>
      <c r="W2611" t="s">
        <v>647</v>
      </c>
      <c r="X2611" t="s">
        <v>647</v>
      </c>
      <c r="AC2611" s="13">
        <v>44711</v>
      </c>
      <c r="AD2611" s="13">
        <v>44711</v>
      </c>
      <c r="AI2611">
        <v>-184</v>
      </c>
      <c r="AN2611" t="s">
        <v>31</v>
      </c>
      <c r="AO2611">
        <v>0</v>
      </c>
      <c r="AS2611" t="s">
        <v>648</v>
      </c>
      <c r="AX2611" t="s">
        <v>31</v>
      </c>
      <c r="AY2611" t="s">
        <v>442</v>
      </c>
      <c r="AZ2611" t="s">
        <v>669</v>
      </c>
      <c r="BF2611">
        <v>0</v>
      </c>
      <c r="BK2611" t="s">
        <v>31</v>
      </c>
      <c r="BS2611" t="s">
        <v>412</v>
      </c>
      <c r="CI2611" t="s">
        <v>388</v>
      </c>
      <c r="CJ2611" s="14">
        <v>45016</v>
      </c>
      <c r="CK2611">
        <v>1</v>
      </c>
    </row>
    <row r="2612" spans="1:89">
      <c r="A2612" t="s">
        <v>637</v>
      </c>
      <c r="B2612" t="s">
        <v>374</v>
      </c>
      <c r="C2612" t="s">
        <v>638</v>
      </c>
      <c r="D2612" t="s">
        <v>670</v>
      </c>
      <c r="E2612" t="s">
        <v>671</v>
      </c>
      <c r="F2612" s="13">
        <v>44804.672199074077</v>
      </c>
      <c r="G2612" t="s">
        <v>641</v>
      </c>
      <c r="H2612" t="s">
        <v>642</v>
      </c>
      <c r="I2612" s="13">
        <v>44833.703101851854</v>
      </c>
      <c r="K2612" t="s">
        <v>412</v>
      </c>
      <c r="M2612" s="13">
        <v>44620</v>
      </c>
      <c r="R2612">
        <v>0</v>
      </c>
      <c r="S2612" t="s">
        <v>380</v>
      </c>
      <c r="T2612" t="s">
        <v>57</v>
      </c>
      <c r="V2612" t="s">
        <v>381</v>
      </c>
      <c r="W2612" t="s">
        <v>647</v>
      </c>
      <c r="X2612" t="s">
        <v>647</v>
      </c>
      <c r="AC2612" s="13">
        <v>44711</v>
      </c>
      <c r="AD2612" s="13">
        <v>44711</v>
      </c>
      <c r="AI2612">
        <v>-184</v>
      </c>
      <c r="AN2612" t="s">
        <v>31</v>
      </c>
      <c r="AO2612">
        <v>0</v>
      </c>
      <c r="AS2612" t="s">
        <v>538</v>
      </c>
      <c r="AX2612" t="s">
        <v>31</v>
      </c>
      <c r="AY2612" t="s">
        <v>442</v>
      </c>
      <c r="AZ2612" t="s">
        <v>672</v>
      </c>
      <c r="BF2612">
        <v>0</v>
      </c>
      <c r="BK2612" t="s">
        <v>31</v>
      </c>
      <c r="BS2612" t="s">
        <v>412</v>
      </c>
      <c r="CI2612" t="s">
        <v>388</v>
      </c>
      <c r="CJ2612" s="14">
        <v>45016</v>
      </c>
      <c r="CK2612">
        <v>1</v>
      </c>
    </row>
    <row r="2613" spans="1:89">
      <c r="A2613" t="s">
        <v>673</v>
      </c>
      <c r="B2613" t="s">
        <v>374</v>
      </c>
      <c r="C2613" t="s">
        <v>674</v>
      </c>
      <c r="D2613" t="s">
        <v>675</v>
      </c>
      <c r="E2613" t="s">
        <v>676</v>
      </c>
      <c r="F2613" s="13">
        <v>44804.451608796298</v>
      </c>
      <c r="G2613" t="s">
        <v>677</v>
      </c>
      <c r="H2613" t="s">
        <v>678</v>
      </c>
      <c r="I2613" s="13">
        <v>44804.457673611112</v>
      </c>
      <c r="K2613" t="s">
        <v>412</v>
      </c>
      <c r="R2613">
        <v>0</v>
      </c>
      <c r="S2613" t="s">
        <v>380</v>
      </c>
      <c r="T2613" t="s">
        <v>57</v>
      </c>
      <c r="V2613" t="s">
        <v>381</v>
      </c>
      <c r="W2613" t="s">
        <v>679</v>
      </c>
      <c r="X2613" t="s">
        <v>679</v>
      </c>
      <c r="AI2613">
        <v>20</v>
      </c>
      <c r="AL2613" t="s">
        <v>680</v>
      </c>
      <c r="AN2613" t="s">
        <v>31</v>
      </c>
      <c r="AO2613">
        <v>0</v>
      </c>
      <c r="AZ2613" t="s">
        <v>676</v>
      </c>
      <c r="BF2613">
        <v>0</v>
      </c>
      <c r="BK2613" t="s">
        <v>31</v>
      </c>
      <c r="BS2613" t="s">
        <v>412</v>
      </c>
      <c r="BT2613" t="s">
        <v>412</v>
      </c>
      <c r="CI2613" t="s">
        <v>388</v>
      </c>
      <c r="CJ2613" s="14">
        <v>45016</v>
      </c>
      <c r="CK2613">
        <v>1</v>
      </c>
    </row>
    <row r="2614" spans="1:89">
      <c r="A2614" t="s">
        <v>673</v>
      </c>
      <c r="B2614" t="s">
        <v>374</v>
      </c>
      <c r="C2614" t="s">
        <v>674</v>
      </c>
      <c r="D2614" t="s">
        <v>681</v>
      </c>
      <c r="E2614" t="s">
        <v>682</v>
      </c>
      <c r="F2614" s="13">
        <v>44804.450381944444</v>
      </c>
      <c r="G2614" t="s">
        <v>677</v>
      </c>
      <c r="H2614" t="s">
        <v>678</v>
      </c>
      <c r="I2614" s="13">
        <v>44804.457071759258</v>
      </c>
      <c r="K2614" t="s">
        <v>412</v>
      </c>
      <c r="R2614">
        <v>0</v>
      </c>
      <c r="S2614" t="s">
        <v>380</v>
      </c>
      <c r="T2614" t="s">
        <v>57</v>
      </c>
      <c r="V2614" t="s">
        <v>381</v>
      </c>
      <c r="W2614" t="s">
        <v>683</v>
      </c>
      <c r="X2614" t="s">
        <v>683</v>
      </c>
      <c r="AI2614">
        <v>20</v>
      </c>
      <c r="AL2614" t="s">
        <v>680</v>
      </c>
      <c r="AN2614" t="s">
        <v>31</v>
      </c>
      <c r="AO2614">
        <v>0</v>
      </c>
      <c r="AS2614" t="s">
        <v>385</v>
      </c>
      <c r="AZ2614" t="s">
        <v>682</v>
      </c>
      <c r="BF2614">
        <v>0</v>
      </c>
      <c r="BK2614" t="s">
        <v>31</v>
      </c>
      <c r="BS2614" t="s">
        <v>412</v>
      </c>
      <c r="BT2614" t="s">
        <v>412</v>
      </c>
      <c r="CI2614" t="s">
        <v>388</v>
      </c>
      <c r="CJ2614" s="14">
        <v>45016</v>
      </c>
      <c r="CK2614">
        <v>1</v>
      </c>
    </row>
    <row r="2615" spans="1:89">
      <c r="A2615" t="s">
        <v>404</v>
      </c>
      <c r="B2615" t="s">
        <v>374</v>
      </c>
      <c r="C2615" t="s">
        <v>375</v>
      </c>
      <c r="D2615" t="s">
        <v>684</v>
      </c>
      <c r="E2615" t="s">
        <v>685</v>
      </c>
      <c r="F2615" s="13">
        <v>44797.441041666665</v>
      </c>
      <c r="G2615" t="s">
        <v>407</v>
      </c>
      <c r="H2615" t="s">
        <v>408</v>
      </c>
      <c r="I2615" s="13">
        <v>44797.456944444442</v>
      </c>
      <c r="R2615">
        <v>0</v>
      </c>
      <c r="S2615" t="s">
        <v>416</v>
      </c>
      <c r="T2615" t="s">
        <v>57</v>
      </c>
      <c r="V2615" t="s">
        <v>381</v>
      </c>
      <c r="W2615" t="s">
        <v>686</v>
      </c>
      <c r="X2615" t="s">
        <v>686</v>
      </c>
      <c r="AI2615">
        <v>38</v>
      </c>
      <c r="AN2615" t="s">
        <v>31</v>
      </c>
      <c r="AO2615">
        <v>0</v>
      </c>
      <c r="AY2615" t="s">
        <v>442</v>
      </c>
      <c r="AZ2615" t="s">
        <v>574</v>
      </c>
      <c r="BF2615">
        <v>0</v>
      </c>
      <c r="BK2615" t="s">
        <v>31</v>
      </c>
      <c r="BS2615" t="s">
        <v>412</v>
      </c>
      <c r="CI2615" t="s">
        <v>388</v>
      </c>
      <c r="CJ2615" s="14">
        <v>45016</v>
      </c>
      <c r="CK2615">
        <v>1</v>
      </c>
    </row>
    <row r="2616" spans="1:89">
      <c r="A2616" t="s">
        <v>687</v>
      </c>
      <c r="B2616" t="s">
        <v>374</v>
      </c>
      <c r="C2616" t="s">
        <v>688</v>
      </c>
      <c r="D2616" t="s">
        <v>689</v>
      </c>
      <c r="E2616" t="s">
        <v>690</v>
      </c>
      <c r="F2616" s="13">
        <v>44797.421053240738</v>
      </c>
      <c r="G2616" t="s">
        <v>590</v>
      </c>
      <c r="H2616" t="s">
        <v>591</v>
      </c>
      <c r="I2616" s="13">
        <v>45012.044421296298</v>
      </c>
      <c r="K2616" t="s">
        <v>415</v>
      </c>
      <c r="M2616" s="13">
        <v>44893</v>
      </c>
      <c r="R2616">
        <v>100</v>
      </c>
      <c r="S2616" t="s">
        <v>416</v>
      </c>
      <c r="T2616" t="s">
        <v>57</v>
      </c>
      <c r="V2616" t="s">
        <v>478</v>
      </c>
      <c r="W2616" t="s">
        <v>591</v>
      </c>
      <c r="X2616" t="s">
        <v>591</v>
      </c>
      <c r="AF2616" t="s">
        <v>382</v>
      </c>
      <c r="AG2616" t="s">
        <v>691</v>
      </c>
      <c r="AI2616">
        <v>-119</v>
      </c>
      <c r="AL2616" t="s">
        <v>692</v>
      </c>
      <c r="AN2616" t="s">
        <v>31</v>
      </c>
      <c r="AO2616">
        <v>0</v>
      </c>
      <c r="AZ2616" t="s">
        <v>690</v>
      </c>
      <c r="BF2616">
        <v>0</v>
      </c>
      <c r="BK2616" t="s">
        <v>31</v>
      </c>
      <c r="BS2616" t="s">
        <v>419</v>
      </c>
      <c r="BT2616" t="s">
        <v>419</v>
      </c>
      <c r="CI2616" t="s">
        <v>388</v>
      </c>
      <c r="CJ2616" s="14">
        <v>45016</v>
      </c>
      <c r="CK2616">
        <v>1</v>
      </c>
    </row>
    <row r="2617" spans="1:89">
      <c r="A2617" t="s">
        <v>687</v>
      </c>
      <c r="B2617" t="s">
        <v>374</v>
      </c>
      <c r="C2617" t="s">
        <v>688</v>
      </c>
      <c r="D2617" t="s">
        <v>693</v>
      </c>
      <c r="E2617" t="s">
        <v>691</v>
      </c>
      <c r="F2617" s="13">
        <v>44797.416203703702</v>
      </c>
      <c r="G2617" t="s">
        <v>590</v>
      </c>
      <c r="H2617" t="s">
        <v>591</v>
      </c>
      <c r="I2617" s="13">
        <v>45012.044421296298</v>
      </c>
      <c r="K2617" t="s">
        <v>415</v>
      </c>
      <c r="M2617" s="13">
        <v>44893</v>
      </c>
      <c r="R2617">
        <v>0</v>
      </c>
      <c r="S2617" t="s">
        <v>380</v>
      </c>
      <c r="T2617" t="s">
        <v>57</v>
      </c>
      <c r="V2617" t="s">
        <v>478</v>
      </c>
      <c r="W2617" t="s">
        <v>591</v>
      </c>
      <c r="X2617" t="s">
        <v>591</v>
      </c>
      <c r="AF2617" t="s">
        <v>451</v>
      </c>
      <c r="AI2617">
        <v>-119</v>
      </c>
      <c r="AL2617" t="s">
        <v>692</v>
      </c>
      <c r="AN2617" t="s">
        <v>31</v>
      </c>
      <c r="AO2617">
        <v>0</v>
      </c>
      <c r="AZ2617" t="s">
        <v>691</v>
      </c>
      <c r="BF2617">
        <v>0</v>
      </c>
      <c r="BK2617" t="s">
        <v>31</v>
      </c>
      <c r="BS2617" t="s">
        <v>419</v>
      </c>
      <c r="BT2617" t="s">
        <v>419</v>
      </c>
      <c r="CI2617" t="s">
        <v>388</v>
      </c>
      <c r="CJ2617" s="14">
        <v>45016</v>
      </c>
      <c r="CK2617">
        <v>1</v>
      </c>
    </row>
    <row r="2618" spans="1:89">
      <c r="A2618" t="s">
        <v>404</v>
      </c>
      <c r="B2618" t="s">
        <v>374</v>
      </c>
      <c r="C2618" t="s">
        <v>375</v>
      </c>
      <c r="D2618" t="s">
        <v>694</v>
      </c>
      <c r="E2618" t="s">
        <v>695</v>
      </c>
      <c r="F2618" s="13">
        <v>44797.397939814815</v>
      </c>
      <c r="G2618" t="s">
        <v>407</v>
      </c>
      <c r="H2618" t="s">
        <v>408</v>
      </c>
      <c r="I2618" s="13">
        <v>44797.416712962964</v>
      </c>
      <c r="K2618" t="s">
        <v>379</v>
      </c>
      <c r="M2618" s="13">
        <v>44834</v>
      </c>
      <c r="R2618">
        <v>100</v>
      </c>
      <c r="S2618" t="s">
        <v>380</v>
      </c>
      <c r="T2618" t="s">
        <v>57</v>
      </c>
      <c r="V2618" t="s">
        <v>381</v>
      </c>
      <c r="W2618" t="s">
        <v>408</v>
      </c>
      <c r="X2618" t="s">
        <v>408</v>
      </c>
      <c r="AC2618" s="13">
        <v>44863</v>
      </c>
      <c r="AD2618" s="13">
        <v>44834</v>
      </c>
      <c r="AF2618" t="s">
        <v>382</v>
      </c>
      <c r="AG2618" t="s">
        <v>695</v>
      </c>
      <c r="AI2618">
        <v>37</v>
      </c>
      <c r="AK2618" t="s">
        <v>480</v>
      </c>
      <c r="AL2618" t="s">
        <v>696</v>
      </c>
      <c r="AN2618" t="s">
        <v>31</v>
      </c>
      <c r="AO2618">
        <v>0</v>
      </c>
      <c r="AS2618" t="s">
        <v>385</v>
      </c>
      <c r="AX2618" t="s">
        <v>31</v>
      </c>
      <c r="AY2618" t="s">
        <v>386</v>
      </c>
      <c r="AZ2618" t="s">
        <v>695</v>
      </c>
      <c r="BF2618">
        <v>0</v>
      </c>
      <c r="BK2618" t="s">
        <v>31</v>
      </c>
      <c r="BS2618" t="s">
        <v>379</v>
      </c>
      <c r="BT2618" t="s">
        <v>379</v>
      </c>
      <c r="CI2618" t="s">
        <v>388</v>
      </c>
      <c r="CJ2618" s="14">
        <v>45016</v>
      </c>
      <c r="CK2618">
        <v>1</v>
      </c>
    </row>
    <row r="2619" spans="1:89">
      <c r="A2619" t="s">
        <v>697</v>
      </c>
      <c r="B2619" t="s">
        <v>374</v>
      </c>
      <c r="C2619" t="s">
        <v>698</v>
      </c>
      <c r="D2619" t="s">
        <v>699</v>
      </c>
      <c r="E2619" t="s">
        <v>700</v>
      </c>
      <c r="F2619" s="13">
        <v>44795.506469907406</v>
      </c>
      <c r="G2619" t="s">
        <v>641</v>
      </c>
      <c r="H2619" t="s">
        <v>642</v>
      </c>
      <c r="I2619" s="13">
        <v>44795.506481481483</v>
      </c>
      <c r="K2619" t="s">
        <v>412</v>
      </c>
      <c r="M2619" s="13">
        <v>44666</v>
      </c>
      <c r="R2619">
        <v>0</v>
      </c>
      <c r="S2619" t="s">
        <v>380</v>
      </c>
      <c r="T2619" t="s">
        <v>57</v>
      </c>
      <c r="V2619" t="s">
        <v>381</v>
      </c>
      <c r="W2619" t="s">
        <v>701</v>
      </c>
      <c r="X2619" t="s">
        <v>701</v>
      </c>
      <c r="AC2619" s="13">
        <v>44666</v>
      </c>
      <c r="AD2619" s="13">
        <v>44592</v>
      </c>
      <c r="AI2619">
        <v>-129</v>
      </c>
      <c r="AN2619" t="s">
        <v>31</v>
      </c>
      <c r="AO2619">
        <v>0</v>
      </c>
      <c r="AS2619" t="s">
        <v>702</v>
      </c>
      <c r="AX2619" t="s">
        <v>31</v>
      </c>
      <c r="AY2619" t="s">
        <v>442</v>
      </c>
      <c r="AZ2619" t="s">
        <v>703</v>
      </c>
      <c r="BF2619">
        <v>0</v>
      </c>
      <c r="BK2619" t="s">
        <v>31</v>
      </c>
      <c r="BS2619" t="s">
        <v>412</v>
      </c>
      <c r="CI2619" t="s">
        <v>388</v>
      </c>
      <c r="CJ2619" s="14">
        <v>45016</v>
      </c>
      <c r="CK2619">
        <v>1</v>
      </c>
    </row>
    <row r="2620" spans="1:89">
      <c r="A2620" t="s">
        <v>697</v>
      </c>
      <c r="B2620" t="s">
        <v>374</v>
      </c>
      <c r="C2620" t="s">
        <v>698</v>
      </c>
      <c r="D2620" t="s">
        <v>704</v>
      </c>
      <c r="E2620" t="s">
        <v>705</v>
      </c>
      <c r="F2620" s="13">
        <v>44795.50644675926</v>
      </c>
      <c r="G2620" t="s">
        <v>641</v>
      </c>
      <c r="H2620" t="s">
        <v>642</v>
      </c>
      <c r="I2620" s="13">
        <v>44795.506458333337</v>
      </c>
      <c r="K2620" t="s">
        <v>412</v>
      </c>
      <c r="M2620" s="13">
        <v>44607</v>
      </c>
      <c r="R2620">
        <v>0</v>
      </c>
      <c r="S2620" t="s">
        <v>380</v>
      </c>
      <c r="T2620" t="s">
        <v>57</v>
      </c>
      <c r="V2620" t="s">
        <v>381</v>
      </c>
      <c r="W2620" t="s">
        <v>706</v>
      </c>
      <c r="X2620" t="s">
        <v>706</v>
      </c>
      <c r="AI2620">
        <v>-188</v>
      </c>
      <c r="AN2620" t="s">
        <v>31</v>
      </c>
      <c r="AO2620">
        <v>0</v>
      </c>
      <c r="AS2620" t="s">
        <v>707</v>
      </c>
      <c r="AX2620" t="s">
        <v>31</v>
      </c>
      <c r="AY2620" t="s">
        <v>442</v>
      </c>
      <c r="AZ2620" t="s">
        <v>708</v>
      </c>
      <c r="BF2620">
        <v>0</v>
      </c>
      <c r="BK2620" t="s">
        <v>31</v>
      </c>
      <c r="BS2620" t="s">
        <v>412</v>
      </c>
      <c r="CI2620" t="s">
        <v>388</v>
      </c>
      <c r="CJ2620" s="14">
        <v>45016</v>
      </c>
      <c r="CK2620">
        <v>1</v>
      </c>
    </row>
    <row r="2621" spans="1:89">
      <c r="A2621" t="s">
        <v>697</v>
      </c>
      <c r="B2621" t="s">
        <v>374</v>
      </c>
      <c r="C2621" t="s">
        <v>698</v>
      </c>
      <c r="D2621" t="s">
        <v>709</v>
      </c>
      <c r="E2621" t="s">
        <v>700</v>
      </c>
      <c r="F2621" s="13">
        <v>44795.506423611114</v>
      </c>
      <c r="G2621" t="s">
        <v>641</v>
      </c>
      <c r="H2621" t="s">
        <v>642</v>
      </c>
      <c r="I2621" s="13">
        <v>44795.506435185183</v>
      </c>
      <c r="K2621" t="s">
        <v>412</v>
      </c>
      <c r="M2621" s="13">
        <v>44666</v>
      </c>
      <c r="R2621">
        <v>0</v>
      </c>
      <c r="S2621" t="s">
        <v>380</v>
      </c>
      <c r="T2621" t="s">
        <v>57</v>
      </c>
      <c r="V2621" t="s">
        <v>381</v>
      </c>
      <c r="W2621" t="s">
        <v>701</v>
      </c>
      <c r="X2621" t="s">
        <v>701</v>
      </c>
      <c r="AC2621" s="13">
        <v>44666</v>
      </c>
      <c r="AD2621" s="13">
        <v>44592</v>
      </c>
      <c r="AI2621">
        <v>-129</v>
      </c>
      <c r="AN2621" t="s">
        <v>31</v>
      </c>
      <c r="AO2621">
        <v>0</v>
      </c>
      <c r="AS2621" t="s">
        <v>702</v>
      </c>
      <c r="AX2621" t="s">
        <v>31</v>
      </c>
      <c r="AY2621" t="s">
        <v>442</v>
      </c>
      <c r="AZ2621" t="s">
        <v>703</v>
      </c>
      <c r="BF2621">
        <v>0</v>
      </c>
      <c r="BK2621" t="s">
        <v>31</v>
      </c>
      <c r="BS2621" t="s">
        <v>412</v>
      </c>
      <c r="CI2621" t="s">
        <v>388</v>
      </c>
      <c r="CJ2621" s="14">
        <v>45016</v>
      </c>
      <c r="CK2621">
        <v>1</v>
      </c>
    </row>
    <row r="2622" spans="1:89">
      <c r="A2622" t="s">
        <v>697</v>
      </c>
      <c r="B2622" t="s">
        <v>374</v>
      </c>
      <c r="C2622" t="s">
        <v>698</v>
      </c>
      <c r="D2622" t="s">
        <v>710</v>
      </c>
      <c r="E2622" t="s">
        <v>700</v>
      </c>
      <c r="F2622" s="13">
        <v>44795.506412037037</v>
      </c>
      <c r="G2622" t="s">
        <v>641</v>
      </c>
      <c r="H2622" t="s">
        <v>642</v>
      </c>
      <c r="I2622" s="13">
        <v>44795.506412037037</v>
      </c>
      <c r="K2622" t="s">
        <v>412</v>
      </c>
      <c r="M2622" s="13">
        <v>44666</v>
      </c>
      <c r="R2622">
        <v>0</v>
      </c>
      <c r="S2622" t="s">
        <v>380</v>
      </c>
      <c r="T2622" t="s">
        <v>57</v>
      </c>
      <c r="V2622" t="s">
        <v>381</v>
      </c>
      <c r="W2622" t="s">
        <v>701</v>
      </c>
      <c r="X2622" t="s">
        <v>701</v>
      </c>
      <c r="AC2622" s="13">
        <v>44666</v>
      </c>
      <c r="AD2622" s="13">
        <v>44592</v>
      </c>
      <c r="AI2622">
        <v>-129</v>
      </c>
      <c r="AN2622" t="s">
        <v>31</v>
      </c>
      <c r="AO2622">
        <v>0</v>
      </c>
      <c r="AS2622" t="s">
        <v>702</v>
      </c>
      <c r="AX2622" t="s">
        <v>31</v>
      </c>
      <c r="AY2622" t="s">
        <v>442</v>
      </c>
      <c r="AZ2622" t="s">
        <v>703</v>
      </c>
      <c r="BF2622">
        <v>0</v>
      </c>
      <c r="BK2622" t="s">
        <v>31</v>
      </c>
      <c r="BS2622" t="s">
        <v>412</v>
      </c>
      <c r="CI2622" t="s">
        <v>388</v>
      </c>
      <c r="CJ2622" s="14">
        <v>45016</v>
      </c>
      <c r="CK2622">
        <v>1</v>
      </c>
    </row>
    <row r="2623" spans="1:89">
      <c r="A2623" t="s">
        <v>711</v>
      </c>
      <c r="B2623" t="s">
        <v>374</v>
      </c>
      <c r="C2623" t="s">
        <v>712</v>
      </c>
      <c r="D2623" t="s">
        <v>713</v>
      </c>
      <c r="E2623" t="s">
        <v>705</v>
      </c>
      <c r="F2623" s="13">
        <v>44795.506388888891</v>
      </c>
      <c r="G2623" t="s">
        <v>641</v>
      </c>
      <c r="H2623" t="s">
        <v>642</v>
      </c>
      <c r="I2623" s="13">
        <v>44795.50640046296</v>
      </c>
      <c r="K2623" t="s">
        <v>412</v>
      </c>
      <c r="M2623" s="13">
        <v>44607</v>
      </c>
      <c r="R2623">
        <v>0</v>
      </c>
      <c r="S2623" t="s">
        <v>380</v>
      </c>
      <c r="T2623" t="s">
        <v>57</v>
      </c>
      <c r="V2623" t="s">
        <v>381</v>
      </c>
      <c r="W2623" t="s">
        <v>706</v>
      </c>
      <c r="X2623" t="s">
        <v>706</v>
      </c>
      <c r="AI2623">
        <v>-188</v>
      </c>
      <c r="AN2623" t="s">
        <v>31</v>
      </c>
      <c r="AO2623">
        <v>0</v>
      </c>
      <c r="AS2623" t="s">
        <v>707</v>
      </c>
      <c r="AX2623" t="s">
        <v>31</v>
      </c>
      <c r="AY2623" t="s">
        <v>442</v>
      </c>
      <c r="AZ2623" t="s">
        <v>708</v>
      </c>
      <c r="BF2623">
        <v>0</v>
      </c>
      <c r="BK2623" t="s">
        <v>31</v>
      </c>
      <c r="BS2623" t="s">
        <v>412</v>
      </c>
      <c r="CI2623" t="s">
        <v>388</v>
      </c>
      <c r="CJ2623" s="14">
        <v>45016</v>
      </c>
      <c r="CK2623">
        <v>1</v>
      </c>
    </row>
    <row r="2624" spans="1:89">
      <c r="A2624" t="s">
        <v>714</v>
      </c>
      <c r="B2624" t="s">
        <v>374</v>
      </c>
      <c r="C2624" t="s">
        <v>715</v>
      </c>
      <c r="D2624" t="s">
        <v>716</v>
      </c>
      <c r="E2624" t="s">
        <v>700</v>
      </c>
      <c r="F2624" s="13">
        <v>44795.506365740737</v>
      </c>
      <c r="G2624" t="s">
        <v>641</v>
      </c>
      <c r="H2624" t="s">
        <v>642</v>
      </c>
      <c r="I2624" s="13">
        <v>44795.506377314814</v>
      </c>
      <c r="K2624" t="s">
        <v>412</v>
      </c>
      <c r="M2624" s="13">
        <v>44666</v>
      </c>
      <c r="R2624">
        <v>0</v>
      </c>
      <c r="S2624" t="s">
        <v>380</v>
      </c>
      <c r="T2624" t="s">
        <v>57</v>
      </c>
      <c r="V2624" t="s">
        <v>381</v>
      </c>
      <c r="W2624" t="s">
        <v>701</v>
      </c>
      <c r="X2624" t="s">
        <v>701</v>
      </c>
      <c r="AC2624" s="13">
        <v>44666</v>
      </c>
      <c r="AD2624" s="13">
        <v>44592</v>
      </c>
      <c r="AI2624">
        <v>-129</v>
      </c>
      <c r="AN2624" t="s">
        <v>31</v>
      </c>
      <c r="AO2624">
        <v>0</v>
      </c>
      <c r="AS2624" t="s">
        <v>702</v>
      </c>
      <c r="AX2624" t="s">
        <v>31</v>
      </c>
      <c r="AY2624" t="s">
        <v>442</v>
      </c>
      <c r="AZ2624" t="s">
        <v>703</v>
      </c>
      <c r="BF2624">
        <v>0</v>
      </c>
      <c r="BK2624" t="s">
        <v>31</v>
      </c>
      <c r="BS2624" t="s">
        <v>412</v>
      </c>
      <c r="CI2624" t="s">
        <v>388</v>
      </c>
      <c r="CJ2624" s="14">
        <v>45016</v>
      </c>
      <c r="CK2624">
        <v>1</v>
      </c>
    </row>
    <row r="2625" spans="1:89">
      <c r="A2625" t="s">
        <v>714</v>
      </c>
      <c r="B2625" t="s">
        <v>374</v>
      </c>
      <c r="C2625" t="s">
        <v>715</v>
      </c>
      <c r="D2625" t="s">
        <v>717</v>
      </c>
      <c r="E2625" t="s">
        <v>705</v>
      </c>
      <c r="F2625" s="13">
        <v>44795.506342592591</v>
      </c>
      <c r="G2625" t="s">
        <v>641</v>
      </c>
      <c r="H2625" t="s">
        <v>642</v>
      </c>
      <c r="I2625" s="13">
        <v>44795.506354166668</v>
      </c>
      <c r="K2625" t="s">
        <v>412</v>
      </c>
      <c r="M2625" s="13">
        <v>44607</v>
      </c>
      <c r="R2625">
        <v>0</v>
      </c>
      <c r="S2625" t="s">
        <v>380</v>
      </c>
      <c r="T2625" t="s">
        <v>57</v>
      </c>
      <c r="V2625" t="s">
        <v>381</v>
      </c>
      <c r="W2625" t="s">
        <v>706</v>
      </c>
      <c r="X2625" t="s">
        <v>706</v>
      </c>
      <c r="AI2625">
        <v>-188</v>
      </c>
      <c r="AN2625" t="s">
        <v>31</v>
      </c>
      <c r="AO2625">
        <v>0</v>
      </c>
      <c r="AS2625" t="s">
        <v>707</v>
      </c>
      <c r="AX2625" t="s">
        <v>31</v>
      </c>
      <c r="AY2625" t="s">
        <v>442</v>
      </c>
      <c r="AZ2625" t="s">
        <v>708</v>
      </c>
      <c r="BF2625">
        <v>0</v>
      </c>
      <c r="BK2625" t="s">
        <v>31</v>
      </c>
      <c r="BS2625" t="s">
        <v>412</v>
      </c>
      <c r="CI2625" t="s">
        <v>388</v>
      </c>
      <c r="CJ2625" s="14">
        <v>45016</v>
      </c>
      <c r="CK2625">
        <v>1</v>
      </c>
    </row>
    <row r="2626" spans="1:89">
      <c r="A2626" t="s">
        <v>714</v>
      </c>
      <c r="B2626" t="s">
        <v>374</v>
      </c>
      <c r="C2626" t="s">
        <v>715</v>
      </c>
      <c r="D2626" t="s">
        <v>718</v>
      </c>
      <c r="E2626" t="s">
        <v>719</v>
      </c>
      <c r="F2626" s="13">
        <v>44795.506319444445</v>
      </c>
      <c r="G2626" t="s">
        <v>641</v>
      </c>
      <c r="H2626" t="s">
        <v>642</v>
      </c>
      <c r="I2626" s="13">
        <v>44795.506331018521</v>
      </c>
      <c r="K2626" t="s">
        <v>412</v>
      </c>
      <c r="M2626" s="13">
        <v>44712</v>
      </c>
      <c r="R2626">
        <v>0</v>
      </c>
      <c r="S2626" t="s">
        <v>380</v>
      </c>
      <c r="T2626" t="s">
        <v>57</v>
      </c>
      <c r="V2626" t="s">
        <v>381</v>
      </c>
      <c r="W2626" t="s">
        <v>720</v>
      </c>
      <c r="X2626" t="s">
        <v>720</v>
      </c>
      <c r="AC2626" s="13">
        <v>44712</v>
      </c>
      <c r="AD2626" s="13">
        <v>44620</v>
      </c>
      <c r="AI2626">
        <v>-83</v>
      </c>
      <c r="AN2626" t="s">
        <v>31</v>
      </c>
      <c r="AO2626">
        <v>0</v>
      </c>
      <c r="AS2626" t="s">
        <v>538</v>
      </c>
      <c r="AX2626" t="s">
        <v>57</v>
      </c>
      <c r="AY2626" t="s">
        <v>442</v>
      </c>
      <c r="AZ2626" t="s">
        <v>721</v>
      </c>
      <c r="BF2626">
        <v>0</v>
      </c>
      <c r="BK2626" t="s">
        <v>31</v>
      </c>
      <c r="BS2626" t="s">
        <v>412</v>
      </c>
      <c r="CI2626" t="s">
        <v>388</v>
      </c>
      <c r="CJ2626" s="14">
        <v>45016</v>
      </c>
      <c r="CK2626">
        <v>1</v>
      </c>
    </row>
    <row r="2627" spans="1:89">
      <c r="A2627" t="s">
        <v>714</v>
      </c>
      <c r="B2627" t="s">
        <v>374</v>
      </c>
      <c r="C2627" t="s">
        <v>715</v>
      </c>
      <c r="D2627" t="s">
        <v>722</v>
      </c>
      <c r="E2627" t="s">
        <v>723</v>
      </c>
      <c r="F2627" s="13">
        <v>44795.506296296298</v>
      </c>
      <c r="G2627" t="s">
        <v>641</v>
      </c>
      <c r="H2627" t="s">
        <v>642</v>
      </c>
      <c r="I2627" s="13">
        <v>44795.506307870368</v>
      </c>
      <c r="K2627" t="s">
        <v>412</v>
      </c>
      <c r="M2627" s="13">
        <v>44712</v>
      </c>
      <c r="R2627">
        <v>0</v>
      </c>
      <c r="S2627" t="s">
        <v>380</v>
      </c>
      <c r="T2627" t="s">
        <v>57</v>
      </c>
      <c r="V2627" t="s">
        <v>381</v>
      </c>
      <c r="W2627" t="s">
        <v>720</v>
      </c>
      <c r="X2627" t="s">
        <v>720</v>
      </c>
      <c r="AC2627" s="13">
        <v>44712</v>
      </c>
      <c r="AD2627" s="13">
        <v>44620</v>
      </c>
      <c r="AI2627">
        <v>-83</v>
      </c>
      <c r="AN2627" t="s">
        <v>31</v>
      </c>
      <c r="AO2627">
        <v>0</v>
      </c>
      <c r="AS2627" t="s">
        <v>538</v>
      </c>
      <c r="AX2627" t="s">
        <v>57</v>
      </c>
      <c r="AY2627" t="s">
        <v>442</v>
      </c>
      <c r="AZ2627" t="s">
        <v>721</v>
      </c>
      <c r="BF2627">
        <v>0</v>
      </c>
      <c r="BK2627" t="s">
        <v>31</v>
      </c>
      <c r="BS2627" t="s">
        <v>412</v>
      </c>
      <c r="CI2627" t="s">
        <v>388</v>
      </c>
      <c r="CJ2627" s="14">
        <v>45016</v>
      </c>
      <c r="CK2627">
        <v>1</v>
      </c>
    </row>
    <row r="2628" spans="1:89">
      <c r="A2628" t="s">
        <v>714</v>
      </c>
      <c r="B2628" t="s">
        <v>374</v>
      </c>
      <c r="C2628" t="s">
        <v>715</v>
      </c>
      <c r="D2628" t="s">
        <v>724</v>
      </c>
      <c r="E2628" t="s">
        <v>725</v>
      </c>
      <c r="F2628" s="13">
        <v>44795.506273148145</v>
      </c>
      <c r="G2628" t="s">
        <v>641</v>
      </c>
      <c r="H2628" t="s">
        <v>642</v>
      </c>
      <c r="I2628" s="13">
        <v>44795.506296296298</v>
      </c>
      <c r="K2628" t="s">
        <v>412</v>
      </c>
      <c r="M2628" s="13">
        <v>44680</v>
      </c>
      <c r="R2628">
        <v>0</v>
      </c>
      <c r="S2628" t="s">
        <v>380</v>
      </c>
      <c r="T2628" t="s">
        <v>57</v>
      </c>
      <c r="V2628" t="s">
        <v>381</v>
      </c>
      <c r="W2628" t="s">
        <v>726</v>
      </c>
      <c r="X2628" t="s">
        <v>726</v>
      </c>
      <c r="AC2628" s="13">
        <v>44680</v>
      </c>
      <c r="AD2628" s="13">
        <v>44680</v>
      </c>
      <c r="AI2628">
        <v>-115</v>
      </c>
      <c r="AN2628" t="s">
        <v>31</v>
      </c>
      <c r="AO2628">
        <v>0</v>
      </c>
      <c r="AS2628" t="s">
        <v>385</v>
      </c>
      <c r="AX2628" t="s">
        <v>57</v>
      </c>
      <c r="AY2628" t="s">
        <v>442</v>
      </c>
      <c r="AZ2628" t="s">
        <v>721</v>
      </c>
      <c r="BF2628">
        <v>0</v>
      </c>
      <c r="BK2628" t="s">
        <v>31</v>
      </c>
      <c r="BS2628" t="s">
        <v>412</v>
      </c>
      <c r="CI2628" t="s">
        <v>388</v>
      </c>
      <c r="CJ2628" s="14">
        <v>45016</v>
      </c>
      <c r="CK2628">
        <v>1</v>
      </c>
    </row>
    <row r="2629" spans="1:89">
      <c r="A2629" t="s">
        <v>714</v>
      </c>
      <c r="B2629" t="s">
        <v>374</v>
      </c>
      <c r="C2629" t="s">
        <v>715</v>
      </c>
      <c r="D2629" t="s">
        <v>727</v>
      </c>
      <c r="E2629" t="s">
        <v>728</v>
      </c>
      <c r="F2629" s="13">
        <v>44795.506261574075</v>
      </c>
      <c r="G2629" t="s">
        <v>641</v>
      </c>
      <c r="H2629" t="s">
        <v>642</v>
      </c>
      <c r="I2629" s="13">
        <v>44795.506273148145</v>
      </c>
      <c r="K2629" t="s">
        <v>412</v>
      </c>
      <c r="M2629" s="13">
        <v>44609</v>
      </c>
      <c r="R2629">
        <v>0</v>
      </c>
      <c r="S2629" t="s">
        <v>380</v>
      </c>
      <c r="T2629" t="s">
        <v>57</v>
      </c>
      <c r="V2629" t="s">
        <v>381</v>
      </c>
      <c r="W2629" t="s">
        <v>729</v>
      </c>
      <c r="X2629" t="s">
        <v>729</v>
      </c>
      <c r="AC2629" s="13">
        <v>44609</v>
      </c>
      <c r="AD2629" s="13">
        <v>44609</v>
      </c>
      <c r="AI2629">
        <v>-186</v>
      </c>
      <c r="AN2629" t="s">
        <v>31</v>
      </c>
      <c r="AO2629">
        <v>0</v>
      </c>
      <c r="AS2629" t="s">
        <v>730</v>
      </c>
      <c r="AX2629" t="s">
        <v>57</v>
      </c>
      <c r="AY2629" t="s">
        <v>442</v>
      </c>
      <c r="AZ2629" t="s">
        <v>721</v>
      </c>
      <c r="BF2629">
        <v>0</v>
      </c>
      <c r="BK2629" t="s">
        <v>31</v>
      </c>
      <c r="BS2629" t="s">
        <v>412</v>
      </c>
      <c r="CI2629" t="s">
        <v>388</v>
      </c>
      <c r="CJ2629" s="14">
        <v>45016</v>
      </c>
      <c r="CK2629">
        <v>1</v>
      </c>
    </row>
    <row r="2630" spans="1:89">
      <c r="A2630" t="s">
        <v>731</v>
      </c>
      <c r="B2630" t="s">
        <v>374</v>
      </c>
      <c r="C2630" t="s">
        <v>732</v>
      </c>
      <c r="D2630" t="s">
        <v>733</v>
      </c>
      <c r="E2630" t="s">
        <v>734</v>
      </c>
      <c r="F2630" s="13">
        <v>44795.506238425929</v>
      </c>
      <c r="G2630" t="s">
        <v>641</v>
      </c>
      <c r="H2630" t="s">
        <v>642</v>
      </c>
      <c r="I2630" s="13">
        <v>44795.506249999999</v>
      </c>
      <c r="K2630" t="s">
        <v>412</v>
      </c>
      <c r="M2630" s="13">
        <v>44742</v>
      </c>
      <c r="R2630">
        <v>0</v>
      </c>
      <c r="S2630" t="s">
        <v>416</v>
      </c>
      <c r="T2630" t="s">
        <v>57</v>
      </c>
      <c r="V2630" t="s">
        <v>381</v>
      </c>
      <c r="W2630" t="s">
        <v>729</v>
      </c>
      <c r="X2630" t="s">
        <v>729</v>
      </c>
      <c r="AC2630" s="13">
        <v>44742</v>
      </c>
      <c r="AD2630" s="13">
        <v>44469</v>
      </c>
      <c r="AI2630">
        <v>-53</v>
      </c>
      <c r="AN2630" t="s">
        <v>31</v>
      </c>
      <c r="AO2630">
        <v>0</v>
      </c>
      <c r="AS2630" t="s">
        <v>730</v>
      </c>
      <c r="AX2630" t="s">
        <v>57</v>
      </c>
      <c r="AY2630" t="s">
        <v>442</v>
      </c>
      <c r="AZ2630" t="s">
        <v>721</v>
      </c>
      <c r="BF2630">
        <v>0</v>
      </c>
      <c r="BK2630" t="s">
        <v>31</v>
      </c>
      <c r="BS2630" t="s">
        <v>412</v>
      </c>
      <c r="CI2630" t="s">
        <v>388</v>
      </c>
      <c r="CJ2630" s="14">
        <v>45016</v>
      </c>
      <c r="CK2630">
        <v>1</v>
      </c>
    </row>
    <row r="2631" spans="1:89">
      <c r="A2631" t="s">
        <v>731</v>
      </c>
      <c r="B2631" t="s">
        <v>374</v>
      </c>
      <c r="C2631" t="s">
        <v>732</v>
      </c>
      <c r="D2631" t="s">
        <v>735</v>
      </c>
      <c r="E2631" t="s">
        <v>736</v>
      </c>
      <c r="F2631" s="13">
        <v>44795.506215277775</v>
      </c>
      <c r="G2631" t="s">
        <v>641</v>
      </c>
      <c r="H2631" t="s">
        <v>642</v>
      </c>
      <c r="I2631" s="13">
        <v>44795.506226851852</v>
      </c>
      <c r="K2631" t="s">
        <v>412</v>
      </c>
      <c r="M2631" s="13">
        <v>44681</v>
      </c>
      <c r="R2631">
        <v>0</v>
      </c>
      <c r="S2631" t="s">
        <v>380</v>
      </c>
      <c r="T2631" t="s">
        <v>57</v>
      </c>
      <c r="V2631" t="s">
        <v>381</v>
      </c>
      <c r="W2631" t="s">
        <v>737</v>
      </c>
      <c r="X2631" t="s">
        <v>737</v>
      </c>
      <c r="AC2631" s="13">
        <v>44681</v>
      </c>
      <c r="AD2631" s="13">
        <v>44620</v>
      </c>
      <c r="AI2631">
        <v>-114</v>
      </c>
      <c r="AN2631" t="s">
        <v>31</v>
      </c>
      <c r="AO2631">
        <v>0</v>
      </c>
      <c r="AS2631" t="s">
        <v>538</v>
      </c>
      <c r="AX2631" t="s">
        <v>57</v>
      </c>
      <c r="AY2631" t="s">
        <v>442</v>
      </c>
      <c r="AZ2631" t="s">
        <v>721</v>
      </c>
      <c r="BF2631">
        <v>0</v>
      </c>
      <c r="BK2631" t="s">
        <v>31</v>
      </c>
      <c r="BS2631" t="s">
        <v>412</v>
      </c>
      <c r="CI2631" t="s">
        <v>388</v>
      </c>
      <c r="CJ2631" s="14">
        <v>45016</v>
      </c>
      <c r="CK2631">
        <v>1</v>
      </c>
    </row>
    <row r="2632" spans="1:89">
      <c r="A2632" t="s">
        <v>738</v>
      </c>
      <c r="B2632" t="s">
        <v>374</v>
      </c>
      <c r="C2632" t="s">
        <v>739</v>
      </c>
      <c r="D2632" t="s">
        <v>740</v>
      </c>
      <c r="E2632" t="s">
        <v>741</v>
      </c>
      <c r="F2632" s="13">
        <v>44795.506192129629</v>
      </c>
      <c r="G2632" t="s">
        <v>641</v>
      </c>
      <c r="H2632" t="s">
        <v>642</v>
      </c>
      <c r="I2632" s="13">
        <v>44795.506203703706</v>
      </c>
      <c r="K2632" t="s">
        <v>412</v>
      </c>
      <c r="M2632" s="13">
        <v>44651</v>
      </c>
      <c r="R2632">
        <v>0</v>
      </c>
      <c r="S2632" t="s">
        <v>380</v>
      </c>
      <c r="T2632" t="s">
        <v>57</v>
      </c>
      <c r="V2632" t="s">
        <v>381</v>
      </c>
      <c r="W2632" t="s">
        <v>729</v>
      </c>
      <c r="X2632" t="s">
        <v>729</v>
      </c>
      <c r="AC2632" s="13">
        <v>45078</v>
      </c>
      <c r="AD2632" s="13">
        <v>44713</v>
      </c>
      <c r="AI2632">
        <v>-144</v>
      </c>
      <c r="AN2632" t="s">
        <v>31</v>
      </c>
      <c r="AO2632">
        <v>0</v>
      </c>
      <c r="AS2632" t="s">
        <v>385</v>
      </c>
      <c r="AX2632" t="s">
        <v>57</v>
      </c>
      <c r="AY2632" t="s">
        <v>442</v>
      </c>
      <c r="AZ2632" t="s">
        <v>721</v>
      </c>
      <c r="BF2632">
        <v>0</v>
      </c>
      <c r="BK2632" t="s">
        <v>31</v>
      </c>
      <c r="BS2632" t="s">
        <v>412</v>
      </c>
      <c r="CI2632" t="s">
        <v>388</v>
      </c>
      <c r="CJ2632" s="14">
        <v>45016</v>
      </c>
      <c r="CK2632">
        <v>1</v>
      </c>
    </row>
    <row r="2633" spans="1:89">
      <c r="A2633" t="s">
        <v>738</v>
      </c>
      <c r="B2633" t="s">
        <v>374</v>
      </c>
      <c r="C2633" t="s">
        <v>739</v>
      </c>
      <c r="D2633" t="s">
        <v>742</v>
      </c>
      <c r="E2633" t="s">
        <v>743</v>
      </c>
      <c r="F2633" s="13">
        <v>44795.506180555552</v>
      </c>
      <c r="G2633" t="s">
        <v>641</v>
      </c>
      <c r="H2633" t="s">
        <v>642</v>
      </c>
      <c r="I2633" s="13">
        <v>44795.506192129629</v>
      </c>
      <c r="K2633" t="s">
        <v>412</v>
      </c>
      <c r="M2633" s="13">
        <v>44742</v>
      </c>
      <c r="R2633">
        <v>0</v>
      </c>
      <c r="S2633" t="s">
        <v>416</v>
      </c>
      <c r="T2633" t="s">
        <v>57</v>
      </c>
      <c r="V2633" t="s">
        <v>381</v>
      </c>
      <c r="W2633" t="s">
        <v>729</v>
      </c>
      <c r="X2633" t="s">
        <v>729</v>
      </c>
      <c r="AC2633" s="13">
        <v>45078</v>
      </c>
      <c r="AD2633" s="13">
        <v>44713</v>
      </c>
      <c r="AI2633">
        <v>-53</v>
      </c>
      <c r="AN2633" t="s">
        <v>31</v>
      </c>
      <c r="AO2633">
        <v>0</v>
      </c>
      <c r="AS2633" t="s">
        <v>744</v>
      </c>
      <c r="AX2633" t="s">
        <v>57</v>
      </c>
      <c r="AY2633" t="s">
        <v>442</v>
      </c>
      <c r="AZ2633" t="s">
        <v>745</v>
      </c>
      <c r="BF2633">
        <v>0</v>
      </c>
      <c r="BK2633" t="s">
        <v>31</v>
      </c>
      <c r="BS2633" t="s">
        <v>412</v>
      </c>
      <c r="CI2633" t="s">
        <v>388</v>
      </c>
      <c r="CJ2633" s="14">
        <v>45016</v>
      </c>
      <c r="CK2633">
        <v>1</v>
      </c>
    </row>
    <row r="2634" spans="1:89">
      <c r="A2634" t="s">
        <v>738</v>
      </c>
      <c r="B2634" t="s">
        <v>374</v>
      </c>
      <c r="C2634" t="s">
        <v>739</v>
      </c>
      <c r="D2634" t="s">
        <v>746</v>
      </c>
      <c r="E2634" t="s">
        <v>747</v>
      </c>
      <c r="F2634" s="13">
        <v>44795.506157407406</v>
      </c>
      <c r="G2634" t="s">
        <v>641</v>
      </c>
      <c r="H2634" t="s">
        <v>642</v>
      </c>
      <c r="I2634" s="13">
        <v>44795.506168981483</v>
      </c>
      <c r="K2634" t="s">
        <v>412</v>
      </c>
      <c r="M2634" s="13">
        <v>44742</v>
      </c>
      <c r="R2634">
        <v>0</v>
      </c>
      <c r="S2634" t="s">
        <v>416</v>
      </c>
      <c r="T2634" t="s">
        <v>57</v>
      </c>
      <c r="V2634" t="s">
        <v>381</v>
      </c>
      <c r="W2634" t="s">
        <v>729</v>
      </c>
      <c r="X2634" t="s">
        <v>729</v>
      </c>
      <c r="AC2634" s="13">
        <v>45078</v>
      </c>
      <c r="AD2634" s="13">
        <v>44713</v>
      </c>
      <c r="AI2634">
        <v>-53</v>
      </c>
      <c r="AN2634" t="s">
        <v>31</v>
      </c>
      <c r="AO2634">
        <v>0</v>
      </c>
      <c r="AS2634" t="s">
        <v>744</v>
      </c>
      <c r="AX2634" t="s">
        <v>57</v>
      </c>
      <c r="AY2634" t="s">
        <v>442</v>
      </c>
      <c r="AZ2634" t="s">
        <v>721</v>
      </c>
      <c r="BF2634">
        <v>0</v>
      </c>
      <c r="BK2634" t="s">
        <v>31</v>
      </c>
      <c r="BS2634" t="s">
        <v>412</v>
      </c>
      <c r="CI2634" t="s">
        <v>388</v>
      </c>
      <c r="CJ2634" s="14">
        <v>45016</v>
      </c>
      <c r="CK2634">
        <v>1</v>
      </c>
    </row>
    <row r="2635" spans="1:89">
      <c r="A2635" t="s">
        <v>738</v>
      </c>
      <c r="B2635" t="s">
        <v>374</v>
      </c>
      <c r="C2635" t="s">
        <v>739</v>
      </c>
      <c r="D2635" t="s">
        <v>748</v>
      </c>
      <c r="E2635" t="s">
        <v>749</v>
      </c>
      <c r="F2635" s="13">
        <v>44795.50613425926</v>
      </c>
      <c r="G2635" t="s">
        <v>641</v>
      </c>
      <c r="H2635" t="s">
        <v>642</v>
      </c>
      <c r="I2635" s="13">
        <v>44795.506145833337</v>
      </c>
      <c r="K2635" t="s">
        <v>412</v>
      </c>
      <c r="M2635" s="13">
        <v>44666</v>
      </c>
      <c r="R2635">
        <v>0</v>
      </c>
      <c r="S2635" t="s">
        <v>380</v>
      </c>
      <c r="T2635" t="s">
        <v>57</v>
      </c>
      <c r="V2635" t="s">
        <v>381</v>
      </c>
      <c r="W2635" t="s">
        <v>750</v>
      </c>
      <c r="X2635" t="s">
        <v>750</v>
      </c>
      <c r="AC2635" s="13">
        <v>44666</v>
      </c>
      <c r="AD2635" s="13">
        <v>44666</v>
      </c>
      <c r="AI2635">
        <v>-129</v>
      </c>
      <c r="AN2635" t="s">
        <v>31</v>
      </c>
      <c r="AO2635">
        <v>0</v>
      </c>
      <c r="AS2635" t="s">
        <v>385</v>
      </c>
      <c r="AX2635" t="s">
        <v>57</v>
      </c>
      <c r="AY2635" t="s">
        <v>442</v>
      </c>
      <c r="AZ2635" t="s">
        <v>751</v>
      </c>
      <c r="BF2635">
        <v>0</v>
      </c>
      <c r="BK2635" t="s">
        <v>31</v>
      </c>
      <c r="BS2635" t="s">
        <v>412</v>
      </c>
      <c r="CI2635" t="s">
        <v>388</v>
      </c>
      <c r="CJ2635" s="14">
        <v>45016</v>
      </c>
      <c r="CK2635">
        <v>1</v>
      </c>
    </row>
    <row r="2636" spans="1:89">
      <c r="A2636" t="s">
        <v>738</v>
      </c>
      <c r="B2636" t="s">
        <v>374</v>
      </c>
      <c r="C2636" t="s">
        <v>739</v>
      </c>
      <c r="D2636" t="s">
        <v>752</v>
      </c>
      <c r="E2636" t="s">
        <v>753</v>
      </c>
      <c r="F2636" s="13">
        <v>44795.506122685183</v>
      </c>
      <c r="G2636" t="s">
        <v>641</v>
      </c>
      <c r="H2636" t="s">
        <v>642</v>
      </c>
      <c r="I2636" s="13">
        <v>44795.50613425926</v>
      </c>
      <c r="K2636" t="s">
        <v>412</v>
      </c>
      <c r="M2636" s="13">
        <v>44666</v>
      </c>
      <c r="R2636">
        <v>0</v>
      </c>
      <c r="S2636" t="s">
        <v>380</v>
      </c>
      <c r="T2636" t="s">
        <v>57</v>
      </c>
      <c r="V2636" t="s">
        <v>381</v>
      </c>
      <c r="W2636" t="s">
        <v>750</v>
      </c>
      <c r="X2636" t="s">
        <v>750</v>
      </c>
      <c r="AC2636" s="13">
        <v>44666</v>
      </c>
      <c r="AD2636" s="13">
        <v>44666</v>
      </c>
      <c r="AI2636">
        <v>-129</v>
      </c>
      <c r="AN2636" t="s">
        <v>31</v>
      </c>
      <c r="AO2636">
        <v>0</v>
      </c>
      <c r="AS2636" t="s">
        <v>385</v>
      </c>
      <c r="AX2636" t="s">
        <v>57</v>
      </c>
      <c r="AY2636" t="s">
        <v>442</v>
      </c>
      <c r="AZ2636" t="s">
        <v>754</v>
      </c>
      <c r="BF2636">
        <v>0</v>
      </c>
      <c r="BK2636" t="s">
        <v>31</v>
      </c>
      <c r="BS2636" t="s">
        <v>412</v>
      </c>
      <c r="CI2636" t="s">
        <v>388</v>
      </c>
      <c r="CJ2636" s="14">
        <v>45016</v>
      </c>
      <c r="CK2636">
        <v>1</v>
      </c>
    </row>
    <row r="2637" spans="1:89">
      <c r="A2637" t="s">
        <v>755</v>
      </c>
      <c r="B2637" t="s">
        <v>374</v>
      </c>
      <c r="C2637" t="s">
        <v>756</v>
      </c>
      <c r="D2637" t="s">
        <v>757</v>
      </c>
      <c r="E2637" t="s">
        <v>758</v>
      </c>
      <c r="F2637" s="13">
        <v>44795.506099537037</v>
      </c>
      <c r="G2637" t="s">
        <v>641</v>
      </c>
      <c r="H2637" t="s">
        <v>642</v>
      </c>
      <c r="I2637" s="13">
        <v>44795.506111111114</v>
      </c>
      <c r="K2637" t="s">
        <v>412</v>
      </c>
      <c r="M2637" s="13">
        <v>44666</v>
      </c>
      <c r="R2637">
        <v>0</v>
      </c>
      <c r="S2637" t="s">
        <v>380</v>
      </c>
      <c r="T2637" t="s">
        <v>57</v>
      </c>
      <c r="V2637" t="s">
        <v>381</v>
      </c>
      <c r="W2637" t="s">
        <v>750</v>
      </c>
      <c r="X2637" t="s">
        <v>750</v>
      </c>
      <c r="AC2637" s="13">
        <v>44666</v>
      </c>
      <c r="AD2637" s="13">
        <v>44666</v>
      </c>
      <c r="AI2637">
        <v>-129</v>
      </c>
      <c r="AN2637" t="s">
        <v>31</v>
      </c>
      <c r="AO2637">
        <v>0</v>
      </c>
      <c r="AS2637" t="s">
        <v>385</v>
      </c>
      <c r="AX2637" t="s">
        <v>57</v>
      </c>
      <c r="AY2637" t="s">
        <v>442</v>
      </c>
      <c r="AZ2637" t="s">
        <v>759</v>
      </c>
      <c r="BF2637">
        <v>0</v>
      </c>
      <c r="BK2637" t="s">
        <v>31</v>
      </c>
      <c r="BS2637" t="s">
        <v>412</v>
      </c>
      <c r="CI2637" t="s">
        <v>388</v>
      </c>
      <c r="CJ2637" s="14">
        <v>45016</v>
      </c>
      <c r="CK2637">
        <v>1</v>
      </c>
    </row>
    <row r="2638" spans="1:89">
      <c r="A2638" t="s">
        <v>760</v>
      </c>
      <c r="B2638" t="s">
        <v>374</v>
      </c>
      <c r="C2638" t="s">
        <v>761</v>
      </c>
      <c r="D2638" t="s">
        <v>762</v>
      </c>
      <c r="E2638" t="s">
        <v>763</v>
      </c>
      <c r="F2638" s="13">
        <v>44795.506076388891</v>
      </c>
      <c r="G2638" t="s">
        <v>641</v>
      </c>
      <c r="H2638" t="s">
        <v>642</v>
      </c>
      <c r="I2638" s="13">
        <v>44795.50608796296</v>
      </c>
      <c r="K2638" t="s">
        <v>412</v>
      </c>
      <c r="M2638" s="13">
        <v>44666</v>
      </c>
      <c r="R2638">
        <v>0</v>
      </c>
      <c r="S2638" t="s">
        <v>380</v>
      </c>
      <c r="T2638" t="s">
        <v>57</v>
      </c>
      <c r="V2638" t="s">
        <v>381</v>
      </c>
      <c r="W2638" t="s">
        <v>750</v>
      </c>
      <c r="X2638" t="s">
        <v>750</v>
      </c>
      <c r="AC2638" s="13">
        <v>44666</v>
      </c>
      <c r="AD2638" s="13">
        <v>44666</v>
      </c>
      <c r="AI2638">
        <v>-129</v>
      </c>
      <c r="AN2638" t="s">
        <v>31</v>
      </c>
      <c r="AO2638">
        <v>0</v>
      </c>
      <c r="AS2638" t="s">
        <v>385</v>
      </c>
      <c r="AX2638" t="s">
        <v>57</v>
      </c>
      <c r="AY2638" t="s">
        <v>442</v>
      </c>
      <c r="AZ2638" t="s">
        <v>764</v>
      </c>
      <c r="BF2638">
        <v>0</v>
      </c>
      <c r="BK2638" t="s">
        <v>31</v>
      </c>
      <c r="BS2638" t="s">
        <v>412</v>
      </c>
      <c r="CI2638" t="s">
        <v>388</v>
      </c>
      <c r="CJ2638" s="14">
        <v>45016</v>
      </c>
      <c r="CK2638">
        <v>1</v>
      </c>
    </row>
    <row r="2639" spans="1:89">
      <c r="A2639" t="s">
        <v>765</v>
      </c>
      <c r="B2639" t="s">
        <v>374</v>
      </c>
      <c r="C2639" t="s">
        <v>766</v>
      </c>
      <c r="D2639" t="s">
        <v>767</v>
      </c>
      <c r="E2639" t="s">
        <v>768</v>
      </c>
      <c r="F2639" s="13">
        <v>44795.506053240744</v>
      </c>
      <c r="G2639" t="s">
        <v>641</v>
      </c>
      <c r="H2639" t="s">
        <v>642</v>
      </c>
      <c r="I2639" s="13">
        <v>44795.506064814814</v>
      </c>
      <c r="K2639" t="s">
        <v>412</v>
      </c>
      <c r="M2639" s="13">
        <v>44666</v>
      </c>
      <c r="R2639">
        <v>0</v>
      </c>
      <c r="S2639" t="s">
        <v>380</v>
      </c>
      <c r="T2639" t="s">
        <v>57</v>
      </c>
      <c r="V2639" t="s">
        <v>381</v>
      </c>
      <c r="W2639" t="s">
        <v>750</v>
      </c>
      <c r="X2639" t="s">
        <v>750</v>
      </c>
      <c r="AC2639" s="13">
        <v>44666</v>
      </c>
      <c r="AD2639" s="13">
        <v>44666</v>
      </c>
      <c r="AI2639">
        <v>-129</v>
      </c>
      <c r="AN2639" t="s">
        <v>31</v>
      </c>
      <c r="AO2639">
        <v>0</v>
      </c>
      <c r="AS2639" t="s">
        <v>385</v>
      </c>
      <c r="AX2639" t="s">
        <v>57</v>
      </c>
      <c r="AY2639" t="s">
        <v>442</v>
      </c>
      <c r="AZ2639" t="s">
        <v>769</v>
      </c>
      <c r="BF2639">
        <v>0</v>
      </c>
      <c r="BK2639" t="s">
        <v>31</v>
      </c>
      <c r="BS2639" t="s">
        <v>412</v>
      </c>
      <c r="CI2639" t="s">
        <v>388</v>
      </c>
      <c r="CJ2639" s="14">
        <v>45016</v>
      </c>
      <c r="CK2639">
        <v>1</v>
      </c>
    </row>
    <row r="2640" spans="1:89">
      <c r="A2640" t="s">
        <v>765</v>
      </c>
      <c r="B2640" t="s">
        <v>374</v>
      </c>
      <c r="C2640" t="s">
        <v>766</v>
      </c>
      <c r="D2640" t="s">
        <v>770</v>
      </c>
      <c r="E2640" t="s">
        <v>771</v>
      </c>
      <c r="F2640" s="13">
        <v>44795.506030092591</v>
      </c>
      <c r="G2640" t="s">
        <v>641</v>
      </c>
      <c r="H2640" t="s">
        <v>642</v>
      </c>
      <c r="I2640" s="13">
        <v>44795.506041666667</v>
      </c>
      <c r="K2640" t="s">
        <v>412</v>
      </c>
      <c r="M2640" s="13">
        <v>44666</v>
      </c>
      <c r="R2640">
        <v>0</v>
      </c>
      <c r="S2640" t="s">
        <v>380</v>
      </c>
      <c r="T2640" t="s">
        <v>57</v>
      </c>
      <c r="V2640" t="s">
        <v>381</v>
      </c>
      <c r="W2640" t="s">
        <v>772</v>
      </c>
      <c r="X2640" t="s">
        <v>772</v>
      </c>
      <c r="AC2640" s="13">
        <v>44666</v>
      </c>
      <c r="AD2640" s="13">
        <v>44666</v>
      </c>
      <c r="AI2640">
        <v>-129</v>
      </c>
      <c r="AN2640" t="s">
        <v>31</v>
      </c>
      <c r="AO2640">
        <v>0</v>
      </c>
      <c r="AS2640" t="s">
        <v>385</v>
      </c>
      <c r="AX2640" t="s">
        <v>57</v>
      </c>
      <c r="AY2640" t="s">
        <v>442</v>
      </c>
      <c r="AZ2640" t="s">
        <v>773</v>
      </c>
      <c r="BF2640">
        <v>0</v>
      </c>
      <c r="BK2640" t="s">
        <v>31</v>
      </c>
      <c r="BS2640" t="s">
        <v>412</v>
      </c>
      <c r="CI2640" t="s">
        <v>388</v>
      </c>
      <c r="CJ2640" s="14">
        <v>45016</v>
      </c>
      <c r="CK2640">
        <v>1</v>
      </c>
    </row>
    <row r="2641" spans="1:89">
      <c r="A2641" t="s">
        <v>765</v>
      </c>
      <c r="B2641" t="s">
        <v>374</v>
      </c>
      <c r="C2641" t="s">
        <v>766</v>
      </c>
      <c r="D2641" t="s">
        <v>774</v>
      </c>
      <c r="E2641" t="s">
        <v>775</v>
      </c>
      <c r="F2641" s="13">
        <v>44795.506006944444</v>
      </c>
      <c r="G2641" t="s">
        <v>641</v>
      </c>
      <c r="H2641" t="s">
        <v>642</v>
      </c>
      <c r="I2641" s="13">
        <v>44795.506018518521</v>
      </c>
      <c r="K2641" t="s">
        <v>412</v>
      </c>
      <c r="M2641" s="13">
        <v>44712</v>
      </c>
      <c r="R2641">
        <v>0</v>
      </c>
      <c r="S2641" t="s">
        <v>380</v>
      </c>
      <c r="T2641" t="s">
        <v>57</v>
      </c>
      <c r="V2641" t="s">
        <v>381</v>
      </c>
      <c r="W2641" t="s">
        <v>776</v>
      </c>
      <c r="X2641" t="s">
        <v>776</v>
      </c>
      <c r="AC2641" s="13">
        <v>44712</v>
      </c>
      <c r="AD2641" s="13">
        <v>44712</v>
      </c>
      <c r="AI2641">
        <v>-83</v>
      </c>
      <c r="AN2641" t="s">
        <v>31</v>
      </c>
      <c r="AO2641">
        <v>0</v>
      </c>
      <c r="AS2641" t="s">
        <v>392</v>
      </c>
      <c r="AX2641" t="s">
        <v>57</v>
      </c>
      <c r="AY2641" t="s">
        <v>386</v>
      </c>
      <c r="AZ2641" t="s">
        <v>777</v>
      </c>
      <c r="BF2641">
        <v>0</v>
      </c>
      <c r="BK2641" t="s">
        <v>31</v>
      </c>
      <c r="BS2641" t="s">
        <v>412</v>
      </c>
      <c r="CI2641" t="s">
        <v>388</v>
      </c>
      <c r="CJ2641" s="14">
        <v>45016</v>
      </c>
      <c r="CK2641">
        <v>1</v>
      </c>
    </row>
    <row r="2642" spans="1:89">
      <c r="A2642" t="s">
        <v>778</v>
      </c>
      <c r="B2642" t="s">
        <v>374</v>
      </c>
      <c r="C2642" t="s">
        <v>779</v>
      </c>
      <c r="D2642" t="s">
        <v>780</v>
      </c>
      <c r="E2642" t="s">
        <v>781</v>
      </c>
      <c r="F2642" s="13">
        <v>44795.505972222221</v>
      </c>
      <c r="G2642" t="s">
        <v>641</v>
      </c>
      <c r="H2642" t="s">
        <v>642</v>
      </c>
      <c r="I2642" s="13">
        <v>44795.505983796298</v>
      </c>
      <c r="K2642" t="s">
        <v>412</v>
      </c>
      <c r="M2642" s="13">
        <v>44635</v>
      </c>
      <c r="R2642">
        <v>0</v>
      </c>
      <c r="S2642" t="s">
        <v>380</v>
      </c>
      <c r="T2642" t="s">
        <v>57</v>
      </c>
      <c r="V2642" t="s">
        <v>381</v>
      </c>
      <c r="W2642" t="s">
        <v>782</v>
      </c>
      <c r="X2642" t="s">
        <v>782</v>
      </c>
      <c r="AC2642" s="13">
        <v>44635</v>
      </c>
      <c r="AD2642" s="13">
        <v>44635</v>
      </c>
      <c r="AI2642">
        <v>-160</v>
      </c>
      <c r="AN2642" t="s">
        <v>31</v>
      </c>
      <c r="AO2642">
        <v>0</v>
      </c>
      <c r="AS2642" t="s">
        <v>648</v>
      </c>
      <c r="AX2642" t="s">
        <v>31</v>
      </c>
      <c r="AY2642" t="s">
        <v>442</v>
      </c>
      <c r="AZ2642" t="s">
        <v>783</v>
      </c>
      <c r="BF2642">
        <v>0</v>
      </c>
      <c r="BK2642" t="s">
        <v>31</v>
      </c>
      <c r="BS2642" t="s">
        <v>412</v>
      </c>
      <c r="CI2642" t="s">
        <v>388</v>
      </c>
      <c r="CJ2642" s="14">
        <v>45016</v>
      </c>
      <c r="CK2642">
        <v>1</v>
      </c>
    </row>
    <row r="2643" spans="1:89">
      <c r="A2643" t="s">
        <v>778</v>
      </c>
      <c r="B2643" t="s">
        <v>374</v>
      </c>
      <c r="C2643" t="s">
        <v>779</v>
      </c>
      <c r="D2643" t="s">
        <v>784</v>
      </c>
      <c r="E2643" t="s">
        <v>785</v>
      </c>
      <c r="F2643" s="13">
        <v>44795.505949074075</v>
      </c>
      <c r="G2643" t="s">
        <v>641</v>
      </c>
      <c r="H2643" t="s">
        <v>642</v>
      </c>
      <c r="I2643" s="13">
        <v>44795.505960648145</v>
      </c>
      <c r="K2643" t="s">
        <v>412</v>
      </c>
      <c r="M2643" s="13">
        <v>44635</v>
      </c>
      <c r="R2643">
        <v>0</v>
      </c>
      <c r="S2643" t="s">
        <v>380</v>
      </c>
      <c r="T2643" t="s">
        <v>57</v>
      </c>
      <c r="V2643" t="s">
        <v>381</v>
      </c>
      <c r="W2643" t="s">
        <v>782</v>
      </c>
      <c r="X2643" t="s">
        <v>782</v>
      </c>
      <c r="AC2643" s="13">
        <v>44635</v>
      </c>
      <c r="AD2643" s="13">
        <v>44635</v>
      </c>
      <c r="AI2643">
        <v>-160</v>
      </c>
      <c r="AN2643" t="s">
        <v>31</v>
      </c>
      <c r="AO2643">
        <v>0</v>
      </c>
      <c r="AS2643" t="s">
        <v>648</v>
      </c>
      <c r="AX2643" t="s">
        <v>31</v>
      </c>
      <c r="AY2643" t="s">
        <v>442</v>
      </c>
      <c r="AZ2643" t="s">
        <v>786</v>
      </c>
      <c r="BF2643">
        <v>0</v>
      </c>
      <c r="BK2643" t="s">
        <v>31</v>
      </c>
      <c r="BS2643" t="s">
        <v>412</v>
      </c>
      <c r="CI2643" t="s">
        <v>388</v>
      </c>
      <c r="CJ2643" s="14">
        <v>45016</v>
      </c>
      <c r="CK2643">
        <v>1</v>
      </c>
    </row>
    <row r="2644" spans="1:89">
      <c r="A2644" t="s">
        <v>778</v>
      </c>
      <c r="B2644" t="s">
        <v>374</v>
      </c>
      <c r="C2644" t="s">
        <v>779</v>
      </c>
      <c r="D2644" t="s">
        <v>787</v>
      </c>
      <c r="E2644" t="s">
        <v>788</v>
      </c>
      <c r="F2644" s="13">
        <v>44795.505925925929</v>
      </c>
      <c r="G2644" t="s">
        <v>641</v>
      </c>
      <c r="H2644" t="s">
        <v>642</v>
      </c>
      <c r="I2644" s="13">
        <v>44795.505937499998</v>
      </c>
      <c r="K2644" t="s">
        <v>412</v>
      </c>
      <c r="M2644" s="13">
        <v>44666</v>
      </c>
      <c r="R2644">
        <v>0</v>
      </c>
      <c r="S2644" t="s">
        <v>380</v>
      </c>
      <c r="T2644" t="s">
        <v>57</v>
      </c>
      <c r="V2644" t="s">
        <v>381</v>
      </c>
      <c r="W2644" t="s">
        <v>782</v>
      </c>
      <c r="X2644" t="s">
        <v>782</v>
      </c>
      <c r="AC2644" s="13">
        <v>44666</v>
      </c>
      <c r="AD2644" s="13">
        <v>44666</v>
      </c>
      <c r="AI2644">
        <v>-129</v>
      </c>
      <c r="AN2644" t="s">
        <v>31</v>
      </c>
      <c r="AO2644">
        <v>0</v>
      </c>
      <c r="AS2644" t="s">
        <v>702</v>
      </c>
      <c r="AX2644" t="s">
        <v>31</v>
      </c>
      <c r="AY2644" t="s">
        <v>442</v>
      </c>
      <c r="AZ2644" t="s">
        <v>789</v>
      </c>
      <c r="BF2644">
        <v>0</v>
      </c>
      <c r="BK2644" t="s">
        <v>31</v>
      </c>
      <c r="BS2644" t="s">
        <v>412</v>
      </c>
      <c r="CI2644" t="s">
        <v>388</v>
      </c>
      <c r="CJ2644" s="14">
        <v>45016</v>
      </c>
      <c r="CK2644">
        <v>1</v>
      </c>
    </row>
    <row r="2645" spans="1:89">
      <c r="A2645" t="s">
        <v>778</v>
      </c>
      <c r="B2645" t="s">
        <v>374</v>
      </c>
      <c r="C2645" t="s">
        <v>779</v>
      </c>
      <c r="D2645" t="s">
        <v>790</v>
      </c>
      <c r="E2645" t="s">
        <v>791</v>
      </c>
      <c r="F2645" s="13">
        <v>44795.505902777775</v>
      </c>
      <c r="G2645" t="s">
        <v>641</v>
      </c>
      <c r="H2645" t="s">
        <v>642</v>
      </c>
      <c r="I2645" s="13">
        <v>44795.505914351852</v>
      </c>
      <c r="K2645" t="s">
        <v>412</v>
      </c>
      <c r="M2645" s="13">
        <v>44620</v>
      </c>
      <c r="R2645">
        <v>0</v>
      </c>
      <c r="S2645" t="s">
        <v>380</v>
      </c>
      <c r="T2645" t="s">
        <v>57</v>
      </c>
      <c r="V2645" t="s">
        <v>381</v>
      </c>
      <c r="W2645" t="s">
        <v>792</v>
      </c>
      <c r="X2645" t="s">
        <v>792</v>
      </c>
      <c r="AC2645" s="13">
        <v>44620</v>
      </c>
      <c r="AD2645" s="13">
        <v>44620</v>
      </c>
      <c r="AI2645">
        <v>-175</v>
      </c>
      <c r="AN2645" t="s">
        <v>31</v>
      </c>
      <c r="AO2645">
        <v>0</v>
      </c>
      <c r="AS2645" t="s">
        <v>385</v>
      </c>
      <c r="AX2645" t="s">
        <v>57</v>
      </c>
      <c r="AY2645" t="s">
        <v>386</v>
      </c>
      <c r="AZ2645" t="s">
        <v>721</v>
      </c>
      <c r="BF2645">
        <v>0</v>
      </c>
      <c r="BK2645" t="s">
        <v>31</v>
      </c>
      <c r="BS2645" t="s">
        <v>412</v>
      </c>
      <c r="CI2645" t="s">
        <v>388</v>
      </c>
      <c r="CJ2645" s="14">
        <v>45016</v>
      </c>
      <c r="CK2645">
        <v>1</v>
      </c>
    </row>
    <row r="2646" spans="1:89">
      <c r="A2646" t="s">
        <v>778</v>
      </c>
      <c r="B2646" t="s">
        <v>374</v>
      </c>
      <c r="C2646" t="s">
        <v>779</v>
      </c>
      <c r="D2646" t="s">
        <v>793</v>
      </c>
      <c r="E2646" t="s">
        <v>794</v>
      </c>
      <c r="F2646" s="13">
        <v>44795.505879629629</v>
      </c>
      <c r="G2646" t="s">
        <v>641</v>
      </c>
      <c r="H2646" t="s">
        <v>642</v>
      </c>
      <c r="I2646" s="13">
        <v>44795.505891203706</v>
      </c>
      <c r="K2646" t="s">
        <v>412</v>
      </c>
      <c r="M2646" s="13">
        <v>44681</v>
      </c>
      <c r="R2646">
        <v>0</v>
      </c>
      <c r="S2646" t="s">
        <v>380</v>
      </c>
      <c r="T2646" t="s">
        <v>57</v>
      </c>
      <c r="V2646" t="s">
        <v>381</v>
      </c>
      <c r="W2646" t="s">
        <v>792</v>
      </c>
      <c r="X2646" t="s">
        <v>792</v>
      </c>
      <c r="AC2646" s="13">
        <v>44681</v>
      </c>
      <c r="AD2646" s="13">
        <v>44681</v>
      </c>
      <c r="AI2646">
        <v>-114</v>
      </c>
      <c r="AN2646" t="s">
        <v>31</v>
      </c>
      <c r="AO2646">
        <v>0</v>
      </c>
      <c r="AS2646" t="s">
        <v>385</v>
      </c>
      <c r="AX2646" t="s">
        <v>57</v>
      </c>
      <c r="AY2646" t="s">
        <v>386</v>
      </c>
      <c r="AZ2646" t="s">
        <v>721</v>
      </c>
      <c r="BF2646">
        <v>0</v>
      </c>
      <c r="BK2646" t="s">
        <v>31</v>
      </c>
      <c r="BS2646" t="s">
        <v>412</v>
      </c>
      <c r="CI2646" t="s">
        <v>388</v>
      </c>
      <c r="CJ2646" s="14">
        <v>45016</v>
      </c>
      <c r="CK2646">
        <v>1</v>
      </c>
    </row>
    <row r="2647" spans="1:89">
      <c r="A2647" t="s">
        <v>778</v>
      </c>
      <c r="B2647" t="s">
        <v>374</v>
      </c>
      <c r="C2647" t="s">
        <v>779</v>
      </c>
      <c r="D2647" t="s">
        <v>795</v>
      </c>
      <c r="E2647" t="s">
        <v>796</v>
      </c>
      <c r="F2647" s="13">
        <v>44795.505856481483</v>
      </c>
      <c r="G2647" t="s">
        <v>641</v>
      </c>
      <c r="H2647" t="s">
        <v>642</v>
      </c>
      <c r="I2647" s="13">
        <v>44795.505868055552</v>
      </c>
      <c r="K2647" t="s">
        <v>412</v>
      </c>
      <c r="M2647" s="13">
        <v>44681</v>
      </c>
      <c r="R2647">
        <v>0</v>
      </c>
      <c r="S2647" t="s">
        <v>380</v>
      </c>
      <c r="T2647" t="s">
        <v>57</v>
      </c>
      <c r="V2647" t="s">
        <v>381</v>
      </c>
      <c r="W2647" t="s">
        <v>792</v>
      </c>
      <c r="X2647" t="s">
        <v>792</v>
      </c>
      <c r="AC2647" s="13">
        <v>44681</v>
      </c>
      <c r="AD2647" s="13">
        <v>44681</v>
      </c>
      <c r="AI2647">
        <v>-114</v>
      </c>
      <c r="AN2647" t="s">
        <v>31</v>
      </c>
      <c r="AO2647">
        <v>0</v>
      </c>
      <c r="AS2647" t="s">
        <v>385</v>
      </c>
      <c r="AX2647" t="s">
        <v>57</v>
      </c>
      <c r="AY2647" t="s">
        <v>386</v>
      </c>
      <c r="AZ2647" t="s">
        <v>721</v>
      </c>
      <c r="BF2647">
        <v>0</v>
      </c>
      <c r="BK2647" t="s">
        <v>31</v>
      </c>
      <c r="BS2647" t="s">
        <v>412</v>
      </c>
      <c r="CI2647" t="s">
        <v>388</v>
      </c>
      <c r="CJ2647" s="14">
        <v>45016</v>
      </c>
      <c r="CK2647">
        <v>1</v>
      </c>
    </row>
    <row r="2648" spans="1:89">
      <c r="A2648" t="s">
        <v>797</v>
      </c>
      <c r="B2648" t="s">
        <v>374</v>
      </c>
      <c r="C2648" t="s">
        <v>607</v>
      </c>
      <c r="D2648" t="s">
        <v>798</v>
      </c>
      <c r="E2648" t="s">
        <v>799</v>
      </c>
      <c r="F2648" s="13">
        <v>44795.505833333336</v>
      </c>
      <c r="G2648" t="s">
        <v>641</v>
      </c>
      <c r="H2648" t="s">
        <v>642</v>
      </c>
      <c r="I2648" s="13">
        <v>44795.505844907406</v>
      </c>
      <c r="K2648" t="s">
        <v>412</v>
      </c>
      <c r="M2648" s="13">
        <v>44596</v>
      </c>
      <c r="R2648">
        <v>0</v>
      </c>
      <c r="S2648" t="s">
        <v>416</v>
      </c>
      <c r="T2648" t="s">
        <v>57</v>
      </c>
      <c r="V2648" t="s">
        <v>381</v>
      </c>
      <c r="W2648" t="s">
        <v>800</v>
      </c>
      <c r="X2648" t="s">
        <v>800</v>
      </c>
      <c r="AC2648" s="13">
        <v>44596</v>
      </c>
      <c r="AD2648" s="13">
        <v>44596</v>
      </c>
      <c r="AI2648">
        <v>-199</v>
      </c>
      <c r="AN2648" t="s">
        <v>31</v>
      </c>
      <c r="AO2648">
        <v>0</v>
      </c>
      <c r="AS2648" t="s">
        <v>538</v>
      </c>
      <c r="AX2648" t="s">
        <v>57</v>
      </c>
      <c r="AY2648" t="s">
        <v>386</v>
      </c>
      <c r="AZ2648" t="s">
        <v>721</v>
      </c>
      <c r="BF2648">
        <v>0</v>
      </c>
      <c r="BK2648" t="s">
        <v>31</v>
      </c>
      <c r="BS2648" t="s">
        <v>412</v>
      </c>
      <c r="CI2648" t="s">
        <v>388</v>
      </c>
      <c r="CJ2648" s="14">
        <v>45016</v>
      </c>
      <c r="CK2648">
        <v>1</v>
      </c>
    </row>
    <row r="2649" spans="1:89">
      <c r="A2649" t="s">
        <v>797</v>
      </c>
      <c r="B2649" t="s">
        <v>374</v>
      </c>
      <c r="C2649" t="s">
        <v>607</v>
      </c>
      <c r="D2649" t="s">
        <v>801</v>
      </c>
      <c r="E2649" t="s">
        <v>802</v>
      </c>
      <c r="F2649" s="13">
        <v>44795.505810185183</v>
      </c>
      <c r="G2649" t="s">
        <v>641</v>
      </c>
      <c r="H2649" t="s">
        <v>642</v>
      </c>
      <c r="I2649" s="13">
        <v>44795.50582175926</v>
      </c>
      <c r="K2649" t="s">
        <v>412</v>
      </c>
      <c r="M2649" s="13">
        <v>44610</v>
      </c>
      <c r="R2649">
        <v>0</v>
      </c>
      <c r="S2649" t="s">
        <v>380</v>
      </c>
      <c r="T2649" t="s">
        <v>57</v>
      </c>
      <c r="V2649" t="s">
        <v>381</v>
      </c>
      <c r="W2649" t="s">
        <v>800</v>
      </c>
      <c r="X2649" t="s">
        <v>800</v>
      </c>
      <c r="AC2649" s="13">
        <v>44610</v>
      </c>
      <c r="AD2649" s="13">
        <v>44610</v>
      </c>
      <c r="AI2649">
        <v>-185</v>
      </c>
      <c r="AN2649" t="s">
        <v>31</v>
      </c>
      <c r="AO2649">
        <v>0</v>
      </c>
      <c r="AS2649" t="s">
        <v>538</v>
      </c>
      <c r="AX2649" t="s">
        <v>57</v>
      </c>
      <c r="AY2649" t="s">
        <v>386</v>
      </c>
      <c r="AZ2649" t="s">
        <v>721</v>
      </c>
      <c r="BF2649">
        <v>0</v>
      </c>
      <c r="BK2649" t="s">
        <v>31</v>
      </c>
      <c r="BS2649" t="s">
        <v>412</v>
      </c>
      <c r="CI2649" t="s">
        <v>388</v>
      </c>
      <c r="CJ2649" s="14">
        <v>45016</v>
      </c>
      <c r="CK2649">
        <v>1</v>
      </c>
    </row>
    <row r="2650" spans="1:89">
      <c r="A2650" t="s">
        <v>797</v>
      </c>
      <c r="B2650" t="s">
        <v>374</v>
      </c>
      <c r="C2650" t="s">
        <v>607</v>
      </c>
      <c r="D2650" t="s">
        <v>803</v>
      </c>
      <c r="E2650" t="s">
        <v>804</v>
      </c>
      <c r="F2650" s="13">
        <v>44795.505787037036</v>
      </c>
      <c r="G2650" t="s">
        <v>641</v>
      </c>
      <c r="H2650" t="s">
        <v>642</v>
      </c>
      <c r="I2650" s="13">
        <v>44795.505798611113</v>
      </c>
      <c r="K2650" t="s">
        <v>412</v>
      </c>
      <c r="M2650" s="13">
        <v>44616</v>
      </c>
      <c r="R2650">
        <v>0</v>
      </c>
      <c r="S2650" t="s">
        <v>380</v>
      </c>
      <c r="T2650" t="s">
        <v>57</v>
      </c>
      <c r="V2650" t="s">
        <v>381</v>
      </c>
      <c r="W2650" t="s">
        <v>800</v>
      </c>
      <c r="X2650" t="s">
        <v>800</v>
      </c>
      <c r="AC2650" s="13">
        <v>44616</v>
      </c>
      <c r="AD2650" s="13">
        <v>44616</v>
      </c>
      <c r="AI2650">
        <v>-179</v>
      </c>
      <c r="AN2650" t="s">
        <v>31</v>
      </c>
      <c r="AO2650">
        <v>0</v>
      </c>
      <c r="AS2650" t="s">
        <v>538</v>
      </c>
      <c r="AX2650" t="s">
        <v>57</v>
      </c>
      <c r="AY2650" t="s">
        <v>386</v>
      </c>
      <c r="AZ2650" t="s">
        <v>721</v>
      </c>
      <c r="BF2650">
        <v>0</v>
      </c>
      <c r="BK2650" t="s">
        <v>31</v>
      </c>
      <c r="BS2650" t="s">
        <v>412</v>
      </c>
      <c r="CI2650" t="s">
        <v>388</v>
      </c>
      <c r="CJ2650" s="14">
        <v>45016</v>
      </c>
      <c r="CK2650">
        <v>1</v>
      </c>
    </row>
    <row r="2651" spans="1:89">
      <c r="A2651" t="s">
        <v>805</v>
      </c>
      <c r="B2651" t="s">
        <v>374</v>
      </c>
      <c r="C2651" t="s">
        <v>806</v>
      </c>
      <c r="D2651" t="s">
        <v>807</v>
      </c>
      <c r="E2651" t="s">
        <v>808</v>
      </c>
      <c r="F2651" s="13">
        <v>44795.50576388889</v>
      </c>
      <c r="G2651" t="s">
        <v>641</v>
      </c>
      <c r="H2651" t="s">
        <v>642</v>
      </c>
      <c r="I2651" s="13">
        <v>44795.50577546296</v>
      </c>
      <c r="K2651" t="s">
        <v>412</v>
      </c>
      <c r="M2651" s="13">
        <v>44637</v>
      </c>
      <c r="R2651">
        <v>0</v>
      </c>
      <c r="S2651" t="s">
        <v>380</v>
      </c>
      <c r="T2651" t="s">
        <v>57</v>
      </c>
      <c r="V2651" t="s">
        <v>381</v>
      </c>
      <c r="W2651" t="s">
        <v>809</v>
      </c>
      <c r="X2651" t="s">
        <v>809</v>
      </c>
      <c r="AC2651" s="13">
        <v>44637</v>
      </c>
      <c r="AD2651" s="13">
        <v>44637</v>
      </c>
      <c r="AI2651">
        <v>-158</v>
      </c>
      <c r="AN2651" t="s">
        <v>31</v>
      </c>
      <c r="AO2651">
        <v>0</v>
      </c>
      <c r="AS2651" t="s">
        <v>538</v>
      </c>
      <c r="AX2651" t="s">
        <v>57</v>
      </c>
      <c r="AY2651" t="s">
        <v>442</v>
      </c>
      <c r="AZ2651" t="s">
        <v>721</v>
      </c>
      <c r="BF2651">
        <v>0</v>
      </c>
      <c r="BK2651" t="s">
        <v>31</v>
      </c>
      <c r="BS2651" t="s">
        <v>412</v>
      </c>
      <c r="CI2651" t="s">
        <v>388</v>
      </c>
      <c r="CJ2651" s="14">
        <v>45016</v>
      </c>
      <c r="CK2651">
        <v>1</v>
      </c>
    </row>
    <row r="2652" spans="1:89">
      <c r="A2652" t="s">
        <v>805</v>
      </c>
      <c r="B2652" t="s">
        <v>374</v>
      </c>
      <c r="C2652" t="s">
        <v>806</v>
      </c>
      <c r="D2652" t="s">
        <v>810</v>
      </c>
      <c r="E2652" t="s">
        <v>811</v>
      </c>
      <c r="F2652" s="13">
        <v>44795.505740740744</v>
      </c>
      <c r="G2652" t="s">
        <v>641</v>
      </c>
      <c r="H2652" t="s">
        <v>642</v>
      </c>
      <c r="I2652" s="13">
        <v>44795.505752314813</v>
      </c>
      <c r="K2652" t="s">
        <v>412</v>
      </c>
      <c r="M2652" s="13">
        <v>44663</v>
      </c>
      <c r="R2652">
        <v>0</v>
      </c>
      <c r="S2652" t="s">
        <v>380</v>
      </c>
      <c r="T2652" t="s">
        <v>57</v>
      </c>
      <c r="V2652" t="s">
        <v>381</v>
      </c>
      <c r="W2652" t="s">
        <v>809</v>
      </c>
      <c r="X2652" t="s">
        <v>809</v>
      </c>
      <c r="AC2652" s="13">
        <v>44663</v>
      </c>
      <c r="AD2652" s="13">
        <v>44663</v>
      </c>
      <c r="AI2652">
        <v>-132</v>
      </c>
      <c r="AN2652" t="s">
        <v>31</v>
      </c>
      <c r="AO2652">
        <v>0</v>
      </c>
      <c r="AS2652" t="s">
        <v>538</v>
      </c>
      <c r="AX2652" t="s">
        <v>57</v>
      </c>
      <c r="AY2652" t="s">
        <v>386</v>
      </c>
      <c r="AZ2652" t="s">
        <v>721</v>
      </c>
      <c r="BF2652">
        <v>0</v>
      </c>
      <c r="BK2652" t="s">
        <v>31</v>
      </c>
      <c r="BS2652" t="s">
        <v>412</v>
      </c>
      <c r="CI2652" t="s">
        <v>388</v>
      </c>
      <c r="CJ2652" s="14">
        <v>45016</v>
      </c>
      <c r="CK2652">
        <v>1</v>
      </c>
    </row>
    <row r="2653" spans="1:89">
      <c r="A2653" t="s">
        <v>797</v>
      </c>
      <c r="B2653" t="s">
        <v>374</v>
      </c>
      <c r="C2653" t="s">
        <v>607</v>
      </c>
      <c r="D2653" t="s">
        <v>812</v>
      </c>
      <c r="E2653" t="s">
        <v>804</v>
      </c>
      <c r="F2653" s="13">
        <v>44795.50571759259</v>
      </c>
      <c r="G2653" t="s">
        <v>641</v>
      </c>
      <c r="H2653" t="s">
        <v>642</v>
      </c>
      <c r="I2653" s="13">
        <v>44795.505729166667</v>
      </c>
      <c r="K2653" t="s">
        <v>412</v>
      </c>
      <c r="M2653" s="13">
        <v>44616</v>
      </c>
      <c r="R2653">
        <v>0</v>
      </c>
      <c r="S2653" t="s">
        <v>380</v>
      </c>
      <c r="T2653" t="s">
        <v>57</v>
      </c>
      <c r="V2653" t="s">
        <v>381</v>
      </c>
      <c r="W2653" t="s">
        <v>800</v>
      </c>
      <c r="X2653" t="s">
        <v>800</v>
      </c>
      <c r="AC2653" s="13">
        <v>44616</v>
      </c>
      <c r="AD2653" s="13">
        <v>44616</v>
      </c>
      <c r="AI2653">
        <v>-179</v>
      </c>
      <c r="AN2653" t="s">
        <v>31</v>
      </c>
      <c r="AO2653">
        <v>0</v>
      </c>
      <c r="AS2653" t="s">
        <v>538</v>
      </c>
      <c r="AX2653" t="s">
        <v>57</v>
      </c>
      <c r="AY2653" t="s">
        <v>386</v>
      </c>
      <c r="AZ2653" t="s">
        <v>721</v>
      </c>
      <c r="BF2653">
        <v>0</v>
      </c>
      <c r="BK2653" t="s">
        <v>31</v>
      </c>
      <c r="BS2653" t="s">
        <v>412</v>
      </c>
      <c r="CI2653" t="s">
        <v>388</v>
      </c>
      <c r="CJ2653" s="14">
        <v>45016</v>
      </c>
      <c r="CK2653">
        <v>1</v>
      </c>
    </row>
    <row r="2654" spans="1:89">
      <c r="A2654" t="s">
        <v>805</v>
      </c>
      <c r="B2654" t="s">
        <v>374</v>
      </c>
      <c r="C2654" t="s">
        <v>806</v>
      </c>
      <c r="D2654" t="s">
        <v>813</v>
      </c>
      <c r="E2654" t="s">
        <v>808</v>
      </c>
      <c r="F2654" s="13">
        <v>44795.505694444444</v>
      </c>
      <c r="G2654" t="s">
        <v>641</v>
      </c>
      <c r="H2654" t="s">
        <v>642</v>
      </c>
      <c r="I2654" s="13">
        <v>44795.505706018521</v>
      </c>
      <c r="K2654" t="s">
        <v>412</v>
      </c>
      <c r="M2654" s="13">
        <v>44637</v>
      </c>
      <c r="R2654">
        <v>0</v>
      </c>
      <c r="S2654" t="s">
        <v>380</v>
      </c>
      <c r="T2654" t="s">
        <v>57</v>
      </c>
      <c r="V2654" t="s">
        <v>381</v>
      </c>
      <c r="W2654" t="s">
        <v>809</v>
      </c>
      <c r="X2654" t="s">
        <v>809</v>
      </c>
      <c r="AC2654" s="13">
        <v>44637</v>
      </c>
      <c r="AD2654" s="13">
        <v>44637</v>
      </c>
      <c r="AI2654">
        <v>-158</v>
      </c>
      <c r="AN2654" t="s">
        <v>31</v>
      </c>
      <c r="AO2654">
        <v>0</v>
      </c>
      <c r="AS2654" t="s">
        <v>538</v>
      </c>
      <c r="AX2654" t="s">
        <v>57</v>
      </c>
      <c r="AY2654" t="s">
        <v>442</v>
      </c>
      <c r="AZ2654" t="s">
        <v>721</v>
      </c>
      <c r="BF2654">
        <v>0</v>
      </c>
      <c r="BK2654" t="s">
        <v>31</v>
      </c>
      <c r="BS2654" t="s">
        <v>412</v>
      </c>
      <c r="CI2654" t="s">
        <v>388</v>
      </c>
      <c r="CJ2654" s="14">
        <v>45016</v>
      </c>
      <c r="CK2654">
        <v>1</v>
      </c>
    </row>
    <row r="2655" spans="1:89">
      <c r="A2655" t="s">
        <v>805</v>
      </c>
      <c r="B2655" t="s">
        <v>374</v>
      </c>
      <c r="C2655" t="s">
        <v>806</v>
      </c>
      <c r="D2655" t="s">
        <v>814</v>
      </c>
      <c r="E2655" t="s">
        <v>811</v>
      </c>
      <c r="F2655" s="13">
        <v>44795.505659722221</v>
      </c>
      <c r="G2655" t="s">
        <v>641</v>
      </c>
      <c r="H2655" t="s">
        <v>642</v>
      </c>
      <c r="I2655" s="13">
        <v>44795.505671296298</v>
      </c>
      <c r="K2655" t="s">
        <v>412</v>
      </c>
      <c r="M2655" s="13">
        <v>44663</v>
      </c>
      <c r="R2655">
        <v>0</v>
      </c>
      <c r="S2655" t="s">
        <v>380</v>
      </c>
      <c r="T2655" t="s">
        <v>57</v>
      </c>
      <c r="V2655" t="s">
        <v>381</v>
      </c>
      <c r="W2655" t="s">
        <v>809</v>
      </c>
      <c r="X2655" t="s">
        <v>809</v>
      </c>
      <c r="AC2655" s="13">
        <v>44663</v>
      </c>
      <c r="AD2655" s="13">
        <v>44663</v>
      </c>
      <c r="AI2655">
        <v>-132</v>
      </c>
      <c r="AN2655" t="s">
        <v>31</v>
      </c>
      <c r="AO2655">
        <v>0</v>
      </c>
      <c r="AS2655" t="s">
        <v>538</v>
      </c>
      <c r="AX2655" t="s">
        <v>57</v>
      </c>
      <c r="AY2655" t="s">
        <v>386</v>
      </c>
      <c r="AZ2655" t="s">
        <v>721</v>
      </c>
      <c r="BF2655">
        <v>0</v>
      </c>
      <c r="BK2655" t="s">
        <v>31</v>
      </c>
      <c r="BS2655" t="s">
        <v>412</v>
      </c>
      <c r="CI2655" t="s">
        <v>388</v>
      </c>
      <c r="CJ2655" s="14">
        <v>45016</v>
      </c>
      <c r="CK2655">
        <v>1</v>
      </c>
    </row>
    <row r="2656" spans="1:89">
      <c r="A2656" t="s">
        <v>805</v>
      </c>
      <c r="B2656" t="s">
        <v>374</v>
      </c>
      <c r="C2656" t="s">
        <v>806</v>
      </c>
      <c r="D2656" t="s">
        <v>815</v>
      </c>
      <c r="E2656" t="s">
        <v>816</v>
      </c>
      <c r="F2656" s="13">
        <v>44795.505636574075</v>
      </c>
      <c r="G2656" t="s">
        <v>641</v>
      </c>
      <c r="H2656" t="s">
        <v>642</v>
      </c>
      <c r="I2656" s="13">
        <v>44795.505648148152</v>
      </c>
      <c r="K2656" t="s">
        <v>412</v>
      </c>
      <c r="M2656" s="13">
        <v>44663</v>
      </c>
      <c r="R2656">
        <v>0</v>
      </c>
      <c r="S2656" t="s">
        <v>416</v>
      </c>
      <c r="T2656" t="s">
        <v>57</v>
      </c>
      <c r="V2656" t="s">
        <v>381</v>
      </c>
      <c r="W2656" t="s">
        <v>809</v>
      </c>
      <c r="X2656" t="s">
        <v>809</v>
      </c>
      <c r="AC2656" s="13">
        <v>44663</v>
      </c>
      <c r="AD2656" s="13">
        <v>44663</v>
      </c>
      <c r="AI2656">
        <v>-132</v>
      </c>
      <c r="AN2656" t="s">
        <v>31</v>
      </c>
      <c r="AO2656">
        <v>0</v>
      </c>
      <c r="AS2656" t="s">
        <v>385</v>
      </c>
      <c r="AX2656" t="s">
        <v>57</v>
      </c>
      <c r="AY2656" t="s">
        <v>386</v>
      </c>
      <c r="AZ2656" t="s">
        <v>721</v>
      </c>
      <c r="BF2656">
        <v>0</v>
      </c>
      <c r="BK2656" t="s">
        <v>31</v>
      </c>
      <c r="BS2656" t="s">
        <v>412</v>
      </c>
      <c r="CI2656" t="s">
        <v>388</v>
      </c>
      <c r="CJ2656" s="14">
        <v>45016</v>
      </c>
      <c r="CK2656">
        <v>1</v>
      </c>
    </row>
    <row r="2657" spans="1:89">
      <c r="A2657" t="s">
        <v>805</v>
      </c>
      <c r="B2657" t="s">
        <v>374</v>
      </c>
      <c r="C2657" t="s">
        <v>806</v>
      </c>
      <c r="D2657" t="s">
        <v>817</v>
      </c>
      <c r="E2657" t="s">
        <v>818</v>
      </c>
      <c r="F2657" s="13">
        <v>44795.505613425928</v>
      </c>
      <c r="G2657" t="s">
        <v>641</v>
      </c>
      <c r="H2657" t="s">
        <v>642</v>
      </c>
      <c r="I2657" s="13">
        <v>44795.505624999998</v>
      </c>
      <c r="K2657" t="s">
        <v>412</v>
      </c>
      <c r="M2657" s="13">
        <v>44607</v>
      </c>
      <c r="R2657">
        <v>0</v>
      </c>
      <c r="S2657" t="s">
        <v>380</v>
      </c>
      <c r="T2657" t="s">
        <v>57</v>
      </c>
      <c r="V2657" t="s">
        <v>381</v>
      </c>
      <c r="W2657" t="s">
        <v>809</v>
      </c>
      <c r="X2657" t="s">
        <v>809</v>
      </c>
      <c r="AC2657" s="13">
        <v>44607</v>
      </c>
      <c r="AD2657" s="13">
        <v>44607</v>
      </c>
      <c r="AI2657">
        <v>-188</v>
      </c>
      <c r="AN2657" t="s">
        <v>31</v>
      </c>
      <c r="AO2657">
        <v>0</v>
      </c>
      <c r="AS2657" t="s">
        <v>538</v>
      </c>
      <c r="AX2657" t="s">
        <v>57</v>
      </c>
      <c r="AY2657" t="s">
        <v>386</v>
      </c>
      <c r="AZ2657" t="s">
        <v>721</v>
      </c>
      <c r="BF2657">
        <v>0</v>
      </c>
      <c r="BK2657" t="s">
        <v>31</v>
      </c>
      <c r="BS2657" t="s">
        <v>412</v>
      </c>
      <c r="CI2657" t="s">
        <v>388</v>
      </c>
      <c r="CJ2657" s="14">
        <v>45016</v>
      </c>
      <c r="CK2657">
        <v>1</v>
      </c>
    </row>
    <row r="2658" spans="1:89">
      <c r="A2658" t="s">
        <v>819</v>
      </c>
      <c r="B2658" t="s">
        <v>374</v>
      </c>
      <c r="C2658" t="s">
        <v>820</v>
      </c>
      <c r="D2658" t="s">
        <v>821</v>
      </c>
      <c r="E2658" t="s">
        <v>822</v>
      </c>
      <c r="F2658" s="13">
        <v>44795.505590277775</v>
      </c>
      <c r="G2658" t="s">
        <v>641</v>
      </c>
      <c r="H2658" t="s">
        <v>642</v>
      </c>
      <c r="I2658" s="13">
        <v>44795.505601851852</v>
      </c>
      <c r="K2658" t="s">
        <v>412</v>
      </c>
      <c r="M2658" s="13">
        <v>44742</v>
      </c>
      <c r="R2658">
        <v>0</v>
      </c>
      <c r="S2658" t="s">
        <v>380</v>
      </c>
      <c r="T2658" t="s">
        <v>57</v>
      </c>
      <c r="V2658" t="s">
        <v>381</v>
      </c>
      <c r="W2658" t="s">
        <v>809</v>
      </c>
      <c r="X2658" t="s">
        <v>809</v>
      </c>
      <c r="AC2658" s="13">
        <v>44742</v>
      </c>
      <c r="AD2658" s="13">
        <v>44742</v>
      </c>
      <c r="AI2658">
        <v>-53</v>
      </c>
      <c r="AN2658" t="s">
        <v>31</v>
      </c>
      <c r="AO2658">
        <v>0</v>
      </c>
      <c r="AS2658" t="s">
        <v>392</v>
      </c>
      <c r="AX2658" t="s">
        <v>57</v>
      </c>
      <c r="AY2658" t="s">
        <v>386</v>
      </c>
      <c r="AZ2658" t="s">
        <v>721</v>
      </c>
      <c r="BF2658">
        <v>0</v>
      </c>
      <c r="BK2658" t="s">
        <v>31</v>
      </c>
      <c r="BS2658" t="s">
        <v>412</v>
      </c>
      <c r="CI2658" t="s">
        <v>388</v>
      </c>
      <c r="CJ2658" s="14">
        <v>45016</v>
      </c>
      <c r="CK2658">
        <v>1</v>
      </c>
    </row>
    <row r="2659" spans="1:89">
      <c r="A2659" t="s">
        <v>819</v>
      </c>
      <c r="B2659" t="s">
        <v>374</v>
      </c>
      <c r="C2659" t="s">
        <v>820</v>
      </c>
      <c r="D2659" t="s">
        <v>823</v>
      </c>
      <c r="E2659" t="s">
        <v>824</v>
      </c>
      <c r="F2659" s="13">
        <v>44795.505567129629</v>
      </c>
      <c r="G2659" t="s">
        <v>641</v>
      </c>
      <c r="H2659" t="s">
        <v>642</v>
      </c>
      <c r="I2659" s="13">
        <v>44795.505578703705</v>
      </c>
      <c r="K2659" t="s">
        <v>412</v>
      </c>
      <c r="M2659" s="13">
        <v>44651</v>
      </c>
      <c r="R2659">
        <v>0</v>
      </c>
      <c r="S2659" t="s">
        <v>380</v>
      </c>
      <c r="T2659" t="s">
        <v>57</v>
      </c>
      <c r="V2659" t="s">
        <v>381</v>
      </c>
      <c r="W2659" t="s">
        <v>792</v>
      </c>
      <c r="X2659" t="s">
        <v>792</v>
      </c>
      <c r="AC2659" s="13">
        <v>44651</v>
      </c>
      <c r="AD2659" s="13">
        <v>44651</v>
      </c>
      <c r="AI2659">
        <v>-144</v>
      </c>
      <c r="AN2659" t="s">
        <v>31</v>
      </c>
      <c r="AO2659">
        <v>0</v>
      </c>
      <c r="AS2659" t="s">
        <v>385</v>
      </c>
      <c r="AX2659" t="s">
        <v>57</v>
      </c>
      <c r="AY2659" t="s">
        <v>386</v>
      </c>
      <c r="AZ2659" t="s">
        <v>721</v>
      </c>
      <c r="BF2659">
        <v>0</v>
      </c>
      <c r="BK2659" t="s">
        <v>31</v>
      </c>
      <c r="BS2659" t="s">
        <v>412</v>
      </c>
      <c r="CI2659" t="s">
        <v>388</v>
      </c>
      <c r="CJ2659" s="14">
        <v>45016</v>
      </c>
      <c r="CK2659">
        <v>1</v>
      </c>
    </row>
    <row r="2660" spans="1:89">
      <c r="A2660" t="s">
        <v>797</v>
      </c>
      <c r="B2660" t="s">
        <v>374</v>
      </c>
      <c r="C2660" t="s">
        <v>607</v>
      </c>
      <c r="D2660" t="s">
        <v>825</v>
      </c>
      <c r="E2660" t="s">
        <v>826</v>
      </c>
      <c r="F2660" s="13">
        <v>44795.505543981482</v>
      </c>
      <c r="G2660" t="s">
        <v>641</v>
      </c>
      <c r="H2660" t="s">
        <v>642</v>
      </c>
      <c r="I2660" s="13">
        <v>44795.505555555559</v>
      </c>
      <c r="K2660" t="s">
        <v>412</v>
      </c>
      <c r="M2660" s="13">
        <v>44592</v>
      </c>
      <c r="R2660">
        <v>0</v>
      </c>
      <c r="S2660" t="s">
        <v>380</v>
      </c>
      <c r="T2660" t="s">
        <v>57</v>
      </c>
      <c r="V2660" t="s">
        <v>381</v>
      </c>
      <c r="W2660" t="s">
        <v>827</v>
      </c>
      <c r="X2660" t="s">
        <v>827</v>
      </c>
      <c r="AC2660" s="13">
        <v>44592</v>
      </c>
      <c r="AD2660" s="13">
        <v>44592</v>
      </c>
      <c r="AI2660">
        <v>-203</v>
      </c>
      <c r="AN2660" t="s">
        <v>31</v>
      </c>
      <c r="AO2660">
        <v>0</v>
      </c>
      <c r="AS2660" t="s">
        <v>385</v>
      </c>
      <c r="AX2660" t="s">
        <v>57</v>
      </c>
      <c r="AY2660" t="s">
        <v>386</v>
      </c>
      <c r="AZ2660" t="s">
        <v>721</v>
      </c>
      <c r="BF2660">
        <v>0</v>
      </c>
      <c r="BK2660" t="s">
        <v>31</v>
      </c>
      <c r="BS2660" t="s">
        <v>412</v>
      </c>
      <c r="CI2660" t="s">
        <v>388</v>
      </c>
      <c r="CJ2660" s="14">
        <v>45016</v>
      </c>
      <c r="CK2660">
        <v>1</v>
      </c>
    </row>
    <row r="2661" spans="1:89">
      <c r="A2661" t="s">
        <v>797</v>
      </c>
      <c r="B2661" t="s">
        <v>374</v>
      </c>
      <c r="C2661" t="s">
        <v>607</v>
      </c>
      <c r="D2661" t="s">
        <v>828</v>
      </c>
      <c r="E2661" t="s">
        <v>829</v>
      </c>
      <c r="F2661" s="13">
        <v>44795.505520833336</v>
      </c>
      <c r="G2661" t="s">
        <v>641</v>
      </c>
      <c r="H2661" t="s">
        <v>642</v>
      </c>
      <c r="I2661" s="13">
        <v>44795.505532407406</v>
      </c>
      <c r="K2661" t="s">
        <v>412</v>
      </c>
      <c r="M2661" s="13">
        <v>44651</v>
      </c>
      <c r="R2661">
        <v>0</v>
      </c>
      <c r="S2661" t="s">
        <v>380</v>
      </c>
      <c r="T2661" t="s">
        <v>57</v>
      </c>
      <c r="V2661" t="s">
        <v>381</v>
      </c>
      <c r="W2661" t="s">
        <v>827</v>
      </c>
      <c r="X2661" t="s">
        <v>827</v>
      </c>
      <c r="AC2661" s="13">
        <v>44651</v>
      </c>
      <c r="AD2661" s="13">
        <v>44651</v>
      </c>
      <c r="AI2661">
        <v>-144</v>
      </c>
      <c r="AN2661" t="s">
        <v>31</v>
      </c>
      <c r="AO2661">
        <v>0</v>
      </c>
      <c r="AS2661" t="s">
        <v>385</v>
      </c>
      <c r="AX2661" t="s">
        <v>57</v>
      </c>
      <c r="AY2661" t="s">
        <v>386</v>
      </c>
      <c r="AZ2661" t="s">
        <v>721</v>
      </c>
      <c r="BF2661">
        <v>0</v>
      </c>
      <c r="BK2661" t="s">
        <v>31</v>
      </c>
      <c r="BS2661" t="s">
        <v>412</v>
      </c>
      <c r="CI2661" t="s">
        <v>388</v>
      </c>
      <c r="CJ2661" s="14">
        <v>45016</v>
      </c>
      <c r="CK2661">
        <v>1</v>
      </c>
    </row>
    <row r="2662" spans="1:89">
      <c r="A2662" t="s">
        <v>819</v>
      </c>
      <c r="B2662" t="s">
        <v>374</v>
      </c>
      <c r="C2662" t="s">
        <v>820</v>
      </c>
      <c r="D2662" t="s">
        <v>830</v>
      </c>
      <c r="E2662" t="s">
        <v>831</v>
      </c>
      <c r="F2662" s="13">
        <v>44795.505497685182</v>
      </c>
      <c r="G2662" t="s">
        <v>641</v>
      </c>
      <c r="H2662" t="s">
        <v>642</v>
      </c>
      <c r="I2662" s="13">
        <v>44795.505509259259</v>
      </c>
      <c r="K2662" t="s">
        <v>412</v>
      </c>
      <c r="M2662" s="13">
        <v>44651</v>
      </c>
      <c r="R2662">
        <v>0</v>
      </c>
      <c r="S2662" t="s">
        <v>380</v>
      </c>
      <c r="T2662" t="s">
        <v>57</v>
      </c>
      <c r="V2662" t="s">
        <v>381</v>
      </c>
      <c r="W2662" t="s">
        <v>832</v>
      </c>
      <c r="X2662" t="s">
        <v>832</v>
      </c>
      <c r="AC2662" s="13">
        <v>44651</v>
      </c>
      <c r="AD2662" s="13">
        <v>44651</v>
      </c>
      <c r="AI2662">
        <v>-144</v>
      </c>
      <c r="AN2662" t="s">
        <v>31</v>
      </c>
      <c r="AO2662">
        <v>0</v>
      </c>
      <c r="AS2662" t="s">
        <v>385</v>
      </c>
      <c r="AX2662" t="s">
        <v>57</v>
      </c>
      <c r="AY2662" t="s">
        <v>386</v>
      </c>
      <c r="AZ2662" t="s">
        <v>721</v>
      </c>
      <c r="BF2662">
        <v>0</v>
      </c>
      <c r="BK2662" t="s">
        <v>31</v>
      </c>
      <c r="BS2662" t="s">
        <v>412</v>
      </c>
      <c r="CI2662" t="s">
        <v>388</v>
      </c>
      <c r="CJ2662" s="14">
        <v>45016</v>
      </c>
      <c r="CK2662">
        <v>1</v>
      </c>
    </row>
    <row r="2663" spans="1:89">
      <c r="A2663" t="s">
        <v>819</v>
      </c>
      <c r="B2663" t="s">
        <v>374</v>
      </c>
      <c r="C2663" t="s">
        <v>820</v>
      </c>
      <c r="D2663" t="s">
        <v>833</v>
      </c>
      <c r="E2663" t="s">
        <v>834</v>
      </c>
      <c r="F2663" s="13">
        <v>44795.505474537036</v>
      </c>
      <c r="G2663" t="s">
        <v>641</v>
      </c>
      <c r="H2663" t="s">
        <v>642</v>
      </c>
      <c r="I2663" s="13">
        <v>44795.505486111113</v>
      </c>
      <c r="K2663" t="s">
        <v>412</v>
      </c>
      <c r="M2663" s="13">
        <v>44834</v>
      </c>
      <c r="R2663">
        <v>0</v>
      </c>
      <c r="S2663" t="s">
        <v>380</v>
      </c>
      <c r="T2663" t="s">
        <v>57</v>
      </c>
      <c r="V2663" t="s">
        <v>381</v>
      </c>
      <c r="W2663" t="s">
        <v>832</v>
      </c>
      <c r="X2663" t="s">
        <v>832</v>
      </c>
      <c r="AC2663" s="13">
        <v>44834</v>
      </c>
      <c r="AD2663" s="13">
        <v>44834</v>
      </c>
      <c r="AI2663">
        <v>39</v>
      </c>
      <c r="AN2663" t="s">
        <v>31</v>
      </c>
      <c r="AO2663">
        <v>0</v>
      </c>
      <c r="AS2663" t="s">
        <v>385</v>
      </c>
      <c r="AX2663" t="s">
        <v>57</v>
      </c>
      <c r="AY2663" t="s">
        <v>386</v>
      </c>
      <c r="AZ2663" t="s">
        <v>721</v>
      </c>
      <c r="BF2663">
        <v>0</v>
      </c>
      <c r="BK2663" t="s">
        <v>31</v>
      </c>
      <c r="BS2663" t="s">
        <v>412</v>
      </c>
      <c r="CI2663" t="s">
        <v>388</v>
      </c>
      <c r="CJ2663" s="14">
        <v>45016</v>
      </c>
      <c r="CK2663">
        <v>1</v>
      </c>
    </row>
    <row r="2664" spans="1:89">
      <c r="A2664" t="s">
        <v>819</v>
      </c>
      <c r="B2664" t="s">
        <v>374</v>
      </c>
      <c r="C2664" t="s">
        <v>820</v>
      </c>
      <c r="D2664" t="s">
        <v>835</v>
      </c>
      <c r="E2664" t="s">
        <v>836</v>
      </c>
      <c r="F2664" s="13">
        <v>44795.50545138889</v>
      </c>
      <c r="G2664" t="s">
        <v>641</v>
      </c>
      <c r="H2664" t="s">
        <v>642</v>
      </c>
      <c r="I2664" s="13">
        <v>44795.505462962959</v>
      </c>
      <c r="K2664" t="s">
        <v>412</v>
      </c>
      <c r="M2664" s="13">
        <v>44742</v>
      </c>
      <c r="R2664">
        <v>0</v>
      </c>
      <c r="S2664" t="s">
        <v>380</v>
      </c>
      <c r="T2664" t="s">
        <v>57</v>
      </c>
      <c r="V2664" t="s">
        <v>381</v>
      </c>
      <c r="W2664" t="s">
        <v>832</v>
      </c>
      <c r="X2664" t="s">
        <v>832</v>
      </c>
      <c r="AC2664" s="13">
        <v>44742</v>
      </c>
      <c r="AD2664" s="13">
        <v>44742</v>
      </c>
      <c r="AI2664">
        <v>-53</v>
      </c>
      <c r="AN2664" t="s">
        <v>31</v>
      </c>
      <c r="AO2664">
        <v>0</v>
      </c>
      <c r="AS2664" t="s">
        <v>385</v>
      </c>
      <c r="AX2664" t="s">
        <v>57</v>
      </c>
      <c r="AY2664" t="s">
        <v>442</v>
      </c>
      <c r="AZ2664" t="s">
        <v>721</v>
      </c>
      <c r="BF2664">
        <v>0</v>
      </c>
      <c r="BK2664" t="s">
        <v>31</v>
      </c>
      <c r="BS2664" t="s">
        <v>412</v>
      </c>
      <c r="CI2664" t="s">
        <v>388</v>
      </c>
      <c r="CJ2664" s="14">
        <v>45016</v>
      </c>
      <c r="CK2664">
        <v>1</v>
      </c>
    </row>
    <row r="2665" spans="1:89">
      <c r="A2665" t="s">
        <v>819</v>
      </c>
      <c r="B2665" t="s">
        <v>374</v>
      </c>
      <c r="C2665" t="s">
        <v>820</v>
      </c>
      <c r="D2665" t="s">
        <v>837</v>
      </c>
      <c r="E2665" t="s">
        <v>838</v>
      </c>
      <c r="F2665" s="13">
        <v>44795.505428240744</v>
      </c>
      <c r="G2665" t="s">
        <v>641</v>
      </c>
      <c r="H2665" t="s">
        <v>642</v>
      </c>
      <c r="I2665" s="13">
        <v>44795.505439814813</v>
      </c>
      <c r="K2665" t="s">
        <v>412</v>
      </c>
      <c r="M2665" s="13">
        <v>44742</v>
      </c>
      <c r="R2665">
        <v>0</v>
      </c>
      <c r="S2665" t="s">
        <v>380</v>
      </c>
      <c r="T2665" t="s">
        <v>57</v>
      </c>
      <c r="V2665" t="s">
        <v>381</v>
      </c>
      <c r="W2665" t="s">
        <v>832</v>
      </c>
      <c r="X2665" t="s">
        <v>832</v>
      </c>
      <c r="AC2665" s="13">
        <v>44742</v>
      </c>
      <c r="AD2665" s="13">
        <v>44742</v>
      </c>
      <c r="AI2665">
        <v>-53</v>
      </c>
      <c r="AN2665" t="s">
        <v>31</v>
      </c>
      <c r="AO2665">
        <v>0</v>
      </c>
      <c r="AS2665" t="s">
        <v>538</v>
      </c>
      <c r="AX2665" t="s">
        <v>57</v>
      </c>
      <c r="AY2665" t="s">
        <v>386</v>
      </c>
      <c r="AZ2665" t="s">
        <v>721</v>
      </c>
      <c r="BF2665">
        <v>0</v>
      </c>
      <c r="BK2665" t="s">
        <v>31</v>
      </c>
      <c r="BS2665" t="s">
        <v>412</v>
      </c>
      <c r="CI2665" t="s">
        <v>388</v>
      </c>
      <c r="CJ2665" s="14">
        <v>45016</v>
      </c>
      <c r="CK2665">
        <v>1</v>
      </c>
    </row>
    <row r="2666" spans="1:89">
      <c r="A2666" t="s">
        <v>797</v>
      </c>
      <c r="B2666" t="s">
        <v>374</v>
      </c>
      <c r="C2666" t="s">
        <v>607</v>
      </c>
      <c r="D2666" t="s">
        <v>839</v>
      </c>
      <c r="E2666" t="s">
        <v>840</v>
      </c>
      <c r="F2666" s="13">
        <v>44795.505416666667</v>
      </c>
      <c r="G2666" t="s">
        <v>641</v>
      </c>
      <c r="H2666" t="s">
        <v>642</v>
      </c>
      <c r="I2666" s="13">
        <v>44795.505428240744</v>
      </c>
      <c r="K2666" t="s">
        <v>412</v>
      </c>
      <c r="M2666" s="13">
        <v>44651</v>
      </c>
      <c r="R2666">
        <v>0</v>
      </c>
      <c r="S2666" t="s">
        <v>380</v>
      </c>
      <c r="T2666" t="s">
        <v>57</v>
      </c>
      <c r="V2666" t="s">
        <v>381</v>
      </c>
      <c r="W2666" t="s">
        <v>832</v>
      </c>
      <c r="X2666" t="s">
        <v>832</v>
      </c>
      <c r="AC2666" s="13">
        <v>44651</v>
      </c>
      <c r="AD2666" s="13">
        <v>44651</v>
      </c>
      <c r="AI2666">
        <v>-144</v>
      </c>
      <c r="AN2666" t="s">
        <v>31</v>
      </c>
      <c r="AO2666">
        <v>0</v>
      </c>
      <c r="AS2666" t="s">
        <v>385</v>
      </c>
      <c r="AX2666" t="s">
        <v>57</v>
      </c>
      <c r="AY2666" t="s">
        <v>386</v>
      </c>
      <c r="AZ2666" t="s">
        <v>721</v>
      </c>
      <c r="BF2666">
        <v>0</v>
      </c>
      <c r="BK2666" t="s">
        <v>31</v>
      </c>
      <c r="BS2666" t="s">
        <v>412</v>
      </c>
      <c r="CI2666" t="s">
        <v>388</v>
      </c>
      <c r="CJ2666" s="14">
        <v>45016</v>
      </c>
      <c r="CK2666">
        <v>1</v>
      </c>
    </row>
    <row r="2667" spans="1:89">
      <c r="A2667" t="s">
        <v>841</v>
      </c>
      <c r="B2667" t="s">
        <v>374</v>
      </c>
      <c r="C2667" t="s">
        <v>842</v>
      </c>
      <c r="D2667" t="s">
        <v>843</v>
      </c>
      <c r="E2667" t="s">
        <v>844</v>
      </c>
      <c r="F2667" s="13">
        <v>44795.505381944444</v>
      </c>
      <c r="G2667" t="s">
        <v>641</v>
      </c>
      <c r="H2667" t="s">
        <v>642</v>
      </c>
      <c r="I2667" s="13">
        <v>44795.505393518521</v>
      </c>
      <c r="K2667" t="s">
        <v>412</v>
      </c>
      <c r="M2667" s="13">
        <v>44926</v>
      </c>
      <c r="R2667">
        <v>0</v>
      </c>
      <c r="S2667" t="s">
        <v>380</v>
      </c>
      <c r="T2667" t="s">
        <v>57</v>
      </c>
      <c r="V2667" t="s">
        <v>381</v>
      </c>
      <c r="W2667" t="s">
        <v>845</v>
      </c>
      <c r="X2667" t="s">
        <v>845</v>
      </c>
      <c r="AC2667" s="13">
        <v>44926</v>
      </c>
      <c r="AD2667" s="13">
        <v>44926</v>
      </c>
      <c r="AI2667">
        <v>131</v>
      </c>
      <c r="AN2667" t="s">
        <v>31</v>
      </c>
      <c r="AO2667">
        <v>0</v>
      </c>
      <c r="AS2667" t="s">
        <v>538</v>
      </c>
      <c r="AX2667" t="s">
        <v>57</v>
      </c>
      <c r="AY2667" t="s">
        <v>442</v>
      </c>
      <c r="AZ2667" t="s">
        <v>721</v>
      </c>
      <c r="BF2667">
        <v>0</v>
      </c>
      <c r="BK2667" t="s">
        <v>31</v>
      </c>
      <c r="BS2667" t="s">
        <v>412</v>
      </c>
      <c r="CI2667" t="s">
        <v>388</v>
      </c>
      <c r="CJ2667" s="14">
        <v>45016</v>
      </c>
      <c r="CK2667">
        <v>1</v>
      </c>
    </row>
    <row r="2668" spans="1:89">
      <c r="A2668" t="s">
        <v>841</v>
      </c>
      <c r="B2668" t="s">
        <v>374</v>
      </c>
      <c r="C2668" t="s">
        <v>842</v>
      </c>
      <c r="D2668" t="s">
        <v>846</v>
      </c>
      <c r="E2668" t="s">
        <v>847</v>
      </c>
      <c r="F2668" s="13">
        <v>44795.505370370367</v>
      </c>
      <c r="G2668" t="s">
        <v>641</v>
      </c>
      <c r="H2668" t="s">
        <v>642</v>
      </c>
      <c r="I2668" s="13">
        <v>44795.505381944444</v>
      </c>
      <c r="K2668" t="s">
        <v>412</v>
      </c>
      <c r="M2668" s="13">
        <v>44742</v>
      </c>
      <c r="R2668">
        <v>0</v>
      </c>
      <c r="S2668" t="s">
        <v>380</v>
      </c>
      <c r="T2668" t="s">
        <v>57</v>
      </c>
      <c r="V2668" t="s">
        <v>381</v>
      </c>
      <c r="W2668" t="s">
        <v>845</v>
      </c>
      <c r="X2668" t="s">
        <v>845</v>
      </c>
      <c r="AC2668" s="13">
        <v>44742</v>
      </c>
      <c r="AD2668" s="13">
        <v>44742</v>
      </c>
      <c r="AI2668">
        <v>-53</v>
      </c>
      <c r="AN2668" t="s">
        <v>31</v>
      </c>
      <c r="AO2668">
        <v>0</v>
      </c>
      <c r="AS2668" t="s">
        <v>385</v>
      </c>
      <c r="AX2668" t="s">
        <v>57</v>
      </c>
      <c r="AY2668" t="s">
        <v>386</v>
      </c>
      <c r="AZ2668" t="s">
        <v>721</v>
      </c>
      <c r="BF2668">
        <v>0</v>
      </c>
      <c r="BK2668" t="s">
        <v>31</v>
      </c>
      <c r="BS2668" t="s">
        <v>412</v>
      </c>
      <c r="CI2668" t="s">
        <v>388</v>
      </c>
      <c r="CJ2668" s="14">
        <v>45016</v>
      </c>
      <c r="CK2668">
        <v>1</v>
      </c>
    </row>
    <row r="2669" spans="1:89">
      <c r="A2669" t="s">
        <v>841</v>
      </c>
      <c r="B2669" t="s">
        <v>374</v>
      </c>
      <c r="C2669" t="s">
        <v>842</v>
      </c>
      <c r="D2669" t="s">
        <v>848</v>
      </c>
      <c r="E2669" t="s">
        <v>847</v>
      </c>
      <c r="F2669" s="13">
        <v>44795.505347222221</v>
      </c>
      <c r="G2669" t="s">
        <v>641</v>
      </c>
      <c r="H2669" t="s">
        <v>642</v>
      </c>
      <c r="I2669" s="13">
        <v>44795.505358796298</v>
      </c>
      <c r="K2669" t="s">
        <v>412</v>
      </c>
      <c r="M2669" s="13">
        <v>44742</v>
      </c>
      <c r="R2669">
        <v>0</v>
      </c>
      <c r="S2669" t="s">
        <v>380</v>
      </c>
      <c r="T2669" t="s">
        <v>57</v>
      </c>
      <c r="V2669" t="s">
        <v>381</v>
      </c>
      <c r="W2669" t="s">
        <v>845</v>
      </c>
      <c r="X2669" t="s">
        <v>845</v>
      </c>
      <c r="AC2669" s="13">
        <v>44742</v>
      </c>
      <c r="AD2669" s="13">
        <v>44742</v>
      </c>
      <c r="AI2669">
        <v>-53</v>
      </c>
      <c r="AN2669" t="s">
        <v>31</v>
      </c>
      <c r="AO2669">
        <v>0</v>
      </c>
      <c r="AS2669" t="s">
        <v>385</v>
      </c>
      <c r="AX2669" t="s">
        <v>57</v>
      </c>
      <c r="AY2669" t="s">
        <v>386</v>
      </c>
      <c r="AZ2669" t="s">
        <v>721</v>
      </c>
      <c r="BF2669">
        <v>0</v>
      </c>
      <c r="BK2669" t="s">
        <v>31</v>
      </c>
      <c r="BS2669" t="s">
        <v>412</v>
      </c>
      <c r="CI2669" t="s">
        <v>388</v>
      </c>
      <c r="CJ2669" s="14">
        <v>45016</v>
      </c>
      <c r="CK2669">
        <v>1</v>
      </c>
    </row>
    <row r="2670" spans="1:89">
      <c r="A2670" t="s">
        <v>849</v>
      </c>
      <c r="B2670" t="s">
        <v>374</v>
      </c>
      <c r="C2670" t="s">
        <v>850</v>
      </c>
      <c r="D2670" t="s">
        <v>851</v>
      </c>
      <c r="E2670" t="s">
        <v>852</v>
      </c>
      <c r="F2670" s="13">
        <v>44795.505324074074</v>
      </c>
      <c r="G2670" t="s">
        <v>641</v>
      </c>
      <c r="H2670" t="s">
        <v>642</v>
      </c>
      <c r="I2670" s="13">
        <v>44795.505335648151</v>
      </c>
      <c r="K2670" t="s">
        <v>412</v>
      </c>
      <c r="M2670" s="13">
        <v>44651</v>
      </c>
      <c r="R2670">
        <v>0</v>
      </c>
      <c r="S2670" t="s">
        <v>380</v>
      </c>
      <c r="T2670" t="s">
        <v>57</v>
      </c>
      <c r="V2670" t="s">
        <v>381</v>
      </c>
      <c r="W2670" t="s">
        <v>800</v>
      </c>
      <c r="X2670" t="s">
        <v>800</v>
      </c>
      <c r="AC2670" s="13">
        <v>44651</v>
      </c>
      <c r="AD2670" s="13">
        <v>44651</v>
      </c>
      <c r="AI2670">
        <v>-144</v>
      </c>
      <c r="AN2670" t="s">
        <v>31</v>
      </c>
      <c r="AO2670">
        <v>0</v>
      </c>
      <c r="AS2670" t="s">
        <v>730</v>
      </c>
      <c r="AX2670" t="s">
        <v>57</v>
      </c>
      <c r="AY2670" t="s">
        <v>386</v>
      </c>
      <c r="AZ2670" t="s">
        <v>721</v>
      </c>
      <c r="BF2670">
        <v>0</v>
      </c>
      <c r="BK2670" t="s">
        <v>31</v>
      </c>
      <c r="BS2670" t="s">
        <v>412</v>
      </c>
      <c r="CI2670" t="s">
        <v>388</v>
      </c>
      <c r="CJ2670" s="14">
        <v>45016</v>
      </c>
      <c r="CK2670">
        <v>1</v>
      </c>
    </row>
    <row r="2671" spans="1:89">
      <c r="A2671" t="s">
        <v>849</v>
      </c>
      <c r="B2671" t="s">
        <v>374</v>
      </c>
      <c r="C2671" t="s">
        <v>850</v>
      </c>
      <c r="D2671" t="s">
        <v>853</v>
      </c>
      <c r="E2671" t="s">
        <v>854</v>
      </c>
      <c r="F2671" s="13">
        <v>44795.505300925928</v>
      </c>
      <c r="G2671" t="s">
        <v>641</v>
      </c>
      <c r="H2671" t="s">
        <v>642</v>
      </c>
      <c r="I2671" s="13">
        <v>44795.505312499998</v>
      </c>
      <c r="K2671" t="s">
        <v>412</v>
      </c>
      <c r="M2671" s="13">
        <v>44651</v>
      </c>
      <c r="R2671">
        <v>0</v>
      </c>
      <c r="S2671" t="s">
        <v>380</v>
      </c>
      <c r="T2671" t="s">
        <v>57</v>
      </c>
      <c r="V2671" t="s">
        <v>381</v>
      </c>
      <c r="W2671" t="s">
        <v>855</v>
      </c>
      <c r="X2671" t="s">
        <v>855</v>
      </c>
      <c r="AC2671" s="13">
        <v>44651</v>
      </c>
      <c r="AD2671" s="13">
        <v>44651</v>
      </c>
      <c r="AI2671">
        <v>-144</v>
      </c>
      <c r="AN2671" t="s">
        <v>31</v>
      </c>
      <c r="AO2671">
        <v>0</v>
      </c>
      <c r="AS2671" t="s">
        <v>538</v>
      </c>
      <c r="AX2671" t="s">
        <v>57</v>
      </c>
      <c r="AY2671" t="s">
        <v>386</v>
      </c>
      <c r="AZ2671" t="s">
        <v>721</v>
      </c>
      <c r="BF2671">
        <v>0</v>
      </c>
      <c r="BK2671" t="s">
        <v>31</v>
      </c>
      <c r="BS2671" t="s">
        <v>412</v>
      </c>
      <c r="CI2671" t="s">
        <v>388</v>
      </c>
      <c r="CJ2671" s="14">
        <v>45016</v>
      </c>
      <c r="CK2671">
        <v>1</v>
      </c>
    </row>
    <row r="2672" spans="1:89">
      <c r="A2672" t="s">
        <v>849</v>
      </c>
      <c r="B2672" t="s">
        <v>374</v>
      </c>
      <c r="C2672" t="s">
        <v>850</v>
      </c>
      <c r="D2672" t="s">
        <v>856</v>
      </c>
      <c r="E2672" t="s">
        <v>857</v>
      </c>
      <c r="F2672" s="13">
        <v>44795.505289351851</v>
      </c>
      <c r="G2672" t="s">
        <v>641</v>
      </c>
      <c r="H2672" t="s">
        <v>642</v>
      </c>
      <c r="I2672" s="13">
        <v>44795.505289351851</v>
      </c>
      <c r="K2672" t="s">
        <v>412</v>
      </c>
      <c r="M2672" s="13">
        <v>44469</v>
      </c>
      <c r="R2672">
        <v>0</v>
      </c>
      <c r="S2672" t="s">
        <v>380</v>
      </c>
      <c r="T2672" t="s">
        <v>57</v>
      </c>
      <c r="V2672" t="s">
        <v>381</v>
      </c>
      <c r="W2672" t="s">
        <v>858</v>
      </c>
      <c r="X2672" t="s">
        <v>858</v>
      </c>
      <c r="AC2672" s="13">
        <v>44469</v>
      </c>
      <c r="AD2672" s="13">
        <v>44469</v>
      </c>
      <c r="AI2672">
        <v>-326</v>
      </c>
      <c r="AN2672" t="s">
        <v>31</v>
      </c>
      <c r="AO2672">
        <v>0</v>
      </c>
      <c r="AS2672" t="s">
        <v>385</v>
      </c>
      <c r="AX2672" t="s">
        <v>57</v>
      </c>
      <c r="AY2672" t="s">
        <v>386</v>
      </c>
      <c r="AZ2672" t="s">
        <v>721</v>
      </c>
      <c r="BF2672">
        <v>0</v>
      </c>
      <c r="BK2672" t="s">
        <v>31</v>
      </c>
      <c r="BS2672" t="s">
        <v>412</v>
      </c>
      <c r="CI2672" t="s">
        <v>388</v>
      </c>
      <c r="CJ2672" s="14">
        <v>45016</v>
      </c>
      <c r="CK2672">
        <v>1</v>
      </c>
    </row>
    <row r="2673" spans="1:89">
      <c r="A2673" t="s">
        <v>859</v>
      </c>
      <c r="B2673" t="s">
        <v>374</v>
      </c>
      <c r="C2673" t="s">
        <v>860</v>
      </c>
      <c r="D2673" t="s">
        <v>861</v>
      </c>
      <c r="E2673" t="s">
        <v>862</v>
      </c>
      <c r="F2673" s="13">
        <v>44795.505266203705</v>
      </c>
      <c r="G2673" t="s">
        <v>641</v>
      </c>
      <c r="H2673" t="s">
        <v>642</v>
      </c>
      <c r="I2673" s="13">
        <v>44795.505277777775</v>
      </c>
      <c r="K2673" t="s">
        <v>412</v>
      </c>
      <c r="M2673" s="13">
        <v>44469</v>
      </c>
      <c r="R2673">
        <v>0</v>
      </c>
      <c r="S2673" t="s">
        <v>380</v>
      </c>
      <c r="T2673" t="s">
        <v>57</v>
      </c>
      <c r="V2673" t="s">
        <v>381</v>
      </c>
      <c r="W2673" t="s">
        <v>863</v>
      </c>
      <c r="X2673" t="s">
        <v>863</v>
      </c>
      <c r="AC2673" s="13">
        <v>44469</v>
      </c>
      <c r="AD2673" s="13">
        <v>44469</v>
      </c>
      <c r="AI2673">
        <v>-326</v>
      </c>
      <c r="AN2673" t="s">
        <v>31</v>
      </c>
      <c r="AO2673">
        <v>0</v>
      </c>
      <c r="AS2673" t="s">
        <v>385</v>
      </c>
      <c r="AX2673" t="s">
        <v>57</v>
      </c>
      <c r="AY2673" t="s">
        <v>386</v>
      </c>
      <c r="AZ2673" t="s">
        <v>721</v>
      </c>
      <c r="BF2673">
        <v>0</v>
      </c>
      <c r="BK2673" t="s">
        <v>31</v>
      </c>
      <c r="BS2673" t="s">
        <v>412</v>
      </c>
      <c r="CI2673" t="s">
        <v>388</v>
      </c>
      <c r="CJ2673" s="14">
        <v>45016</v>
      </c>
      <c r="CK2673">
        <v>1</v>
      </c>
    </row>
    <row r="2674" spans="1:89">
      <c r="A2674" t="s">
        <v>859</v>
      </c>
      <c r="B2674" t="s">
        <v>374</v>
      </c>
      <c r="C2674" t="s">
        <v>860</v>
      </c>
      <c r="D2674" t="s">
        <v>864</v>
      </c>
      <c r="E2674" t="s">
        <v>865</v>
      </c>
      <c r="F2674" s="13">
        <v>44795.505243055559</v>
      </c>
      <c r="G2674" t="s">
        <v>641</v>
      </c>
      <c r="H2674" t="s">
        <v>642</v>
      </c>
      <c r="I2674" s="13">
        <v>44795.505254629628</v>
      </c>
      <c r="K2674" t="s">
        <v>412</v>
      </c>
      <c r="M2674" s="13">
        <v>44696</v>
      </c>
      <c r="R2674">
        <v>0</v>
      </c>
      <c r="S2674" t="s">
        <v>380</v>
      </c>
      <c r="T2674" t="s">
        <v>57</v>
      </c>
      <c r="V2674" t="s">
        <v>381</v>
      </c>
      <c r="W2674" t="s">
        <v>866</v>
      </c>
      <c r="X2674" t="s">
        <v>866</v>
      </c>
      <c r="AC2674" s="13">
        <v>44545</v>
      </c>
      <c r="AD2674" s="13">
        <v>44545</v>
      </c>
      <c r="AI2674">
        <v>-99</v>
      </c>
      <c r="AN2674" t="s">
        <v>31</v>
      </c>
      <c r="AO2674">
        <v>0</v>
      </c>
      <c r="AS2674" t="s">
        <v>392</v>
      </c>
      <c r="AX2674" t="s">
        <v>57</v>
      </c>
      <c r="AY2674" t="s">
        <v>386</v>
      </c>
      <c r="AZ2674" t="s">
        <v>721</v>
      </c>
      <c r="BF2674">
        <v>0</v>
      </c>
      <c r="BK2674" t="s">
        <v>31</v>
      </c>
      <c r="BS2674" t="s">
        <v>412</v>
      </c>
      <c r="CI2674" t="s">
        <v>388</v>
      </c>
      <c r="CJ2674" s="14">
        <v>45016</v>
      </c>
      <c r="CK2674">
        <v>1</v>
      </c>
    </row>
    <row r="2675" spans="1:89">
      <c r="A2675" t="s">
        <v>867</v>
      </c>
      <c r="B2675" t="s">
        <v>374</v>
      </c>
      <c r="C2675" t="s">
        <v>607</v>
      </c>
      <c r="D2675" t="s">
        <v>868</v>
      </c>
      <c r="E2675" t="s">
        <v>869</v>
      </c>
      <c r="F2675" s="13">
        <v>44795.505231481482</v>
      </c>
      <c r="G2675" t="s">
        <v>641</v>
      </c>
      <c r="H2675" t="s">
        <v>642</v>
      </c>
      <c r="I2675" s="13">
        <v>44795.505231481482</v>
      </c>
      <c r="K2675" t="s">
        <v>412</v>
      </c>
      <c r="M2675" s="13">
        <v>44696</v>
      </c>
      <c r="R2675">
        <v>0</v>
      </c>
      <c r="S2675" t="s">
        <v>380</v>
      </c>
      <c r="T2675" t="s">
        <v>57</v>
      </c>
      <c r="V2675" t="s">
        <v>381</v>
      </c>
      <c r="W2675" t="s">
        <v>866</v>
      </c>
      <c r="X2675" t="s">
        <v>866</v>
      </c>
      <c r="AC2675" s="13">
        <v>44545</v>
      </c>
      <c r="AD2675" s="13">
        <v>44545</v>
      </c>
      <c r="AI2675">
        <v>-99</v>
      </c>
      <c r="AN2675" t="s">
        <v>31</v>
      </c>
      <c r="AO2675">
        <v>0</v>
      </c>
      <c r="AS2675" t="s">
        <v>385</v>
      </c>
      <c r="AX2675" t="s">
        <v>57</v>
      </c>
      <c r="AY2675" t="s">
        <v>386</v>
      </c>
      <c r="AZ2675" t="s">
        <v>721</v>
      </c>
      <c r="BF2675">
        <v>0</v>
      </c>
      <c r="BK2675" t="s">
        <v>31</v>
      </c>
      <c r="BS2675" t="s">
        <v>412</v>
      </c>
      <c r="CI2675" t="s">
        <v>388</v>
      </c>
      <c r="CJ2675" s="14">
        <v>45016</v>
      </c>
      <c r="CK2675">
        <v>1</v>
      </c>
    </row>
    <row r="2676" spans="1:89">
      <c r="A2676" t="s">
        <v>867</v>
      </c>
      <c r="B2676" t="s">
        <v>374</v>
      </c>
      <c r="C2676" t="s">
        <v>607</v>
      </c>
      <c r="D2676" t="s">
        <v>870</v>
      </c>
      <c r="E2676" t="s">
        <v>871</v>
      </c>
      <c r="F2676" s="13">
        <v>44795.505208333336</v>
      </c>
      <c r="G2676" t="s">
        <v>641</v>
      </c>
      <c r="H2676" t="s">
        <v>642</v>
      </c>
      <c r="I2676" s="13">
        <v>44795.505219907405</v>
      </c>
      <c r="K2676" t="s">
        <v>412</v>
      </c>
      <c r="M2676" s="13">
        <v>44651</v>
      </c>
      <c r="R2676">
        <v>0</v>
      </c>
      <c r="S2676" t="s">
        <v>380</v>
      </c>
      <c r="T2676" t="s">
        <v>57</v>
      </c>
      <c r="V2676" t="s">
        <v>381</v>
      </c>
      <c r="W2676" t="s">
        <v>800</v>
      </c>
      <c r="X2676" t="s">
        <v>800</v>
      </c>
      <c r="AC2676" s="13">
        <v>44651</v>
      </c>
      <c r="AD2676" s="13">
        <v>44651</v>
      </c>
      <c r="AI2676">
        <v>-144</v>
      </c>
      <c r="AN2676" t="s">
        <v>31</v>
      </c>
      <c r="AO2676">
        <v>0</v>
      </c>
      <c r="AS2676" t="s">
        <v>730</v>
      </c>
      <c r="AX2676" t="s">
        <v>57</v>
      </c>
      <c r="AY2676" t="s">
        <v>386</v>
      </c>
      <c r="AZ2676" t="s">
        <v>721</v>
      </c>
      <c r="BF2676">
        <v>0</v>
      </c>
      <c r="BK2676" t="s">
        <v>31</v>
      </c>
      <c r="BS2676" t="s">
        <v>412</v>
      </c>
      <c r="CI2676" t="s">
        <v>388</v>
      </c>
      <c r="CJ2676" s="14">
        <v>45016</v>
      </c>
      <c r="CK2676">
        <v>1</v>
      </c>
    </row>
    <row r="2677" spans="1:89">
      <c r="A2677" t="s">
        <v>714</v>
      </c>
      <c r="B2677" t="s">
        <v>374</v>
      </c>
      <c r="C2677" t="s">
        <v>715</v>
      </c>
      <c r="D2677" t="s">
        <v>872</v>
      </c>
      <c r="E2677" t="s">
        <v>873</v>
      </c>
      <c r="F2677" s="13">
        <v>44795.505185185182</v>
      </c>
      <c r="G2677" t="s">
        <v>641</v>
      </c>
      <c r="H2677" t="s">
        <v>642</v>
      </c>
      <c r="I2677" s="13">
        <v>44795.505196759259</v>
      </c>
      <c r="K2677" t="s">
        <v>412</v>
      </c>
      <c r="M2677" s="13">
        <v>44742</v>
      </c>
      <c r="R2677">
        <v>0</v>
      </c>
      <c r="S2677" t="s">
        <v>416</v>
      </c>
      <c r="T2677" t="s">
        <v>57</v>
      </c>
      <c r="V2677" t="s">
        <v>381</v>
      </c>
      <c r="W2677" t="s">
        <v>874</v>
      </c>
      <c r="X2677" t="s">
        <v>874</v>
      </c>
      <c r="AC2677" s="13">
        <v>44926</v>
      </c>
      <c r="AD2677" s="13">
        <v>44926</v>
      </c>
      <c r="AI2677">
        <v>-53</v>
      </c>
      <c r="AN2677" t="s">
        <v>31</v>
      </c>
      <c r="AO2677">
        <v>0</v>
      </c>
      <c r="AS2677" t="s">
        <v>392</v>
      </c>
      <c r="AY2677" t="s">
        <v>442</v>
      </c>
      <c r="AZ2677" t="s">
        <v>875</v>
      </c>
      <c r="BF2677">
        <v>0</v>
      </c>
      <c r="BK2677" t="s">
        <v>31</v>
      </c>
      <c r="BS2677" t="s">
        <v>412</v>
      </c>
      <c r="CI2677" t="s">
        <v>388</v>
      </c>
      <c r="CJ2677" s="14">
        <v>45016</v>
      </c>
      <c r="CK2677">
        <v>1</v>
      </c>
    </row>
    <row r="2678" spans="1:89">
      <c r="A2678" t="s">
        <v>714</v>
      </c>
      <c r="B2678" t="s">
        <v>374</v>
      </c>
      <c r="C2678" t="s">
        <v>715</v>
      </c>
      <c r="D2678" t="s">
        <v>876</v>
      </c>
      <c r="E2678" t="s">
        <v>877</v>
      </c>
      <c r="F2678" s="13">
        <v>44795.505173611113</v>
      </c>
      <c r="G2678" t="s">
        <v>641</v>
      </c>
      <c r="H2678" t="s">
        <v>642</v>
      </c>
      <c r="I2678" s="13">
        <v>44795.505173611113</v>
      </c>
      <c r="K2678" t="s">
        <v>412</v>
      </c>
      <c r="M2678" s="13">
        <v>44651</v>
      </c>
      <c r="R2678">
        <v>0</v>
      </c>
      <c r="S2678" t="s">
        <v>416</v>
      </c>
      <c r="T2678" t="s">
        <v>57</v>
      </c>
      <c r="V2678" t="s">
        <v>381</v>
      </c>
      <c r="W2678" t="s">
        <v>874</v>
      </c>
      <c r="X2678" t="s">
        <v>874</v>
      </c>
      <c r="AC2678" s="13">
        <v>44742</v>
      </c>
      <c r="AD2678" s="13">
        <v>44742</v>
      </c>
      <c r="AI2678">
        <v>-144</v>
      </c>
      <c r="AN2678" t="s">
        <v>31</v>
      </c>
      <c r="AO2678">
        <v>0</v>
      </c>
      <c r="AS2678" t="s">
        <v>392</v>
      </c>
      <c r="AX2678" t="s">
        <v>31</v>
      </c>
      <c r="AY2678" t="s">
        <v>442</v>
      </c>
      <c r="AZ2678" t="s">
        <v>875</v>
      </c>
      <c r="BF2678">
        <v>0</v>
      </c>
      <c r="BK2678" t="s">
        <v>31</v>
      </c>
      <c r="BS2678" t="s">
        <v>412</v>
      </c>
      <c r="CI2678" t="s">
        <v>388</v>
      </c>
      <c r="CJ2678" s="14">
        <v>45016</v>
      </c>
      <c r="CK2678">
        <v>1</v>
      </c>
    </row>
    <row r="2679" spans="1:89">
      <c r="A2679" t="s">
        <v>714</v>
      </c>
      <c r="B2679" t="s">
        <v>374</v>
      </c>
      <c r="C2679" t="s">
        <v>715</v>
      </c>
      <c r="D2679" t="s">
        <v>878</v>
      </c>
      <c r="E2679" t="s">
        <v>879</v>
      </c>
      <c r="F2679" s="13">
        <v>44795.505150462966</v>
      </c>
      <c r="G2679" t="s">
        <v>641</v>
      </c>
      <c r="H2679" t="s">
        <v>642</v>
      </c>
      <c r="I2679" s="13">
        <v>44795.505162037036</v>
      </c>
      <c r="K2679" t="s">
        <v>412</v>
      </c>
      <c r="M2679" s="13">
        <v>44957</v>
      </c>
      <c r="R2679">
        <v>0</v>
      </c>
      <c r="S2679" t="s">
        <v>416</v>
      </c>
      <c r="T2679" t="s">
        <v>57</v>
      </c>
      <c r="V2679" t="s">
        <v>381</v>
      </c>
      <c r="W2679" t="s">
        <v>880</v>
      </c>
      <c r="X2679" t="s">
        <v>880</v>
      </c>
      <c r="AC2679" s="13">
        <v>44957</v>
      </c>
      <c r="AD2679" s="13">
        <v>44957</v>
      </c>
      <c r="AI2679">
        <v>162</v>
      </c>
      <c r="AN2679" t="s">
        <v>31</v>
      </c>
      <c r="AO2679">
        <v>0</v>
      </c>
      <c r="AS2679" t="s">
        <v>881</v>
      </c>
      <c r="AX2679" t="s">
        <v>57</v>
      </c>
      <c r="AY2679" t="s">
        <v>442</v>
      </c>
      <c r="AZ2679" t="s">
        <v>882</v>
      </c>
      <c r="BF2679">
        <v>0</v>
      </c>
      <c r="BK2679" t="s">
        <v>31</v>
      </c>
      <c r="BS2679" t="s">
        <v>412</v>
      </c>
      <c r="CI2679" t="s">
        <v>388</v>
      </c>
      <c r="CJ2679" s="14">
        <v>45016</v>
      </c>
      <c r="CK2679">
        <v>1</v>
      </c>
    </row>
    <row r="2680" spans="1:89">
      <c r="A2680" t="s">
        <v>883</v>
      </c>
      <c r="B2680" t="s">
        <v>374</v>
      </c>
      <c r="C2680" t="s">
        <v>473</v>
      </c>
      <c r="D2680" t="s">
        <v>884</v>
      </c>
      <c r="E2680" t="s">
        <v>885</v>
      </c>
      <c r="F2680" s="13">
        <v>44795.505127314813</v>
      </c>
      <c r="G2680" t="s">
        <v>641</v>
      </c>
      <c r="H2680" t="s">
        <v>642</v>
      </c>
      <c r="I2680" s="13">
        <v>44795.50513888889</v>
      </c>
      <c r="K2680" t="s">
        <v>412</v>
      </c>
      <c r="M2680" s="13">
        <v>44576</v>
      </c>
      <c r="R2680">
        <v>0</v>
      </c>
      <c r="S2680" t="s">
        <v>380</v>
      </c>
      <c r="T2680" t="s">
        <v>57</v>
      </c>
      <c r="V2680" t="s">
        <v>381</v>
      </c>
      <c r="W2680" t="s">
        <v>886</v>
      </c>
      <c r="X2680" t="s">
        <v>886</v>
      </c>
      <c r="AC2680" s="13">
        <v>44576</v>
      </c>
      <c r="AD2680" s="13">
        <v>44576</v>
      </c>
      <c r="AI2680">
        <v>-219</v>
      </c>
      <c r="AN2680" t="s">
        <v>31</v>
      </c>
      <c r="AO2680">
        <v>0</v>
      </c>
      <c r="AS2680" t="s">
        <v>385</v>
      </c>
      <c r="AX2680" t="s">
        <v>57</v>
      </c>
      <c r="AY2680" t="s">
        <v>386</v>
      </c>
      <c r="AZ2680" t="s">
        <v>721</v>
      </c>
      <c r="BF2680">
        <v>0</v>
      </c>
      <c r="BK2680" t="s">
        <v>31</v>
      </c>
      <c r="BS2680" t="s">
        <v>412</v>
      </c>
      <c r="CI2680" t="s">
        <v>388</v>
      </c>
      <c r="CJ2680" s="14">
        <v>45016</v>
      </c>
      <c r="CK2680">
        <v>1</v>
      </c>
    </row>
    <row r="2681" spans="1:89">
      <c r="A2681" t="s">
        <v>883</v>
      </c>
      <c r="B2681" t="s">
        <v>374</v>
      </c>
      <c r="C2681" t="s">
        <v>473</v>
      </c>
      <c r="D2681" t="s">
        <v>887</v>
      </c>
      <c r="E2681" t="s">
        <v>888</v>
      </c>
      <c r="F2681" s="13">
        <v>44795.505104166667</v>
      </c>
      <c r="G2681" t="s">
        <v>641</v>
      </c>
      <c r="H2681" t="s">
        <v>642</v>
      </c>
      <c r="I2681" s="13">
        <v>44795.505115740743</v>
      </c>
      <c r="K2681" t="s">
        <v>412</v>
      </c>
      <c r="M2681" s="13">
        <v>44576</v>
      </c>
      <c r="R2681">
        <v>0</v>
      </c>
      <c r="S2681" t="s">
        <v>380</v>
      </c>
      <c r="T2681" t="s">
        <v>57</v>
      </c>
      <c r="V2681" t="s">
        <v>381</v>
      </c>
      <c r="W2681" t="s">
        <v>886</v>
      </c>
      <c r="X2681" t="s">
        <v>886</v>
      </c>
      <c r="AC2681" s="13">
        <v>44576</v>
      </c>
      <c r="AD2681" s="13">
        <v>44576</v>
      </c>
      <c r="AI2681">
        <v>-219</v>
      </c>
      <c r="AN2681" t="s">
        <v>31</v>
      </c>
      <c r="AO2681">
        <v>0</v>
      </c>
      <c r="AS2681" t="s">
        <v>385</v>
      </c>
      <c r="AX2681" t="s">
        <v>57</v>
      </c>
      <c r="AY2681" t="s">
        <v>386</v>
      </c>
      <c r="AZ2681" t="s">
        <v>721</v>
      </c>
      <c r="BF2681">
        <v>0</v>
      </c>
      <c r="BK2681" t="s">
        <v>31</v>
      </c>
      <c r="BS2681" t="s">
        <v>412</v>
      </c>
      <c r="CI2681" t="s">
        <v>388</v>
      </c>
      <c r="CJ2681" s="14">
        <v>45016</v>
      </c>
      <c r="CK2681">
        <v>1</v>
      </c>
    </row>
    <row r="2682" spans="1:89">
      <c r="A2682" t="s">
        <v>883</v>
      </c>
      <c r="B2682" t="s">
        <v>374</v>
      </c>
      <c r="C2682" t="s">
        <v>473</v>
      </c>
      <c r="D2682" t="s">
        <v>889</v>
      </c>
      <c r="E2682" t="s">
        <v>890</v>
      </c>
      <c r="F2682" s="13">
        <v>44795.50509259259</v>
      </c>
      <c r="G2682" t="s">
        <v>641</v>
      </c>
      <c r="H2682" t="s">
        <v>642</v>
      </c>
      <c r="I2682" s="13">
        <v>44795.505104166667</v>
      </c>
      <c r="K2682" t="s">
        <v>412</v>
      </c>
      <c r="M2682" s="13">
        <v>44576</v>
      </c>
      <c r="R2682">
        <v>0</v>
      </c>
      <c r="S2682" t="s">
        <v>380</v>
      </c>
      <c r="T2682" t="s">
        <v>57</v>
      </c>
      <c r="V2682" t="s">
        <v>381</v>
      </c>
      <c r="W2682" t="s">
        <v>886</v>
      </c>
      <c r="X2682" t="s">
        <v>886</v>
      </c>
      <c r="AC2682" s="13">
        <v>44576</v>
      </c>
      <c r="AD2682" s="13">
        <v>44576</v>
      </c>
      <c r="AI2682">
        <v>-219</v>
      </c>
      <c r="AN2682" t="s">
        <v>31</v>
      </c>
      <c r="AO2682">
        <v>0</v>
      </c>
      <c r="AS2682" t="s">
        <v>385</v>
      </c>
      <c r="AX2682" t="s">
        <v>57</v>
      </c>
      <c r="AY2682" t="s">
        <v>386</v>
      </c>
      <c r="AZ2682" t="s">
        <v>721</v>
      </c>
      <c r="BF2682">
        <v>0</v>
      </c>
      <c r="BK2682" t="s">
        <v>31</v>
      </c>
      <c r="BS2682" t="s">
        <v>412</v>
      </c>
      <c r="CI2682" t="s">
        <v>388</v>
      </c>
      <c r="CJ2682" s="14">
        <v>45016</v>
      </c>
      <c r="CK2682">
        <v>1</v>
      </c>
    </row>
    <row r="2683" spans="1:89">
      <c r="A2683" t="s">
        <v>883</v>
      </c>
      <c r="B2683" t="s">
        <v>374</v>
      </c>
      <c r="C2683" t="s">
        <v>473</v>
      </c>
      <c r="D2683" t="s">
        <v>891</v>
      </c>
      <c r="E2683" t="s">
        <v>892</v>
      </c>
      <c r="F2683" s="13">
        <v>44795.505069444444</v>
      </c>
      <c r="G2683" t="s">
        <v>641</v>
      </c>
      <c r="H2683" t="s">
        <v>642</v>
      </c>
      <c r="I2683" s="13">
        <v>44795.50508101852</v>
      </c>
      <c r="K2683" t="s">
        <v>412</v>
      </c>
      <c r="M2683" s="13">
        <v>44576</v>
      </c>
      <c r="R2683">
        <v>0</v>
      </c>
      <c r="S2683" t="s">
        <v>380</v>
      </c>
      <c r="T2683" t="s">
        <v>57</v>
      </c>
      <c r="V2683" t="s">
        <v>381</v>
      </c>
      <c r="W2683" t="s">
        <v>886</v>
      </c>
      <c r="X2683" t="s">
        <v>886</v>
      </c>
      <c r="AC2683" s="13">
        <v>44576</v>
      </c>
      <c r="AD2683" s="13">
        <v>44576</v>
      </c>
      <c r="AI2683">
        <v>-219</v>
      </c>
      <c r="AN2683" t="s">
        <v>31</v>
      </c>
      <c r="AO2683">
        <v>0</v>
      </c>
      <c r="AS2683" t="s">
        <v>385</v>
      </c>
      <c r="AX2683" t="s">
        <v>57</v>
      </c>
      <c r="AY2683" t="s">
        <v>386</v>
      </c>
      <c r="AZ2683" t="s">
        <v>721</v>
      </c>
      <c r="BF2683">
        <v>0</v>
      </c>
      <c r="BK2683" t="s">
        <v>31</v>
      </c>
      <c r="BS2683" t="s">
        <v>412</v>
      </c>
      <c r="CI2683" t="s">
        <v>388</v>
      </c>
      <c r="CJ2683" s="14">
        <v>45016</v>
      </c>
      <c r="CK2683">
        <v>1</v>
      </c>
    </row>
    <row r="2684" spans="1:89">
      <c r="A2684" t="s">
        <v>883</v>
      </c>
      <c r="B2684" t="s">
        <v>374</v>
      </c>
      <c r="C2684" t="s">
        <v>473</v>
      </c>
      <c r="D2684" t="s">
        <v>893</v>
      </c>
      <c r="E2684" t="s">
        <v>894</v>
      </c>
      <c r="F2684" s="13">
        <v>44795.50503472222</v>
      </c>
      <c r="G2684" t="s">
        <v>641</v>
      </c>
      <c r="H2684" t="s">
        <v>642</v>
      </c>
      <c r="I2684" s="13">
        <v>44795.505057870374</v>
      </c>
      <c r="K2684" t="s">
        <v>412</v>
      </c>
      <c r="M2684" s="13">
        <v>44576</v>
      </c>
      <c r="R2684">
        <v>0</v>
      </c>
      <c r="S2684" t="s">
        <v>380</v>
      </c>
      <c r="T2684" t="s">
        <v>57</v>
      </c>
      <c r="V2684" t="s">
        <v>381</v>
      </c>
      <c r="W2684" t="s">
        <v>886</v>
      </c>
      <c r="X2684" t="s">
        <v>886</v>
      </c>
      <c r="AC2684" s="13">
        <v>44576</v>
      </c>
      <c r="AD2684" s="13">
        <v>44576</v>
      </c>
      <c r="AI2684">
        <v>-219</v>
      </c>
      <c r="AN2684" t="s">
        <v>31</v>
      </c>
      <c r="AO2684">
        <v>0</v>
      </c>
      <c r="AS2684" t="s">
        <v>385</v>
      </c>
      <c r="AX2684" t="s">
        <v>57</v>
      </c>
      <c r="AY2684" t="s">
        <v>386</v>
      </c>
      <c r="AZ2684" t="s">
        <v>721</v>
      </c>
      <c r="BF2684">
        <v>0</v>
      </c>
      <c r="BK2684" t="s">
        <v>31</v>
      </c>
      <c r="BS2684" t="s">
        <v>412</v>
      </c>
      <c r="CI2684" t="s">
        <v>388</v>
      </c>
      <c r="CJ2684" s="14">
        <v>45016</v>
      </c>
      <c r="CK2684">
        <v>1</v>
      </c>
    </row>
    <row r="2685" spans="1:89">
      <c r="A2685" t="s">
        <v>895</v>
      </c>
      <c r="B2685" t="s">
        <v>374</v>
      </c>
      <c r="C2685" t="s">
        <v>896</v>
      </c>
      <c r="D2685" t="s">
        <v>897</v>
      </c>
      <c r="E2685" t="s">
        <v>898</v>
      </c>
      <c r="F2685" s="13">
        <v>44795.505011574074</v>
      </c>
      <c r="G2685" t="s">
        <v>641</v>
      </c>
      <c r="H2685" t="s">
        <v>642</v>
      </c>
      <c r="I2685" s="13">
        <v>44795.50503472222</v>
      </c>
      <c r="K2685" t="s">
        <v>412</v>
      </c>
      <c r="M2685" s="13">
        <v>44545</v>
      </c>
      <c r="R2685">
        <v>0</v>
      </c>
      <c r="S2685" t="s">
        <v>380</v>
      </c>
      <c r="T2685" t="s">
        <v>57</v>
      </c>
      <c r="V2685" t="s">
        <v>381</v>
      </c>
      <c r="W2685" t="s">
        <v>899</v>
      </c>
      <c r="X2685" t="s">
        <v>899</v>
      </c>
      <c r="AC2685" s="13">
        <v>44545</v>
      </c>
      <c r="AD2685" s="13">
        <v>44545</v>
      </c>
      <c r="AI2685">
        <v>-250</v>
      </c>
      <c r="AN2685" t="s">
        <v>31</v>
      </c>
      <c r="AO2685">
        <v>0</v>
      </c>
      <c r="AS2685" t="s">
        <v>461</v>
      </c>
      <c r="AX2685" t="s">
        <v>57</v>
      </c>
      <c r="AY2685" t="s">
        <v>386</v>
      </c>
      <c r="AZ2685" t="s">
        <v>721</v>
      </c>
      <c r="BF2685">
        <v>0</v>
      </c>
      <c r="BK2685" t="s">
        <v>31</v>
      </c>
      <c r="BS2685" t="s">
        <v>412</v>
      </c>
      <c r="CI2685" t="s">
        <v>388</v>
      </c>
      <c r="CJ2685" s="14">
        <v>45016</v>
      </c>
      <c r="CK2685">
        <v>1</v>
      </c>
    </row>
    <row r="2686" spans="1:89">
      <c r="A2686" t="s">
        <v>895</v>
      </c>
      <c r="B2686" t="s">
        <v>374</v>
      </c>
      <c r="C2686" t="s">
        <v>896</v>
      </c>
      <c r="D2686" t="s">
        <v>900</v>
      </c>
      <c r="E2686" t="s">
        <v>901</v>
      </c>
      <c r="F2686" s="13">
        <v>44795.504988425928</v>
      </c>
      <c r="G2686" t="s">
        <v>641</v>
      </c>
      <c r="H2686" t="s">
        <v>642</v>
      </c>
      <c r="I2686" s="13">
        <v>44795.505011574074</v>
      </c>
      <c r="K2686" t="s">
        <v>412</v>
      </c>
      <c r="M2686" s="13">
        <v>44545</v>
      </c>
      <c r="R2686">
        <v>0</v>
      </c>
      <c r="S2686" t="s">
        <v>380</v>
      </c>
      <c r="T2686" t="s">
        <v>57</v>
      </c>
      <c r="V2686" t="s">
        <v>381</v>
      </c>
      <c r="W2686" t="s">
        <v>899</v>
      </c>
      <c r="X2686" t="s">
        <v>899</v>
      </c>
      <c r="AC2686" s="13">
        <v>44545</v>
      </c>
      <c r="AD2686" s="13">
        <v>44545</v>
      </c>
      <c r="AI2686">
        <v>-250</v>
      </c>
      <c r="AN2686" t="s">
        <v>31</v>
      </c>
      <c r="AO2686">
        <v>0</v>
      </c>
      <c r="AS2686" t="s">
        <v>385</v>
      </c>
      <c r="AX2686" t="s">
        <v>57</v>
      </c>
      <c r="AY2686" t="s">
        <v>386</v>
      </c>
      <c r="AZ2686" t="s">
        <v>721</v>
      </c>
      <c r="BF2686">
        <v>0</v>
      </c>
      <c r="BK2686" t="s">
        <v>31</v>
      </c>
      <c r="BS2686" t="s">
        <v>412</v>
      </c>
      <c r="CI2686" t="s">
        <v>388</v>
      </c>
      <c r="CJ2686" s="14">
        <v>45016</v>
      </c>
      <c r="CK2686">
        <v>1</v>
      </c>
    </row>
    <row r="2687" spans="1:89">
      <c r="A2687" t="s">
        <v>902</v>
      </c>
      <c r="B2687" t="s">
        <v>374</v>
      </c>
      <c r="C2687" t="s">
        <v>903</v>
      </c>
      <c r="D2687" t="s">
        <v>904</v>
      </c>
      <c r="E2687" t="s">
        <v>905</v>
      </c>
      <c r="F2687" s="13">
        <v>44795.504965277774</v>
      </c>
      <c r="G2687" t="s">
        <v>641</v>
      </c>
      <c r="H2687" t="s">
        <v>642</v>
      </c>
      <c r="I2687" s="13">
        <v>44795.504976851851</v>
      </c>
      <c r="K2687" t="s">
        <v>412</v>
      </c>
      <c r="M2687" s="13">
        <v>44545</v>
      </c>
      <c r="R2687">
        <v>0</v>
      </c>
      <c r="S2687" t="s">
        <v>416</v>
      </c>
      <c r="T2687" t="s">
        <v>57</v>
      </c>
      <c r="V2687" t="s">
        <v>381</v>
      </c>
      <c r="W2687" t="s">
        <v>906</v>
      </c>
      <c r="X2687" t="s">
        <v>906</v>
      </c>
      <c r="AC2687" s="13">
        <v>44545</v>
      </c>
      <c r="AD2687" s="13">
        <v>44545</v>
      </c>
      <c r="AI2687">
        <v>-250</v>
      </c>
      <c r="AN2687" t="s">
        <v>31</v>
      </c>
      <c r="AO2687">
        <v>0</v>
      </c>
      <c r="AS2687" t="s">
        <v>385</v>
      </c>
      <c r="AX2687" t="s">
        <v>57</v>
      </c>
      <c r="AY2687" t="s">
        <v>386</v>
      </c>
      <c r="AZ2687" t="s">
        <v>721</v>
      </c>
      <c r="BF2687">
        <v>0</v>
      </c>
      <c r="BK2687" t="s">
        <v>31</v>
      </c>
      <c r="BS2687" t="s">
        <v>412</v>
      </c>
      <c r="CI2687" t="s">
        <v>388</v>
      </c>
      <c r="CJ2687" s="14">
        <v>45016</v>
      </c>
      <c r="CK2687">
        <v>1</v>
      </c>
    </row>
    <row r="2688" spans="1:89">
      <c r="A2688" t="s">
        <v>902</v>
      </c>
      <c r="B2688" t="s">
        <v>374</v>
      </c>
      <c r="C2688" t="s">
        <v>903</v>
      </c>
      <c r="D2688" t="s">
        <v>907</v>
      </c>
      <c r="E2688" t="s">
        <v>908</v>
      </c>
      <c r="F2688" s="13">
        <v>44795.504942129628</v>
      </c>
      <c r="G2688" t="s">
        <v>641</v>
      </c>
      <c r="H2688" t="s">
        <v>642</v>
      </c>
      <c r="I2688" s="13">
        <v>44795.504953703705</v>
      </c>
      <c r="K2688" t="s">
        <v>412</v>
      </c>
      <c r="M2688" s="13">
        <v>44545</v>
      </c>
      <c r="R2688">
        <v>0</v>
      </c>
      <c r="S2688" t="s">
        <v>380</v>
      </c>
      <c r="T2688" t="s">
        <v>57</v>
      </c>
      <c r="V2688" t="s">
        <v>381</v>
      </c>
      <c r="W2688" t="s">
        <v>909</v>
      </c>
      <c r="X2688" t="s">
        <v>909</v>
      </c>
      <c r="AC2688" s="13">
        <v>44545</v>
      </c>
      <c r="AD2688" s="13">
        <v>44545</v>
      </c>
      <c r="AI2688">
        <v>-250</v>
      </c>
      <c r="AN2688" t="s">
        <v>31</v>
      </c>
      <c r="AO2688">
        <v>0</v>
      </c>
      <c r="AS2688" t="s">
        <v>702</v>
      </c>
      <c r="AX2688" t="s">
        <v>57</v>
      </c>
      <c r="AY2688" t="s">
        <v>386</v>
      </c>
      <c r="AZ2688" t="s">
        <v>721</v>
      </c>
      <c r="BF2688">
        <v>0</v>
      </c>
      <c r="BK2688" t="s">
        <v>31</v>
      </c>
      <c r="BS2688" t="s">
        <v>412</v>
      </c>
      <c r="CI2688" t="s">
        <v>388</v>
      </c>
      <c r="CJ2688" s="14">
        <v>45016</v>
      </c>
      <c r="CK2688">
        <v>1</v>
      </c>
    </row>
    <row r="2689" spans="1:89">
      <c r="A2689" t="s">
        <v>895</v>
      </c>
      <c r="B2689" t="s">
        <v>374</v>
      </c>
      <c r="C2689" t="s">
        <v>896</v>
      </c>
      <c r="D2689" t="s">
        <v>910</v>
      </c>
      <c r="E2689" t="s">
        <v>911</v>
      </c>
      <c r="F2689" s="13">
        <v>44795.504918981482</v>
      </c>
      <c r="G2689" t="s">
        <v>641</v>
      </c>
      <c r="H2689" t="s">
        <v>642</v>
      </c>
      <c r="I2689" s="13">
        <v>44795.504930555559</v>
      </c>
      <c r="K2689" t="s">
        <v>412</v>
      </c>
      <c r="M2689" s="13">
        <v>44576</v>
      </c>
      <c r="R2689">
        <v>0</v>
      </c>
      <c r="S2689" t="s">
        <v>380</v>
      </c>
      <c r="T2689" t="s">
        <v>57</v>
      </c>
      <c r="V2689" t="s">
        <v>381</v>
      </c>
      <c r="W2689" t="s">
        <v>912</v>
      </c>
      <c r="X2689" t="s">
        <v>912</v>
      </c>
      <c r="AC2689" s="13">
        <v>44576</v>
      </c>
      <c r="AD2689" s="13">
        <v>44576</v>
      </c>
      <c r="AI2689">
        <v>-219</v>
      </c>
      <c r="AN2689" t="s">
        <v>31</v>
      </c>
      <c r="AO2689">
        <v>0</v>
      </c>
      <c r="AS2689" t="s">
        <v>702</v>
      </c>
      <c r="AX2689" t="s">
        <v>57</v>
      </c>
      <c r="AY2689" t="s">
        <v>386</v>
      </c>
      <c r="AZ2689" t="s">
        <v>721</v>
      </c>
      <c r="BF2689">
        <v>0</v>
      </c>
      <c r="BK2689" t="s">
        <v>31</v>
      </c>
      <c r="BS2689" t="s">
        <v>412</v>
      </c>
      <c r="CI2689" t="s">
        <v>388</v>
      </c>
      <c r="CJ2689" s="14">
        <v>45016</v>
      </c>
      <c r="CK2689">
        <v>1</v>
      </c>
    </row>
    <row r="2690" spans="1:89">
      <c r="A2690" t="s">
        <v>895</v>
      </c>
      <c r="B2690" t="s">
        <v>374</v>
      </c>
      <c r="C2690" t="s">
        <v>896</v>
      </c>
      <c r="D2690" t="s">
        <v>913</v>
      </c>
      <c r="E2690" t="s">
        <v>914</v>
      </c>
      <c r="F2690" s="13">
        <v>44795.504895833335</v>
      </c>
      <c r="G2690" t="s">
        <v>641</v>
      </c>
      <c r="H2690" t="s">
        <v>642</v>
      </c>
      <c r="I2690" s="13">
        <v>44795.504907407405</v>
      </c>
      <c r="K2690" t="s">
        <v>412</v>
      </c>
      <c r="M2690" s="13">
        <v>44545</v>
      </c>
      <c r="R2690">
        <v>0</v>
      </c>
      <c r="S2690" t="s">
        <v>380</v>
      </c>
      <c r="T2690" t="s">
        <v>57</v>
      </c>
      <c r="V2690" t="s">
        <v>381</v>
      </c>
      <c r="W2690" t="s">
        <v>912</v>
      </c>
      <c r="X2690" t="s">
        <v>912</v>
      </c>
      <c r="AC2690" s="13">
        <v>44545</v>
      </c>
      <c r="AD2690" s="13">
        <v>44545</v>
      </c>
      <c r="AI2690">
        <v>-250</v>
      </c>
      <c r="AN2690" t="s">
        <v>31</v>
      </c>
      <c r="AO2690">
        <v>0</v>
      </c>
      <c r="AS2690" t="s">
        <v>385</v>
      </c>
      <c r="AX2690" t="s">
        <v>57</v>
      </c>
      <c r="AY2690" t="s">
        <v>386</v>
      </c>
      <c r="AZ2690" t="s">
        <v>721</v>
      </c>
      <c r="BF2690">
        <v>0</v>
      </c>
      <c r="BK2690" t="s">
        <v>31</v>
      </c>
      <c r="BS2690" t="s">
        <v>412</v>
      </c>
      <c r="CI2690" t="s">
        <v>388</v>
      </c>
      <c r="CJ2690" s="14">
        <v>45016</v>
      </c>
      <c r="CK2690">
        <v>1</v>
      </c>
    </row>
    <row r="2691" spans="1:89">
      <c r="A2691" t="s">
        <v>915</v>
      </c>
      <c r="B2691" t="s">
        <v>374</v>
      </c>
      <c r="C2691" t="s">
        <v>916</v>
      </c>
      <c r="D2691" t="s">
        <v>917</v>
      </c>
      <c r="E2691" t="s">
        <v>918</v>
      </c>
      <c r="F2691" s="13">
        <v>44795.504872685182</v>
      </c>
      <c r="G2691" t="s">
        <v>641</v>
      </c>
      <c r="H2691" t="s">
        <v>642</v>
      </c>
      <c r="I2691" s="13">
        <v>44795.504884259259</v>
      </c>
      <c r="K2691" t="s">
        <v>412</v>
      </c>
      <c r="M2691" s="13">
        <v>44456</v>
      </c>
      <c r="R2691">
        <v>0</v>
      </c>
      <c r="S2691" t="s">
        <v>380</v>
      </c>
      <c r="T2691" t="s">
        <v>57</v>
      </c>
      <c r="V2691" t="s">
        <v>381</v>
      </c>
      <c r="W2691" t="s">
        <v>912</v>
      </c>
      <c r="X2691" t="s">
        <v>912</v>
      </c>
      <c r="AC2691" s="13">
        <v>44456</v>
      </c>
      <c r="AD2691" s="13">
        <v>44456</v>
      </c>
      <c r="AI2691">
        <v>-339</v>
      </c>
      <c r="AN2691" t="s">
        <v>31</v>
      </c>
      <c r="AO2691">
        <v>0</v>
      </c>
      <c r="AS2691" t="s">
        <v>385</v>
      </c>
      <c r="AX2691" t="s">
        <v>57</v>
      </c>
      <c r="AY2691" t="s">
        <v>386</v>
      </c>
      <c r="AZ2691" t="s">
        <v>721</v>
      </c>
      <c r="BF2691">
        <v>0</v>
      </c>
      <c r="BK2691" t="s">
        <v>31</v>
      </c>
      <c r="BS2691" t="s">
        <v>412</v>
      </c>
      <c r="CI2691" t="s">
        <v>388</v>
      </c>
      <c r="CJ2691" s="14">
        <v>45016</v>
      </c>
      <c r="CK2691">
        <v>1</v>
      </c>
    </row>
    <row r="2692" spans="1:89">
      <c r="A2692" t="s">
        <v>895</v>
      </c>
      <c r="B2692" t="s">
        <v>374</v>
      </c>
      <c r="C2692" t="s">
        <v>896</v>
      </c>
      <c r="D2692" t="s">
        <v>919</v>
      </c>
      <c r="E2692" t="s">
        <v>920</v>
      </c>
      <c r="F2692" s="13">
        <v>44795.504849537036</v>
      </c>
      <c r="G2692" t="s">
        <v>641</v>
      </c>
      <c r="H2692" t="s">
        <v>642</v>
      </c>
      <c r="I2692" s="13">
        <v>44795.504861111112</v>
      </c>
      <c r="K2692" t="s">
        <v>412</v>
      </c>
      <c r="M2692" s="13">
        <v>44484</v>
      </c>
      <c r="R2692">
        <v>0</v>
      </c>
      <c r="S2692" t="s">
        <v>380</v>
      </c>
      <c r="T2692" t="s">
        <v>57</v>
      </c>
      <c r="V2692" t="s">
        <v>381</v>
      </c>
      <c r="W2692" t="s">
        <v>921</v>
      </c>
      <c r="X2692" t="s">
        <v>921</v>
      </c>
      <c r="AC2692" s="13">
        <v>44484</v>
      </c>
      <c r="AD2692" s="13">
        <v>44484</v>
      </c>
      <c r="AI2692">
        <v>-311</v>
      </c>
      <c r="AN2692" t="s">
        <v>31</v>
      </c>
      <c r="AO2692">
        <v>0</v>
      </c>
      <c r="AS2692" t="s">
        <v>385</v>
      </c>
      <c r="AX2692" t="s">
        <v>57</v>
      </c>
      <c r="AY2692" t="s">
        <v>386</v>
      </c>
      <c r="AZ2692" t="s">
        <v>721</v>
      </c>
      <c r="BF2692">
        <v>0</v>
      </c>
      <c r="BK2692" t="s">
        <v>31</v>
      </c>
      <c r="BS2692" t="s">
        <v>412</v>
      </c>
      <c r="CI2692" t="s">
        <v>388</v>
      </c>
      <c r="CJ2692" s="14">
        <v>45016</v>
      </c>
      <c r="CK2692">
        <v>1</v>
      </c>
    </row>
    <row r="2693" spans="1:89">
      <c r="A2693" t="s">
        <v>895</v>
      </c>
      <c r="B2693" t="s">
        <v>374</v>
      </c>
      <c r="C2693" t="s">
        <v>896</v>
      </c>
      <c r="D2693" t="s">
        <v>922</v>
      </c>
      <c r="E2693" t="s">
        <v>923</v>
      </c>
      <c r="F2693" s="13">
        <v>44795.504826388889</v>
      </c>
      <c r="G2693" t="s">
        <v>641</v>
      </c>
      <c r="H2693" t="s">
        <v>642</v>
      </c>
      <c r="I2693" s="13">
        <v>44795.504837962966</v>
      </c>
      <c r="K2693" t="s">
        <v>412</v>
      </c>
      <c r="M2693" s="13">
        <v>44530</v>
      </c>
      <c r="R2693">
        <v>0</v>
      </c>
      <c r="S2693" t="s">
        <v>380</v>
      </c>
      <c r="T2693" t="s">
        <v>57</v>
      </c>
      <c r="V2693" t="s">
        <v>381</v>
      </c>
      <c r="W2693" t="s">
        <v>924</v>
      </c>
      <c r="X2693" t="s">
        <v>924</v>
      </c>
      <c r="AC2693" s="13">
        <v>44530</v>
      </c>
      <c r="AD2693" s="13">
        <v>44530</v>
      </c>
      <c r="AI2693">
        <v>-265</v>
      </c>
      <c r="AN2693" t="s">
        <v>31</v>
      </c>
      <c r="AO2693">
        <v>0</v>
      </c>
      <c r="AS2693" t="s">
        <v>385</v>
      </c>
      <c r="AX2693" t="s">
        <v>57</v>
      </c>
      <c r="AY2693" t="s">
        <v>386</v>
      </c>
      <c r="AZ2693" t="s">
        <v>721</v>
      </c>
      <c r="BF2693">
        <v>0</v>
      </c>
      <c r="BK2693" t="s">
        <v>31</v>
      </c>
      <c r="BS2693" t="s">
        <v>412</v>
      </c>
      <c r="CI2693" t="s">
        <v>388</v>
      </c>
      <c r="CJ2693" s="14">
        <v>45016</v>
      </c>
      <c r="CK2693">
        <v>1</v>
      </c>
    </row>
    <row r="2694" spans="1:89">
      <c r="A2694" t="s">
        <v>895</v>
      </c>
      <c r="B2694" t="s">
        <v>374</v>
      </c>
      <c r="C2694" t="s">
        <v>896</v>
      </c>
      <c r="D2694" t="s">
        <v>925</v>
      </c>
      <c r="E2694" t="s">
        <v>926</v>
      </c>
      <c r="F2694" s="13">
        <v>44795.504803240743</v>
      </c>
      <c r="G2694" t="s">
        <v>641</v>
      </c>
      <c r="H2694" t="s">
        <v>642</v>
      </c>
      <c r="I2694" s="13">
        <v>44795.504814814813</v>
      </c>
      <c r="K2694" t="s">
        <v>412</v>
      </c>
      <c r="M2694" s="13">
        <v>44484</v>
      </c>
      <c r="R2694">
        <v>0</v>
      </c>
      <c r="S2694" t="s">
        <v>380</v>
      </c>
      <c r="T2694" t="s">
        <v>57</v>
      </c>
      <c r="V2694" t="s">
        <v>381</v>
      </c>
      <c r="W2694" t="s">
        <v>927</v>
      </c>
      <c r="X2694" t="s">
        <v>927</v>
      </c>
      <c r="AC2694" s="13">
        <v>44484</v>
      </c>
      <c r="AD2694" s="13">
        <v>44484</v>
      </c>
      <c r="AI2694">
        <v>-311</v>
      </c>
      <c r="AN2694" t="s">
        <v>31</v>
      </c>
      <c r="AO2694">
        <v>0</v>
      </c>
      <c r="AS2694" t="s">
        <v>385</v>
      </c>
      <c r="AX2694" t="s">
        <v>57</v>
      </c>
      <c r="AY2694" t="s">
        <v>386</v>
      </c>
      <c r="AZ2694" t="s">
        <v>721</v>
      </c>
      <c r="BF2694">
        <v>0</v>
      </c>
      <c r="BK2694" t="s">
        <v>31</v>
      </c>
      <c r="BS2694" t="s">
        <v>412</v>
      </c>
      <c r="CI2694" t="s">
        <v>388</v>
      </c>
      <c r="CJ2694" s="14">
        <v>45016</v>
      </c>
      <c r="CK2694">
        <v>1</v>
      </c>
    </row>
    <row r="2695" spans="1:89">
      <c r="A2695" t="s">
        <v>928</v>
      </c>
      <c r="B2695" t="s">
        <v>374</v>
      </c>
      <c r="C2695" t="s">
        <v>392</v>
      </c>
      <c r="D2695" t="s">
        <v>929</v>
      </c>
      <c r="E2695" t="s">
        <v>930</v>
      </c>
      <c r="F2695" s="13">
        <v>44795.504780092589</v>
      </c>
      <c r="G2695" t="s">
        <v>641</v>
      </c>
      <c r="H2695" t="s">
        <v>642</v>
      </c>
      <c r="I2695" s="13">
        <v>44795.504791666666</v>
      </c>
      <c r="K2695" t="s">
        <v>412</v>
      </c>
      <c r="M2695" s="13">
        <v>44484</v>
      </c>
      <c r="R2695">
        <v>0</v>
      </c>
      <c r="S2695" t="s">
        <v>416</v>
      </c>
      <c r="T2695" t="s">
        <v>57</v>
      </c>
      <c r="V2695" t="s">
        <v>381</v>
      </c>
      <c r="W2695" t="s">
        <v>931</v>
      </c>
      <c r="X2695" t="s">
        <v>931</v>
      </c>
      <c r="AC2695" s="13">
        <v>44484</v>
      </c>
      <c r="AD2695" s="13">
        <v>44484</v>
      </c>
      <c r="AI2695">
        <v>-311</v>
      </c>
      <c r="AN2695" t="s">
        <v>31</v>
      </c>
      <c r="AO2695">
        <v>0</v>
      </c>
      <c r="AS2695" t="s">
        <v>385</v>
      </c>
      <c r="AX2695" t="s">
        <v>57</v>
      </c>
      <c r="AY2695" t="s">
        <v>386</v>
      </c>
      <c r="AZ2695" t="s">
        <v>721</v>
      </c>
      <c r="BF2695">
        <v>0</v>
      </c>
      <c r="BK2695" t="s">
        <v>31</v>
      </c>
      <c r="BS2695" t="s">
        <v>412</v>
      </c>
      <c r="CI2695" t="s">
        <v>388</v>
      </c>
      <c r="CJ2695" s="14">
        <v>45016</v>
      </c>
      <c r="CK2695">
        <v>1</v>
      </c>
    </row>
    <row r="2696" spans="1:89">
      <c r="A2696" t="s">
        <v>928</v>
      </c>
      <c r="B2696" t="s">
        <v>374</v>
      </c>
      <c r="C2696" t="s">
        <v>392</v>
      </c>
      <c r="D2696" t="s">
        <v>932</v>
      </c>
      <c r="E2696" t="s">
        <v>933</v>
      </c>
      <c r="F2696" s="13">
        <v>44795.504756944443</v>
      </c>
      <c r="G2696" t="s">
        <v>641</v>
      </c>
      <c r="H2696" t="s">
        <v>642</v>
      </c>
      <c r="I2696" s="13">
        <v>44795.50476851852</v>
      </c>
      <c r="K2696" t="s">
        <v>412</v>
      </c>
      <c r="M2696" s="13">
        <v>44484</v>
      </c>
      <c r="R2696">
        <v>0</v>
      </c>
      <c r="S2696" t="s">
        <v>416</v>
      </c>
      <c r="T2696" t="s">
        <v>57</v>
      </c>
      <c r="V2696" t="s">
        <v>381</v>
      </c>
      <c r="W2696" t="s">
        <v>934</v>
      </c>
      <c r="X2696" t="s">
        <v>934</v>
      </c>
      <c r="AC2696" s="13">
        <v>44484</v>
      </c>
      <c r="AD2696" s="13">
        <v>44484</v>
      </c>
      <c r="AI2696">
        <v>-311</v>
      </c>
      <c r="AN2696" t="s">
        <v>31</v>
      </c>
      <c r="AO2696">
        <v>0</v>
      </c>
      <c r="AS2696" t="s">
        <v>392</v>
      </c>
      <c r="AX2696" t="s">
        <v>57</v>
      </c>
      <c r="AY2696" t="s">
        <v>386</v>
      </c>
      <c r="AZ2696" t="s">
        <v>721</v>
      </c>
      <c r="BF2696">
        <v>0</v>
      </c>
      <c r="BK2696" t="s">
        <v>31</v>
      </c>
      <c r="BS2696" t="s">
        <v>412</v>
      </c>
      <c r="CI2696" t="s">
        <v>388</v>
      </c>
      <c r="CJ2696" s="14">
        <v>45016</v>
      </c>
      <c r="CK2696">
        <v>1</v>
      </c>
    </row>
    <row r="2697" spans="1:89">
      <c r="A2697" t="s">
        <v>902</v>
      </c>
      <c r="B2697" t="s">
        <v>374</v>
      </c>
      <c r="C2697" t="s">
        <v>903</v>
      </c>
      <c r="D2697" t="s">
        <v>935</v>
      </c>
      <c r="E2697" t="s">
        <v>936</v>
      </c>
      <c r="F2697" s="13">
        <v>44795.504733796297</v>
      </c>
      <c r="G2697" t="s">
        <v>641</v>
      </c>
      <c r="H2697" t="s">
        <v>642</v>
      </c>
      <c r="I2697" s="13">
        <v>44795.504745370374</v>
      </c>
      <c r="K2697" t="s">
        <v>412</v>
      </c>
      <c r="M2697" s="13">
        <v>44458</v>
      </c>
      <c r="R2697">
        <v>0</v>
      </c>
      <c r="S2697" t="s">
        <v>416</v>
      </c>
      <c r="T2697" t="s">
        <v>57</v>
      </c>
      <c r="V2697" t="s">
        <v>381</v>
      </c>
      <c r="W2697" t="s">
        <v>934</v>
      </c>
      <c r="X2697" t="s">
        <v>934</v>
      </c>
      <c r="AC2697" s="13">
        <v>44458</v>
      </c>
      <c r="AD2697" s="13">
        <v>44458</v>
      </c>
      <c r="AI2697">
        <v>-337</v>
      </c>
      <c r="AN2697" t="s">
        <v>31</v>
      </c>
      <c r="AO2697">
        <v>0</v>
      </c>
      <c r="AS2697" t="s">
        <v>392</v>
      </c>
      <c r="AX2697" t="s">
        <v>57</v>
      </c>
      <c r="AY2697" t="s">
        <v>386</v>
      </c>
      <c r="AZ2697" t="s">
        <v>721</v>
      </c>
      <c r="BF2697">
        <v>0</v>
      </c>
      <c r="BK2697" t="s">
        <v>31</v>
      </c>
      <c r="BS2697" t="s">
        <v>412</v>
      </c>
      <c r="CI2697" t="s">
        <v>388</v>
      </c>
      <c r="CJ2697" s="14">
        <v>45016</v>
      </c>
      <c r="CK2697">
        <v>1</v>
      </c>
    </row>
    <row r="2698" spans="1:89">
      <c r="A2698" t="s">
        <v>902</v>
      </c>
      <c r="B2698" t="s">
        <v>374</v>
      </c>
      <c r="C2698" t="s">
        <v>903</v>
      </c>
      <c r="D2698" t="s">
        <v>937</v>
      </c>
      <c r="E2698" t="s">
        <v>936</v>
      </c>
      <c r="F2698" s="13">
        <v>44795.504710648151</v>
      </c>
      <c r="G2698" t="s">
        <v>641</v>
      </c>
      <c r="H2698" t="s">
        <v>642</v>
      </c>
      <c r="I2698" s="13">
        <v>44795.50472222222</v>
      </c>
      <c r="K2698" t="s">
        <v>412</v>
      </c>
      <c r="M2698" s="13">
        <v>44458</v>
      </c>
      <c r="R2698">
        <v>0</v>
      </c>
      <c r="S2698" t="s">
        <v>416</v>
      </c>
      <c r="T2698" t="s">
        <v>57</v>
      </c>
      <c r="V2698" t="s">
        <v>381</v>
      </c>
      <c r="W2698" t="s">
        <v>938</v>
      </c>
      <c r="X2698" t="s">
        <v>938</v>
      </c>
      <c r="AC2698" s="13">
        <v>44458</v>
      </c>
      <c r="AD2698" s="13">
        <v>44458</v>
      </c>
      <c r="AI2698">
        <v>-337</v>
      </c>
      <c r="AN2698" t="s">
        <v>31</v>
      </c>
      <c r="AO2698">
        <v>0</v>
      </c>
      <c r="AS2698" t="s">
        <v>385</v>
      </c>
      <c r="AX2698" t="s">
        <v>57</v>
      </c>
      <c r="AY2698" t="s">
        <v>386</v>
      </c>
      <c r="AZ2698" t="s">
        <v>721</v>
      </c>
      <c r="BF2698">
        <v>0</v>
      </c>
      <c r="BK2698" t="s">
        <v>31</v>
      </c>
      <c r="BS2698" t="s">
        <v>412</v>
      </c>
      <c r="CI2698" t="s">
        <v>388</v>
      </c>
      <c r="CJ2698" s="14">
        <v>45016</v>
      </c>
      <c r="CK2698">
        <v>1</v>
      </c>
    </row>
    <row r="2699" spans="1:89">
      <c r="A2699" t="s">
        <v>928</v>
      </c>
      <c r="B2699" t="s">
        <v>374</v>
      </c>
      <c r="C2699" t="s">
        <v>392</v>
      </c>
      <c r="D2699" t="s">
        <v>939</v>
      </c>
      <c r="E2699" t="s">
        <v>940</v>
      </c>
      <c r="F2699" s="13">
        <v>44795.504687499997</v>
      </c>
      <c r="G2699" t="s">
        <v>641</v>
      </c>
      <c r="H2699" t="s">
        <v>642</v>
      </c>
      <c r="I2699" s="13">
        <v>44795.504699074074</v>
      </c>
      <c r="K2699" t="s">
        <v>412</v>
      </c>
      <c r="M2699" s="13">
        <v>44484</v>
      </c>
      <c r="R2699">
        <v>0</v>
      </c>
      <c r="S2699" t="s">
        <v>416</v>
      </c>
      <c r="T2699" t="s">
        <v>57</v>
      </c>
      <c r="V2699" t="s">
        <v>381</v>
      </c>
      <c r="W2699" t="s">
        <v>938</v>
      </c>
      <c r="X2699" t="s">
        <v>938</v>
      </c>
      <c r="AC2699" s="13">
        <v>44484</v>
      </c>
      <c r="AD2699" s="13">
        <v>44484</v>
      </c>
      <c r="AI2699">
        <v>-311</v>
      </c>
      <c r="AN2699" t="s">
        <v>31</v>
      </c>
      <c r="AO2699">
        <v>0</v>
      </c>
      <c r="AS2699" t="s">
        <v>385</v>
      </c>
      <c r="AX2699" t="s">
        <v>57</v>
      </c>
      <c r="AY2699" t="s">
        <v>386</v>
      </c>
      <c r="AZ2699" t="s">
        <v>721</v>
      </c>
      <c r="BF2699">
        <v>0</v>
      </c>
      <c r="BK2699" t="s">
        <v>31</v>
      </c>
      <c r="BS2699" t="s">
        <v>412</v>
      </c>
      <c r="CI2699" t="s">
        <v>388</v>
      </c>
      <c r="CJ2699" s="14">
        <v>45016</v>
      </c>
      <c r="CK2699">
        <v>1</v>
      </c>
    </row>
    <row r="2700" spans="1:89">
      <c r="A2700" t="s">
        <v>928</v>
      </c>
      <c r="B2700" t="s">
        <v>374</v>
      </c>
      <c r="C2700" t="s">
        <v>392</v>
      </c>
      <c r="D2700" t="s">
        <v>941</v>
      </c>
      <c r="E2700" t="s">
        <v>942</v>
      </c>
      <c r="F2700" s="13">
        <v>44795.504664351851</v>
      </c>
      <c r="G2700" t="s">
        <v>641</v>
      </c>
      <c r="H2700" t="s">
        <v>642</v>
      </c>
      <c r="I2700" s="13">
        <v>44795.504675925928</v>
      </c>
      <c r="K2700" t="s">
        <v>412</v>
      </c>
      <c r="M2700" s="13">
        <v>44484</v>
      </c>
      <c r="R2700">
        <v>0</v>
      </c>
      <c r="S2700" t="s">
        <v>416</v>
      </c>
      <c r="T2700" t="s">
        <v>57</v>
      </c>
      <c r="V2700" t="s">
        <v>381</v>
      </c>
      <c r="W2700" t="s">
        <v>934</v>
      </c>
      <c r="X2700" t="s">
        <v>934</v>
      </c>
      <c r="AC2700" s="13">
        <v>44484</v>
      </c>
      <c r="AD2700" s="13">
        <v>44484</v>
      </c>
      <c r="AI2700">
        <v>-311</v>
      </c>
      <c r="AN2700" t="s">
        <v>31</v>
      </c>
      <c r="AO2700">
        <v>0</v>
      </c>
      <c r="AS2700" t="s">
        <v>392</v>
      </c>
      <c r="AX2700" t="s">
        <v>57</v>
      </c>
      <c r="AY2700" t="s">
        <v>386</v>
      </c>
      <c r="AZ2700" t="s">
        <v>721</v>
      </c>
      <c r="BF2700">
        <v>0</v>
      </c>
      <c r="BK2700" t="s">
        <v>31</v>
      </c>
      <c r="BS2700" t="s">
        <v>412</v>
      </c>
      <c r="CI2700" t="s">
        <v>388</v>
      </c>
      <c r="CJ2700" s="14">
        <v>45016</v>
      </c>
      <c r="CK2700">
        <v>1</v>
      </c>
    </row>
    <row r="2701" spans="1:89">
      <c r="A2701" t="s">
        <v>928</v>
      </c>
      <c r="B2701" t="s">
        <v>374</v>
      </c>
      <c r="C2701" t="s">
        <v>392</v>
      </c>
      <c r="D2701" t="s">
        <v>943</v>
      </c>
      <c r="E2701" t="s">
        <v>944</v>
      </c>
      <c r="F2701" s="13">
        <v>44795.504641203705</v>
      </c>
      <c r="G2701" t="s">
        <v>641</v>
      </c>
      <c r="H2701" t="s">
        <v>642</v>
      </c>
      <c r="I2701" s="13">
        <v>44795.504652777781</v>
      </c>
      <c r="K2701" t="s">
        <v>412</v>
      </c>
      <c r="M2701" s="13">
        <v>44484</v>
      </c>
      <c r="R2701">
        <v>0</v>
      </c>
      <c r="S2701" t="s">
        <v>416</v>
      </c>
      <c r="T2701" t="s">
        <v>57</v>
      </c>
      <c r="V2701" t="s">
        <v>381</v>
      </c>
      <c r="W2701" t="s">
        <v>934</v>
      </c>
      <c r="X2701" t="s">
        <v>934</v>
      </c>
      <c r="AC2701" s="13">
        <v>44484</v>
      </c>
      <c r="AD2701" s="13">
        <v>44484</v>
      </c>
      <c r="AI2701">
        <v>-311</v>
      </c>
      <c r="AN2701" t="s">
        <v>31</v>
      </c>
      <c r="AO2701">
        <v>0</v>
      </c>
      <c r="AS2701" t="s">
        <v>392</v>
      </c>
      <c r="AX2701" t="s">
        <v>57</v>
      </c>
      <c r="AY2701" t="s">
        <v>386</v>
      </c>
      <c r="AZ2701" t="s">
        <v>721</v>
      </c>
      <c r="BF2701">
        <v>0</v>
      </c>
      <c r="BK2701" t="s">
        <v>31</v>
      </c>
      <c r="BS2701" t="s">
        <v>412</v>
      </c>
      <c r="CI2701" t="s">
        <v>388</v>
      </c>
      <c r="CJ2701" s="14">
        <v>45016</v>
      </c>
      <c r="CK2701">
        <v>1</v>
      </c>
    </row>
    <row r="2702" spans="1:89">
      <c r="A2702" t="s">
        <v>928</v>
      </c>
      <c r="B2702" t="s">
        <v>374</v>
      </c>
      <c r="C2702" t="s">
        <v>392</v>
      </c>
      <c r="D2702" t="s">
        <v>945</v>
      </c>
      <c r="E2702" t="s">
        <v>946</v>
      </c>
      <c r="F2702" s="13">
        <v>44795.504618055558</v>
      </c>
      <c r="G2702" t="s">
        <v>641</v>
      </c>
      <c r="H2702" t="s">
        <v>642</v>
      </c>
      <c r="I2702" s="13">
        <v>44795.504629629628</v>
      </c>
      <c r="K2702" t="s">
        <v>412</v>
      </c>
      <c r="M2702" s="13">
        <v>44484</v>
      </c>
      <c r="R2702">
        <v>0</v>
      </c>
      <c r="S2702" t="s">
        <v>416</v>
      </c>
      <c r="T2702" t="s">
        <v>57</v>
      </c>
      <c r="V2702" t="s">
        <v>381</v>
      </c>
      <c r="W2702" t="s">
        <v>934</v>
      </c>
      <c r="X2702" t="s">
        <v>934</v>
      </c>
      <c r="AC2702" s="13">
        <v>44484</v>
      </c>
      <c r="AD2702" s="13">
        <v>44484</v>
      </c>
      <c r="AI2702">
        <v>-311</v>
      </c>
      <c r="AN2702" t="s">
        <v>31</v>
      </c>
      <c r="AO2702">
        <v>0</v>
      </c>
      <c r="AS2702" t="s">
        <v>392</v>
      </c>
      <c r="AX2702" t="s">
        <v>57</v>
      </c>
      <c r="AY2702" t="s">
        <v>386</v>
      </c>
      <c r="AZ2702" t="s">
        <v>721</v>
      </c>
      <c r="BF2702">
        <v>0</v>
      </c>
      <c r="BK2702" t="s">
        <v>31</v>
      </c>
      <c r="BS2702" t="s">
        <v>412</v>
      </c>
      <c r="CI2702" t="s">
        <v>388</v>
      </c>
      <c r="CJ2702" s="14">
        <v>45016</v>
      </c>
      <c r="CK2702">
        <v>1</v>
      </c>
    </row>
    <row r="2703" spans="1:89">
      <c r="A2703" t="s">
        <v>902</v>
      </c>
      <c r="B2703" t="s">
        <v>374</v>
      </c>
      <c r="C2703" t="s">
        <v>903</v>
      </c>
      <c r="D2703" t="s">
        <v>947</v>
      </c>
      <c r="E2703" t="s">
        <v>948</v>
      </c>
      <c r="F2703" s="13">
        <v>44795.504594907405</v>
      </c>
      <c r="G2703" t="s">
        <v>641</v>
      </c>
      <c r="H2703" t="s">
        <v>642</v>
      </c>
      <c r="I2703" s="13">
        <v>44795.504606481481</v>
      </c>
      <c r="K2703" t="s">
        <v>412</v>
      </c>
      <c r="M2703" s="13">
        <v>44458</v>
      </c>
      <c r="R2703">
        <v>0</v>
      </c>
      <c r="S2703" t="s">
        <v>416</v>
      </c>
      <c r="T2703" t="s">
        <v>57</v>
      </c>
      <c r="V2703" t="s">
        <v>381</v>
      </c>
      <c r="W2703" t="s">
        <v>934</v>
      </c>
      <c r="X2703" t="s">
        <v>934</v>
      </c>
      <c r="AC2703" s="13">
        <v>44458</v>
      </c>
      <c r="AD2703" s="13">
        <v>44458</v>
      </c>
      <c r="AI2703">
        <v>-337</v>
      </c>
      <c r="AN2703" t="s">
        <v>31</v>
      </c>
      <c r="AO2703">
        <v>0</v>
      </c>
      <c r="AS2703" t="s">
        <v>392</v>
      </c>
      <c r="AX2703" t="s">
        <v>57</v>
      </c>
      <c r="AY2703" t="s">
        <v>386</v>
      </c>
      <c r="AZ2703" t="s">
        <v>721</v>
      </c>
      <c r="BF2703">
        <v>0</v>
      </c>
      <c r="BK2703" t="s">
        <v>31</v>
      </c>
      <c r="BS2703" t="s">
        <v>412</v>
      </c>
      <c r="CI2703" t="s">
        <v>388</v>
      </c>
      <c r="CJ2703" s="14">
        <v>45016</v>
      </c>
      <c r="CK2703">
        <v>1</v>
      </c>
    </row>
    <row r="2704" spans="1:89">
      <c r="A2704" t="s">
        <v>902</v>
      </c>
      <c r="B2704" t="s">
        <v>374</v>
      </c>
      <c r="C2704" t="s">
        <v>903</v>
      </c>
      <c r="D2704" t="s">
        <v>949</v>
      </c>
      <c r="E2704" t="s">
        <v>950</v>
      </c>
      <c r="F2704" s="13">
        <v>44795.504571759258</v>
      </c>
      <c r="G2704" t="s">
        <v>641</v>
      </c>
      <c r="H2704" t="s">
        <v>642</v>
      </c>
      <c r="I2704" s="13">
        <v>44795.504583333335</v>
      </c>
      <c r="K2704" t="s">
        <v>412</v>
      </c>
      <c r="M2704" s="13">
        <v>44458</v>
      </c>
      <c r="R2704">
        <v>0</v>
      </c>
      <c r="S2704" t="s">
        <v>416</v>
      </c>
      <c r="T2704" t="s">
        <v>57</v>
      </c>
      <c r="V2704" t="s">
        <v>381</v>
      </c>
      <c r="W2704" t="s">
        <v>938</v>
      </c>
      <c r="X2704" t="s">
        <v>938</v>
      </c>
      <c r="AC2704" s="13">
        <v>44458</v>
      </c>
      <c r="AD2704" s="13">
        <v>44458</v>
      </c>
      <c r="AI2704">
        <v>-337</v>
      </c>
      <c r="AN2704" t="s">
        <v>31</v>
      </c>
      <c r="AO2704">
        <v>0</v>
      </c>
      <c r="AS2704" t="s">
        <v>385</v>
      </c>
      <c r="AX2704" t="s">
        <v>57</v>
      </c>
      <c r="AY2704" t="s">
        <v>386</v>
      </c>
      <c r="AZ2704" t="s">
        <v>721</v>
      </c>
      <c r="BF2704">
        <v>0</v>
      </c>
      <c r="BK2704" t="s">
        <v>31</v>
      </c>
      <c r="BS2704" t="s">
        <v>412</v>
      </c>
      <c r="CI2704" t="s">
        <v>388</v>
      </c>
      <c r="CJ2704" s="14">
        <v>45016</v>
      </c>
      <c r="CK2704">
        <v>1</v>
      </c>
    </row>
    <row r="2705" spans="1:89">
      <c r="A2705" t="s">
        <v>928</v>
      </c>
      <c r="B2705" t="s">
        <v>374</v>
      </c>
      <c r="C2705" t="s">
        <v>392</v>
      </c>
      <c r="D2705" t="s">
        <v>951</v>
      </c>
      <c r="E2705" t="s">
        <v>952</v>
      </c>
      <c r="F2705" s="13">
        <v>44795.504548611112</v>
      </c>
      <c r="G2705" t="s">
        <v>641</v>
      </c>
      <c r="H2705" t="s">
        <v>642</v>
      </c>
      <c r="I2705" s="13">
        <v>44795.504560185182</v>
      </c>
      <c r="K2705" t="s">
        <v>412</v>
      </c>
      <c r="M2705" s="13">
        <v>44484</v>
      </c>
      <c r="R2705">
        <v>0</v>
      </c>
      <c r="S2705" t="s">
        <v>416</v>
      </c>
      <c r="T2705" t="s">
        <v>57</v>
      </c>
      <c r="V2705" t="s">
        <v>381</v>
      </c>
      <c r="W2705" t="s">
        <v>938</v>
      </c>
      <c r="X2705" t="s">
        <v>938</v>
      </c>
      <c r="AC2705" s="13">
        <v>44484</v>
      </c>
      <c r="AD2705" s="13">
        <v>44484</v>
      </c>
      <c r="AI2705">
        <v>-311</v>
      </c>
      <c r="AN2705" t="s">
        <v>31</v>
      </c>
      <c r="AO2705">
        <v>0</v>
      </c>
      <c r="AS2705" t="s">
        <v>385</v>
      </c>
      <c r="AX2705" t="s">
        <v>57</v>
      </c>
      <c r="AY2705" t="s">
        <v>386</v>
      </c>
      <c r="AZ2705" t="s">
        <v>721</v>
      </c>
      <c r="BF2705">
        <v>0</v>
      </c>
      <c r="BK2705" t="s">
        <v>31</v>
      </c>
      <c r="BS2705" t="s">
        <v>412</v>
      </c>
      <c r="CI2705" t="s">
        <v>388</v>
      </c>
      <c r="CJ2705" s="14">
        <v>45016</v>
      </c>
      <c r="CK2705">
        <v>1</v>
      </c>
    </row>
    <row r="2706" spans="1:89">
      <c r="A2706" t="s">
        <v>902</v>
      </c>
      <c r="B2706" t="s">
        <v>374</v>
      </c>
      <c r="C2706" t="s">
        <v>903</v>
      </c>
      <c r="D2706" t="s">
        <v>953</v>
      </c>
      <c r="E2706" t="s">
        <v>954</v>
      </c>
      <c r="F2706" s="13">
        <v>44795.504537037035</v>
      </c>
      <c r="G2706" t="s">
        <v>641</v>
      </c>
      <c r="H2706" t="s">
        <v>642</v>
      </c>
      <c r="I2706" s="13">
        <v>44795.504548611112</v>
      </c>
      <c r="K2706" t="s">
        <v>412</v>
      </c>
      <c r="M2706" s="13">
        <v>44458</v>
      </c>
      <c r="R2706">
        <v>0</v>
      </c>
      <c r="S2706" t="s">
        <v>416</v>
      </c>
      <c r="T2706" t="s">
        <v>57</v>
      </c>
      <c r="V2706" t="s">
        <v>381</v>
      </c>
      <c r="W2706" t="s">
        <v>934</v>
      </c>
      <c r="X2706" t="s">
        <v>934</v>
      </c>
      <c r="AC2706" s="13">
        <v>44458</v>
      </c>
      <c r="AD2706" s="13">
        <v>44458</v>
      </c>
      <c r="AI2706">
        <v>-337</v>
      </c>
      <c r="AN2706" t="s">
        <v>31</v>
      </c>
      <c r="AO2706">
        <v>0</v>
      </c>
      <c r="AS2706" t="s">
        <v>392</v>
      </c>
      <c r="AX2706" t="s">
        <v>57</v>
      </c>
      <c r="AY2706" t="s">
        <v>386</v>
      </c>
      <c r="AZ2706" t="s">
        <v>721</v>
      </c>
      <c r="BF2706">
        <v>0</v>
      </c>
      <c r="BK2706" t="s">
        <v>31</v>
      </c>
      <c r="BS2706" t="s">
        <v>412</v>
      </c>
      <c r="CI2706" t="s">
        <v>388</v>
      </c>
      <c r="CJ2706" s="14">
        <v>45016</v>
      </c>
      <c r="CK2706">
        <v>1</v>
      </c>
    </row>
    <row r="2707" spans="1:89">
      <c r="A2707" t="s">
        <v>928</v>
      </c>
      <c r="B2707" t="s">
        <v>374</v>
      </c>
      <c r="C2707" t="s">
        <v>392</v>
      </c>
      <c r="D2707" t="s">
        <v>955</v>
      </c>
      <c r="E2707" t="s">
        <v>956</v>
      </c>
      <c r="F2707" s="13">
        <v>44795.504513888889</v>
      </c>
      <c r="G2707" t="s">
        <v>641</v>
      </c>
      <c r="H2707" t="s">
        <v>642</v>
      </c>
      <c r="I2707" s="13">
        <v>44795.504525462966</v>
      </c>
      <c r="K2707" t="s">
        <v>412</v>
      </c>
      <c r="M2707" s="13">
        <v>44484</v>
      </c>
      <c r="R2707">
        <v>0</v>
      </c>
      <c r="S2707" t="s">
        <v>416</v>
      </c>
      <c r="T2707" t="s">
        <v>57</v>
      </c>
      <c r="V2707" t="s">
        <v>381</v>
      </c>
      <c r="W2707" t="s">
        <v>938</v>
      </c>
      <c r="X2707" t="s">
        <v>938</v>
      </c>
      <c r="AC2707" s="13">
        <v>44484</v>
      </c>
      <c r="AD2707" s="13">
        <v>44484</v>
      </c>
      <c r="AI2707">
        <v>-311</v>
      </c>
      <c r="AN2707" t="s">
        <v>31</v>
      </c>
      <c r="AO2707">
        <v>0</v>
      </c>
      <c r="AS2707" t="s">
        <v>385</v>
      </c>
      <c r="AX2707" t="s">
        <v>57</v>
      </c>
      <c r="AY2707" t="s">
        <v>386</v>
      </c>
      <c r="AZ2707" t="s">
        <v>721</v>
      </c>
      <c r="BF2707">
        <v>0</v>
      </c>
      <c r="BK2707" t="s">
        <v>31</v>
      </c>
      <c r="BS2707" t="s">
        <v>412</v>
      </c>
      <c r="CI2707" t="s">
        <v>388</v>
      </c>
      <c r="CJ2707" s="14">
        <v>45016</v>
      </c>
      <c r="CK2707">
        <v>1</v>
      </c>
    </row>
    <row r="2708" spans="1:89">
      <c r="A2708" t="s">
        <v>902</v>
      </c>
      <c r="B2708" t="s">
        <v>374</v>
      </c>
      <c r="C2708" t="s">
        <v>903</v>
      </c>
      <c r="D2708" t="s">
        <v>957</v>
      </c>
      <c r="E2708" t="s">
        <v>958</v>
      </c>
      <c r="F2708" s="13">
        <v>44795.504490740743</v>
      </c>
      <c r="G2708" t="s">
        <v>641</v>
      </c>
      <c r="H2708" t="s">
        <v>642</v>
      </c>
      <c r="I2708" s="13">
        <v>44795.504502314812</v>
      </c>
      <c r="K2708" t="s">
        <v>412</v>
      </c>
      <c r="M2708" s="13">
        <v>44456</v>
      </c>
      <c r="R2708">
        <v>0</v>
      </c>
      <c r="S2708" t="s">
        <v>416</v>
      </c>
      <c r="T2708" t="s">
        <v>57</v>
      </c>
      <c r="V2708" t="s">
        <v>381</v>
      </c>
      <c r="W2708" t="s">
        <v>934</v>
      </c>
      <c r="X2708" t="s">
        <v>934</v>
      </c>
      <c r="AC2708" s="13">
        <v>44456</v>
      </c>
      <c r="AD2708" s="13">
        <v>44456</v>
      </c>
      <c r="AI2708">
        <v>-339</v>
      </c>
      <c r="AN2708" t="s">
        <v>31</v>
      </c>
      <c r="AO2708">
        <v>0</v>
      </c>
      <c r="AS2708" t="s">
        <v>392</v>
      </c>
      <c r="AX2708" t="s">
        <v>57</v>
      </c>
      <c r="AY2708" t="s">
        <v>386</v>
      </c>
      <c r="AZ2708" t="s">
        <v>721</v>
      </c>
      <c r="BF2708">
        <v>0</v>
      </c>
      <c r="BK2708" t="s">
        <v>31</v>
      </c>
      <c r="BS2708" t="s">
        <v>412</v>
      </c>
      <c r="CI2708" t="s">
        <v>388</v>
      </c>
      <c r="CJ2708" s="14">
        <v>45016</v>
      </c>
      <c r="CK2708">
        <v>1</v>
      </c>
    </row>
    <row r="2709" spans="1:89">
      <c r="A2709" t="s">
        <v>928</v>
      </c>
      <c r="B2709" t="s">
        <v>374</v>
      </c>
      <c r="C2709" t="s">
        <v>392</v>
      </c>
      <c r="D2709" t="s">
        <v>959</v>
      </c>
      <c r="E2709" t="s">
        <v>960</v>
      </c>
      <c r="F2709" s="13">
        <v>44795.504467592589</v>
      </c>
      <c r="G2709" t="s">
        <v>641</v>
      </c>
      <c r="H2709" t="s">
        <v>642</v>
      </c>
      <c r="I2709" s="13">
        <v>44795.504479166666</v>
      </c>
      <c r="K2709" t="s">
        <v>412</v>
      </c>
      <c r="M2709" s="13">
        <v>44484</v>
      </c>
      <c r="R2709">
        <v>0</v>
      </c>
      <c r="S2709" t="s">
        <v>416</v>
      </c>
      <c r="T2709" t="s">
        <v>57</v>
      </c>
      <c r="V2709" t="s">
        <v>381</v>
      </c>
      <c r="W2709" t="s">
        <v>938</v>
      </c>
      <c r="X2709" t="s">
        <v>938</v>
      </c>
      <c r="AC2709" s="13">
        <v>44484</v>
      </c>
      <c r="AD2709" s="13">
        <v>44484</v>
      </c>
      <c r="AI2709">
        <v>-311</v>
      </c>
      <c r="AN2709" t="s">
        <v>31</v>
      </c>
      <c r="AO2709">
        <v>0</v>
      </c>
      <c r="AS2709" t="s">
        <v>385</v>
      </c>
      <c r="AX2709" t="s">
        <v>57</v>
      </c>
      <c r="AY2709" t="s">
        <v>386</v>
      </c>
      <c r="AZ2709" t="s">
        <v>721</v>
      </c>
      <c r="BF2709">
        <v>0</v>
      </c>
      <c r="BK2709" t="s">
        <v>31</v>
      </c>
      <c r="BS2709" t="s">
        <v>412</v>
      </c>
      <c r="CI2709" t="s">
        <v>388</v>
      </c>
      <c r="CJ2709" s="14">
        <v>45016</v>
      </c>
      <c r="CK2709">
        <v>1</v>
      </c>
    </row>
    <row r="2710" spans="1:89">
      <c r="A2710" t="s">
        <v>928</v>
      </c>
      <c r="B2710" t="s">
        <v>374</v>
      </c>
      <c r="C2710" t="s">
        <v>392</v>
      </c>
      <c r="D2710" t="s">
        <v>961</v>
      </c>
      <c r="E2710" t="s">
        <v>962</v>
      </c>
      <c r="F2710" s="13">
        <v>44795.504444444443</v>
      </c>
      <c r="G2710" t="s">
        <v>641</v>
      </c>
      <c r="H2710" t="s">
        <v>642</v>
      </c>
      <c r="I2710" s="13">
        <v>44795.50445601852</v>
      </c>
      <c r="K2710" t="s">
        <v>412</v>
      </c>
      <c r="M2710" s="13">
        <v>44484</v>
      </c>
      <c r="R2710">
        <v>0</v>
      </c>
      <c r="S2710" t="s">
        <v>416</v>
      </c>
      <c r="T2710" t="s">
        <v>57</v>
      </c>
      <c r="V2710" t="s">
        <v>381</v>
      </c>
      <c r="W2710" t="s">
        <v>934</v>
      </c>
      <c r="X2710" t="s">
        <v>934</v>
      </c>
      <c r="AC2710" s="13">
        <v>44484</v>
      </c>
      <c r="AD2710" s="13">
        <v>44484</v>
      </c>
      <c r="AI2710">
        <v>-311</v>
      </c>
      <c r="AN2710" t="s">
        <v>31</v>
      </c>
      <c r="AO2710">
        <v>0</v>
      </c>
      <c r="AS2710" t="s">
        <v>392</v>
      </c>
      <c r="AX2710" t="s">
        <v>57</v>
      </c>
      <c r="AY2710" t="s">
        <v>386</v>
      </c>
      <c r="AZ2710" t="s">
        <v>721</v>
      </c>
      <c r="BF2710">
        <v>0</v>
      </c>
      <c r="BK2710" t="s">
        <v>31</v>
      </c>
      <c r="BS2710" t="s">
        <v>412</v>
      </c>
      <c r="CI2710" t="s">
        <v>388</v>
      </c>
      <c r="CJ2710" s="14">
        <v>45016</v>
      </c>
      <c r="CK2710">
        <v>1</v>
      </c>
    </row>
    <row r="2711" spans="1:89">
      <c r="A2711" t="s">
        <v>928</v>
      </c>
      <c r="B2711" t="s">
        <v>374</v>
      </c>
      <c r="C2711" t="s">
        <v>392</v>
      </c>
      <c r="D2711" t="s">
        <v>963</v>
      </c>
      <c r="E2711" t="s">
        <v>964</v>
      </c>
      <c r="F2711" s="13">
        <v>44795.504432870373</v>
      </c>
      <c r="G2711" t="s">
        <v>641</v>
      </c>
      <c r="H2711" t="s">
        <v>642</v>
      </c>
      <c r="I2711" s="13">
        <v>44795.504444444443</v>
      </c>
      <c r="K2711" t="s">
        <v>412</v>
      </c>
      <c r="M2711" s="13">
        <v>44484</v>
      </c>
      <c r="R2711">
        <v>0</v>
      </c>
      <c r="S2711" t="s">
        <v>416</v>
      </c>
      <c r="T2711" t="s">
        <v>57</v>
      </c>
      <c r="V2711" t="s">
        <v>381</v>
      </c>
      <c r="W2711" t="s">
        <v>934</v>
      </c>
      <c r="X2711" t="s">
        <v>934</v>
      </c>
      <c r="AC2711" s="13">
        <v>44484</v>
      </c>
      <c r="AD2711" s="13">
        <v>44484</v>
      </c>
      <c r="AI2711">
        <v>-311</v>
      </c>
      <c r="AN2711" t="s">
        <v>31</v>
      </c>
      <c r="AO2711">
        <v>0</v>
      </c>
      <c r="AS2711" t="s">
        <v>392</v>
      </c>
      <c r="AX2711" t="s">
        <v>57</v>
      </c>
      <c r="AY2711" t="s">
        <v>386</v>
      </c>
      <c r="AZ2711" t="s">
        <v>721</v>
      </c>
      <c r="BF2711">
        <v>0</v>
      </c>
      <c r="BK2711" t="s">
        <v>31</v>
      </c>
      <c r="BS2711" t="s">
        <v>412</v>
      </c>
      <c r="CI2711" t="s">
        <v>388</v>
      </c>
      <c r="CJ2711" s="14">
        <v>45016</v>
      </c>
      <c r="CK2711">
        <v>1</v>
      </c>
    </row>
    <row r="2712" spans="1:89">
      <c r="A2712" t="s">
        <v>965</v>
      </c>
      <c r="B2712" t="s">
        <v>374</v>
      </c>
      <c r="C2712" t="s">
        <v>966</v>
      </c>
      <c r="D2712" t="s">
        <v>967</v>
      </c>
      <c r="E2712" t="s">
        <v>968</v>
      </c>
      <c r="F2712" s="13">
        <v>44795.50440972222</v>
      </c>
      <c r="G2712" t="s">
        <v>641</v>
      </c>
      <c r="H2712" t="s">
        <v>642</v>
      </c>
      <c r="I2712" s="13">
        <v>44795.504421296297</v>
      </c>
      <c r="K2712" t="s">
        <v>412</v>
      </c>
      <c r="M2712" s="13">
        <v>44454</v>
      </c>
      <c r="R2712">
        <v>0</v>
      </c>
      <c r="S2712" t="s">
        <v>380</v>
      </c>
      <c r="T2712" t="s">
        <v>57</v>
      </c>
      <c r="V2712" t="s">
        <v>381</v>
      </c>
      <c r="W2712" t="s">
        <v>934</v>
      </c>
      <c r="X2712" t="s">
        <v>934</v>
      </c>
      <c r="AC2712" s="13">
        <v>44454</v>
      </c>
      <c r="AD2712" s="13">
        <v>44454</v>
      </c>
      <c r="AI2712">
        <v>-341</v>
      </c>
      <c r="AN2712" t="s">
        <v>31</v>
      </c>
      <c r="AO2712">
        <v>0</v>
      </c>
      <c r="AS2712" t="s">
        <v>392</v>
      </c>
      <c r="AX2712" t="s">
        <v>57</v>
      </c>
      <c r="AY2712" t="s">
        <v>386</v>
      </c>
      <c r="AZ2712" t="s">
        <v>721</v>
      </c>
      <c r="BF2712">
        <v>0</v>
      </c>
      <c r="BK2712" t="s">
        <v>31</v>
      </c>
      <c r="BS2712" t="s">
        <v>412</v>
      </c>
      <c r="CI2712" t="s">
        <v>388</v>
      </c>
      <c r="CJ2712" s="14">
        <v>45016</v>
      </c>
      <c r="CK2712">
        <v>1</v>
      </c>
    </row>
    <row r="2713" spans="1:89">
      <c r="A2713" t="s">
        <v>902</v>
      </c>
      <c r="B2713" t="s">
        <v>374</v>
      </c>
      <c r="C2713" t="s">
        <v>903</v>
      </c>
      <c r="D2713" t="s">
        <v>969</v>
      </c>
      <c r="E2713" t="s">
        <v>970</v>
      </c>
      <c r="F2713" s="13">
        <v>44795.504386574074</v>
      </c>
      <c r="G2713" t="s">
        <v>641</v>
      </c>
      <c r="H2713" t="s">
        <v>642</v>
      </c>
      <c r="I2713" s="13">
        <v>44795.50439814815</v>
      </c>
      <c r="K2713" t="s">
        <v>412</v>
      </c>
      <c r="M2713" s="13">
        <v>44331</v>
      </c>
      <c r="R2713">
        <v>0</v>
      </c>
      <c r="S2713" t="s">
        <v>380</v>
      </c>
      <c r="T2713" t="s">
        <v>57</v>
      </c>
      <c r="V2713" t="s">
        <v>381</v>
      </c>
      <c r="W2713" t="s">
        <v>971</v>
      </c>
      <c r="X2713" t="s">
        <v>971</v>
      </c>
      <c r="AC2713" s="13">
        <v>44331</v>
      </c>
      <c r="AD2713" s="13">
        <v>44331</v>
      </c>
      <c r="AI2713">
        <v>-464</v>
      </c>
      <c r="AN2713" t="s">
        <v>31</v>
      </c>
      <c r="AO2713">
        <v>0</v>
      </c>
      <c r="AS2713" t="s">
        <v>385</v>
      </c>
      <c r="AX2713" t="s">
        <v>57</v>
      </c>
      <c r="AY2713" t="s">
        <v>386</v>
      </c>
      <c r="AZ2713" t="s">
        <v>721</v>
      </c>
      <c r="BF2713">
        <v>0</v>
      </c>
      <c r="BK2713" t="s">
        <v>31</v>
      </c>
      <c r="BS2713" t="s">
        <v>412</v>
      </c>
      <c r="CI2713" t="s">
        <v>388</v>
      </c>
      <c r="CJ2713" s="14">
        <v>45016</v>
      </c>
      <c r="CK2713">
        <v>1</v>
      </c>
    </row>
    <row r="2714" spans="1:89">
      <c r="A2714" t="s">
        <v>883</v>
      </c>
      <c r="B2714" t="s">
        <v>374</v>
      </c>
      <c r="C2714" t="s">
        <v>473</v>
      </c>
      <c r="D2714" t="s">
        <v>972</v>
      </c>
      <c r="E2714" t="s">
        <v>973</v>
      </c>
      <c r="F2714" s="13">
        <v>44795.504363425927</v>
      </c>
      <c r="G2714" t="s">
        <v>641</v>
      </c>
      <c r="H2714" t="s">
        <v>642</v>
      </c>
      <c r="I2714" s="13">
        <v>44795.504374999997</v>
      </c>
      <c r="K2714" t="s">
        <v>412</v>
      </c>
      <c r="M2714" s="13">
        <v>44301</v>
      </c>
      <c r="R2714">
        <v>0</v>
      </c>
      <c r="S2714" t="s">
        <v>380</v>
      </c>
      <c r="T2714" t="s">
        <v>57</v>
      </c>
      <c r="V2714" t="s">
        <v>381</v>
      </c>
      <c r="W2714" t="s">
        <v>931</v>
      </c>
      <c r="X2714" t="s">
        <v>931</v>
      </c>
      <c r="AC2714" s="13">
        <v>44301</v>
      </c>
      <c r="AD2714" s="13">
        <v>44301</v>
      </c>
      <c r="AI2714">
        <v>-494</v>
      </c>
      <c r="AN2714" t="s">
        <v>31</v>
      </c>
      <c r="AO2714">
        <v>0</v>
      </c>
      <c r="AS2714" t="s">
        <v>385</v>
      </c>
      <c r="AX2714" t="s">
        <v>57</v>
      </c>
      <c r="AY2714" t="s">
        <v>386</v>
      </c>
      <c r="AZ2714" t="s">
        <v>721</v>
      </c>
      <c r="BF2714">
        <v>0</v>
      </c>
      <c r="BK2714" t="s">
        <v>31</v>
      </c>
      <c r="BS2714" t="s">
        <v>412</v>
      </c>
      <c r="CI2714" t="s">
        <v>388</v>
      </c>
      <c r="CJ2714" s="14">
        <v>45016</v>
      </c>
      <c r="CK2714">
        <v>1</v>
      </c>
    </row>
    <row r="2715" spans="1:89">
      <c r="A2715" t="s">
        <v>915</v>
      </c>
      <c r="B2715" t="s">
        <v>374</v>
      </c>
      <c r="C2715" t="s">
        <v>916</v>
      </c>
      <c r="D2715" t="s">
        <v>974</v>
      </c>
      <c r="E2715" t="s">
        <v>975</v>
      </c>
      <c r="F2715" s="13">
        <v>44795.504340277781</v>
      </c>
      <c r="G2715" t="s">
        <v>641</v>
      </c>
      <c r="H2715" t="s">
        <v>642</v>
      </c>
      <c r="I2715" s="13">
        <v>44795.504351851851</v>
      </c>
      <c r="K2715" t="s">
        <v>412</v>
      </c>
      <c r="M2715" s="13">
        <v>44135</v>
      </c>
      <c r="R2715">
        <v>0</v>
      </c>
      <c r="S2715" t="s">
        <v>380</v>
      </c>
      <c r="T2715" t="s">
        <v>57</v>
      </c>
      <c r="V2715" t="s">
        <v>381</v>
      </c>
      <c r="W2715" t="s">
        <v>931</v>
      </c>
      <c r="X2715" t="s">
        <v>931</v>
      </c>
      <c r="AC2715" s="13">
        <v>44135</v>
      </c>
      <c r="AD2715" s="13">
        <v>44135</v>
      </c>
      <c r="AI2715">
        <v>-660</v>
      </c>
      <c r="AN2715" t="s">
        <v>31</v>
      </c>
      <c r="AO2715">
        <v>0</v>
      </c>
      <c r="AS2715" t="s">
        <v>385</v>
      </c>
      <c r="AX2715" t="s">
        <v>57</v>
      </c>
      <c r="AY2715" t="s">
        <v>386</v>
      </c>
      <c r="AZ2715" t="s">
        <v>976</v>
      </c>
      <c r="BF2715">
        <v>0</v>
      </c>
      <c r="BK2715" t="s">
        <v>31</v>
      </c>
      <c r="BS2715" t="s">
        <v>412</v>
      </c>
      <c r="CI2715" t="s">
        <v>388</v>
      </c>
      <c r="CJ2715" s="14">
        <v>45016</v>
      </c>
      <c r="CK2715">
        <v>1</v>
      </c>
    </row>
    <row r="2716" spans="1:89">
      <c r="A2716" t="s">
        <v>915</v>
      </c>
      <c r="B2716" t="s">
        <v>374</v>
      </c>
      <c r="C2716" t="s">
        <v>916</v>
      </c>
      <c r="D2716" t="s">
        <v>977</v>
      </c>
      <c r="E2716" t="s">
        <v>978</v>
      </c>
      <c r="F2716" s="13">
        <v>44795.504328703704</v>
      </c>
      <c r="G2716" t="s">
        <v>641</v>
      </c>
      <c r="H2716" t="s">
        <v>642</v>
      </c>
      <c r="I2716" s="13">
        <v>44795.504328703704</v>
      </c>
      <c r="K2716" t="s">
        <v>412</v>
      </c>
      <c r="M2716" s="13">
        <v>44135</v>
      </c>
      <c r="R2716">
        <v>0</v>
      </c>
      <c r="S2716" t="s">
        <v>380</v>
      </c>
      <c r="T2716" t="s">
        <v>57</v>
      </c>
      <c r="V2716" t="s">
        <v>381</v>
      </c>
      <c r="W2716" t="s">
        <v>979</v>
      </c>
      <c r="X2716" t="s">
        <v>979</v>
      </c>
      <c r="AC2716" s="13">
        <v>44135</v>
      </c>
      <c r="AD2716" s="13">
        <v>44135</v>
      </c>
      <c r="AI2716">
        <v>-660</v>
      </c>
      <c r="AN2716" t="s">
        <v>31</v>
      </c>
      <c r="AO2716">
        <v>0</v>
      </c>
      <c r="AS2716" t="s">
        <v>385</v>
      </c>
      <c r="AX2716" t="s">
        <v>57</v>
      </c>
      <c r="AY2716" t="s">
        <v>386</v>
      </c>
      <c r="AZ2716" t="s">
        <v>745</v>
      </c>
      <c r="BF2716">
        <v>0</v>
      </c>
      <c r="BK2716" t="s">
        <v>31</v>
      </c>
      <c r="BS2716" t="s">
        <v>412</v>
      </c>
      <c r="CI2716" t="s">
        <v>388</v>
      </c>
      <c r="CJ2716" s="14">
        <v>45016</v>
      </c>
      <c r="CK2716">
        <v>1</v>
      </c>
    </row>
    <row r="2717" spans="1:89">
      <c r="A2717" t="s">
        <v>915</v>
      </c>
      <c r="B2717" t="s">
        <v>374</v>
      </c>
      <c r="C2717" t="s">
        <v>916</v>
      </c>
      <c r="D2717" t="s">
        <v>980</v>
      </c>
      <c r="E2717" t="s">
        <v>981</v>
      </c>
      <c r="F2717" s="13">
        <v>44795.504305555558</v>
      </c>
      <c r="G2717" t="s">
        <v>641</v>
      </c>
      <c r="H2717" t="s">
        <v>642</v>
      </c>
      <c r="I2717" s="13">
        <v>44795.504317129627</v>
      </c>
      <c r="K2717" t="s">
        <v>412</v>
      </c>
      <c r="M2717" s="13">
        <v>44135</v>
      </c>
      <c r="R2717">
        <v>0</v>
      </c>
      <c r="S2717" t="s">
        <v>380</v>
      </c>
      <c r="T2717" t="s">
        <v>57</v>
      </c>
      <c r="V2717" t="s">
        <v>381</v>
      </c>
      <c r="W2717" t="s">
        <v>979</v>
      </c>
      <c r="X2717" t="s">
        <v>979</v>
      </c>
      <c r="AC2717" s="13">
        <v>44135</v>
      </c>
      <c r="AD2717" s="13">
        <v>44135</v>
      </c>
      <c r="AI2717">
        <v>-660</v>
      </c>
      <c r="AN2717" t="s">
        <v>31</v>
      </c>
      <c r="AO2717">
        <v>0</v>
      </c>
      <c r="AS2717" t="s">
        <v>385</v>
      </c>
      <c r="AX2717" t="s">
        <v>57</v>
      </c>
      <c r="AY2717" t="s">
        <v>386</v>
      </c>
      <c r="AZ2717" t="s">
        <v>721</v>
      </c>
      <c r="BF2717">
        <v>0</v>
      </c>
      <c r="BK2717" t="s">
        <v>31</v>
      </c>
      <c r="BS2717" t="s">
        <v>412</v>
      </c>
      <c r="CI2717" t="s">
        <v>388</v>
      </c>
      <c r="CJ2717" s="14">
        <v>45016</v>
      </c>
      <c r="CK2717">
        <v>1</v>
      </c>
    </row>
    <row r="2718" spans="1:89">
      <c r="A2718" t="s">
        <v>895</v>
      </c>
      <c r="B2718" t="s">
        <v>374</v>
      </c>
      <c r="C2718" t="s">
        <v>896</v>
      </c>
      <c r="D2718" t="s">
        <v>982</v>
      </c>
      <c r="E2718" t="s">
        <v>983</v>
      </c>
      <c r="F2718" s="13">
        <v>44795.504282407404</v>
      </c>
      <c r="G2718" t="s">
        <v>641</v>
      </c>
      <c r="H2718" t="s">
        <v>642</v>
      </c>
      <c r="I2718" s="13">
        <v>44795.504293981481</v>
      </c>
      <c r="K2718" t="s">
        <v>412</v>
      </c>
      <c r="M2718" s="13">
        <v>44586</v>
      </c>
      <c r="R2718">
        <v>0</v>
      </c>
      <c r="S2718" t="s">
        <v>380</v>
      </c>
      <c r="T2718" t="s">
        <v>57</v>
      </c>
      <c r="V2718" t="s">
        <v>381</v>
      </c>
      <c r="W2718" t="s">
        <v>931</v>
      </c>
      <c r="X2718" t="s">
        <v>931</v>
      </c>
      <c r="AC2718" s="13">
        <v>44586</v>
      </c>
      <c r="AD2718" s="13">
        <v>44586</v>
      </c>
      <c r="AI2718">
        <v>-209</v>
      </c>
      <c r="AN2718" t="s">
        <v>31</v>
      </c>
      <c r="AO2718">
        <v>0</v>
      </c>
      <c r="AS2718" t="s">
        <v>385</v>
      </c>
      <c r="AX2718" t="s">
        <v>57</v>
      </c>
      <c r="AY2718" t="s">
        <v>386</v>
      </c>
      <c r="AZ2718" t="s">
        <v>721</v>
      </c>
      <c r="BF2718">
        <v>0</v>
      </c>
      <c r="BK2718" t="s">
        <v>31</v>
      </c>
      <c r="BS2718" t="s">
        <v>412</v>
      </c>
      <c r="CI2718" t="s">
        <v>388</v>
      </c>
      <c r="CJ2718" s="14">
        <v>45016</v>
      </c>
      <c r="CK2718">
        <v>1</v>
      </c>
    </row>
    <row r="2719" spans="1:89">
      <c r="A2719" t="s">
        <v>915</v>
      </c>
      <c r="B2719" t="s">
        <v>374</v>
      </c>
      <c r="C2719" t="s">
        <v>916</v>
      </c>
      <c r="D2719" t="s">
        <v>984</v>
      </c>
      <c r="E2719" t="s">
        <v>985</v>
      </c>
      <c r="F2719" s="13">
        <v>44795.504270833335</v>
      </c>
      <c r="G2719" t="s">
        <v>641</v>
      </c>
      <c r="H2719" t="s">
        <v>642</v>
      </c>
      <c r="I2719" s="13">
        <v>44795.504270833335</v>
      </c>
      <c r="K2719" t="s">
        <v>412</v>
      </c>
      <c r="M2719" s="13">
        <v>44638</v>
      </c>
      <c r="R2719">
        <v>0</v>
      </c>
      <c r="S2719" t="s">
        <v>380</v>
      </c>
      <c r="T2719" t="s">
        <v>57</v>
      </c>
      <c r="V2719" t="s">
        <v>381</v>
      </c>
      <c r="W2719" t="s">
        <v>921</v>
      </c>
      <c r="X2719" t="s">
        <v>921</v>
      </c>
      <c r="AC2719" s="13">
        <v>44638</v>
      </c>
      <c r="AD2719" s="13">
        <v>44638</v>
      </c>
      <c r="AI2719">
        <v>-157</v>
      </c>
      <c r="AN2719" t="s">
        <v>31</v>
      </c>
      <c r="AO2719">
        <v>0</v>
      </c>
      <c r="AS2719" t="s">
        <v>648</v>
      </c>
      <c r="AX2719" t="s">
        <v>57</v>
      </c>
      <c r="AY2719" t="s">
        <v>386</v>
      </c>
      <c r="AZ2719" t="s">
        <v>745</v>
      </c>
      <c r="BF2719">
        <v>0</v>
      </c>
      <c r="BK2719" t="s">
        <v>31</v>
      </c>
      <c r="BS2719" t="s">
        <v>412</v>
      </c>
      <c r="CI2719" t="s">
        <v>388</v>
      </c>
      <c r="CJ2719" s="14">
        <v>45016</v>
      </c>
      <c r="CK2719">
        <v>1</v>
      </c>
    </row>
    <row r="2720" spans="1:89">
      <c r="A2720" t="s">
        <v>915</v>
      </c>
      <c r="B2720" t="s">
        <v>374</v>
      </c>
      <c r="C2720" t="s">
        <v>916</v>
      </c>
      <c r="D2720" t="s">
        <v>986</v>
      </c>
      <c r="E2720" t="s">
        <v>987</v>
      </c>
      <c r="F2720" s="13">
        <v>44795.504247685189</v>
      </c>
      <c r="G2720" t="s">
        <v>641</v>
      </c>
      <c r="H2720" t="s">
        <v>642</v>
      </c>
      <c r="I2720" s="13">
        <v>44795.504259259258</v>
      </c>
      <c r="K2720" t="s">
        <v>412</v>
      </c>
      <c r="M2720" s="13">
        <v>44638</v>
      </c>
      <c r="R2720">
        <v>0</v>
      </c>
      <c r="S2720" t="s">
        <v>380</v>
      </c>
      <c r="T2720" t="s">
        <v>57</v>
      </c>
      <c r="V2720" t="s">
        <v>381</v>
      </c>
      <c r="W2720" t="s">
        <v>921</v>
      </c>
      <c r="X2720" t="s">
        <v>921</v>
      </c>
      <c r="AC2720" s="13">
        <v>44638</v>
      </c>
      <c r="AD2720" s="13">
        <v>44638</v>
      </c>
      <c r="AI2720">
        <v>-157</v>
      </c>
      <c r="AN2720" t="s">
        <v>31</v>
      </c>
      <c r="AO2720">
        <v>0</v>
      </c>
      <c r="AS2720" t="s">
        <v>526</v>
      </c>
      <c r="AX2720" t="s">
        <v>57</v>
      </c>
      <c r="AY2720" t="s">
        <v>386</v>
      </c>
      <c r="AZ2720" t="s">
        <v>721</v>
      </c>
      <c r="BF2720">
        <v>0</v>
      </c>
      <c r="BK2720" t="s">
        <v>31</v>
      </c>
      <c r="BS2720" t="s">
        <v>412</v>
      </c>
      <c r="CI2720" t="s">
        <v>388</v>
      </c>
      <c r="CJ2720" s="14">
        <v>45016</v>
      </c>
      <c r="CK2720">
        <v>1</v>
      </c>
    </row>
    <row r="2721" spans="1:89">
      <c r="A2721" t="s">
        <v>915</v>
      </c>
      <c r="B2721" t="s">
        <v>374</v>
      </c>
      <c r="C2721" t="s">
        <v>916</v>
      </c>
      <c r="D2721" t="s">
        <v>988</v>
      </c>
      <c r="E2721" t="s">
        <v>989</v>
      </c>
      <c r="F2721" s="13">
        <v>44795.504224537035</v>
      </c>
      <c r="G2721" t="s">
        <v>641</v>
      </c>
      <c r="H2721" t="s">
        <v>642</v>
      </c>
      <c r="I2721" s="13">
        <v>44795.504236111112</v>
      </c>
      <c r="K2721" t="s">
        <v>412</v>
      </c>
      <c r="M2721" s="13">
        <v>44610</v>
      </c>
      <c r="R2721">
        <v>0</v>
      </c>
      <c r="S2721" t="s">
        <v>380</v>
      </c>
      <c r="T2721" t="s">
        <v>57</v>
      </c>
      <c r="V2721" t="s">
        <v>381</v>
      </c>
      <c r="W2721" t="s">
        <v>921</v>
      </c>
      <c r="X2721" t="s">
        <v>921</v>
      </c>
      <c r="AC2721" s="13">
        <v>44610</v>
      </c>
      <c r="AD2721" s="13">
        <v>44610</v>
      </c>
      <c r="AI2721">
        <v>-185</v>
      </c>
      <c r="AN2721" t="s">
        <v>31</v>
      </c>
      <c r="AO2721">
        <v>0</v>
      </c>
      <c r="AS2721" t="s">
        <v>385</v>
      </c>
      <c r="AX2721" t="s">
        <v>57</v>
      </c>
      <c r="AY2721" t="s">
        <v>386</v>
      </c>
      <c r="AZ2721" t="s">
        <v>745</v>
      </c>
      <c r="BF2721">
        <v>0</v>
      </c>
      <c r="BK2721" t="s">
        <v>31</v>
      </c>
      <c r="BS2721" t="s">
        <v>412</v>
      </c>
      <c r="CI2721" t="s">
        <v>388</v>
      </c>
      <c r="CJ2721" s="14">
        <v>45016</v>
      </c>
      <c r="CK2721">
        <v>1</v>
      </c>
    </row>
    <row r="2722" spans="1:89">
      <c r="A2722" t="s">
        <v>915</v>
      </c>
      <c r="B2722" t="s">
        <v>374</v>
      </c>
      <c r="C2722" t="s">
        <v>916</v>
      </c>
      <c r="D2722" t="s">
        <v>990</v>
      </c>
      <c r="E2722" t="s">
        <v>991</v>
      </c>
      <c r="F2722" s="13">
        <v>44795.504212962966</v>
      </c>
      <c r="G2722" t="s">
        <v>641</v>
      </c>
      <c r="H2722" t="s">
        <v>642</v>
      </c>
      <c r="I2722" s="13">
        <v>44795.504212962966</v>
      </c>
      <c r="K2722" t="s">
        <v>412</v>
      </c>
      <c r="M2722" s="13">
        <v>44610</v>
      </c>
      <c r="R2722">
        <v>0</v>
      </c>
      <c r="S2722" t="s">
        <v>380</v>
      </c>
      <c r="T2722" t="s">
        <v>57</v>
      </c>
      <c r="V2722" t="s">
        <v>381</v>
      </c>
      <c r="W2722" t="s">
        <v>921</v>
      </c>
      <c r="X2722" t="s">
        <v>921</v>
      </c>
      <c r="AC2722" s="13">
        <v>44610</v>
      </c>
      <c r="AD2722" s="13">
        <v>44610</v>
      </c>
      <c r="AI2722">
        <v>-185</v>
      </c>
      <c r="AN2722" t="s">
        <v>31</v>
      </c>
      <c r="AO2722">
        <v>0</v>
      </c>
      <c r="AS2722" t="s">
        <v>385</v>
      </c>
      <c r="AX2722" t="s">
        <v>57</v>
      </c>
      <c r="AY2722" t="s">
        <v>386</v>
      </c>
      <c r="AZ2722" t="s">
        <v>721</v>
      </c>
      <c r="BF2722">
        <v>0</v>
      </c>
      <c r="BK2722" t="s">
        <v>31</v>
      </c>
      <c r="BS2722" t="s">
        <v>412</v>
      </c>
      <c r="CI2722" t="s">
        <v>388</v>
      </c>
      <c r="CJ2722" s="14">
        <v>45016</v>
      </c>
      <c r="CK2722">
        <v>1</v>
      </c>
    </row>
    <row r="2723" spans="1:89">
      <c r="A2723" t="s">
        <v>915</v>
      </c>
      <c r="B2723" t="s">
        <v>374</v>
      </c>
      <c r="C2723" t="s">
        <v>916</v>
      </c>
      <c r="D2723" t="s">
        <v>992</v>
      </c>
      <c r="E2723" t="s">
        <v>993</v>
      </c>
      <c r="F2723" s="13">
        <v>44795.504189814812</v>
      </c>
      <c r="G2723" t="s">
        <v>641</v>
      </c>
      <c r="H2723" t="s">
        <v>642</v>
      </c>
      <c r="I2723" s="13">
        <v>44795.504201388889</v>
      </c>
      <c r="K2723" t="s">
        <v>412</v>
      </c>
      <c r="M2723" s="13">
        <v>44638</v>
      </c>
      <c r="R2723">
        <v>0</v>
      </c>
      <c r="S2723" t="s">
        <v>380</v>
      </c>
      <c r="T2723" t="s">
        <v>57</v>
      </c>
      <c r="V2723" t="s">
        <v>381</v>
      </c>
      <c r="W2723" t="s">
        <v>921</v>
      </c>
      <c r="X2723" t="s">
        <v>921</v>
      </c>
      <c r="AC2723" s="13">
        <v>44638</v>
      </c>
      <c r="AD2723" s="13">
        <v>44638</v>
      </c>
      <c r="AI2723">
        <v>-157</v>
      </c>
      <c r="AN2723" t="s">
        <v>31</v>
      </c>
      <c r="AO2723">
        <v>0</v>
      </c>
      <c r="AS2723" t="s">
        <v>385</v>
      </c>
      <c r="AX2723" t="s">
        <v>57</v>
      </c>
      <c r="AY2723" t="s">
        <v>386</v>
      </c>
      <c r="AZ2723" t="s">
        <v>976</v>
      </c>
      <c r="BF2723">
        <v>0</v>
      </c>
      <c r="BK2723" t="s">
        <v>31</v>
      </c>
      <c r="BS2723" t="s">
        <v>412</v>
      </c>
      <c r="CI2723" t="s">
        <v>388</v>
      </c>
      <c r="CJ2723" s="14">
        <v>45016</v>
      </c>
      <c r="CK2723">
        <v>1</v>
      </c>
    </row>
    <row r="2724" spans="1:89">
      <c r="A2724" t="s">
        <v>915</v>
      </c>
      <c r="B2724" t="s">
        <v>374</v>
      </c>
      <c r="C2724" t="s">
        <v>916</v>
      </c>
      <c r="D2724" t="s">
        <v>994</v>
      </c>
      <c r="E2724" t="s">
        <v>995</v>
      </c>
      <c r="F2724" s="13">
        <v>44795.504166666666</v>
      </c>
      <c r="G2724" t="s">
        <v>641</v>
      </c>
      <c r="H2724" t="s">
        <v>642</v>
      </c>
      <c r="I2724" s="13">
        <v>44795.504178240742</v>
      </c>
      <c r="K2724" t="s">
        <v>412</v>
      </c>
      <c r="M2724" s="13">
        <v>44638</v>
      </c>
      <c r="R2724">
        <v>0</v>
      </c>
      <c r="S2724" t="s">
        <v>380</v>
      </c>
      <c r="T2724" t="s">
        <v>57</v>
      </c>
      <c r="V2724" t="s">
        <v>381</v>
      </c>
      <c r="W2724" t="s">
        <v>921</v>
      </c>
      <c r="X2724" t="s">
        <v>921</v>
      </c>
      <c r="AC2724" s="13">
        <v>44638</v>
      </c>
      <c r="AD2724" s="13">
        <v>44638</v>
      </c>
      <c r="AI2724">
        <v>-157</v>
      </c>
      <c r="AN2724" t="s">
        <v>31</v>
      </c>
      <c r="AO2724">
        <v>0</v>
      </c>
      <c r="AS2724" t="s">
        <v>385</v>
      </c>
      <c r="AX2724" t="s">
        <v>57</v>
      </c>
      <c r="AY2724" t="s">
        <v>386</v>
      </c>
      <c r="AZ2724" t="s">
        <v>745</v>
      </c>
      <c r="BF2724">
        <v>0</v>
      </c>
      <c r="BK2724" t="s">
        <v>31</v>
      </c>
      <c r="BS2724" t="s">
        <v>412</v>
      </c>
      <c r="CI2724" t="s">
        <v>388</v>
      </c>
      <c r="CJ2724" s="14">
        <v>45016</v>
      </c>
      <c r="CK2724">
        <v>1</v>
      </c>
    </row>
    <row r="2725" spans="1:89">
      <c r="A2725" t="s">
        <v>915</v>
      </c>
      <c r="B2725" t="s">
        <v>374</v>
      </c>
      <c r="C2725" t="s">
        <v>916</v>
      </c>
      <c r="D2725" t="s">
        <v>996</v>
      </c>
      <c r="E2725" t="s">
        <v>997</v>
      </c>
      <c r="F2725" s="13">
        <v>44795.504143518519</v>
      </c>
      <c r="G2725" t="s">
        <v>641</v>
      </c>
      <c r="H2725" t="s">
        <v>642</v>
      </c>
      <c r="I2725" s="13">
        <v>44795.504155092596</v>
      </c>
      <c r="K2725" t="s">
        <v>412</v>
      </c>
      <c r="M2725" s="13">
        <v>44638</v>
      </c>
      <c r="R2725">
        <v>0</v>
      </c>
      <c r="S2725" t="s">
        <v>416</v>
      </c>
      <c r="T2725" t="s">
        <v>57</v>
      </c>
      <c r="V2725" t="s">
        <v>381</v>
      </c>
      <c r="W2725" t="s">
        <v>998</v>
      </c>
      <c r="X2725" t="s">
        <v>998</v>
      </c>
      <c r="AC2725" s="13">
        <v>44638</v>
      </c>
      <c r="AD2725" s="13">
        <v>44638</v>
      </c>
      <c r="AI2725">
        <v>-157</v>
      </c>
      <c r="AN2725" t="s">
        <v>31</v>
      </c>
      <c r="AO2725">
        <v>0</v>
      </c>
      <c r="AS2725" t="s">
        <v>385</v>
      </c>
      <c r="AX2725" t="s">
        <v>57</v>
      </c>
      <c r="AY2725" t="s">
        <v>386</v>
      </c>
      <c r="AZ2725" t="s">
        <v>721</v>
      </c>
      <c r="BF2725">
        <v>0</v>
      </c>
      <c r="BK2725" t="s">
        <v>31</v>
      </c>
      <c r="BS2725" t="s">
        <v>412</v>
      </c>
      <c r="CI2725" t="s">
        <v>388</v>
      </c>
      <c r="CJ2725" s="14">
        <v>45016</v>
      </c>
      <c r="CK2725">
        <v>1</v>
      </c>
    </row>
    <row r="2726" spans="1:89">
      <c r="A2726" t="s">
        <v>883</v>
      </c>
      <c r="B2726" t="s">
        <v>374</v>
      </c>
      <c r="C2726" t="s">
        <v>473</v>
      </c>
      <c r="D2726" t="s">
        <v>999</v>
      </c>
      <c r="E2726" t="s">
        <v>1000</v>
      </c>
      <c r="F2726" s="13">
        <v>44795.504120370373</v>
      </c>
      <c r="G2726" t="s">
        <v>641</v>
      </c>
      <c r="H2726" t="s">
        <v>642</v>
      </c>
      <c r="I2726" s="13">
        <v>44795.504131944443</v>
      </c>
      <c r="K2726" t="s">
        <v>412</v>
      </c>
      <c r="M2726" s="13">
        <v>44651</v>
      </c>
      <c r="R2726">
        <v>0</v>
      </c>
      <c r="S2726" t="s">
        <v>380</v>
      </c>
      <c r="T2726" t="s">
        <v>57</v>
      </c>
      <c r="V2726" t="s">
        <v>381</v>
      </c>
      <c r="W2726" t="s">
        <v>1001</v>
      </c>
      <c r="X2726" t="s">
        <v>1001</v>
      </c>
      <c r="AC2726" s="13">
        <v>44651</v>
      </c>
      <c r="AD2726" s="13">
        <v>44651</v>
      </c>
      <c r="AI2726">
        <v>-144</v>
      </c>
      <c r="AN2726" t="s">
        <v>31</v>
      </c>
      <c r="AO2726">
        <v>0</v>
      </c>
      <c r="AS2726" t="s">
        <v>392</v>
      </c>
      <c r="AX2726" t="s">
        <v>57</v>
      </c>
      <c r="AY2726" t="s">
        <v>386</v>
      </c>
      <c r="AZ2726" t="s">
        <v>721</v>
      </c>
      <c r="BF2726">
        <v>0</v>
      </c>
      <c r="BK2726" t="s">
        <v>31</v>
      </c>
      <c r="BS2726" t="s">
        <v>412</v>
      </c>
      <c r="CI2726" t="s">
        <v>388</v>
      </c>
      <c r="CJ2726" s="14">
        <v>45016</v>
      </c>
      <c r="CK2726">
        <v>1</v>
      </c>
    </row>
    <row r="2727" spans="1:89">
      <c r="A2727" t="s">
        <v>714</v>
      </c>
      <c r="B2727" t="s">
        <v>374</v>
      </c>
      <c r="C2727" t="s">
        <v>715</v>
      </c>
      <c r="D2727" t="s">
        <v>1002</v>
      </c>
      <c r="E2727" t="s">
        <v>1003</v>
      </c>
      <c r="F2727" s="13">
        <v>44795.504108796296</v>
      </c>
      <c r="G2727" t="s">
        <v>641</v>
      </c>
      <c r="H2727" t="s">
        <v>642</v>
      </c>
      <c r="I2727" s="13">
        <v>44795.504120370373</v>
      </c>
      <c r="K2727" t="s">
        <v>412</v>
      </c>
      <c r="M2727" s="13">
        <v>44635</v>
      </c>
      <c r="R2727">
        <v>0</v>
      </c>
      <c r="S2727" t="s">
        <v>380</v>
      </c>
      <c r="T2727" t="s">
        <v>57</v>
      </c>
      <c r="V2727" t="s">
        <v>381</v>
      </c>
      <c r="W2727" t="s">
        <v>1004</v>
      </c>
      <c r="X2727" t="s">
        <v>1004</v>
      </c>
      <c r="AC2727" s="13">
        <v>44635</v>
      </c>
      <c r="AD2727" s="13">
        <v>44635</v>
      </c>
      <c r="AI2727">
        <v>-160</v>
      </c>
      <c r="AN2727" t="s">
        <v>31</v>
      </c>
      <c r="AO2727">
        <v>0</v>
      </c>
      <c r="AS2727" t="s">
        <v>730</v>
      </c>
      <c r="AX2727" t="s">
        <v>57</v>
      </c>
      <c r="AY2727" t="s">
        <v>386</v>
      </c>
      <c r="AZ2727" t="s">
        <v>745</v>
      </c>
      <c r="BF2727">
        <v>0</v>
      </c>
      <c r="BK2727" t="s">
        <v>31</v>
      </c>
      <c r="BS2727" t="s">
        <v>412</v>
      </c>
      <c r="CI2727" t="s">
        <v>388</v>
      </c>
      <c r="CJ2727" s="14">
        <v>45016</v>
      </c>
      <c r="CK2727">
        <v>1</v>
      </c>
    </row>
    <row r="2728" spans="1:89">
      <c r="A2728" t="s">
        <v>714</v>
      </c>
      <c r="B2728" t="s">
        <v>374</v>
      </c>
      <c r="C2728" t="s">
        <v>715</v>
      </c>
      <c r="D2728" t="s">
        <v>1005</v>
      </c>
      <c r="E2728" t="s">
        <v>1006</v>
      </c>
      <c r="F2728" s="13">
        <v>44795.50408564815</v>
      </c>
      <c r="G2728" t="s">
        <v>641</v>
      </c>
      <c r="H2728" t="s">
        <v>642</v>
      </c>
      <c r="I2728" s="13">
        <v>44795.50409722222</v>
      </c>
      <c r="K2728" t="s">
        <v>412</v>
      </c>
      <c r="M2728" s="13">
        <v>44635</v>
      </c>
      <c r="R2728">
        <v>0</v>
      </c>
      <c r="S2728" t="s">
        <v>380</v>
      </c>
      <c r="T2728" t="s">
        <v>57</v>
      </c>
      <c r="V2728" t="s">
        <v>381</v>
      </c>
      <c r="W2728" t="s">
        <v>1004</v>
      </c>
      <c r="X2728" t="s">
        <v>1004</v>
      </c>
      <c r="AC2728" s="13">
        <v>44635</v>
      </c>
      <c r="AD2728" s="13">
        <v>44635</v>
      </c>
      <c r="AI2728">
        <v>-160</v>
      </c>
      <c r="AN2728" t="s">
        <v>31</v>
      </c>
      <c r="AO2728">
        <v>0</v>
      </c>
      <c r="AS2728" t="s">
        <v>730</v>
      </c>
      <c r="AX2728" t="s">
        <v>57</v>
      </c>
      <c r="AY2728" t="s">
        <v>386</v>
      </c>
      <c r="AZ2728" t="s">
        <v>721</v>
      </c>
      <c r="BF2728">
        <v>0</v>
      </c>
      <c r="BK2728" t="s">
        <v>31</v>
      </c>
      <c r="BS2728" t="s">
        <v>412</v>
      </c>
      <c r="CI2728" t="s">
        <v>388</v>
      </c>
      <c r="CJ2728" s="14">
        <v>45016</v>
      </c>
      <c r="CK2728">
        <v>1</v>
      </c>
    </row>
    <row r="2729" spans="1:89">
      <c r="A2729" t="s">
        <v>714</v>
      </c>
      <c r="B2729" t="s">
        <v>374</v>
      </c>
      <c r="C2729" t="s">
        <v>715</v>
      </c>
      <c r="D2729" t="s">
        <v>1007</v>
      </c>
      <c r="E2729" t="s">
        <v>1008</v>
      </c>
      <c r="F2729" s="13">
        <v>44795.504062499997</v>
      </c>
      <c r="G2729" t="s">
        <v>641</v>
      </c>
      <c r="H2729" t="s">
        <v>642</v>
      </c>
      <c r="I2729" s="13">
        <v>44795.504074074073</v>
      </c>
      <c r="K2729" t="s">
        <v>412</v>
      </c>
      <c r="M2729" s="13">
        <v>44666</v>
      </c>
      <c r="R2729">
        <v>0</v>
      </c>
      <c r="S2729" t="s">
        <v>380</v>
      </c>
      <c r="T2729" t="s">
        <v>57</v>
      </c>
      <c r="V2729" t="s">
        <v>381</v>
      </c>
      <c r="W2729" t="s">
        <v>1004</v>
      </c>
      <c r="X2729" t="s">
        <v>1004</v>
      </c>
      <c r="AC2729" s="13">
        <v>44666</v>
      </c>
      <c r="AD2729" s="13">
        <v>44666</v>
      </c>
      <c r="AI2729">
        <v>-129</v>
      </c>
      <c r="AN2729" t="s">
        <v>31</v>
      </c>
      <c r="AO2729">
        <v>0</v>
      </c>
      <c r="AS2729" t="s">
        <v>730</v>
      </c>
      <c r="AX2729" t="s">
        <v>57</v>
      </c>
      <c r="AY2729" t="s">
        <v>386</v>
      </c>
      <c r="AZ2729" t="s">
        <v>745</v>
      </c>
      <c r="BF2729">
        <v>0</v>
      </c>
      <c r="BK2729" t="s">
        <v>31</v>
      </c>
      <c r="BS2729" t="s">
        <v>412</v>
      </c>
      <c r="CI2729" t="s">
        <v>388</v>
      </c>
      <c r="CJ2729" s="14">
        <v>45016</v>
      </c>
      <c r="CK2729">
        <v>1</v>
      </c>
    </row>
    <row r="2730" spans="1:89">
      <c r="A2730" t="s">
        <v>714</v>
      </c>
      <c r="B2730" t="s">
        <v>374</v>
      </c>
      <c r="C2730" t="s">
        <v>715</v>
      </c>
      <c r="D2730" t="s">
        <v>1009</v>
      </c>
      <c r="E2730" t="s">
        <v>1010</v>
      </c>
      <c r="F2730" s="13">
        <v>44795.50403935185</v>
      </c>
      <c r="G2730" t="s">
        <v>641</v>
      </c>
      <c r="H2730" t="s">
        <v>642</v>
      </c>
      <c r="I2730" s="13">
        <v>44795.504050925927</v>
      </c>
      <c r="K2730" t="s">
        <v>412</v>
      </c>
      <c r="M2730" s="13">
        <v>44666</v>
      </c>
      <c r="R2730">
        <v>0</v>
      </c>
      <c r="S2730" t="s">
        <v>380</v>
      </c>
      <c r="T2730" t="s">
        <v>57</v>
      </c>
      <c r="V2730" t="s">
        <v>381</v>
      </c>
      <c r="W2730" t="s">
        <v>1004</v>
      </c>
      <c r="X2730" t="s">
        <v>1004</v>
      </c>
      <c r="AC2730" s="13">
        <v>44666</v>
      </c>
      <c r="AD2730" s="13">
        <v>44666</v>
      </c>
      <c r="AI2730">
        <v>-129</v>
      </c>
      <c r="AN2730" t="s">
        <v>31</v>
      </c>
      <c r="AO2730">
        <v>0</v>
      </c>
      <c r="AS2730" t="s">
        <v>730</v>
      </c>
      <c r="AX2730" t="s">
        <v>57</v>
      </c>
      <c r="AY2730" t="s">
        <v>386</v>
      </c>
      <c r="AZ2730" t="s">
        <v>721</v>
      </c>
      <c r="BF2730">
        <v>0</v>
      </c>
      <c r="BK2730" t="s">
        <v>31</v>
      </c>
      <c r="BS2730" t="s">
        <v>412</v>
      </c>
      <c r="CI2730" t="s">
        <v>388</v>
      </c>
      <c r="CJ2730" s="14">
        <v>45016</v>
      </c>
      <c r="CK2730">
        <v>1</v>
      </c>
    </row>
    <row r="2731" spans="1:89">
      <c r="A2731" t="s">
        <v>714</v>
      </c>
      <c r="B2731" t="s">
        <v>374</v>
      </c>
      <c r="C2731" t="s">
        <v>715</v>
      </c>
      <c r="D2731" t="s">
        <v>1011</v>
      </c>
      <c r="E2731" t="s">
        <v>1012</v>
      </c>
      <c r="F2731" s="13">
        <v>44795.504016203704</v>
      </c>
      <c r="G2731" t="s">
        <v>641</v>
      </c>
      <c r="H2731" t="s">
        <v>642</v>
      </c>
      <c r="I2731" s="13">
        <v>44795.504027777781</v>
      </c>
      <c r="K2731" t="s">
        <v>412</v>
      </c>
      <c r="M2731" s="13">
        <v>44666</v>
      </c>
      <c r="R2731">
        <v>0</v>
      </c>
      <c r="S2731" t="s">
        <v>380</v>
      </c>
      <c r="T2731" t="s">
        <v>57</v>
      </c>
      <c r="V2731" t="s">
        <v>381</v>
      </c>
      <c r="W2731" t="s">
        <v>1004</v>
      </c>
      <c r="X2731" t="s">
        <v>1004</v>
      </c>
      <c r="AC2731" s="13">
        <v>44666</v>
      </c>
      <c r="AD2731" s="13">
        <v>44666</v>
      </c>
      <c r="AI2731">
        <v>-129</v>
      </c>
      <c r="AN2731" t="s">
        <v>31</v>
      </c>
      <c r="AO2731">
        <v>0</v>
      </c>
      <c r="AS2731" t="s">
        <v>730</v>
      </c>
      <c r="AX2731" t="s">
        <v>57</v>
      </c>
      <c r="AY2731" t="s">
        <v>386</v>
      </c>
      <c r="AZ2731" t="s">
        <v>721</v>
      </c>
      <c r="BF2731">
        <v>0</v>
      </c>
      <c r="BK2731" t="s">
        <v>31</v>
      </c>
      <c r="BS2731" t="s">
        <v>412</v>
      </c>
      <c r="CI2731" t="s">
        <v>388</v>
      </c>
      <c r="CJ2731" s="14">
        <v>45016</v>
      </c>
      <c r="CK2731">
        <v>1</v>
      </c>
    </row>
    <row r="2732" spans="1:89">
      <c r="A2732" t="s">
        <v>714</v>
      </c>
      <c r="B2732" t="s">
        <v>374</v>
      </c>
      <c r="C2732" t="s">
        <v>715</v>
      </c>
      <c r="D2732" t="s">
        <v>1013</v>
      </c>
      <c r="E2732" t="s">
        <v>1014</v>
      </c>
      <c r="F2732" s="13">
        <v>44795.503993055558</v>
      </c>
      <c r="G2732" t="s">
        <v>641</v>
      </c>
      <c r="H2732" t="s">
        <v>642</v>
      </c>
      <c r="I2732" s="13">
        <v>44795.504004629627</v>
      </c>
      <c r="K2732" t="s">
        <v>412</v>
      </c>
      <c r="M2732" s="13">
        <v>44635</v>
      </c>
      <c r="R2732">
        <v>0</v>
      </c>
      <c r="S2732" t="s">
        <v>380</v>
      </c>
      <c r="T2732" t="s">
        <v>57</v>
      </c>
      <c r="V2732" t="s">
        <v>381</v>
      </c>
      <c r="W2732" t="s">
        <v>1004</v>
      </c>
      <c r="X2732" t="s">
        <v>1004</v>
      </c>
      <c r="AC2732" s="13">
        <v>44635</v>
      </c>
      <c r="AD2732" s="13">
        <v>44635</v>
      </c>
      <c r="AI2732">
        <v>-160</v>
      </c>
      <c r="AN2732" t="s">
        <v>31</v>
      </c>
      <c r="AO2732">
        <v>0</v>
      </c>
      <c r="AS2732" t="s">
        <v>730</v>
      </c>
      <c r="AX2732" t="s">
        <v>57</v>
      </c>
      <c r="AY2732" t="s">
        <v>386</v>
      </c>
      <c r="AZ2732" t="s">
        <v>745</v>
      </c>
      <c r="BF2732">
        <v>0</v>
      </c>
      <c r="BK2732" t="s">
        <v>31</v>
      </c>
      <c r="BS2732" t="s">
        <v>412</v>
      </c>
      <c r="CI2732" t="s">
        <v>388</v>
      </c>
      <c r="CJ2732" s="14">
        <v>45016</v>
      </c>
      <c r="CK2732">
        <v>1</v>
      </c>
    </row>
    <row r="2733" spans="1:89">
      <c r="A2733" t="s">
        <v>714</v>
      </c>
      <c r="B2733" t="s">
        <v>374</v>
      </c>
      <c r="C2733" t="s">
        <v>715</v>
      </c>
      <c r="D2733" t="s">
        <v>1015</v>
      </c>
      <c r="E2733" t="s">
        <v>1016</v>
      </c>
      <c r="F2733" s="13">
        <v>44795.503969907404</v>
      </c>
      <c r="G2733" t="s">
        <v>641</v>
      </c>
      <c r="H2733" t="s">
        <v>642</v>
      </c>
      <c r="I2733" s="13">
        <v>44795.503981481481</v>
      </c>
      <c r="K2733" t="s">
        <v>412</v>
      </c>
      <c r="M2733" s="13">
        <v>44696</v>
      </c>
      <c r="R2733">
        <v>0</v>
      </c>
      <c r="S2733" t="s">
        <v>380</v>
      </c>
      <c r="T2733" t="s">
        <v>57</v>
      </c>
      <c r="V2733" t="s">
        <v>381</v>
      </c>
      <c r="W2733" t="s">
        <v>1004</v>
      </c>
      <c r="X2733" t="s">
        <v>1004</v>
      </c>
      <c r="AC2733" s="13">
        <v>44696</v>
      </c>
      <c r="AD2733" s="13">
        <v>44696</v>
      </c>
      <c r="AI2733">
        <v>-99</v>
      </c>
      <c r="AN2733" t="s">
        <v>31</v>
      </c>
      <c r="AO2733">
        <v>0</v>
      </c>
      <c r="AS2733" t="s">
        <v>730</v>
      </c>
      <c r="AX2733" t="s">
        <v>57</v>
      </c>
      <c r="AY2733" t="s">
        <v>386</v>
      </c>
      <c r="AZ2733" t="s">
        <v>721</v>
      </c>
      <c r="BF2733">
        <v>0</v>
      </c>
      <c r="BK2733" t="s">
        <v>31</v>
      </c>
      <c r="BS2733" t="s">
        <v>412</v>
      </c>
      <c r="CI2733" t="s">
        <v>388</v>
      </c>
      <c r="CJ2733" s="14">
        <v>45016</v>
      </c>
      <c r="CK2733">
        <v>1</v>
      </c>
    </row>
    <row r="2734" spans="1:89">
      <c r="A2734" t="s">
        <v>714</v>
      </c>
      <c r="B2734" t="s">
        <v>374</v>
      </c>
      <c r="C2734" t="s">
        <v>715</v>
      </c>
      <c r="D2734" t="s">
        <v>1017</v>
      </c>
      <c r="E2734" t="s">
        <v>1018</v>
      </c>
      <c r="F2734" s="13">
        <v>44795.503946759258</v>
      </c>
      <c r="G2734" t="s">
        <v>641</v>
      </c>
      <c r="H2734" t="s">
        <v>642</v>
      </c>
      <c r="I2734" s="13">
        <v>44795.503958333335</v>
      </c>
      <c r="K2734" t="s">
        <v>412</v>
      </c>
      <c r="M2734" s="13">
        <v>44788</v>
      </c>
      <c r="R2734">
        <v>0</v>
      </c>
      <c r="S2734" t="s">
        <v>380</v>
      </c>
      <c r="T2734" t="s">
        <v>57</v>
      </c>
      <c r="V2734" t="s">
        <v>381</v>
      </c>
      <c r="W2734" t="s">
        <v>1019</v>
      </c>
      <c r="X2734" t="s">
        <v>1019</v>
      </c>
      <c r="AC2734" s="13">
        <v>44788</v>
      </c>
      <c r="AD2734" s="13">
        <v>44788</v>
      </c>
      <c r="AI2734">
        <v>-7</v>
      </c>
      <c r="AN2734" t="s">
        <v>31</v>
      </c>
      <c r="AO2734">
        <v>0</v>
      </c>
      <c r="AS2734" t="s">
        <v>744</v>
      </c>
      <c r="AX2734" t="s">
        <v>57</v>
      </c>
      <c r="AY2734" t="s">
        <v>386</v>
      </c>
      <c r="AZ2734" t="s">
        <v>721</v>
      </c>
      <c r="BF2734">
        <v>0</v>
      </c>
      <c r="BK2734" t="s">
        <v>31</v>
      </c>
      <c r="BS2734" t="s">
        <v>412</v>
      </c>
      <c r="CI2734" t="s">
        <v>388</v>
      </c>
      <c r="CJ2734" s="14">
        <v>45016</v>
      </c>
      <c r="CK2734">
        <v>1</v>
      </c>
    </row>
    <row r="2735" spans="1:89">
      <c r="A2735" t="s">
        <v>895</v>
      </c>
      <c r="B2735" t="s">
        <v>374</v>
      </c>
      <c r="C2735" t="s">
        <v>896</v>
      </c>
      <c r="D2735" t="s">
        <v>1020</v>
      </c>
      <c r="E2735" t="s">
        <v>1021</v>
      </c>
      <c r="F2735" s="13">
        <v>44795.503923611112</v>
      </c>
      <c r="G2735" t="s">
        <v>641</v>
      </c>
      <c r="H2735" t="s">
        <v>642</v>
      </c>
      <c r="I2735" s="13">
        <v>44795.503935185188</v>
      </c>
      <c r="K2735" t="s">
        <v>412</v>
      </c>
      <c r="M2735" s="13">
        <v>44666</v>
      </c>
      <c r="R2735">
        <v>0</v>
      </c>
      <c r="S2735" t="s">
        <v>380</v>
      </c>
      <c r="T2735" t="s">
        <v>57</v>
      </c>
      <c r="V2735" t="s">
        <v>381</v>
      </c>
      <c r="W2735" t="s">
        <v>924</v>
      </c>
      <c r="X2735" t="s">
        <v>924</v>
      </c>
      <c r="AC2735" s="13">
        <v>44666</v>
      </c>
      <c r="AD2735" s="13">
        <v>44666</v>
      </c>
      <c r="AI2735">
        <v>-129</v>
      </c>
      <c r="AN2735" t="s">
        <v>31</v>
      </c>
      <c r="AO2735">
        <v>0</v>
      </c>
      <c r="AS2735" t="s">
        <v>707</v>
      </c>
      <c r="AX2735" t="s">
        <v>57</v>
      </c>
      <c r="AY2735" t="s">
        <v>386</v>
      </c>
      <c r="AZ2735" t="s">
        <v>745</v>
      </c>
      <c r="BF2735">
        <v>0</v>
      </c>
      <c r="BK2735" t="s">
        <v>31</v>
      </c>
      <c r="BS2735" t="s">
        <v>412</v>
      </c>
      <c r="CI2735" t="s">
        <v>388</v>
      </c>
      <c r="CJ2735" s="14">
        <v>45016</v>
      </c>
      <c r="CK2735">
        <v>1</v>
      </c>
    </row>
    <row r="2736" spans="1:89">
      <c r="A2736" t="s">
        <v>895</v>
      </c>
      <c r="B2736" t="s">
        <v>374</v>
      </c>
      <c r="C2736" t="s">
        <v>896</v>
      </c>
      <c r="D2736" t="s">
        <v>1022</v>
      </c>
      <c r="E2736" t="s">
        <v>1023</v>
      </c>
      <c r="F2736" s="13">
        <v>44795.503900462965</v>
      </c>
      <c r="G2736" t="s">
        <v>641</v>
      </c>
      <c r="H2736" t="s">
        <v>642</v>
      </c>
      <c r="I2736" s="13">
        <v>44795.503912037035</v>
      </c>
      <c r="K2736" t="s">
        <v>412</v>
      </c>
      <c r="M2736" s="13">
        <v>44666</v>
      </c>
      <c r="R2736">
        <v>0</v>
      </c>
      <c r="S2736" t="s">
        <v>380</v>
      </c>
      <c r="T2736" t="s">
        <v>57</v>
      </c>
      <c r="V2736" t="s">
        <v>381</v>
      </c>
      <c r="W2736" t="s">
        <v>924</v>
      </c>
      <c r="X2736" t="s">
        <v>924</v>
      </c>
      <c r="AC2736" s="13">
        <v>44666</v>
      </c>
      <c r="AD2736" s="13">
        <v>44666</v>
      </c>
      <c r="AI2736">
        <v>-129</v>
      </c>
      <c r="AN2736" t="s">
        <v>31</v>
      </c>
      <c r="AO2736">
        <v>0</v>
      </c>
      <c r="AS2736" t="s">
        <v>385</v>
      </c>
      <c r="AX2736" t="s">
        <v>57</v>
      </c>
      <c r="AY2736" t="s">
        <v>386</v>
      </c>
      <c r="AZ2736" t="s">
        <v>721</v>
      </c>
      <c r="BF2736">
        <v>0</v>
      </c>
      <c r="BK2736" t="s">
        <v>31</v>
      </c>
      <c r="BS2736" t="s">
        <v>412</v>
      </c>
      <c r="CI2736" t="s">
        <v>388</v>
      </c>
      <c r="CJ2736" s="14">
        <v>45016</v>
      </c>
      <c r="CK2736">
        <v>1</v>
      </c>
    </row>
    <row r="2737" spans="1:89">
      <c r="A2737" t="s">
        <v>895</v>
      </c>
      <c r="B2737" t="s">
        <v>374</v>
      </c>
      <c r="C2737" t="s">
        <v>896</v>
      </c>
      <c r="D2737" t="s">
        <v>1024</v>
      </c>
      <c r="E2737" t="s">
        <v>1025</v>
      </c>
      <c r="F2737" s="13">
        <v>44795.503865740742</v>
      </c>
      <c r="G2737" t="s">
        <v>641</v>
      </c>
      <c r="H2737" t="s">
        <v>642</v>
      </c>
      <c r="I2737" s="13">
        <v>44795.503888888888</v>
      </c>
      <c r="K2737" t="s">
        <v>412</v>
      </c>
      <c r="M2737" s="13">
        <v>44666</v>
      </c>
      <c r="R2737">
        <v>0</v>
      </c>
      <c r="S2737" t="s">
        <v>380</v>
      </c>
      <c r="T2737" t="s">
        <v>57</v>
      </c>
      <c r="V2737" t="s">
        <v>381</v>
      </c>
      <c r="W2737" t="s">
        <v>924</v>
      </c>
      <c r="X2737" t="s">
        <v>924</v>
      </c>
      <c r="AC2737" s="13">
        <v>44666</v>
      </c>
      <c r="AD2737" s="13">
        <v>44666</v>
      </c>
      <c r="AI2737">
        <v>-129</v>
      </c>
      <c r="AN2737" t="s">
        <v>31</v>
      </c>
      <c r="AO2737">
        <v>0</v>
      </c>
      <c r="AS2737" t="s">
        <v>648</v>
      </c>
      <c r="AX2737" t="s">
        <v>57</v>
      </c>
      <c r="AY2737" t="s">
        <v>386</v>
      </c>
      <c r="AZ2737" t="s">
        <v>721</v>
      </c>
      <c r="BF2737">
        <v>0</v>
      </c>
      <c r="BK2737" t="s">
        <v>31</v>
      </c>
      <c r="BS2737" t="s">
        <v>412</v>
      </c>
      <c r="CI2737" t="s">
        <v>388</v>
      </c>
      <c r="CJ2737" s="14">
        <v>45016</v>
      </c>
      <c r="CK2737">
        <v>1</v>
      </c>
    </row>
    <row r="2738" spans="1:89">
      <c r="A2738" t="s">
        <v>895</v>
      </c>
      <c r="B2738" t="s">
        <v>374</v>
      </c>
      <c r="C2738" t="s">
        <v>896</v>
      </c>
      <c r="D2738" t="s">
        <v>1026</v>
      </c>
      <c r="E2738" t="s">
        <v>1027</v>
      </c>
      <c r="F2738" s="13">
        <v>44795.503842592596</v>
      </c>
      <c r="G2738" t="s">
        <v>641</v>
      </c>
      <c r="H2738" t="s">
        <v>642</v>
      </c>
      <c r="I2738" s="13">
        <v>44795.503854166665</v>
      </c>
      <c r="K2738" t="s">
        <v>412</v>
      </c>
      <c r="M2738" s="13">
        <v>44666</v>
      </c>
      <c r="R2738">
        <v>0</v>
      </c>
      <c r="S2738" t="s">
        <v>380</v>
      </c>
      <c r="T2738" t="s">
        <v>57</v>
      </c>
      <c r="V2738" t="s">
        <v>381</v>
      </c>
      <c r="W2738" t="s">
        <v>924</v>
      </c>
      <c r="X2738" t="s">
        <v>924</v>
      </c>
      <c r="AC2738" s="13">
        <v>44666</v>
      </c>
      <c r="AD2738" s="13">
        <v>44666</v>
      </c>
      <c r="AI2738">
        <v>-129</v>
      </c>
      <c r="AN2738" t="s">
        <v>31</v>
      </c>
      <c r="AO2738">
        <v>0</v>
      </c>
      <c r="AS2738" t="s">
        <v>385</v>
      </c>
      <c r="AX2738" t="s">
        <v>57</v>
      </c>
      <c r="AY2738" t="s">
        <v>386</v>
      </c>
      <c r="AZ2738" t="s">
        <v>721</v>
      </c>
      <c r="BF2738">
        <v>0</v>
      </c>
      <c r="BK2738" t="s">
        <v>31</v>
      </c>
      <c r="BS2738" t="s">
        <v>412</v>
      </c>
      <c r="CI2738" t="s">
        <v>388</v>
      </c>
      <c r="CJ2738" s="14">
        <v>45016</v>
      </c>
      <c r="CK2738">
        <v>1</v>
      </c>
    </row>
    <row r="2739" spans="1:89">
      <c r="A2739" t="s">
        <v>883</v>
      </c>
      <c r="B2739" t="s">
        <v>374</v>
      </c>
      <c r="C2739" t="s">
        <v>473</v>
      </c>
      <c r="D2739" t="s">
        <v>1028</v>
      </c>
      <c r="E2739" t="s">
        <v>1029</v>
      </c>
      <c r="F2739" s="13">
        <v>44795.503819444442</v>
      </c>
      <c r="G2739" t="s">
        <v>641</v>
      </c>
      <c r="H2739" t="s">
        <v>642</v>
      </c>
      <c r="I2739" s="13">
        <v>44795.503831018519</v>
      </c>
      <c r="K2739" t="s">
        <v>412</v>
      </c>
      <c r="M2739" s="13">
        <v>44635</v>
      </c>
      <c r="R2739">
        <v>0</v>
      </c>
      <c r="S2739" t="s">
        <v>380</v>
      </c>
      <c r="T2739" t="s">
        <v>57</v>
      </c>
      <c r="V2739" t="s">
        <v>381</v>
      </c>
      <c r="W2739" t="s">
        <v>1030</v>
      </c>
      <c r="X2739" t="s">
        <v>1030</v>
      </c>
      <c r="AC2739" s="13">
        <v>44635</v>
      </c>
      <c r="AD2739" s="13">
        <v>44635</v>
      </c>
      <c r="AI2739">
        <v>-160</v>
      </c>
      <c r="AN2739" t="s">
        <v>31</v>
      </c>
      <c r="AO2739">
        <v>0</v>
      </c>
      <c r="AS2739" t="s">
        <v>385</v>
      </c>
      <c r="AX2739" t="s">
        <v>57</v>
      </c>
      <c r="AY2739" t="s">
        <v>386</v>
      </c>
      <c r="AZ2739" t="s">
        <v>721</v>
      </c>
      <c r="BF2739">
        <v>0</v>
      </c>
      <c r="BK2739" t="s">
        <v>31</v>
      </c>
      <c r="BS2739" t="s">
        <v>412</v>
      </c>
      <c r="CI2739" t="s">
        <v>388</v>
      </c>
      <c r="CJ2739" s="14">
        <v>45016</v>
      </c>
      <c r="CK2739">
        <v>1</v>
      </c>
    </row>
    <row r="2740" spans="1:89">
      <c r="A2740" t="s">
        <v>883</v>
      </c>
      <c r="B2740" t="s">
        <v>374</v>
      </c>
      <c r="C2740" t="s">
        <v>473</v>
      </c>
      <c r="D2740" t="s">
        <v>1031</v>
      </c>
      <c r="E2740" t="s">
        <v>1032</v>
      </c>
      <c r="F2740" s="13">
        <v>44795.503796296296</v>
      </c>
      <c r="G2740" t="s">
        <v>641</v>
      </c>
      <c r="H2740" t="s">
        <v>642</v>
      </c>
      <c r="I2740" s="13">
        <v>44795.503807870373</v>
      </c>
      <c r="K2740" t="s">
        <v>412</v>
      </c>
      <c r="M2740" s="13">
        <v>44635</v>
      </c>
      <c r="R2740">
        <v>0</v>
      </c>
      <c r="S2740" t="s">
        <v>380</v>
      </c>
      <c r="T2740" t="s">
        <v>57</v>
      </c>
      <c r="V2740" t="s">
        <v>381</v>
      </c>
      <c r="W2740" t="s">
        <v>1033</v>
      </c>
      <c r="X2740" t="s">
        <v>1033</v>
      </c>
      <c r="AC2740" s="13">
        <v>44635</v>
      </c>
      <c r="AD2740" s="13">
        <v>44635</v>
      </c>
      <c r="AI2740">
        <v>-160</v>
      </c>
      <c r="AN2740" t="s">
        <v>31</v>
      </c>
      <c r="AO2740">
        <v>0</v>
      </c>
      <c r="AS2740" t="s">
        <v>385</v>
      </c>
      <c r="AX2740" t="s">
        <v>57</v>
      </c>
      <c r="AY2740" t="s">
        <v>386</v>
      </c>
      <c r="AZ2740" t="s">
        <v>721</v>
      </c>
      <c r="BF2740">
        <v>0</v>
      </c>
      <c r="BK2740" t="s">
        <v>31</v>
      </c>
      <c r="BS2740" t="s">
        <v>412</v>
      </c>
      <c r="CI2740" t="s">
        <v>388</v>
      </c>
      <c r="CJ2740" s="14">
        <v>45016</v>
      </c>
      <c r="CK2740">
        <v>1</v>
      </c>
    </row>
    <row r="2741" spans="1:89">
      <c r="A2741" t="s">
        <v>883</v>
      </c>
      <c r="B2741" t="s">
        <v>374</v>
      </c>
      <c r="C2741" t="s">
        <v>473</v>
      </c>
      <c r="D2741" t="s">
        <v>1034</v>
      </c>
      <c r="E2741" t="s">
        <v>1035</v>
      </c>
      <c r="F2741" s="13">
        <v>44795.50377314815</v>
      </c>
      <c r="G2741" t="s">
        <v>641</v>
      </c>
      <c r="H2741" t="s">
        <v>642</v>
      </c>
      <c r="I2741" s="13">
        <v>44795.503784722219</v>
      </c>
      <c r="K2741" t="s">
        <v>412</v>
      </c>
      <c r="M2741" s="13">
        <v>44635</v>
      </c>
      <c r="R2741">
        <v>0</v>
      </c>
      <c r="S2741" t="s">
        <v>380</v>
      </c>
      <c r="T2741" t="s">
        <v>57</v>
      </c>
      <c r="V2741" t="s">
        <v>381</v>
      </c>
      <c r="W2741" t="s">
        <v>1033</v>
      </c>
      <c r="X2741" t="s">
        <v>1033</v>
      </c>
      <c r="AC2741" s="13">
        <v>44635</v>
      </c>
      <c r="AD2741" s="13">
        <v>44635</v>
      </c>
      <c r="AI2741">
        <v>-160</v>
      </c>
      <c r="AN2741" t="s">
        <v>31</v>
      </c>
      <c r="AO2741">
        <v>0</v>
      </c>
      <c r="AS2741" t="s">
        <v>385</v>
      </c>
      <c r="AX2741" t="s">
        <v>57</v>
      </c>
      <c r="AY2741" t="s">
        <v>386</v>
      </c>
      <c r="AZ2741" t="s">
        <v>721</v>
      </c>
      <c r="BF2741">
        <v>0</v>
      </c>
      <c r="BK2741" t="s">
        <v>31</v>
      </c>
      <c r="BS2741" t="s">
        <v>412</v>
      </c>
      <c r="CI2741" t="s">
        <v>388</v>
      </c>
      <c r="CJ2741" s="14">
        <v>45016</v>
      </c>
      <c r="CK2741">
        <v>1</v>
      </c>
    </row>
    <row r="2742" spans="1:89">
      <c r="A2742" t="s">
        <v>883</v>
      </c>
      <c r="B2742" t="s">
        <v>374</v>
      </c>
      <c r="C2742" t="s">
        <v>473</v>
      </c>
      <c r="D2742" t="s">
        <v>1036</v>
      </c>
      <c r="E2742" t="s">
        <v>1035</v>
      </c>
      <c r="F2742" s="13">
        <v>44795.503750000003</v>
      </c>
      <c r="G2742" t="s">
        <v>641</v>
      </c>
      <c r="H2742" t="s">
        <v>642</v>
      </c>
      <c r="I2742" s="13">
        <v>44795.503761574073</v>
      </c>
      <c r="K2742" t="s">
        <v>412</v>
      </c>
      <c r="M2742" s="13">
        <v>44635</v>
      </c>
      <c r="R2742">
        <v>0</v>
      </c>
      <c r="S2742" t="s">
        <v>380</v>
      </c>
      <c r="T2742" t="s">
        <v>57</v>
      </c>
      <c r="V2742" t="s">
        <v>381</v>
      </c>
      <c r="W2742" t="s">
        <v>1033</v>
      </c>
      <c r="X2742" t="s">
        <v>1033</v>
      </c>
      <c r="AC2742" s="13">
        <v>44635</v>
      </c>
      <c r="AD2742" s="13">
        <v>44635</v>
      </c>
      <c r="AI2742">
        <v>-160</v>
      </c>
      <c r="AN2742" t="s">
        <v>31</v>
      </c>
      <c r="AO2742">
        <v>0</v>
      </c>
      <c r="AS2742" t="s">
        <v>385</v>
      </c>
      <c r="AX2742" t="s">
        <v>57</v>
      </c>
      <c r="AY2742" t="s">
        <v>386</v>
      </c>
      <c r="AZ2742" t="s">
        <v>721</v>
      </c>
      <c r="BF2742">
        <v>0</v>
      </c>
      <c r="BK2742" t="s">
        <v>31</v>
      </c>
      <c r="BS2742" t="s">
        <v>412</v>
      </c>
      <c r="CI2742" t="s">
        <v>388</v>
      </c>
      <c r="CJ2742" s="14">
        <v>45016</v>
      </c>
      <c r="CK2742">
        <v>1</v>
      </c>
    </row>
    <row r="2743" spans="1:89">
      <c r="A2743" t="s">
        <v>883</v>
      </c>
      <c r="B2743" t="s">
        <v>374</v>
      </c>
      <c r="C2743" t="s">
        <v>473</v>
      </c>
      <c r="D2743" t="s">
        <v>1037</v>
      </c>
      <c r="E2743" t="s">
        <v>1038</v>
      </c>
      <c r="F2743" s="13">
        <v>44795.50372685185</v>
      </c>
      <c r="G2743" t="s">
        <v>641</v>
      </c>
      <c r="H2743" t="s">
        <v>642</v>
      </c>
      <c r="I2743" s="13">
        <v>44795.503738425927</v>
      </c>
      <c r="K2743" t="s">
        <v>412</v>
      </c>
      <c r="M2743" s="13">
        <v>44607</v>
      </c>
      <c r="R2743">
        <v>0</v>
      </c>
      <c r="S2743" t="s">
        <v>380</v>
      </c>
      <c r="T2743" t="s">
        <v>57</v>
      </c>
      <c r="V2743" t="s">
        <v>381</v>
      </c>
      <c r="W2743" t="s">
        <v>886</v>
      </c>
      <c r="X2743" t="s">
        <v>886</v>
      </c>
      <c r="AC2743" s="13">
        <v>44607</v>
      </c>
      <c r="AD2743" s="13">
        <v>44607</v>
      </c>
      <c r="AI2743">
        <v>-188</v>
      </c>
      <c r="AN2743" t="s">
        <v>31</v>
      </c>
      <c r="AO2743">
        <v>0</v>
      </c>
      <c r="AS2743" t="s">
        <v>385</v>
      </c>
      <c r="AX2743" t="s">
        <v>57</v>
      </c>
      <c r="AY2743" t="s">
        <v>386</v>
      </c>
      <c r="AZ2743" t="s">
        <v>721</v>
      </c>
      <c r="BF2743">
        <v>0</v>
      </c>
      <c r="BK2743" t="s">
        <v>31</v>
      </c>
      <c r="BS2743" t="s">
        <v>412</v>
      </c>
      <c r="CI2743" t="s">
        <v>388</v>
      </c>
      <c r="CJ2743" s="14">
        <v>45016</v>
      </c>
      <c r="CK2743">
        <v>1</v>
      </c>
    </row>
    <row r="2744" spans="1:89">
      <c r="A2744" t="s">
        <v>883</v>
      </c>
      <c r="B2744" t="s">
        <v>374</v>
      </c>
      <c r="C2744" t="s">
        <v>473</v>
      </c>
      <c r="D2744" t="s">
        <v>1039</v>
      </c>
      <c r="E2744" t="s">
        <v>1040</v>
      </c>
      <c r="F2744" s="13">
        <v>44795.503703703704</v>
      </c>
      <c r="G2744" t="s">
        <v>641</v>
      </c>
      <c r="H2744" t="s">
        <v>642</v>
      </c>
      <c r="I2744" s="13">
        <v>44795.50371527778</v>
      </c>
      <c r="K2744" t="s">
        <v>412</v>
      </c>
      <c r="M2744" s="13">
        <v>44607</v>
      </c>
      <c r="R2744">
        <v>0</v>
      </c>
      <c r="S2744" t="s">
        <v>380</v>
      </c>
      <c r="T2744" t="s">
        <v>57</v>
      </c>
      <c r="V2744" t="s">
        <v>381</v>
      </c>
      <c r="W2744" t="s">
        <v>886</v>
      </c>
      <c r="X2744" t="s">
        <v>886</v>
      </c>
      <c r="AC2744" s="13">
        <v>44607</v>
      </c>
      <c r="AD2744" s="13">
        <v>44607</v>
      </c>
      <c r="AI2744">
        <v>-188</v>
      </c>
      <c r="AN2744" t="s">
        <v>31</v>
      </c>
      <c r="AO2744">
        <v>0</v>
      </c>
      <c r="AS2744" t="s">
        <v>385</v>
      </c>
      <c r="AX2744" t="s">
        <v>57</v>
      </c>
      <c r="AY2744" t="s">
        <v>386</v>
      </c>
      <c r="AZ2744" t="s">
        <v>721</v>
      </c>
      <c r="BF2744">
        <v>0</v>
      </c>
      <c r="BK2744" t="s">
        <v>31</v>
      </c>
      <c r="BS2744" t="s">
        <v>412</v>
      </c>
      <c r="CI2744" t="s">
        <v>388</v>
      </c>
      <c r="CJ2744" s="14">
        <v>45016</v>
      </c>
      <c r="CK2744">
        <v>1</v>
      </c>
    </row>
    <row r="2745" spans="1:89">
      <c r="A2745" t="s">
        <v>883</v>
      </c>
      <c r="B2745" t="s">
        <v>374</v>
      </c>
      <c r="C2745" t="s">
        <v>473</v>
      </c>
      <c r="D2745" t="s">
        <v>1041</v>
      </c>
      <c r="E2745" t="s">
        <v>1042</v>
      </c>
      <c r="F2745" s="13">
        <v>44795.503680555557</v>
      </c>
      <c r="G2745" t="s">
        <v>641</v>
      </c>
      <c r="H2745" t="s">
        <v>642</v>
      </c>
      <c r="I2745" s="13">
        <v>44795.503692129627</v>
      </c>
      <c r="K2745" t="s">
        <v>412</v>
      </c>
      <c r="M2745" s="13">
        <v>44607</v>
      </c>
      <c r="R2745">
        <v>0</v>
      </c>
      <c r="S2745" t="s">
        <v>380</v>
      </c>
      <c r="T2745" t="s">
        <v>57</v>
      </c>
      <c r="V2745" t="s">
        <v>381</v>
      </c>
      <c r="W2745" t="s">
        <v>886</v>
      </c>
      <c r="X2745" t="s">
        <v>886</v>
      </c>
      <c r="AC2745" s="13">
        <v>44607</v>
      </c>
      <c r="AD2745" s="13">
        <v>44607</v>
      </c>
      <c r="AI2745">
        <v>-188</v>
      </c>
      <c r="AN2745" t="s">
        <v>31</v>
      </c>
      <c r="AO2745">
        <v>0</v>
      </c>
      <c r="AS2745" t="s">
        <v>385</v>
      </c>
      <c r="AX2745" t="s">
        <v>57</v>
      </c>
      <c r="AY2745" t="s">
        <v>386</v>
      </c>
      <c r="AZ2745" t="s">
        <v>721</v>
      </c>
      <c r="BF2745">
        <v>0</v>
      </c>
      <c r="BK2745" t="s">
        <v>31</v>
      </c>
      <c r="BS2745" t="s">
        <v>412</v>
      </c>
      <c r="CI2745" t="s">
        <v>388</v>
      </c>
      <c r="CJ2745" s="14">
        <v>45016</v>
      </c>
      <c r="CK2745">
        <v>1</v>
      </c>
    </row>
    <row r="2746" spans="1:89">
      <c r="A2746" t="s">
        <v>883</v>
      </c>
      <c r="B2746" t="s">
        <v>374</v>
      </c>
      <c r="C2746" t="s">
        <v>473</v>
      </c>
      <c r="D2746" t="s">
        <v>1043</v>
      </c>
      <c r="E2746" t="s">
        <v>1040</v>
      </c>
      <c r="F2746" s="13">
        <v>44795.503657407404</v>
      </c>
      <c r="G2746" t="s">
        <v>641</v>
      </c>
      <c r="H2746" t="s">
        <v>642</v>
      </c>
      <c r="I2746" s="13">
        <v>44795.503668981481</v>
      </c>
      <c r="K2746" t="s">
        <v>412</v>
      </c>
      <c r="M2746" s="13">
        <v>44607</v>
      </c>
      <c r="R2746">
        <v>0</v>
      </c>
      <c r="S2746" t="s">
        <v>380</v>
      </c>
      <c r="T2746" t="s">
        <v>57</v>
      </c>
      <c r="V2746" t="s">
        <v>381</v>
      </c>
      <c r="W2746" t="s">
        <v>886</v>
      </c>
      <c r="X2746" t="s">
        <v>886</v>
      </c>
      <c r="AC2746" s="13">
        <v>44607</v>
      </c>
      <c r="AD2746" s="13">
        <v>44607</v>
      </c>
      <c r="AI2746">
        <v>-188</v>
      </c>
      <c r="AN2746" t="s">
        <v>31</v>
      </c>
      <c r="AO2746">
        <v>0</v>
      </c>
      <c r="AS2746" t="s">
        <v>385</v>
      </c>
      <c r="AX2746" t="s">
        <v>57</v>
      </c>
      <c r="AY2746" t="s">
        <v>386</v>
      </c>
      <c r="AZ2746" t="s">
        <v>721</v>
      </c>
      <c r="BF2746">
        <v>0</v>
      </c>
      <c r="BK2746" t="s">
        <v>31</v>
      </c>
      <c r="BS2746" t="s">
        <v>412</v>
      </c>
      <c r="CI2746" t="s">
        <v>388</v>
      </c>
      <c r="CJ2746" s="14">
        <v>45016</v>
      </c>
      <c r="CK2746">
        <v>1</v>
      </c>
    </row>
    <row r="2747" spans="1:89">
      <c r="A2747" t="s">
        <v>895</v>
      </c>
      <c r="B2747" t="s">
        <v>374</v>
      </c>
      <c r="C2747" t="s">
        <v>896</v>
      </c>
      <c r="D2747" t="s">
        <v>1044</v>
      </c>
      <c r="E2747" t="s">
        <v>1045</v>
      </c>
      <c r="F2747" s="13">
        <v>44795.503634259258</v>
      </c>
      <c r="G2747" t="s">
        <v>641</v>
      </c>
      <c r="H2747" t="s">
        <v>642</v>
      </c>
      <c r="I2747" s="13">
        <v>44795.503645833334</v>
      </c>
      <c r="K2747" t="s">
        <v>412</v>
      </c>
      <c r="M2747" s="13">
        <v>44696</v>
      </c>
      <c r="R2747">
        <v>0</v>
      </c>
      <c r="S2747" t="s">
        <v>416</v>
      </c>
      <c r="T2747" t="s">
        <v>57</v>
      </c>
      <c r="V2747" t="s">
        <v>381</v>
      </c>
      <c r="W2747" t="s">
        <v>899</v>
      </c>
      <c r="X2747" t="s">
        <v>899</v>
      </c>
      <c r="AC2747" s="13">
        <v>44696</v>
      </c>
      <c r="AD2747" s="13">
        <v>44696</v>
      </c>
      <c r="AI2747">
        <v>-99</v>
      </c>
      <c r="AN2747" t="s">
        <v>31</v>
      </c>
      <c r="AO2747">
        <v>0</v>
      </c>
      <c r="AS2747" t="s">
        <v>385</v>
      </c>
      <c r="AX2747" t="s">
        <v>57</v>
      </c>
      <c r="AY2747" t="s">
        <v>386</v>
      </c>
      <c r="AZ2747" t="s">
        <v>721</v>
      </c>
      <c r="BF2747">
        <v>0</v>
      </c>
      <c r="BK2747" t="s">
        <v>31</v>
      </c>
      <c r="BS2747" t="s">
        <v>412</v>
      </c>
      <c r="CI2747" t="s">
        <v>388</v>
      </c>
      <c r="CJ2747" s="14">
        <v>45016</v>
      </c>
      <c r="CK2747">
        <v>1</v>
      </c>
    </row>
    <row r="2748" spans="1:89">
      <c r="A2748" t="s">
        <v>895</v>
      </c>
      <c r="B2748" t="s">
        <v>374</v>
      </c>
      <c r="C2748" t="s">
        <v>896</v>
      </c>
      <c r="D2748" t="s">
        <v>1046</v>
      </c>
      <c r="E2748" t="s">
        <v>1047</v>
      </c>
      <c r="F2748" s="13">
        <v>44795.503611111111</v>
      </c>
      <c r="G2748" t="s">
        <v>641</v>
      </c>
      <c r="H2748" t="s">
        <v>642</v>
      </c>
      <c r="I2748" s="13">
        <v>44795.503622685188</v>
      </c>
      <c r="K2748" t="s">
        <v>412</v>
      </c>
      <c r="M2748" s="13">
        <v>44696</v>
      </c>
      <c r="R2748">
        <v>0</v>
      </c>
      <c r="S2748" t="s">
        <v>380</v>
      </c>
      <c r="T2748" t="s">
        <v>57</v>
      </c>
      <c r="V2748" t="s">
        <v>381</v>
      </c>
      <c r="W2748" t="s">
        <v>899</v>
      </c>
      <c r="X2748" t="s">
        <v>899</v>
      </c>
      <c r="AC2748" s="13">
        <v>44696</v>
      </c>
      <c r="AD2748" s="13">
        <v>44696</v>
      </c>
      <c r="AI2748">
        <v>-99</v>
      </c>
      <c r="AN2748" t="s">
        <v>31</v>
      </c>
      <c r="AO2748">
        <v>0</v>
      </c>
      <c r="AS2748" t="s">
        <v>385</v>
      </c>
      <c r="AX2748" t="s">
        <v>57</v>
      </c>
      <c r="AY2748" t="s">
        <v>386</v>
      </c>
      <c r="AZ2748" t="s">
        <v>745</v>
      </c>
      <c r="BF2748">
        <v>0</v>
      </c>
      <c r="BK2748" t="s">
        <v>31</v>
      </c>
      <c r="BS2748" t="s">
        <v>412</v>
      </c>
      <c r="CI2748" t="s">
        <v>388</v>
      </c>
      <c r="CJ2748" s="14">
        <v>45016</v>
      </c>
      <c r="CK2748">
        <v>1</v>
      </c>
    </row>
    <row r="2749" spans="1:89">
      <c r="A2749" t="s">
        <v>895</v>
      </c>
      <c r="B2749" t="s">
        <v>374</v>
      </c>
      <c r="C2749" t="s">
        <v>896</v>
      </c>
      <c r="D2749" t="s">
        <v>1048</v>
      </c>
      <c r="E2749" t="s">
        <v>1049</v>
      </c>
      <c r="F2749" s="13">
        <v>44795.503587962965</v>
      </c>
      <c r="G2749" t="s">
        <v>641</v>
      </c>
      <c r="H2749" t="s">
        <v>642</v>
      </c>
      <c r="I2749" s="13">
        <v>44795.503599537034</v>
      </c>
      <c r="K2749" t="s">
        <v>412</v>
      </c>
      <c r="M2749" s="13">
        <v>44607</v>
      </c>
      <c r="R2749">
        <v>0</v>
      </c>
      <c r="S2749" t="s">
        <v>416</v>
      </c>
      <c r="T2749" t="s">
        <v>57</v>
      </c>
      <c r="V2749" t="s">
        <v>381</v>
      </c>
      <c r="W2749" t="s">
        <v>899</v>
      </c>
      <c r="X2749" t="s">
        <v>899</v>
      </c>
      <c r="AC2749" s="13">
        <v>44607</v>
      </c>
      <c r="AD2749" s="13">
        <v>44607</v>
      </c>
      <c r="AI2749">
        <v>-188</v>
      </c>
      <c r="AN2749" t="s">
        <v>31</v>
      </c>
      <c r="AO2749">
        <v>0</v>
      </c>
      <c r="AS2749" t="s">
        <v>385</v>
      </c>
      <c r="AX2749" t="s">
        <v>57</v>
      </c>
      <c r="AY2749" t="s">
        <v>386</v>
      </c>
      <c r="AZ2749" t="s">
        <v>721</v>
      </c>
      <c r="BF2749">
        <v>0</v>
      </c>
      <c r="BK2749" t="s">
        <v>31</v>
      </c>
      <c r="BS2749" t="s">
        <v>412</v>
      </c>
      <c r="CI2749" t="s">
        <v>388</v>
      </c>
      <c r="CJ2749" s="14">
        <v>45016</v>
      </c>
      <c r="CK2749">
        <v>1</v>
      </c>
    </row>
    <row r="2750" spans="1:89">
      <c r="A2750" t="s">
        <v>895</v>
      </c>
      <c r="B2750" t="s">
        <v>374</v>
      </c>
      <c r="C2750" t="s">
        <v>896</v>
      </c>
      <c r="D2750" t="s">
        <v>1050</v>
      </c>
      <c r="E2750" t="s">
        <v>1051</v>
      </c>
      <c r="F2750" s="13">
        <v>44795.503564814811</v>
      </c>
      <c r="G2750" t="s">
        <v>641</v>
      </c>
      <c r="H2750" t="s">
        <v>642</v>
      </c>
      <c r="I2750" s="13">
        <v>44795.503576388888</v>
      </c>
      <c r="K2750" t="s">
        <v>412</v>
      </c>
      <c r="M2750" s="13">
        <v>44607</v>
      </c>
      <c r="R2750">
        <v>0</v>
      </c>
      <c r="S2750" t="s">
        <v>416</v>
      </c>
      <c r="T2750" t="s">
        <v>57</v>
      </c>
      <c r="V2750" t="s">
        <v>381</v>
      </c>
      <c r="W2750" t="s">
        <v>899</v>
      </c>
      <c r="X2750" t="s">
        <v>899</v>
      </c>
      <c r="AC2750" s="13">
        <v>44607</v>
      </c>
      <c r="AD2750" s="13">
        <v>44607</v>
      </c>
      <c r="AI2750">
        <v>-188</v>
      </c>
      <c r="AN2750" t="s">
        <v>31</v>
      </c>
      <c r="AO2750">
        <v>0</v>
      </c>
      <c r="AS2750" t="s">
        <v>385</v>
      </c>
      <c r="AX2750" t="s">
        <v>57</v>
      </c>
      <c r="AY2750" t="s">
        <v>386</v>
      </c>
      <c r="AZ2750" t="s">
        <v>721</v>
      </c>
      <c r="BF2750">
        <v>0</v>
      </c>
      <c r="BK2750" t="s">
        <v>31</v>
      </c>
      <c r="BS2750" t="s">
        <v>412</v>
      </c>
      <c r="CI2750" t="s">
        <v>388</v>
      </c>
      <c r="CJ2750" s="14">
        <v>45016</v>
      </c>
      <c r="CK2750">
        <v>1</v>
      </c>
    </row>
    <row r="2751" spans="1:89">
      <c r="A2751" t="s">
        <v>895</v>
      </c>
      <c r="B2751" t="s">
        <v>374</v>
      </c>
      <c r="C2751" t="s">
        <v>896</v>
      </c>
      <c r="D2751" t="s">
        <v>1052</v>
      </c>
      <c r="E2751" t="s">
        <v>1053</v>
      </c>
      <c r="F2751" s="13">
        <v>44795.503541666665</v>
      </c>
      <c r="G2751" t="s">
        <v>641</v>
      </c>
      <c r="H2751" t="s">
        <v>642</v>
      </c>
      <c r="I2751" s="13">
        <v>44795.503553240742</v>
      </c>
      <c r="K2751" t="s">
        <v>412</v>
      </c>
      <c r="M2751" s="13">
        <v>44607</v>
      </c>
      <c r="R2751">
        <v>0</v>
      </c>
      <c r="S2751" t="s">
        <v>416</v>
      </c>
      <c r="T2751" t="s">
        <v>57</v>
      </c>
      <c r="V2751" t="s">
        <v>381</v>
      </c>
      <c r="W2751" t="s">
        <v>899</v>
      </c>
      <c r="X2751" t="s">
        <v>899</v>
      </c>
      <c r="AC2751" s="13">
        <v>44607</v>
      </c>
      <c r="AD2751" s="13">
        <v>44607</v>
      </c>
      <c r="AI2751">
        <v>-188</v>
      </c>
      <c r="AN2751" t="s">
        <v>31</v>
      </c>
      <c r="AO2751">
        <v>0</v>
      </c>
      <c r="AS2751" t="s">
        <v>385</v>
      </c>
      <c r="AX2751" t="s">
        <v>57</v>
      </c>
      <c r="AY2751" t="s">
        <v>386</v>
      </c>
      <c r="AZ2751" t="s">
        <v>721</v>
      </c>
      <c r="BF2751">
        <v>0</v>
      </c>
      <c r="BK2751" t="s">
        <v>31</v>
      </c>
      <c r="BS2751" t="s">
        <v>412</v>
      </c>
      <c r="CI2751" t="s">
        <v>388</v>
      </c>
      <c r="CJ2751" s="14">
        <v>45016</v>
      </c>
      <c r="CK2751">
        <v>1</v>
      </c>
    </row>
    <row r="2752" spans="1:89">
      <c r="A2752" t="s">
        <v>902</v>
      </c>
      <c r="B2752" t="s">
        <v>374</v>
      </c>
      <c r="C2752" t="s">
        <v>903</v>
      </c>
      <c r="D2752" t="s">
        <v>1054</v>
      </c>
      <c r="E2752" t="s">
        <v>1055</v>
      </c>
      <c r="F2752" s="13">
        <v>44795.503518518519</v>
      </c>
      <c r="G2752" t="s">
        <v>641</v>
      </c>
      <c r="H2752" t="s">
        <v>642</v>
      </c>
      <c r="I2752" s="13">
        <v>44795.503530092596</v>
      </c>
      <c r="K2752" t="s">
        <v>412</v>
      </c>
      <c r="M2752" s="13">
        <v>44635</v>
      </c>
      <c r="R2752">
        <v>0</v>
      </c>
      <c r="S2752" t="s">
        <v>380</v>
      </c>
      <c r="T2752" t="s">
        <v>57</v>
      </c>
      <c r="V2752" t="s">
        <v>381</v>
      </c>
      <c r="W2752" t="s">
        <v>1056</v>
      </c>
      <c r="X2752" t="s">
        <v>1056</v>
      </c>
      <c r="AC2752" s="13">
        <v>44635</v>
      </c>
      <c r="AD2752" s="13">
        <v>44635</v>
      </c>
      <c r="AI2752">
        <v>-160</v>
      </c>
      <c r="AN2752" t="s">
        <v>31</v>
      </c>
      <c r="AO2752">
        <v>0</v>
      </c>
      <c r="AS2752" t="s">
        <v>385</v>
      </c>
      <c r="AX2752" t="s">
        <v>57</v>
      </c>
      <c r="AY2752" t="s">
        <v>386</v>
      </c>
      <c r="AZ2752" t="s">
        <v>721</v>
      </c>
      <c r="BF2752">
        <v>0</v>
      </c>
      <c r="BK2752" t="s">
        <v>31</v>
      </c>
      <c r="BS2752" t="s">
        <v>412</v>
      </c>
      <c r="CI2752" t="s">
        <v>388</v>
      </c>
      <c r="CJ2752" s="14">
        <v>45016</v>
      </c>
      <c r="CK2752">
        <v>1</v>
      </c>
    </row>
    <row r="2753" spans="1:89">
      <c r="A2753" t="s">
        <v>902</v>
      </c>
      <c r="B2753" t="s">
        <v>374</v>
      </c>
      <c r="C2753" t="s">
        <v>903</v>
      </c>
      <c r="D2753" t="s">
        <v>1057</v>
      </c>
      <c r="E2753" t="s">
        <v>1058</v>
      </c>
      <c r="F2753" s="13">
        <v>44795.503495370373</v>
      </c>
      <c r="G2753" t="s">
        <v>641</v>
      </c>
      <c r="H2753" t="s">
        <v>642</v>
      </c>
      <c r="I2753" s="13">
        <v>44795.503506944442</v>
      </c>
      <c r="K2753" t="s">
        <v>412</v>
      </c>
      <c r="M2753" s="13">
        <v>44681</v>
      </c>
      <c r="R2753">
        <v>0</v>
      </c>
      <c r="S2753" t="s">
        <v>380</v>
      </c>
      <c r="T2753" t="s">
        <v>57</v>
      </c>
      <c r="V2753" t="s">
        <v>381</v>
      </c>
      <c r="W2753" t="s">
        <v>1059</v>
      </c>
      <c r="X2753" t="s">
        <v>1059</v>
      </c>
      <c r="AC2753" s="13">
        <v>44681</v>
      </c>
      <c r="AD2753" s="13">
        <v>44681</v>
      </c>
      <c r="AI2753">
        <v>-114</v>
      </c>
      <c r="AN2753" t="s">
        <v>31</v>
      </c>
      <c r="AO2753">
        <v>0</v>
      </c>
      <c r="AS2753" t="s">
        <v>385</v>
      </c>
      <c r="AX2753" t="s">
        <v>57</v>
      </c>
      <c r="AY2753" t="s">
        <v>386</v>
      </c>
      <c r="AZ2753" t="s">
        <v>745</v>
      </c>
      <c r="BF2753">
        <v>0</v>
      </c>
      <c r="BK2753" t="s">
        <v>31</v>
      </c>
      <c r="BS2753" t="s">
        <v>412</v>
      </c>
      <c r="CI2753" t="s">
        <v>388</v>
      </c>
      <c r="CJ2753" s="14">
        <v>45016</v>
      </c>
      <c r="CK2753">
        <v>1</v>
      </c>
    </row>
    <row r="2754" spans="1:89">
      <c r="A2754" t="s">
        <v>902</v>
      </c>
      <c r="B2754" t="s">
        <v>374</v>
      </c>
      <c r="C2754" t="s">
        <v>903</v>
      </c>
      <c r="D2754" t="s">
        <v>1060</v>
      </c>
      <c r="E2754" t="s">
        <v>1061</v>
      </c>
      <c r="F2754" s="13">
        <v>44795.503483796296</v>
      </c>
      <c r="G2754" t="s">
        <v>641</v>
      </c>
      <c r="H2754" t="s">
        <v>642</v>
      </c>
      <c r="I2754" s="13">
        <v>44795.503495370373</v>
      </c>
      <c r="K2754" t="s">
        <v>412</v>
      </c>
      <c r="M2754" s="13">
        <v>44620</v>
      </c>
      <c r="R2754">
        <v>0</v>
      </c>
      <c r="S2754" t="s">
        <v>380</v>
      </c>
      <c r="T2754" t="s">
        <v>57</v>
      </c>
      <c r="V2754" t="s">
        <v>381</v>
      </c>
      <c r="W2754" t="s">
        <v>1059</v>
      </c>
      <c r="X2754" t="s">
        <v>1059</v>
      </c>
      <c r="AC2754" s="13">
        <v>44620</v>
      </c>
      <c r="AD2754" s="13">
        <v>44620</v>
      </c>
      <c r="AI2754">
        <v>-175</v>
      </c>
      <c r="AN2754" t="s">
        <v>31</v>
      </c>
      <c r="AO2754">
        <v>0</v>
      </c>
      <c r="AS2754" t="s">
        <v>385</v>
      </c>
      <c r="AX2754" t="s">
        <v>57</v>
      </c>
      <c r="AY2754" t="s">
        <v>386</v>
      </c>
      <c r="AZ2754" t="s">
        <v>721</v>
      </c>
      <c r="BF2754">
        <v>0</v>
      </c>
      <c r="BK2754" t="s">
        <v>31</v>
      </c>
      <c r="BS2754" t="s">
        <v>412</v>
      </c>
      <c r="CI2754" t="s">
        <v>388</v>
      </c>
      <c r="CJ2754" s="14">
        <v>45016</v>
      </c>
      <c r="CK2754">
        <v>1</v>
      </c>
    </row>
    <row r="2755" spans="1:89">
      <c r="A2755" t="s">
        <v>1062</v>
      </c>
      <c r="B2755" t="s">
        <v>374</v>
      </c>
      <c r="C2755" t="s">
        <v>1063</v>
      </c>
      <c r="D2755" t="s">
        <v>1064</v>
      </c>
      <c r="E2755" t="s">
        <v>1065</v>
      </c>
      <c r="F2755" s="13">
        <v>44795.503460648149</v>
      </c>
      <c r="G2755" t="s">
        <v>641</v>
      </c>
      <c r="H2755" t="s">
        <v>642</v>
      </c>
      <c r="I2755" s="13">
        <v>44795.503472222219</v>
      </c>
      <c r="K2755" t="s">
        <v>412</v>
      </c>
      <c r="M2755" s="13">
        <v>44607</v>
      </c>
      <c r="R2755">
        <v>0</v>
      </c>
      <c r="S2755" t="s">
        <v>380</v>
      </c>
      <c r="T2755" t="s">
        <v>57</v>
      </c>
      <c r="V2755" t="s">
        <v>381</v>
      </c>
      <c r="W2755" t="s">
        <v>1066</v>
      </c>
      <c r="X2755" t="s">
        <v>1066</v>
      </c>
      <c r="AC2755" s="13">
        <v>44607</v>
      </c>
      <c r="AD2755" s="13">
        <v>44607</v>
      </c>
      <c r="AI2755">
        <v>-188</v>
      </c>
      <c r="AN2755" t="s">
        <v>31</v>
      </c>
      <c r="AO2755">
        <v>0</v>
      </c>
      <c r="AS2755" t="s">
        <v>730</v>
      </c>
      <c r="AX2755" t="s">
        <v>57</v>
      </c>
      <c r="AY2755" t="s">
        <v>386</v>
      </c>
      <c r="AZ2755" t="s">
        <v>721</v>
      </c>
      <c r="BF2755">
        <v>0</v>
      </c>
      <c r="BK2755" t="s">
        <v>31</v>
      </c>
      <c r="BS2755" t="s">
        <v>412</v>
      </c>
      <c r="CI2755" t="s">
        <v>388</v>
      </c>
      <c r="CJ2755" s="14">
        <v>45016</v>
      </c>
      <c r="CK2755">
        <v>1</v>
      </c>
    </row>
    <row r="2756" spans="1:89">
      <c r="A2756" t="s">
        <v>883</v>
      </c>
      <c r="B2756" t="s">
        <v>374</v>
      </c>
      <c r="C2756" t="s">
        <v>473</v>
      </c>
      <c r="D2756" t="s">
        <v>1067</v>
      </c>
      <c r="E2756" t="s">
        <v>1068</v>
      </c>
      <c r="F2756" s="13">
        <v>44795.503437500003</v>
      </c>
      <c r="G2756" t="s">
        <v>641</v>
      </c>
      <c r="H2756" t="s">
        <v>642</v>
      </c>
      <c r="I2756" s="13">
        <v>44795.503449074073</v>
      </c>
      <c r="K2756" t="s">
        <v>412</v>
      </c>
      <c r="M2756" s="13">
        <v>44645</v>
      </c>
      <c r="R2756">
        <v>0</v>
      </c>
      <c r="S2756" t="s">
        <v>380</v>
      </c>
      <c r="T2756" t="s">
        <v>57</v>
      </c>
      <c r="V2756" t="s">
        <v>381</v>
      </c>
      <c r="W2756" t="s">
        <v>1069</v>
      </c>
      <c r="X2756" t="s">
        <v>1069</v>
      </c>
      <c r="AC2756" s="13">
        <v>44645</v>
      </c>
      <c r="AD2756" s="13">
        <v>44645</v>
      </c>
      <c r="AI2756">
        <v>-150</v>
      </c>
      <c r="AN2756" t="s">
        <v>31</v>
      </c>
      <c r="AO2756">
        <v>0</v>
      </c>
      <c r="AS2756" t="s">
        <v>385</v>
      </c>
      <c r="AX2756" t="s">
        <v>57</v>
      </c>
      <c r="AY2756" t="s">
        <v>386</v>
      </c>
      <c r="AZ2756" t="s">
        <v>721</v>
      </c>
      <c r="BF2756">
        <v>0</v>
      </c>
      <c r="BK2756" t="s">
        <v>31</v>
      </c>
      <c r="BS2756" t="s">
        <v>412</v>
      </c>
      <c r="CI2756" t="s">
        <v>388</v>
      </c>
      <c r="CJ2756" s="14">
        <v>45016</v>
      </c>
      <c r="CK2756">
        <v>1</v>
      </c>
    </row>
    <row r="2757" spans="1:89">
      <c r="A2757" t="s">
        <v>883</v>
      </c>
      <c r="B2757" t="s">
        <v>374</v>
      </c>
      <c r="C2757" t="s">
        <v>473</v>
      </c>
      <c r="D2757" t="s">
        <v>1070</v>
      </c>
      <c r="E2757" t="s">
        <v>1071</v>
      </c>
      <c r="F2757" s="13">
        <v>44795.50341435185</v>
      </c>
      <c r="G2757" t="s">
        <v>641</v>
      </c>
      <c r="H2757" t="s">
        <v>642</v>
      </c>
      <c r="I2757" s="13">
        <v>44795.503425925926</v>
      </c>
      <c r="K2757" t="s">
        <v>412</v>
      </c>
      <c r="M2757" s="13">
        <v>44671</v>
      </c>
      <c r="R2757">
        <v>0</v>
      </c>
      <c r="S2757" t="s">
        <v>416</v>
      </c>
      <c r="T2757" t="s">
        <v>57</v>
      </c>
      <c r="V2757" t="s">
        <v>381</v>
      </c>
      <c r="W2757" t="s">
        <v>1069</v>
      </c>
      <c r="X2757" t="s">
        <v>1069</v>
      </c>
      <c r="AC2757" s="13">
        <v>44671</v>
      </c>
      <c r="AD2757" s="13">
        <v>44671</v>
      </c>
      <c r="AI2757">
        <v>-124</v>
      </c>
      <c r="AN2757" t="s">
        <v>31</v>
      </c>
      <c r="AO2757">
        <v>0</v>
      </c>
      <c r="AS2757" t="s">
        <v>385</v>
      </c>
      <c r="AX2757" t="s">
        <v>57</v>
      </c>
      <c r="AY2757" t="s">
        <v>386</v>
      </c>
      <c r="AZ2757" t="s">
        <v>721</v>
      </c>
      <c r="BF2757">
        <v>0</v>
      </c>
      <c r="BK2757" t="s">
        <v>31</v>
      </c>
      <c r="BS2757" t="s">
        <v>412</v>
      </c>
      <c r="CI2757" t="s">
        <v>388</v>
      </c>
      <c r="CJ2757" s="14">
        <v>45016</v>
      </c>
      <c r="CK2757">
        <v>1</v>
      </c>
    </row>
    <row r="2758" spans="1:89">
      <c r="A2758" t="s">
        <v>895</v>
      </c>
      <c r="B2758" t="s">
        <v>374</v>
      </c>
      <c r="C2758" t="s">
        <v>896</v>
      </c>
      <c r="D2758" t="s">
        <v>1072</v>
      </c>
      <c r="E2758" t="s">
        <v>1073</v>
      </c>
      <c r="F2758" s="13">
        <v>44795.503391203703</v>
      </c>
      <c r="G2758" t="s">
        <v>641</v>
      </c>
      <c r="H2758" t="s">
        <v>642</v>
      </c>
      <c r="I2758" s="13">
        <v>44795.50340277778</v>
      </c>
      <c r="K2758" t="s">
        <v>412</v>
      </c>
      <c r="M2758" s="13">
        <v>44609</v>
      </c>
      <c r="R2758">
        <v>0</v>
      </c>
      <c r="S2758" t="s">
        <v>380</v>
      </c>
      <c r="T2758" t="s">
        <v>57</v>
      </c>
      <c r="V2758" t="s">
        <v>381</v>
      </c>
      <c r="W2758" t="s">
        <v>855</v>
      </c>
      <c r="X2758" t="s">
        <v>855</v>
      </c>
      <c r="AC2758" s="13">
        <v>44609</v>
      </c>
      <c r="AD2758" s="13">
        <v>44609</v>
      </c>
      <c r="AI2758">
        <v>-186</v>
      </c>
      <c r="AN2758" t="s">
        <v>31</v>
      </c>
      <c r="AO2758">
        <v>0</v>
      </c>
      <c r="AS2758" t="s">
        <v>385</v>
      </c>
      <c r="AX2758" t="s">
        <v>57</v>
      </c>
      <c r="AY2758" t="s">
        <v>386</v>
      </c>
      <c r="AZ2758" t="s">
        <v>721</v>
      </c>
      <c r="BF2758">
        <v>0</v>
      </c>
      <c r="BK2758" t="s">
        <v>31</v>
      </c>
      <c r="BS2758" t="s">
        <v>412</v>
      </c>
      <c r="CI2758" t="s">
        <v>388</v>
      </c>
      <c r="CJ2758" s="14">
        <v>45016</v>
      </c>
      <c r="CK2758">
        <v>1</v>
      </c>
    </row>
    <row r="2759" spans="1:89">
      <c r="A2759" t="s">
        <v>902</v>
      </c>
      <c r="B2759" t="s">
        <v>374</v>
      </c>
      <c r="C2759" t="s">
        <v>903</v>
      </c>
      <c r="D2759" t="s">
        <v>1074</v>
      </c>
      <c r="E2759" t="s">
        <v>1075</v>
      </c>
      <c r="F2759" s="13">
        <v>44795.503368055557</v>
      </c>
      <c r="G2759" t="s">
        <v>641</v>
      </c>
      <c r="H2759" t="s">
        <v>642</v>
      </c>
      <c r="I2759" s="13">
        <v>44795.503379629627</v>
      </c>
      <c r="K2759" t="s">
        <v>412</v>
      </c>
      <c r="M2759" s="13">
        <v>44635</v>
      </c>
      <c r="R2759">
        <v>0</v>
      </c>
      <c r="S2759" t="s">
        <v>380</v>
      </c>
      <c r="T2759" t="s">
        <v>57</v>
      </c>
      <c r="V2759" t="s">
        <v>381</v>
      </c>
      <c r="W2759" t="s">
        <v>1076</v>
      </c>
      <c r="X2759" t="s">
        <v>1076</v>
      </c>
      <c r="AC2759" s="13">
        <v>44635</v>
      </c>
      <c r="AD2759" s="13">
        <v>44635</v>
      </c>
      <c r="AI2759">
        <v>-160</v>
      </c>
      <c r="AN2759" t="s">
        <v>31</v>
      </c>
      <c r="AO2759">
        <v>0</v>
      </c>
      <c r="AS2759" t="s">
        <v>385</v>
      </c>
      <c r="AX2759" t="s">
        <v>57</v>
      </c>
      <c r="AY2759" t="s">
        <v>386</v>
      </c>
      <c r="AZ2759" t="s">
        <v>721</v>
      </c>
      <c r="BF2759">
        <v>0</v>
      </c>
      <c r="BK2759" t="s">
        <v>31</v>
      </c>
      <c r="BS2759" t="s">
        <v>412</v>
      </c>
      <c r="CI2759" t="s">
        <v>388</v>
      </c>
      <c r="CJ2759" s="14">
        <v>45016</v>
      </c>
      <c r="CK2759">
        <v>1</v>
      </c>
    </row>
    <row r="2760" spans="1:89">
      <c r="A2760" t="s">
        <v>902</v>
      </c>
      <c r="B2760" t="s">
        <v>374</v>
      </c>
      <c r="C2760" t="s">
        <v>903</v>
      </c>
      <c r="D2760" t="s">
        <v>1077</v>
      </c>
      <c r="E2760" t="s">
        <v>1078</v>
      </c>
      <c r="F2760" s="13">
        <v>44795.50335648148</v>
      </c>
      <c r="G2760" t="s">
        <v>641</v>
      </c>
      <c r="H2760" t="s">
        <v>642</v>
      </c>
      <c r="I2760" s="13">
        <v>44795.503368055557</v>
      </c>
      <c r="K2760" t="s">
        <v>412</v>
      </c>
      <c r="M2760" s="13">
        <v>44607</v>
      </c>
      <c r="R2760">
        <v>0</v>
      </c>
      <c r="S2760" t="s">
        <v>380</v>
      </c>
      <c r="T2760" t="s">
        <v>57</v>
      </c>
      <c r="V2760" t="s">
        <v>381</v>
      </c>
      <c r="W2760" t="s">
        <v>938</v>
      </c>
      <c r="X2760" t="s">
        <v>938</v>
      </c>
      <c r="AC2760" s="13">
        <v>44607</v>
      </c>
      <c r="AD2760" s="13">
        <v>44607</v>
      </c>
      <c r="AI2760">
        <v>-188</v>
      </c>
      <c r="AN2760" t="s">
        <v>31</v>
      </c>
      <c r="AO2760">
        <v>0</v>
      </c>
      <c r="AS2760" t="s">
        <v>385</v>
      </c>
      <c r="AX2760" t="s">
        <v>57</v>
      </c>
      <c r="AY2760" t="s">
        <v>386</v>
      </c>
      <c r="AZ2760" t="s">
        <v>721</v>
      </c>
      <c r="BF2760">
        <v>0</v>
      </c>
      <c r="BK2760" t="s">
        <v>31</v>
      </c>
      <c r="BS2760" t="s">
        <v>412</v>
      </c>
      <c r="CI2760" t="s">
        <v>388</v>
      </c>
      <c r="CJ2760" s="14">
        <v>45016</v>
      </c>
      <c r="CK2760">
        <v>1</v>
      </c>
    </row>
    <row r="2761" spans="1:89">
      <c r="A2761" t="s">
        <v>1062</v>
      </c>
      <c r="B2761" t="s">
        <v>374</v>
      </c>
      <c r="C2761" t="s">
        <v>1063</v>
      </c>
      <c r="D2761" t="s">
        <v>1079</v>
      </c>
      <c r="E2761" t="s">
        <v>1080</v>
      </c>
      <c r="F2761" s="13">
        <v>44795.503333333334</v>
      </c>
      <c r="G2761" t="s">
        <v>641</v>
      </c>
      <c r="H2761" t="s">
        <v>642</v>
      </c>
      <c r="I2761" s="13">
        <v>44795.503344907411</v>
      </c>
      <c r="K2761" t="s">
        <v>412</v>
      </c>
      <c r="M2761" s="13">
        <v>44609</v>
      </c>
      <c r="R2761">
        <v>0</v>
      </c>
      <c r="S2761" t="s">
        <v>416</v>
      </c>
      <c r="T2761" t="s">
        <v>57</v>
      </c>
      <c r="V2761" t="s">
        <v>381</v>
      </c>
      <c r="W2761" t="s">
        <v>1081</v>
      </c>
      <c r="X2761" t="s">
        <v>1081</v>
      </c>
      <c r="AC2761" s="13">
        <v>44609</v>
      </c>
      <c r="AD2761" s="13">
        <v>44609</v>
      </c>
      <c r="AI2761">
        <v>-186</v>
      </c>
      <c r="AN2761" t="s">
        <v>31</v>
      </c>
      <c r="AO2761">
        <v>0</v>
      </c>
      <c r="AS2761" t="s">
        <v>385</v>
      </c>
      <c r="AX2761" t="s">
        <v>57</v>
      </c>
      <c r="AY2761" t="s">
        <v>386</v>
      </c>
      <c r="AZ2761" t="s">
        <v>721</v>
      </c>
      <c r="BF2761">
        <v>0</v>
      </c>
      <c r="BK2761" t="s">
        <v>31</v>
      </c>
      <c r="BS2761" t="s">
        <v>412</v>
      </c>
      <c r="CI2761" t="s">
        <v>388</v>
      </c>
      <c r="CJ2761" s="14">
        <v>45016</v>
      </c>
      <c r="CK2761">
        <v>1</v>
      </c>
    </row>
    <row r="2762" spans="1:89">
      <c r="A2762" t="s">
        <v>1082</v>
      </c>
      <c r="B2762" t="s">
        <v>374</v>
      </c>
      <c r="C2762" t="s">
        <v>1083</v>
      </c>
      <c r="D2762" t="s">
        <v>1084</v>
      </c>
      <c r="E2762" t="s">
        <v>1085</v>
      </c>
      <c r="F2762" s="13">
        <v>44795.503310185188</v>
      </c>
      <c r="G2762" t="s">
        <v>641</v>
      </c>
      <c r="H2762" t="s">
        <v>642</v>
      </c>
      <c r="I2762" s="13">
        <v>44795.503321759257</v>
      </c>
      <c r="K2762" t="s">
        <v>412</v>
      </c>
      <c r="M2762" s="13">
        <v>44666</v>
      </c>
      <c r="R2762">
        <v>0</v>
      </c>
      <c r="S2762" t="s">
        <v>380</v>
      </c>
      <c r="T2762" t="s">
        <v>57</v>
      </c>
      <c r="V2762" t="s">
        <v>381</v>
      </c>
      <c r="W2762" t="s">
        <v>1086</v>
      </c>
      <c r="X2762" t="s">
        <v>1086</v>
      </c>
      <c r="AC2762" s="13">
        <v>44666</v>
      </c>
      <c r="AD2762" s="13">
        <v>44666</v>
      </c>
      <c r="AI2762">
        <v>-129</v>
      </c>
      <c r="AN2762" t="s">
        <v>31</v>
      </c>
      <c r="AO2762">
        <v>0</v>
      </c>
      <c r="AS2762" t="s">
        <v>461</v>
      </c>
      <c r="AX2762" t="s">
        <v>57</v>
      </c>
      <c r="AY2762" t="s">
        <v>386</v>
      </c>
      <c r="AZ2762" t="s">
        <v>721</v>
      </c>
      <c r="BF2762">
        <v>0</v>
      </c>
      <c r="BK2762" t="s">
        <v>31</v>
      </c>
      <c r="BS2762" t="s">
        <v>412</v>
      </c>
      <c r="CI2762" t="s">
        <v>388</v>
      </c>
      <c r="CJ2762" s="14">
        <v>45016</v>
      </c>
      <c r="CK2762">
        <v>1</v>
      </c>
    </row>
    <row r="2763" spans="1:89">
      <c r="A2763" t="s">
        <v>849</v>
      </c>
      <c r="B2763" t="s">
        <v>374</v>
      </c>
      <c r="C2763" t="s">
        <v>850</v>
      </c>
      <c r="D2763" t="s">
        <v>1087</v>
      </c>
      <c r="E2763" t="s">
        <v>1088</v>
      </c>
      <c r="F2763" s="13">
        <v>44795.503287037034</v>
      </c>
      <c r="G2763" t="s">
        <v>641</v>
      </c>
      <c r="H2763" t="s">
        <v>642</v>
      </c>
      <c r="I2763" s="13">
        <v>44795.503298611111</v>
      </c>
      <c r="K2763" t="s">
        <v>412</v>
      </c>
      <c r="M2763" s="13">
        <v>44701</v>
      </c>
      <c r="R2763">
        <v>0</v>
      </c>
      <c r="S2763" t="s">
        <v>380</v>
      </c>
      <c r="T2763" t="s">
        <v>57</v>
      </c>
      <c r="V2763" t="s">
        <v>381</v>
      </c>
      <c r="W2763" t="s">
        <v>858</v>
      </c>
      <c r="X2763" t="s">
        <v>858</v>
      </c>
      <c r="AC2763" s="13">
        <v>44701</v>
      </c>
      <c r="AD2763" s="13">
        <v>44701</v>
      </c>
      <c r="AI2763">
        <v>-94</v>
      </c>
      <c r="AN2763" t="s">
        <v>31</v>
      </c>
      <c r="AO2763">
        <v>0</v>
      </c>
      <c r="AS2763" t="s">
        <v>385</v>
      </c>
      <c r="AX2763" t="s">
        <v>31</v>
      </c>
      <c r="AY2763" t="s">
        <v>442</v>
      </c>
      <c r="AZ2763" t="s">
        <v>1089</v>
      </c>
      <c r="BF2763">
        <v>0</v>
      </c>
      <c r="BK2763" t="s">
        <v>31</v>
      </c>
      <c r="BS2763" t="s">
        <v>412</v>
      </c>
      <c r="CI2763" t="s">
        <v>388</v>
      </c>
      <c r="CJ2763" s="14">
        <v>45016</v>
      </c>
      <c r="CK2763">
        <v>1</v>
      </c>
    </row>
    <row r="2764" spans="1:89">
      <c r="A2764" t="s">
        <v>849</v>
      </c>
      <c r="B2764" t="s">
        <v>374</v>
      </c>
      <c r="C2764" t="s">
        <v>850</v>
      </c>
      <c r="D2764" t="s">
        <v>1090</v>
      </c>
      <c r="E2764" t="s">
        <v>1091</v>
      </c>
      <c r="F2764" s="13">
        <v>44795.503263888888</v>
      </c>
      <c r="G2764" t="s">
        <v>641</v>
      </c>
      <c r="H2764" t="s">
        <v>642</v>
      </c>
      <c r="I2764" s="13">
        <v>44795.503275462965</v>
      </c>
      <c r="K2764" t="s">
        <v>412</v>
      </c>
      <c r="M2764" s="13">
        <v>44635</v>
      </c>
      <c r="R2764">
        <v>0</v>
      </c>
      <c r="S2764" t="s">
        <v>380</v>
      </c>
      <c r="T2764" t="s">
        <v>57</v>
      </c>
      <c r="V2764" t="s">
        <v>381</v>
      </c>
      <c r="W2764" t="s">
        <v>1092</v>
      </c>
      <c r="X2764" t="s">
        <v>1092</v>
      </c>
      <c r="AC2764" s="13">
        <v>44635</v>
      </c>
      <c r="AD2764" s="13">
        <v>44635</v>
      </c>
      <c r="AI2764">
        <v>-160</v>
      </c>
      <c r="AN2764" t="s">
        <v>31</v>
      </c>
      <c r="AO2764">
        <v>0</v>
      </c>
      <c r="AS2764" t="s">
        <v>648</v>
      </c>
      <c r="AX2764" t="s">
        <v>31</v>
      </c>
      <c r="AY2764" t="s">
        <v>442</v>
      </c>
      <c r="AZ2764" t="s">
        <v>1093</v>
      </c>
      <c r="BF2764">
        <v>0</v>
      </c>
      <c r="BK2764" t="s">
        <v>31</v>
      </c>
      <c r="BS2764" t="s">
        <v>412</v>
      </c>
      <c r="CI2764" t="s">
        <v>388</v>
      </c>
      <c r="CJ2764" s="14">
        <v>45016</v>
      </c>
      <c r="CK2764">
        <v>1</v>
      </c>
    </row>
    <row r="2765" spans="1:89">
      <c r="A2765" t="s">
        <v>849</v>
      </c>
      <c r="B2765" t="s">
        <v>374</v>
      </c>
      <c r="C2765" t="s">
        <v>850</v>
      </c>
      <c r="D2765" t="s">
        <v>1094</v>
      </c>
      <c r="E2765" t="s">
        <v>1095</v>
      </c>
      <c r="F2765" s="13">
        <v>44795.503252314818</v>
      </c>
      <c r="G2765" t="s">
        <v>641</v>
      </c>
      <c r="H2765" t="s">
        <v>642</v>
      </c>
      <c r="I2765" s="13">
        <v>44795.503252314818</v>
      </c>
      <c r="K2765" t="s">
        <v>412</v>
      </c>
      <c r="M2765" s="13">
        <v>44666</v>
      </c>
      <c r="R2765">
        <v>0</v>
      </c>
      <c r="S2765" t="s">
        <v>380</v>
      </c>
      <c r="T2765" t="s">
        <v>57</v>
      </c>
      <c r="V2765" t="s">
        <v>381</v>
      </c>
      <c r="W2765" t="s">
        <v>1092</v>
      </c>
      <c r="X2765" t="s">
        <v>1092</v>
      </c>
      <c r="AC2765" s="13">
        <v>44666</v>
      </c>
      <c r="AD2765" s="13">
        <v>44666</v>
      </c>
      <c r="AI2765">
        <v>-129</v>
      </c>
      <c r="AN2765" t="s">
        <v>31</v>
      </c>
      <c r="AO2765">
        <v>0</v>
      </c>
      <c r="AS2765" t="s">
        <v>385</v>
      </c>
      <c r="AX2765" t="s">
        <v>31</v>
      </c>
      <c r="AY2765" t="s">
        <v>442</v>
      </c>
      <c r="AZ2765" t="s">
        <v>1093</v>
      </c>
      <c r="BF2765">
        <v>0</v>
      </c>
      <c r="BK2765" t="s">
        <v>31</v>
      </c>
      <c r="BS2765" t="s">
        <v>412</v>
      </c>
      <c r="CI2765" t="s">
        <v>388</v>
      </c>
      <c r="CJ2765" s="14">
        <v>45016</v>
      </c>
      <c r="CK2765">
        <v>1</v>
      </c>
    </row>
    <row r="2766" spans="1:89">
      <c r="A2766" t="s">
        <v>849</v>
      </c>
      <c r="B2766" t="s">
        <v>374</v>
      </c>
      <c r="C2766" t="s">
        <v>850</v>
      </c>
      <c r="D2766" t="s">
        <v>1096</v>
      </c>
      <c r="E2766" t="s">
        <v>1097</v>
      </c>
      <c r="F2766" s="13">
        <v>44795.503229166665</v>
      </c>
      <c r="G2766" t="s">
        <v>641</v>
      </c>
      <c r="H2766" t="s">
        <v>642</v>
      </c>
      <c r="I2766" s="13">
        <v>44795.503240740742</v>
      </c>
      <c r="K2766" t="s">
        <v>412</v>
      </c>
      <c r="M2766" s="13">
        <v>44651</v>
      </c>
      <c r="R2766">
        <v>0</v>
      </c>
      <c r="S2766" t="s">
        <v>380</v>
      </c>
      <c r="T2766" t="s">
        <v>57</v>
      </c>
      <c r="V2766" t="s">
        <v>381</v>
      </c>
      <c r="W2766" t="s">
        <v>858</v>
      </c>
      <c r="X2766" t="s">
        <v>858</v>
      </c>
      <c r="AC2766" s="13">
        <v>44651</v>
      </c>
      <c r="AD2766" s="13">
        <v>44651</v>
      </c>
      <c r="AI2766">
        <v>-144</v>
      </c>
      <c r="AN2766" t="s">
        <v>31</v>
      </c>
      <c r="AO2766">
        <v>0</v>
      </c>
      <c r="AS2766" t="s">
        <v>385</v>
      </c>
      <c r="AX2766" t="s">
        <v>31</v>
      </c>
      <c r="AY2766" t="s">
        <v>442</v>
      </c>
      <c r="AZ2766" t="s">
        <v>1098</v>
      </c>
      <c r="BF2766">
        <v>0</v>
      </c>
      <c r="BK2766" t="s">
        <v>31</v>
      </c>
      <c r="BS2766" t="s">
        <v>412</v>
      </c>
      <c r="CI2766" t="s">
        <v>388</v>
      </c>
      <c r="CJ2766" s="14">
        <v>45016</v>
      </c>
      <c r="CK2766">
        <v>1</v>
      </c>
    </row>
    <row r="2767" spans="1:89">
      <c r="A2767" t="s">
        <v>849</v>
      </c>
      <c r="B2767" t="s">
        <v>374</v>
      </c>
      <c r="C2767" t="s">
        <v>850</v>
      </c>
      <c r="D2767" t="s">
        <v>1099</v>
      </c>
      <c r="E2767" t="s">
        <v>1100</v>
      </c>
      <c r="F2767" s="13">
        <v>44795.503206018519</v>
      </c>
      <c r="G2767" t="s">
        <v>641</v>
      </c>
      <c r="H2767" t="s">
        <v>642</v>
      </c>
      <c r="I2767" s="13">
        <v>44795.503217592595</v>
      </c>
      <c r="K2767" t="s">
        <v>412</v>
      </c>
      <c r="M2767" s="13">
        <v>44651</v>
      </c>
      <c r="R2767">
        <v>0</v>
      </c>
      <c r="S2767" t="s">
        <v>380</v>
      </c>
      <c r="T2767" t="s">
        <v>57</v>
      </c>
      <c r="V2767" t="s">
        <v>381</v>
      </c>
      <c r="W2767" t="s">
        <v>1101</v>
      </c>
      <c r="X2767" t="s">
        <v>1101</v>
      </c>
      <c r="AC2767" s="13">
        <v>44651</v>
      </c>
      <c r="AD2767" s="13">
        <v>44651</v>
      </c>
      <c r="AI2767">
        <v>-144</v>
      </c>
      <c r="AN2767" t="s">
        <v>31</v>
      </c>
      <c r="AO2767">
        <v>0</v>
      </c>
      <c r="AS2767" t="s">
        <v>385</v>
      </c>
      <c r="AX2767" t="s">
        <v>31</v>
      </c>
      <c r="AY2767" t="s">
        <v>442</v>
      </c>
      <c r="AZ2767" t="s">
        <v>1102</v>
      </c>
      <c r="BF2767">
        <v>0</v>
      </c>
      <c r="BK2767" t="s">
        <v>31</v>
      </c>
      <c r="BS2767" t="s">
        <v>412</v>
      </c>
      <c r="CI2767" t="s">
        <v>388</v>
      </c>
      <c r="CJ2767" s="14">
        <v>45016</v>
      </c>
      <c r="CK2767">
        <v>1</v>
      </c>
    </row>
    <row r="2768" spans="1:89">
      <c r="A2768" t="s">
        <v>859</v>
      </c>
      <c r="B2768" t="s">
        <v>374</v>
      </c>
      <c r="C2768" t="s">
        <v>860</v>
      </c>
      <c r="D2768" t="s">
        <v>1103</v>
      </c>
      <c r="E2768" t="s">
        <v>1104</v>
      </c>
      <c r="F2768" s="13">
        <v>44795.503182870372</v>
      </c>
      <c r="G2768" t="s">
        <v>641</v>
      </c>
      <c r="H2768" t="s">
        <v>642</v>
      </c>
      <c r="I2768" s="13">
        <v>44795.503194444442</v>
      </c>
      <c r="K2768" t="s">
        <v>412</v>
      </c>
      <c r="M2768" s="13">
        <v>44591</v>
      </c>
      <c r="R2768">
        <v>0</v>
      </c>
      <c r="S2768" t="s">
        <v>380</v>
      </c>
      <c r="T2768" t="s">
        <v>57</v>
      </c>
      <c r="V2768" t="s">
        <v>381</v>
      </c>
      <c r="W2768" t="s">
        <v>1105</v>
      </c>
      <c r="X2768" t="s">
        <v>1105</v>
      </c>
      <c r="AC2768" s="13">
        <v>44592</v>
      </c>
      <c r="AD2768" s="13">
        <v>44592</v>
      </c>
      <c r="AI2768">
        <v>-204</v>
      </c>
      <c r="AN2768" t="s">
        <v>31</v>
      </c>
      <c r="AO2768">
        <v>0</v>
      </c>
      <c r="AS2768" t="s">
        <v>385</v>
      </c>
      <c r="AX2768" t="s">
        <v>31</v>
      </c>
      <c r="AY2768" t="s">
        <v>442</v>
      </c>
      <c r="AZ2768" t="s">
        <v>1106</v>
      </c>
      <c r="BF2768">
        <v>0</v>
      </c>
      <c r="BK2768" t="s">
        <v>31</v>
      </c>
      <c r="BS2768" t="s">
        <v>412</v>
      </c>
      <c r="CI2768" t="s">
        <v>388</v>
      </c>
      <c r="CJ2768" s="14">
        <v>45016</v>
      </c>
      <c r="CK2768">
        <v>1</v>
      </c>
    </row>
    <row r="2769" spans="1:89">
      <c r="A2769" t="s">
        <v>859</v>
      </c>
      <c r="B2769" t="s">
        <v>374</v>
      </c>
      <c r="C2769" t="s">
        <v>860</v>
      </c>
      <c r="D2769" t="s">
        <v>1107</v>
      </c>
      <c r="E2769" t="s">
        <v>1108</v>
      </c>
      <c r="F2769" s="13">
        <v>44795.503159722219</v>
      </c>
      <c r="G2769" t="s">
        <v>641</v>
      </c>
      <c r="H2769" t="s">
        <v>642</v>
      </c>
      <c r="I2769" s="13">
        <v>44795.503171296295</v>
      </c>
      <c r="K2769" t="s">
        <v>412</v>
      </c>
      <c r="M2769" s="13">
        <v>44591</v>
      </c>
      <c r="R2769">
        <v>0</v>
      </c>
      <c r="S2769" t="s">
        <v>380</v>
      </c>
      <c r="T2769" t="s">
        <v>57</v>
      </c>
      <c r="V2769" t="s">
        <v>381</v>
      </c>
      <c r="W2769" t="s">
        <v>1105</v>
      </c>
      <c r="X2769" t="s">
        <v>1105</v>
      </c>
      <c r="AC2769" s="13">
        <v>44592</v>
      </c>
      <c r="AD2769" s="13">
        <v>44592</v>
      </c>
      <c r="AI2769">
        <v>-204</v>
      </c>
      <c r="AN2769" t="s">
        <v>31</v>
      </c>
      <c r="AO2769">
        <v>0</v>
      </c>
      <c r="AS2769" t="s">
        <v>385</v>
      </c>
      <c r="AX2769" t="s">
        <v>31</v>
      </c>
      <c r="AY2769" t="s">
        <v>442</v>
      </c>
      <c r="AZ2769" t="s">
        <v>1109</v>
      </c>
      <c r="BF2769">
        <v>0</v>
      </c>
      <c r="BK2769" t="s">
        <v>31</v>
      </c>
      <c r="BS2769" t="s">
        <v>412</v>
      </c>
      <c r="CI2769" t="s">
        <v>388</v>
      </c>
      <c r="CJ2769" s="14">
        <v>45016</v>
      </c>
      <c r="CK2769">
        <v>1</v>
      </c>
    </row>
    <row r="2770" spans="1:89">
      <c r="A2770" t="s">
        <v>859</v>
      </c>
      <c r="B2770" t="s">
        <v>374</v>
      </c>
      <c r="C2770" t="s">
        <v>860</v>
      </c>
      <c r="D2770" t="s">
        <v>1110</v>
      </c>
      <c r="E2770" t="s">
        <v>1111</v>
      </c>
      <c r="F2770" s="13">
        <v>44795.503136574072</v>
      </c>
      <c r="G2770" t="s">
        <v>641</v>
      </c>
      <c r="H2770" t="s">
        <v>642</v>
      </c>
      <c r="I2770" s="13">
        <v>44795.503148148149</v>
      </c>
      <c r="K2770" t="s">
        <v>412</v>
      </c>
      <c r="M2770" s="13">
        <v>44591</v>
      </c>
      <c r="R2770">
        <v>0</v>
      </c>
      <c r="S2770" t="s">
        <v>380</v>
      </c>
      <c r="T2770" t="s">
        <v>57</v>
      </c>
      <c r="V2770" t="s">
        <v>381</v>
      </c>
      <c r="W2770" t="s">
        <v>1105</v>
      </c>
      <c r="X2770" t="s">
        <v>1105</v>
      </c>
      <c r="AC2770" s="13">
        <v>44592</v>
      </c>
      <c r="AD2770" s="13">
        <v>44592</v>
      </c>
      <c r="AI2770">
        <v>-204</v>
      </c>
      <c r="AN2770" t="s">
        <v>31</v>
      </c>
      <c r="AO2770">
        <v>0</v>
      </c>
      <c r="AS2770" t="s">
        <v>385</v>
      </c>
      <c r="AX2770" t="s">
        <v>31</v>
      </c>
      <c r="AY2770" t="s">
        <v>442</v>
      </c>
      <c r="AZ2770" t="s">
        <v>1112</v>
      </c>
      <c r="BF2770">
        <v>0</v>
      </c>
      <c r="BK2770" t="s">
        <v>31</v>
      </c>
      <c r="BS2770" t="s">
        <v>412</v>
      </c>
      <c r="CI2770" t="s">
        <v>388</v>
      </c>
      <c r="CJ2770" s="14">
        <v>45016</v>
      </c>
      <c r="CK2770">
        <v>1</v>
      </c>
    </row>
    <row r="2771" spans="1:89">
      <c r="A2771" t="s">
        <v>859</v>
      </c>
      <c r="B2771" t="s">
        <v>374</v>
      </c>
      <c r="C2771" t="s">
        <v>860</v>
      </c>
      <c r="D2771" t="s">
        <v>1113</v>
      </c>
      <c r="E2771" t="s">
        <v>1114</v>
      </c>
      <c r="F2771" s="13">
        <v>44795.503113425926</v>
      </c>
      <c r="G2771" t="s">
        <v>641</v>
      </c>
      <c r="H2771" t="s">
        <v>642</v>
      </c>
      <c r="I2771" s="13">
        <v>44795.503125000003</v>
      </c>
      <c r="K2771" t="s">
        <v>412</v>
      </c>
      <c r="M2771" s="13">
        <v>44545</v>
      </c>
      <c r="R2771">
        <v>0</v>
      </c>
      <c r="S2771" t="s">
        <v>380</v>
      </c>
      <c r="T2771" t="s">
        <v>57</v>
      </c>
      <c r="V2771" t="s">
        <v>381</v>
      </c>
      <c r="W2771" t="s">
        <v>1115</v>
      </c>
      <c r="X2771" t="s">
        <v>1115</v>
      </c>
      <c r="AC2771" s="13">
        <v>44545</v>
      </c>
      <c r="AD2771" s="13">
        <v>44545</v>
      </c>
      <c r="AI2771">
        <v>-250</v>
      </c>
      <c r="AN2771" t="s">
        <v>31</v>
      </c>
      <c r="AO2771">
        <v>0</v>
      </c>
      <c r="AS2771" t="s">
        <v>385</v>
      </c>
      <c r="AX2771" t="s">
        <v>31</v>
      </c>
      <c r="AY2771" t="s">
        <v>442</v>
      </c>
      <c r="AZ2771" t="s">
        <v>1116</v>
      </c>
      <c r="BF2771">
        <v>0</v>
      </c>
      <c r="BK2771" t="s">
        <v>31</v>
      </c>
      <c r="BS2771" t="s">
        <v>412</v>
      </c>
      <c r="CI2771" t="s">
        <v>388</v>
      </c>
      <c r="CJ2771" s="14">
        <v>45016</v>
      </c>
      <c r="CK2771">
        <v>1</v>
      </c>
    </row>
    <row r="2772" spans="1:89">
      <c r="A2772" t="s">
        <v>867</v>
      </c>
      <c r="B2772" t="s">
        <v>374</v>
      </c>
      <c r="C2772" t="s">
        <v>607</v>
      </c>
      <c r="D2772" t="s">
        <v>1117</v>
      </c>
      <c r="E2772" t="s">
        <v>857</v>
      </c>
      <c r="F2772" s="13">
        <v>44795.50309027778</v>
      </c>
      <c r="G2772" t="s">
        <v>641</v>
      </c>
      <c r="H2772" t="s">
        <v>642</v>
      </c>
      <c r="I2772" s="13">
        <v>44795.503101851849</v>
      </c>
      <c r="K2772" t="s">
        <v>412</v>
      </c>
      <c r="M2772" s="13">
        <v>44469</v>
      </c>
      <c r="R2772">
        <v>0</v>
      </c>
      <c r="S2772" t="s">
        <v>380</v>
      </c>
      <c r="T2772" t="s">
        <v>57</v>
      </c>
      <c r="V2772" t="s">
        <v>381</v>
      </c>
      <c r="W2772" t="s">
        <v>863</v>
      </c>
      <c r="X2772" t="s">
        <v>863</v>
      </c>
      <c r="AC2772" s="13">
        <v>44469</v>
      </c>
      <c r="AD2772" s="13">
        <v>44469</v>
      </c>
      <c r="AI2772">
        <v>-326</v>
      </c>
      <c r="AN2772" t="s">
        <v>31</v>
      </c>
      <c r="AO2772">
        <v>0</v>
      </c>
      <c r="AS2772" t="s">
        <v>385</v>
      </c>
      <c r="AX2772" t="s">
        <v>31</v>
      </c>
      <c r="AY2772" t="s">
        <v>442</v>
      </c>
      <c r="AZ2772" t="s">
        <v>1118</v>
      </c>
      <c r="BF2772">
        <v>0</v>
      </c>
      <c r="BK2772" t="s">
        <v>31</v>
      </c>
      <c r="BS2772" t="s">
        <v>412</v>
      </c>
      <c r="CI2772" t="s">
        <v>388</v>
      </c>
      <c r="CJ2772" s="14">
        <v>45016</v>
      </c>
      <c r="CK2772">
        <v>1</v>
      </c>
    </row>
    <row r="2773" spans="1:89">
      <c r="A2773" t="s">
        <v>867</v>
      </c>
      <c r="B2773" t="s">
        <v>374</v>
      </c>
      <c r="C2773" t="s">
        <v>607</v>
      </c>
      <c r="D2773" t="s">
        <v>1119</v>
      </c>
      <c r="E2773" t="s">
        <v>862</v>
      </c>
      <c r="F2773" s="13">
        <v>44795.503032407411</v>
      </c>
      <c r="G2773" t="s">
        <v>641</v>
      </c>
      <c r="H2773" t="s">
        <v>642</v>
      </c>
      <c r="I2773" s="13">
        <v>44795.503055555557</v>
      </c>
      <c r="K2773" t="s">
        <v>412</v>
      </c>
      <c r="M2773" s="13">
        <v>44469</v>
      </c>
      <c r="R2773">
        <v>0</v>
      </c>
      <c r="S2773" t="s">
        <v>380</v>
      </c>
      <c r="T2773" t="s">
        <v>57</v>
      </c>
      <c r="V2773" t="s">
        <v>381</v>
      </c>
      <c r="W2773" t="s">
        <v>863</v>
      </c>
      <c r="X2773" t="s">
        <v>863</v>
      </c>
      <c r="AC2773" s="13">
        <v>44469</v>
      </c>
      <c r="AD2773" s="13">
        <v>44469</v>
      </c>
      <c r="AI2773">
        <v>-326</v>
      </c>
      <c r="AN2773" t="s">
        <v>31</v>
      </c>
      <c r="AO2773">
        <v>0</v>
      </c>
      <c r="AS2773" t="s">
        <v>385</v>
      </c>
      <c r="AX2773" t="s">
        <v>31</v>
      </c>
      <c r="AY2773" t="s">
        <v>442</v>
      </c>
      <c r="AZ2773" t="s">
        <v>1120</v>
      </c>
      <c r="BF2773">
        <v>0</v>
      </c>
      <c r="BK2773" t="s">
        <v>31</v>
      </c>
      <c r="BS2773" t="s">
        <v>412</v>
      </c>
      <c r="CI2773" t="s">
        <v>388</v>
      </c>
      <c r="CJ2773" s="14">
        <v>45016</v>
      </c>
      <c r="CK2773">
        <v>1</v>
      </c>
    </row>
    <row r="2774" spans="1:89">
      <c r="A2774" t="s">
        <v>1121</v>
      </c>
      <c r="B2774" t="s">
        <v>374</v>
      </c>
      <c r="C2774" t="s">
        <v>1122</v>
      </c>
      <c r="D2774" t="s">
        <v>1123</v>
      </c>
      <c r="E2774" t="s">
        <v>1124</v>
      </c>
      <c r="F2774" s="13">
        <v>44790.677453703705</v>
      </c>
      <c r="G2774" t="s">
        <v>1125</v>
      </c>
      <c r="H2774" t="s">
        <v>1126</v>
      </c>
      <c r="I2774" s="13">
        <v>44790.677916666667</v>
      </c>
      <c r="K2774" t="s">
        <v>412</v>
      </c>
      <c r="R2774">
        <v>0</v>
      </c>
      <c r="S2774" t="s">
        <v>380</v>
      </c>
      <c r="T2774" t="s">
        <v>57</v>
      </c>
      <c r="V2774" t="s">
        <v>381</v>
      </c>
      <c r="W2774" t="s">
        <v>1127</v>
      </c>
      <c r="X2774" t="s">
        <v>1127</v>
      </c>
      <c r="AI2774">
        <v>23</v>
      </c>
      <c r="AL2774" t="s">
        <v>1128</v>
      </c>
      <c r="AN2774" t="s">
        <v>31</v>
      </c>
      <c r="AO2774">
        <v>0</v>
      </c>
      <c r="AZ2774" t="s">
        <v>1129</v>
      </c>
      <c r="BF2774">
        <v>0</v>
      </c>
      <c r="BK2774" t="s">
        <v>31</v>
      </c>
      <c r="BS2774" t="s">
        <v>412</v>
      </c>
      <c r="BT2774" t="s">
        <v>412</v>
      </c>
      <c r="CI2774" t="s">
        <v>388</v>
      </c>
      <c r="CJ2774" s="14">
        <v>45016</v>
      </c>
      <c r="CK2774">
        <v>1</v>
      </c>
    </row>
    <row r="2775" spans="1:89">
      <c r="A2775" t="s">
        <v>1130</v>
      </c>
      <c r="B2775" t="s">
        <v>374</v>
      </c>
      <c r="C2775" t="s">
        <v>1131</v>
      </c>
      <c r="D2775" t="s">
        <v>1132</v>
      </c>
      <c r="E2775" t="s">
        <v>406</v>
      </c>
      <c r="F2775" s="13">
        <v>44784.473414351851</v>
      </c>
      <c r="G2775" t="s">
        <v>1133</v>
      </c>
      <c r="H2775" t="s">
        <v>1134</v>
      </c>
      <c r="I2775" s="13">
        <v>44784.476620370369</v>
      </c>
      <c r="K2775" t="s">
        <v>379</v>
      </c>
      <c r="M2775" s="13">
        <v>44784</v>
      </c>
      <c r="R2775">
        <v>100</v>
      </c>
      <c r="S2775" t="s">
        <v>380</v>
      </c>
      <c r="T2775" t="s">
        <v>31</v>
      </c>
      <c r="V2775" t="s">
        <v>381</v>
      </c>
      <c r="W2775" t="s">
        <v>406</v>
      </c>
      <c r="X2775" t="s">
        <v>406</v>
      </c>
      <c r="AC2775" s="13">
        <v>44784</v>
      </c>
      <c r="AD2775" s="13">
        <v>44784</v>
      </c>
      <c r="AF2775" t="s">
        <v>382</v>
      </c>
      <c r="AG2775" t="s">
        <v>406</v>
      </c>
      <c r="AI2775">
        <v>0</v>
      </c>
      <c r="AL2775" t="s">
        <v>1135</v>
      </c>
      <c r="AN2775" t="s">
        <v>31</v>
      </c>
      <c r="AO2775">
        <v>0</v>
      </c>
      <c r="AS2775" t="s">
        <v>526</v>
      </c>
      <c r="AX2775" t="s">
        <v>57</v>
      </c>
      <c r="AY2775" t="s">
        <v>386</v>
      </c>
      <c r="AZ2775" t="s">
        <v>406</v>
      </c>
      <c r="BF2775">
        <v>0</v>
      </c>
      <c r="BK2775" t="s">
        <v>31</v>
      </c>
      <c r="BS2775" t="s">
        <v>379</v>
      </c>
      <c r="BT2775" t="s">
        <v>379</v>
      </c>
      <c r="CI2775" t="s">
        <v>388</v>
      </c>
      <c r="CJ2775" s="14">
        <v>45016</v>
      </c>
      <c r="CK2775">
        <v>1</v>
      </c>
    </row>
    <row r="2776" spans="1:89">
      <c r="A2776" t="s">
        <v>1136</v>
      </c>
      <c r="B2776" t="s">
        <v>374</v>
      </c>
      <c r="C2776" t="s">
        <v>1137</v>
      </c>
      <c r="D2776" t="s">
        <v>1138</v>
      </c>
      <c r="E2776" t="s">
        <v>438</v>
      </c>
      <c r="F2776" s="13">
        <v>44783.450891203705</v>
      </c>
      <c r="G2776" t="s">
        <v>1139</v>
      </c>
      <c r="H2776" t="s">
        <v>1140</v>
      </c>
      <c r="I2776" s="13">
        <v>44785.595879629633</v>
      </c>
      <c r="K2776" t="s">
        <v>379</v>
      </c>
      <c r="M2776" s="13">
        <v>44813</v>
      </c>
      <c r="R2776">
        <v>100</v>
      </c>
      <c r="S2776" t="s">
        <v>380</v>
      </c>
      <c r="V2776" t="s">
        <v>381</v>
      </c>
      <c r="W2776" t="s">
        <v>1141</v>
      </c>
      <c r="X2776" t="s">
        <v>1141</v>
      </c>
      <c r="AF2776" t="s">
        <v>382</v>
      </c>
      <c r="AG2776" t="s">
        <v>1142</v>
      </c>
      <c r="AI2776">
        <v>30</v>
      </c>
      <c r="AL2776" t="s">
        <v>1143</v>
      </c>
      <c r="AN2776" t="s">
        <v>31</v>
      </c>
      <c r="AO2776">
        <v>0</v>
      </c>
      <c r="AS2776" t="s">
        <v>385</v>
      </c>
      <c r="AX2776" t="s">
        <v>57</v>
      </c>
      <c r="AY2776" t="s">
        <v>386</v>
      </c>
      <c r="AZ2776" t="s">
        <v>438</v>
      </c>
      <c r="BF2776">
        <v>0</v>
      </c>
      <c r="BK2776" t="s">
        <v>31</v>
      </c>
      <c r="BS2776" t="s">
        <v>379</v>
      </c>
      <c r="BT2776" t="s">
        <v>379</v>
      </c>
      <c r="CI2776" t="s">
        <v>388</v>
      </c>
      <c r="CJ2776" s="14">
        <v>45016</v>
      </c>
      <c r="CK2776">
        <v>1</v>
      </c>
    </row>
    <row r="2777" spans="1:89">
      <c r="A2777" t="s">
        <v>404</v>
      </c>
      <c r="B2777" t="s">
        <v>374</v>
      </c>
      <c r="C2777" t="s">
        <v>375</v>
      </c>
      <c r="D2777" t="s">
        <v>1144</v>
      </c>
      <c r="E2777" t="s">
        <v>1145</v>
      </c>
      <c r="F2777" s="13">
        <v>44748.352326388886</v>
      </c>
      <c r="G2777" t="s">
        <v>1146</v>
      </c>
      <c r="H2777" t="s">
        <v>1147</v>
      </c>
      <c r="I2777" s="13">
        <v>45012.044421296298</v>
      </c>
      <c r="K2777" t="s">
        <v>415</v>
      </c>
      <c r="M2777" s="13">
        <v>44771</v>
      </c>
      <c r="R2777">
        <v>0</v>
      </c>
      <c r="S2777" t="s">
        <v>380</v>
      </c>
      <c r="T2777" t="s">
        <v>57</v>
      </c>
      <c r="V2777" t="s">
        <v>478</v>
      </c>
      <c r="W2777" t="s">
        <v>1145</v>
      </c>
      <c r="X2777" t="s">
        <v>1145</v>
      </c>
      <c r="AF2777" t="s">
        <v>451</v>
      </c>
      <c r="AI2777">
        <v>-241</v>
      </c>
      <c r="AL2777" t="s">
        <v>1148</v>
      </c>
      <c r="AN2777" t="s">
        <v>31</v>
      </c>
      <c r="AO2777">
        <v>0</v>
      </c>
      <c r="AY2777" t="s">
        <v>442</v>
      </c>
      <c r="AZ2777" t="s">
        <v>1149</v>
      </c>
      <c r="BE2777" t="s">
        <v>1150</v>
      </c>
      <c r="BF2777">
        <v>0</v>
      </c>
      <c r="BK2777" t="s">
        <v>31</v>
      </c>
      <c r="BS2777" t="s">
        <v>419</v>
      </c>
      <c r="BT2777" t="s">
        <v>419</v>
      </c>
      <c r="CI2777" t="s">
        <v>388</v>
      </c>
      <c r="CJ2777" s="14">
        <v>45016</v>
      </c>
      <c r="CK2777">
        <v>1</v>
      </c>
    </row>
    <row r="2778" spans="1:89">
      <c r="A2778" t="s">
        <v>1151</v>
      </c>
      <c r="B2778" t="s">
        <v>374</v>
      </c>
      <c r="C2778" t="s">
        <v>1152</v>
      </c>
      <c r="D2778" t="s">
        <v>1153</v>
      </c>
      <c r="E2778" t="s">
        <v>1154</v>
      </c>
      <c r="F2778" s="13">
        <v>44715.646168981482</v>
      </c>
      <c r="G2778" t="s">
        <v>1155</v>
      </c>
      <c r="H2778" t="s">
        <v>1156</v>
      </c>
      <c r="I2778" s="13">
        <v>44715.646585648145</v>
      </c>
      <c r="K2778" t="s">
        <v>412</v>
      </c>
      <c r="R2778">
        <v>0</v>
      </c>
      <c r="S2778" t="s">
        <v>380</v>
      </c>
      <c r="T2778" t="s">
        <v>57</v>
      </c>
      <c r="V2778" t="s">
        <v>381</v>
      </c>
      <c r="W2778" t="s">
        <v>1157</v>
      </c>
      <c r="X2778" t="s">
        <v>1157</v>
      </c>
      <c r="AI2778">
        <v>58</v>
      </c>
      <c r="AL2778" t="s">
        <v>1158</v>
      </c>
      <c r="AN2778" t="s">
        <v>31</v>
      </c>
      <c r="AO2778">
        <v>0</v>
      </c>
      <c r="AZ2778" t="s">
        <v>1159</v>
      </c>
      <c r="BF2778">
        <v>0</v>
      </c>
      <c r="BK2778" t="s">
        <v>31</v>
      </c>
      <c r="BS2778" t="s">
        <v>412</v>
      </c>
      <c r="BT2778" t="s">
        <v>412</v>
      </c>
      <c r="CI2778" t="s">
        <v>388</v>
      </c>
      <c r="CJ2778" s="14">
        <v>45016</v>
      </c>
      <c r="CK2778">
        <v>1</v>
      </c>
    </row>
    <row r="2779" spans="1:89">
      <c r="A2779" t="s">
        <v>1151</v>
      </c>
      <c r="B2779" t="s">
        <v>374</v>
      </c>
      <c r="C2779" t="s">
        <v>1152</v>
      </c>
      <c r="D2779" t="s">
        <v>1160</v>
      </c>
      <c r="E2779" t="s">
        <v>1161</v>
      </c>
      <c r="F2779" s="13">
        <v>44715.63622685185</v>
      </c>
      <c r="G2779" t="s">
        <v>1155</v>
      </c>
      <c r="H2779" t="s">
        <v>1156</v>
      </c>
      <c r="I2779" s="13">
        <v>44715.638981481483</v>
      </c>
      <c r="K2779" t="s">
        <v>412</v>
      </c>
      <c r="R2779">
        <v>0</v>
      </c>
      <c r="S2779" t="s">
        <v>380</v>
      </c>
      <c r="T2779" t="s">
        <v>57</v>
      </c>
      <c r="V2779" t="s">
        <v>381</v>
      </c>
      <c r="W2779" t="s">
        <v>1162</v>
      </c>
      <c r="X2779" t="s">
        <v>1162</v>
      </c>
      <c r="AI2779">
        <v>58</v>
      </c>
      <c r="AL2779" t="s">
        <v>1163</v>
      </c>
      <c r="AN2779" t="s">
        <v>31</v>
      </c>
      <c r="AO2779">
        <v>0</v>
      </c>
      <c r="AZ2779" t="s">
        <v>1164</v>
      </c>
      <c r="BF2779">
        <v>0</v>
      </c>
      <c r="BK2779" t="s">
        <v>31</v>
      </c>
      <c r="BS2779" t="s">
        <v>412</v>
      </c>
      <c r="BT2779" t="s">
        <v>412</v>
      </c>
      <c r="CI2779" t="s">
        <v>388</v>
      </c>
      <c r="CJ2779" s="14">
        <v>45016</v>
      </c>
      <c r="CK2779">
        <v>1</v>
      </c>
    </row>
    <row r="2780" spans="1:89">
      <c r="A2780" t="s">
        <v>404</v>
      </c>
      <c r="B2780" t="s">
        <v>374</v>
      </c>
      <c r="C2780" t="s">
        <v>375</v>
      </c>
      <c r="D2780" t="s">
        <v>1165</v>
      </c>
      <c r="E2780" t="s">
        <v>406</v>
      </c>
      <c r="F2780" s="13">
        <v>44713.519189814811</v>
      </c>
      <c r="G2780" t="s">
        <v>407</v>
      </c>
      <c r="H2780" t="s">
        <v>408</v>
      </c>
      <c r="I2780" s="13">
        <v>45012.619733796295</v>
      </c>
      <c r="K2780" t="s">
        <v>379</v>
      </c>
      <c r="L2780" t="s">
        <v>570</v>
      </c>
      <c r="M2780" s="13">
        <v>44755</v>
      </c>
      <c r="O2780" s="13">
        <v>45012</v>
      </c>
      <c r="R2780">
        <v>100</v>
      </c>
      <c r="S2780" t="s">
        <v>416</v>
      </c>
      <c r="T2780" t="s">
        <v>57</v>
      </c>
      <c r="V2780" t="s">
        <v>478</v>
      </c>
      <c r="W2780" t="s">
        <v>406</v>
      </c>
      <c r="X2780" t="s">
        <v>406</v>
      </c>
      <c r="AF2780" t="s">
        <v>451</v>
      </c>
      <c r="AI2780">
        <v>4</v>
      </c>
      <c r="AL2780" t="s">
        <v>1166</v>
      </c>
      <c r="AN2780" t="s">
        <v>31</v>
      </c>
      <c r="AO2780">
        <v>0</v>
      </c>
      <c r="AZ2780" t="s">
        <v>406</v>
      </c>
      <c r="BF2780">
        <v>0</v>
      </c>
      <c r="BK2780" t="s">
        <v>31</v>
      </c>
      <c r="BS2780" t="s">
        <v>419</v>
      </c>
      <c r="BT2780" t="s">
        <v>412</v>
      </c>
      <c r="CI2780" t="s">
        <v>388</v>
      </c>
      <c r="CJ2780" s="14">
        <v>45016</v>
      </c>
      <c r="CK2780">
        <v>1</v>
      </c>
    </row>
    <row r="2781" spans="1:89">
      <c r="A2781" t="s">
        <v>404</v>
      </c>
      <c r="B2781" t="s">
        <v>374</v>
      </c>
      <c r="C2781" t="s">
        <v>375</v>
      </c>
      <c r="D2781" t="s">
        <v>1167</v>
      </c>
      <c r="E2781" t="s">
        <v>1168</v>
      </c>
      <c r="F2781" s="13">
        <v>44706.526238425926</v>
      </c>
      <c r="G2781" t="s">
        <v>407</v>
      </c>
      <c r="H2781" t="s">
        <v>408</v>
      </c>
      <c r="I2781" s="13">
        <v>45012.044409722221</v>
      </c>
      <c r="K2781" t="s">
        <v>415</v>
      </c>
      <c r="M2781" s="13">
        <v>44741</v>
      </c>
      <c r="R2781">
        <v>0</v>
      </c>
      <c r="S2781" t="s">
        <v>380</v>
      </c>
      <c r="T2781" t="s">
        <v>57</v>
      </c>
      <c r="V2781" t="s">
        <v>478</v>
      </c>
      <c r="W2781" t="s">
        <v>1169</v>
      </c>
      <c r="X2781" t="s">
        <v>1169</v>
      </c>
      <c r="AF2781" t="s">
        <v>451</v>
      </c>
      <c r="AG2781" t="s">
        <v>406</v>
      </c>
      <c r="AI2781">
        <v>-271</v>
      </c>
      <c r="AJ2781" s="13">
        <v>44926</v>
      </c>
      <c r="AL2781" t="s">
        <v>1170</v>
      </c>
      <c r="AN2781" t="s">
        <v>31</v>
      </c>
      <c r="AO2781">
        <v>0</v>
      </c>
      <c r="AR2781" t="s">
        <v>574</v>
      </c>
      <c r="AS2781" t="s">
        <v>385</v>
      </c>
      <c r="AX2781" t="s">
        <v>31</v>
      </c>
      <c r="AZ2781" t="s">
        <v>1168</v>
      </c>
      <c r="BF2781">
        <v>0</v>
      </c>
      <c r="BK2781" t="s">
        <v>31</v>
      </c>
      <c r="BS2781" t="s">
        <v>419</v>
      </c>
      <c r="BT2781" t="s">
        <v>419</v>
      </c>
      <c r="CI2781" t="s">
        <v>388</v>
      </c>
      <c r="CJ2781" s="14">
        <v>45016</v>
      </c>
      <c r="CK2781">
        <v>1</v>
      </c>
    </row>
    <row r="2782" spans="1:89">
      <c r="A2782" t="s">
        <v>404</v>
      </c>
      <c r="B2782" t="s">
        <v>374</v>
      </c>
      <c r="C2782" t="s">
        <v>375</v>
      </c>
      <c r="D2782" t="s">
        <v>1171</v>
      </c>
      <c r="E2782" t="s">
        <v>406</v>
      </c>
      <c r="F2782" s="13">
        <v>44699.435590277775</v>
      </c>
      <c r="G2782" t="s">
        <v>407</v>
      </c>
      <c r="H2782" t="s">
        <v>408</v>
      </c>
      <c r="I2782" s="13">
        <v>45012.044409722221</v>
      </c>
      <c r="K2782" t="s">
        <v>415</v>
      </c>
      <c r="M2782" s="13">
        <v>44742</v>
      </c>
      <c r="R2782">
        <v>100</v>
      </c>
      <c r="S2782" t="s">
        <v>380</v>
      </c>
      <c r="T2782" t="s">
        <v>57</v>
      </c>
      <c r="V2782" t="s">
        <v>478</v>
      </c>
      <c r="W2782" t="s">
        <v>603</v>
      </c>
      <c r="X2782" t="s">
        <v>603</v>
      </c>
      <c r="AF2782" t="s">
        <v>382</v>
      </c>
      <c r="AG2782" t="s">
        <v>406</v>
      </c>
      <c r="AI2782">
        <v>-270</v>
      </c>
      <c r="AL2782" t="s">
        <v>1172</v>
      </c>
      <c r="AN2782" t="s">
        <v>31</v>
      </c>
      <c r="AO2782">
        <v>0</v>
      </c>
      <c r="AZ2782" t="s">
        <v>406</v>
      </c>
      <c r="BF2782">
        <v>0</v>
      </c>
      <c r="BK2782" t="s">
        <v>31</v>
      </c>
      <c r="BS2782" t="s">
        <v>419</v>
      </c>
      <c r="BT2782" t="s">
        <v>419</v>
      </c>
      <c r="CI2782" t="s">
        <v>388</v>
      </c>
      <c r="CJ2782" s="14">
        <v>45016</v>
      </c>
      <c r="CK2782">
        <v>1</v>
      </c>
    </row>
    <row r="2783" spans="1:89">
      <c r="A2783" t="s">
        <v>637</v>
      </c>
      <c r="B2783" t="s">
        <v>374</v>
      </c>
      <c r="C2783" t="s">
        <v>638</v>
      </c>
      <c r="D2783" t="s">
        <v>1173</v>
      </c>
      <c r="E2783" t="s">
        <v>640</v>
      </c>
      <c r="F2783" s="13">
        <v>44696.931226851855</v>
      </c>
      <c r="G2783" t="s">
        <v>641</v>
      </c>
      <c r="H2783" t="s">
        <v>642</v>
      </c>
      <c r="I2783" s="13">
        <v>44833.703101851854</v>
      </c>
      <c r="K2783" t="s">
        <v>412</v>
      </c>
      <c r="M2783" s="13">
        <v>44742</v>
      </c>
      <c r="R2783">
        <v>0</v>
      </c>
      <c r="S2783" t="s">
        <v>380</v>
      </c>
      <c r="T2783" t="s">
        <v>57</v>
      </c>
      <c r="V2783" t="s">
        <v>381</v>
      </c>
      <c r="W2783" t="s">
        <v>643</v>
      </c>
      <c r="X2783" t="s">
        <v>643</v>
      </c>
      <c r="AC2783" s="13">
        <v>44834</v>
      </c>
      <c r="AD2783" s="13">
        <v>44834</v>
      </c>
      <c r="AI2783">
        <v>46</v>
      </c>
      <c r="AN2783" t="s">
        <v>31</v>
      </c>
      <c r="AO2783">
        <v>0</v>
      </c>
      <c r="AS2783" t="s">
        <v>538</v>
      </c>
      <c r="AX2783" t="s">
        <v>57</v>
      </c>
      <c r="AY2783" t="s">
        <v>442</v>
      </c>
      <c r="AZ2783" t="s">
        <v>644</v>
      </c>
      <c r="BF2783">
        <v>0</v>
      </c>
      <c r="BK2783" t="s">
        <v>31</v>
      </c>
      <c r="BS2783" t="s">
        <v>412</v>
      </c>
      <c r="CI2783" t="s">
        <v>388</v>
      </c>
      <c r="CJ2783" s="14">
        <v>45016</v>
      </c>
      <c r="CK2783">
        <v>1</v>
      </c>
    </row>
    <row r="2784" spans="1:89">
      <c r="A2784" t="s">
        <v>637</v>
      </c>
      <c r="B2784" t="s">
        <v>374</v>
      </c>
      <c r="C2784" t="s">
        <v>638</v>
      </c>
      <c r="D2784" t="s">
        <v>1174</v>
      </c>
      <c r="E2784" t="s">
        <v>646</v>
      </c>
      <c r="F2784" s="13">
        <v>44696.931215277778</v>
      </c>
      <c r="G2784" t="s">
        <v>641</v>
      </c>
      <c r="H2784" t="s">
        <v>642</v>
      </c>
      <c r="I2784" s="13">
        <v>44833.703101851854</v>
      </c>
      <c r="K2784" t="s">
        <v>412</v>
      </c>
      <c r="M2784" s="13">
        <v>44620</v>
      </c>
      <c r="R2784">
        <v>0</v>
      </c>
      <c r="S2784" t="s">
        <v>416</v>
      </c>
      <c r="T2784" t="s">
        <v>57</v>
      </c>
      <c r="V2784" t="s">
        <v>381</v>
      </c>
      <c r="W2784" t="s">
        <v>647</v>
      </c>
      <c r="X2784" t="s">
        <v>647</v>
      </c>
      <c r="AC2784" s="13">
        <v>44711</v>
      </c>
      <c r="AD2784" s="13">
        <v>44711</v>
      </c>
      <c r="AI2784">
        <v>-76</v>
      </c>
      <c r="AN2784" t="s">
        <v>31</v>
      </c>
      <c r="AO2784">
        <v>0</v>
      </c>
      <c r="AS2784" t="s">
        <v>648</v>
      </c>
      <c r="AX2784" t="s">
        <v>31</v>
      </c>
      <c r="AY2784" t="s">
        <v>386</v>
      </c>
      <c r="AZ2784" t="s">
        <v>649</v>
      </c>
      <c r="BF2784">
        <v>0</v>
      </c>
      <c r="BK2784" t="s">
        <v>31</v>
      </c>
      <c r="BS2784" t="s">
        <v>412</v>
      </c>
      <c r="CI2784" t="s">
        <v>388</v>
      </c>
      <c r="CJ2784" s="14">
        <v>45016</v>
      </c>
      <c r="CK2784">
        <v>1</v>
      </c>
    </row>
    <row r="2785" spans="1:89">
      <c r="A2785" t="s">
        <v>637</v>
      </c>
      <c r="B2785" t="s">
        <v>374</v>
      </c>
      <c r="C2785" t="s">
        <v>638</v>
      </c>
      <c r="D2785" t="s">
        <v>1175</v>
      </c>
      <c r="E2785" t="s">
        <v>651</v>
      </c>
      <c r="F2785" s="13">
        <v>44696.931203703702</v>
      </c>
      <c r="G2785" t="s">
        <v>641</v>
      </c>
      <c r="H2785" t="s">
        <v>642</v>
      </c>
      <c r="I2785" s="13">
        <v>44833.703101851854</v>
      </c>
      <c r="K2785" t="s">
        <v>412</v>
      </c>
      <c r="M2785" s="13">
        <v>44620</v>
      </c>
      <c r="R2785">
        <v>0</v>
      </c>
      <c r="S2785" t="s">
        <v>416</v>
      </c>
      <c r="T2785" t="s">
        <v>57</v>
      </c>
      <c r="V2785" t="s">
        <v>381</v>
      </c>
      <c r="W2785" t="s">
        <v>647</v>
      </c>
      <c r="X2785" t="s">
        <v>647</v>
      </c>
      <c r="AC2785" s="13">
        <v>44711</v>
      </c>
      <c r="AD2785" s="13">
        <v>44711</v>
      </c>
      <c r="AI2785">
        <v>-76</v>
      </c>
      <c r="AN2785" t="s">
        <v>31</v>
      </c>
      <c r="AO2785">
        <v>0</v>
      </c>
      <c r="AS2785" t="s">
        <v>392</v>
      </c>
      <c r="AX2785" t="s">
        <v>31</v>
      </c>
      <c r="AY2785" t="s">
        <v>386</v>
      </c>
      <c r="AZ2785" t="s">
        <v>652</v>
      </c>
      <c r="BF2785">
        <v>0</v>
      </c>
      <c r="BK2785" t="s">
        <v>31</v>
      </c>
      <c r="BS2785" t="s">
        <v>412</v>
      </c>
      <c r="CI2785" t="s">
        <v>388</v>
      </c>
      <c r="CJ2785" s="14">
        <v>45016</v>
      </c>
      <c r="CK2785">
        <v>1</v>
      </c>
    </row>
    <row r="2786" spans="1:89">
      <c r="A2786" t="s">
        <v>637</v>
      </c>
      <c r="B2786" t="s">
        <v>374</v>
      </c>
      <c r="C2786" t="s">
        <v>638</v>
      </c>
      <c r="D2786" t="s">
        <v>1176</v>
      </c>
      <c r="E2786" t="s">
        <v>654</v>
      </c>
      <c r="F2786" s="13">
        <v>44696.931192129632</v>
      </c>
      <c r="G2786" t="s">
        <v>641</v>
      </c>
      <c r="H2786" t="s">
        <v>642</v>
      </c>
      <c r="I2786" s="13">
        <v>44833.703101851854</v>
      </c>
      <c r="K2786" t="s">
        <v>412</v>
      </c>
      <c r="M2786" s="13">
        <v>44620</v>
      </c>
      <c r="R2786">
        <v>0</v>
      </c>
      <c r="S2786" t="s">
        <v>380</v>
      </c>
      <c r="T2786" t="s">
        <v>57</v>
      </c>
      <c r="V2786" t="s">
        <v>381</v>
      </c>
      <c r="W2786" t="s">
        <v>647</v>
      </c>
      <c r="X2786" t="s">
        <v>647</v>
      </c>
      <c r="AC2786" s="13">
        <v>44711</v>
      </c>
      <c r="AD2786" s="13">
        <v>44711</v>
      </c>
      <c r="AI2786">
        <v>-76</v>
      </c>
      <c r="AN2786" t="s">
        <v>31</v>
      </c>
      <c r="AO2786">
        <v>0</v>
      </c>
      <c r="AS2786" t="s">
        <v>385</v>
      </c>
      <c r="AX2786" t="s">
        <v>31</v>
      </c>
      <c r="AY2786" t="s">
        <v>442</v>
      </c>
      <c r="AZ2786" t="s">
        <v>655</v>
      </c>
      <c r="BF2786">
        <v>0</v>
      </c>
      <c r="BK2786" t="s">
        <v>31</v>
      </c>
      <c r="BS2786" t="s">
        <v>412</v>
      </c>
      <c r="CI2786" t="s">
        <v>388</v>
      </c>
      <c r="CJ2786" s="14">
        <v>45016</v>
      </c>
      <c r="CK2786">
        <v>1</v>
      </c>
    </row>
    <row r="2787" spans="1:89">
      <c r="A2787" t="s">
        <v>637</v>
      </c>
      <c r="B2787" t="s">
        <v>374</v>
      </c>
      <c r="C2787" t="s">
        <v>638</v>
      </c>
      <c r="D2787" t="s">
        <v>1177</v>
      </c>
      <c r="E2787" t="s">
        <v>657</v>
      </c>
      <c r="F2787" s="13">
        <v>44696.931180555555</v>
      </c>
      <c r="G2787" t="s">
        <v>641</v>
      </c>
      <c r="H2787" t="s">
        <v>642</v>
      </c>
      <c r="I2787" s="13">
        <v>44833.703101851854</v>
      </c>
      <c r="K2787" t="s">
        <v>412</v>
      </c>
      <c r="M2787" s="13">
        <v>44620</v>
      </c>
      <c r="R2787">
        <v>0</v>
      </c>
      <c r="S2787" t="s">
        <v>380</v>
      </c>
      <c r="T2787" t="s">
        <v>57</v>
      </c>
      <c r="V2787" t="s">
        <v>381</v>
      </c>
      <c r="W2787" t="s">
        <v>647</v>
      </c>
      <c r="X2787" t="s">
        <v>647</v>
      </c>
      <c r="AC2787" s="13">
        <v>44711</v>
      </c>
      <c r="AD2787" s="13">
        <v>44711</v>
      </c>
      <c r="AI2787">
        <v>-76</v>
      </c>
      <c r="AN2787" t="s">
        <v>31</v>
      </c>
      <c r="AO2787">
        <v>0</v>
      </c>
      <c r="AS2787" t="s">
        <v>385</v>
      </c>
      <c r="AX2787" t="s">
        <v>31</v>
      </c>
      <c r="AY2787" t="s">
        <v>442</v>
      </c>
      <c r="AZ2787" t="s">
        <v>658</v>
      </c>
      <c r="BF2787">
        <v>0</v>
      </c>
      <c r="BK2787" t="s">
        <v>31</v>
      </c>
      <c r="BS2787" t="s">
        <v>412</v>
      </c>
      <c r="CI2787" t="s">
        <v>388</v>
      </c>
      <c r="CJ2787" s="14">
        <v>45016</v>
      </c>
      <c r="CK2787">
        <v>1</v>
      </c>
    </row>
    <row r="2788" spans="1:89">
      <c r="A2788" t="s">
        <v>637</v>
      </c>
      <c r="B2788" t="s">
        <v>374</v>
      </c>
      <c r="C2788" t="s">
        <v>638</v>
      </c>
      <c r="D2788" t="s">
        <v>1178</v>
      </c>
      <c r="E2788" t="s">
        <v>660</v>
      </c>
      <c r="F2788" s="13">
        <v>44696.931168981479</v>
      </c>
      <c r="G2788" t="s">
        <v>641</v>
      </c>
      <c r="H2788" t="s">
        <v>642</v>
      </c>
      <c r="I2788" s="13">
        <v>44833.703101851854</v>
      </c>
      <c r="K2788" t="s">
        <v>412</v>
      </c>
      <c r="M2788" s="13">
        <v>44620</v>
      </c>
      <c r="R2788">
        <v>0</v>
      </c>
      <c r="S2788" t="s">
        <v>380</v>
      </c>
      <c r="T2788" t="s">
        <v>57</v>
      </c>
      <c r="V2788" t="s">
        <v>381</v>
      </c>
      <c r="W2788" t="s">
        <v>647</v>
      </c>
      <c r="X2788" t="s">
        <v>647</v>
      </c>
      <c r="AC2788" s="13">
        <v>44711</v>
      </c>
      <c r="AD2788" s="13">
        <v>44711</v>
      </c>
      <c r="AI2788">
        <v>-76</v>
      </c>
      <c r="AN2788" t="s">
        <v>31</v>
      </c>
      <c r="AO2788">
        <v>0</v>
      </c>
      <c r="AS2788" t="s">
        <v>526</v>
      </c>
      <c r="AX2788" t="s">
        <v>31</v>
      </c>
      <c r="AY2788" t="s">
        <v>442</v>
      </c>
      <c r="AZ2788" t="s">
        <v>661</v>
      </c>
      <c r="BF2788">
        <v>0</v>
      </c>
      <c r="BK2788" t="s">
        <v>31</v>
      </c>
      <c r="BS2788" t="s">
        <v>412</v>
      </c>
      <c r="CI2788" t="s">
        <v>388</v>
      </c>
      <c r="CJ2788" s="14">
        <v>45016</v>
      </c>
      <c r="CK2788">
        <v>1</v>
      </c>
    </row>
    <row r="2789" spans="1:89">
      <c r="A2789" t="s">
        <v>637</v>
      </c>
      <c r="B2789" t="s">
        <v>374</v>
      </c>
      <c r="C2789" t="s">
        <v>638</v>
      </c>
      <c r="D2789" t="s">
        <v>1179</v>
      </c>
      <c r="E2789" t="s">
        <v>663</v>
      </c>
      <c r="F2789" s="13">
        <v>44696.931157407409</v>
      </c>
      <c r="G2789" t="s">
        <v>641</v>
      </c>
      <c r="H2789" t="s">
        <v>642</v>
      </c>
      <c r="I2789" s="13">
        <v>44833.703101851854</v>
      </c>
      <c r="K2789" t="s">
        <v>412</v>
      </c>
      <c r="M2789" s="13">
        <v>44620</v>
      </c>
      <c r="R2789">
        <v>0</v>
      </c>
      <c r="S2789" t="s">
        <v>380</v>
      </c>
      <c r="T2789" t="s">
        <v>57</v>
      </c>
      <c r="V2789" t="s">
        <v>381</v>
      </c>
      <c r="W2789" t="s">
        <v>647</v>
      </c>
      <c r="X2789" t="s">
        <v>647</v>
      </c>
      <c r="AC2789" s="13">
        <v>44711</v>
      </c>
      <c r="AD2789" s="13">
        <v>44711</v>
      </c>
      <c r="AI2789">
        <v>-76</v>
      </c>
      <c r="AN2789" t="s">
        <v>31</v>
      </c>
      <c r="AO2789">
        <v>0</v>
      </c>
      <c r="AS2789" t="s">
        <v>648</v>
      </c>
      <c r="AX2789" t="s">
        <v>31</v>
      </c>
      <c r="AY2789" t="s">
        <v>442</v>
      </c>
      <c r="AZ2789" t="s">
        <v>648</v>
      </c>
      <c r="BF2789">
        <v>0</v>
      </c>
      <c r="BK2789" t="s">
        <v>31</v>
      </c>
      <c r="BS2789" t="s">
        <v>412</v>
      </c>
      <c r="CI2789" t="s">
        <v>388</v>
      </c>
      <c r="CJ2789" s="14">
        <v>45016</v>
      </c>
      <c r="CK2789">
        <v>1</v>
      </c>
    </row>
    <row r="2790" spans="1:89">
      <c r="A2790" t="s">
        <v>637</v>
      </c>
      <c r="B2790" t="s">
        <v>374</v>
      </c>
      <c r="C2790" t="s">
        <v>638</v>
      </c>
      <c r="D2790" t="s">
        <v>1180</v>
      </c>
      <c r="E2790" t="s">
        <v>665</v>
      </c>
      <c r="F2790" s="13">
        <v>44696.931145833332</v>
      </c>
      <c r="G2790" t="s">
        <v>641</v>
      </c>
      <c r="H2790" t="s">
        <v>642</v>
      </c>
      <c r="I2790" s="13">
        <v>44833.703101851854</v>
      </c>
      <c r="K2790" t="s">
        <v>412</v>
      </c>
      <c r="M2790" s="13">
        <v>44620</v>
      </c>
      <c r="R2790">
        <v>0</v>
      </c>
      <c r="S2790" t="s">
        <v>380</v>
      </c>
      <c r="T2790" t="s">
        <v>57</v>
      </c>
      <c r="V2790" t="s">
        <v>381</v>
      </c>
      <c r="W2790" t="s">
        <v>647</v>
      </c>
      <c r="X2790" t="s">
        <v>647</v>
      </c>
      <c r="AC2790" s="13">
        <v>44711</v>
      </c>
      <c r="AD2790" s="13">
        <v>44711</v>
      </c>
      <c r="AI2790">
        <v>-76</v>
      </c>
      <c r="AN2790" t="s">
        <v>31</v>
      </c>
      <c r="AO2790">
        <v>0</v>
      </c>
      <c r="AS2790" t="s">
        <v>385</v>
      </c>
      <c r="AX2790" t="s">
        <v>31</v>
      </c>
      <c r="AY2790" t="s">
        <v>442</v>
      </c>
      <c r="AZ2790" t="s">
        <v>666</v>
      </c>
      <c r="BF2790">
        <v>0</v>
      </c>
      <c r="BK2790" t="s">
        <v>31</v>
      </c>
      <c r="BS2790" t="s">
        <v>412</v>
      </c>
      <c r="CI2790" t="s">
        <v>388</v>
      </c>
      <c r="CJ2790" s="14">
        <v>45016</v>
      </c>
      <c r="CK2790">
        <v>1</v>
      </c>
    </row>
    <row r="2791" spans="1:89">
      <c r="A2791" t="s">
        <v>1181</v>
      </c>
      <c r="B2791" t="s">
        <v>374</v>
      </c>
      <c r="C2791" t="s">
        <v>1182</v>
      </c>
      <c r="D2791" t="s">
        <v>1183</v>
      </c>
      <c r="E2791" t="s">
        <v>668</v>
      </c>
      <c r="F2791" s="13">
        <v>44696.931134259263</v>
      </c>
      <c r="G2791" t="s">
        <v>641</v>
      </c>
      <c r="H2791" t="s">
        <v>642</v>
      </c>
      <c r="I2791" s="13">
        <v>44833.703101851854</v>
      </c>
      <c r="K2791" t="s">
        <v>412</v>
      </c>
      <c r="M2791" s="13">
        <v>44620</v>
      </c>
      <c r="R2791">
        <v>0</v>
      </c>
      <c r="S2791" t="s">
        <v>380</v>
      </c>
      <c r="T2791" t="s">
        <v>57</v>
      </c>
      <c r="V2791" t="s">
        <v>381</v>
      </c>
      <c r="W2791" t="s">
        <v>647</v>
      </c>
      <c r="X2791" t="s">
        <v>647</v>
      </c>
      <c r="AC2791" s="13">
        <v>44711</v>
      </c>
      <c r="AD2791" s="13">
        <v>44711</v>
      </c>
      <c r="AI2791">
        <v>-76</v>
      </c>
      <c r="AN2791" t="s">
        <v>31</v>
      </c>
      <c r="AO2791">
        <v>0</v>
      </c>
      <c r="AS2791" t="s">
        <v>648</v>
      </c>
      <c r="AX2791" t="s">
        <v>31</v>
      </c>
      <c r="AY2791" t="s">
        <v>442</v>
      </c>
      <c r="AZ2791" t="s">
        <v>669</v>
      </c>
      <c r="BF2791">
        <v>0</v>
      </c>
      <c r="BK2791" t="s">
        <v>31</v>
      </c>
      <c r="BS2791" t="s">
        <v>412</v>
      </c>
      <c r="CI2791" t="s">
        <v>388</v>
      </c>
      <c r="CJ2791" s="14">
        <v>45016</v>
      </c>
      <c r="CK2791">
        <v>1</v>
      </c>
    </row>
    <row r="2792" spans="1:89">
      <c r="A2792" t="s">
        <v>1181</v>
      </c>
      <c r="B2792" t="s">
        <v>374</v>
      </c>
      <c r="C2792" t="s">
        <v>1182</v>
      </c>
      <c r="D2792" t="s">
        <v>1184</v>
      </c>
      <c r="E2792" t="s">
        <v>671</v>
      </c>
      <c r="F2792" s="13">
        <v>44696.931087962963</v>
      </c>
      <c r="G2792" t="s">
        <v>641</v>
      </c>
      <c r="H2792" t="s">
        <v>642</v>
      </c>
      <c r="I2792" s="13">
        <v>44833.703101851854</v>
      </c>
      <c r="K2792" t="s">
        <v>412</v>
      </c>
      <c r="M2792" s="13">
        <v>44620</v>
      </c>
      <c r="R2792">
        <v>0</v>
      </c>
      <c r="S2792" t="s">
        <v>380</v>
      </c>
      <c r="T2792" t="s">
        <v>57</v>
      </c>
      <c r="V2792" t="s">
        <v>381</v>
      </c>
      <c r="W2792" t="s">
        <v>647</v>
      </c>
      <c r="X2792" t="s">
        <v>647</v>
      </c>
      <c r="AC2792" s="13">
        <v>44711</v>
      </c>
      <c r="AD2792" s="13">
        <v>44711</v>
      </c>
      <c r="AI2792">
        <v>-76</v>
      </c>
      <c r="AN2792" t="s">
        <v>31</v>
      </c>
      <c r="AO2792">
        <v>0</v>
      </c>
      <c r="AS2792" t="s">
        <v>538</v>
      </c>
      <c r="AX2792" t="s">
        <v>31</v>
      </c>
      <c r="AY2792" t="s">
        <v>442</v>
      </c>
      <c r="AZ2792" t="s">
        <v>672</v>
      </c>
      <c r="BF2792">
        <v>0</v>
      </c>
      <c r="BK2792" t="s">
        <v>31</v>
      </c>
      <c r="BS2792" t="s">
        <v>412</v>
      </c>
      <c r="CI2792" t="s">
        <v>388</v>
      </c>
      <c r="CJ2792" s="14">
        <v>45016</v>
      </c>
      <c r="CK2792">
        <v>1</v>
      </c>
    </row>
    <row r="2793" spans="1:89">
      <c r="A2793" t="s">
        <v>1185</v>
      </c>
      <c r="B2793" t="s">
        <v>374</v>
      </c>
      <c r="C2793" t="s">
        <v>1186</v>
      </c>
      <c r="D2793" t="s">
        <v>1187</v>
      </c>
      <c r="E2793" t="s">
        <v>1188</v>
      </c>
      <c r="F2793" s="13">
        <v>44694.775405092594</v>
      </c>
      <c r="G2793" t="s">
        <v>1189</v>
      </c>
      <c r="H2793" t="s">
        <v>1190</v>
      </c>
      <c r="I2793" s="13">
        <v>44694.775439814817</v>
      </c>
      <c r="K2793" t="s">
        <v>412</v>
      </c>
      <c r="R2793">
        <v>0</v>
      </c>
      <c r="S2793" t="s">
        <v>380</v>
      </c>
      <c r="V2793" t="s">
        <v>381</v>
      </c>
      <c r="W2793" t="s">
        <v>1191</v>
      </c>
      <c r="X2793" t="s">
        <v>1191</v>
      </c>
      <c r="AI2793">
        <v>0</v>
      </c>
      <c r="AL2793" t="s">
        <v>1192</v>
      </c>
      <c r="AN2793" t="s">
        <v>31</v>
      </c>
      <c r="AO2793">
        <v>0</v>
      </c>
      <c r="AZ2793" t="s">
        <v>1193</v>
      </c>
      <c r="BF2793">
        <v>0</v>
      </c>
      <c r="BK2793" t="s">
        <v>31</v>
      </c>
      <c r="BS2793" t="s">
        <v>412</v>
      </c>
      <c r="BT2793" t="s">
        <v>412</v>
      </c>
      <c r="CI2793" t="s">
        <v>388</v>
      </c>
      <c r="CJ2793" s="14">
        <v>45016</v>
      </c>
      <c r="CK2793">
        <v>1</v>
      </c>
    </row>
    <row r="2794" spans="1:89">
      <c r="A2794" t="s">
        <v>1185</v>
      </c>
      <c r="B2794" t="s">
        <v>374</v>
      </c>
      <c r="C2794" t="s">
        <v>1186</v>
      </c>
      <c r="D2794" t="s">
        <v>1194</v>
      </c>
      <c r="E2794" t="s">
        <v>1188</v>
      </c>
      <c r="F2794" s="13">
        <v>44694.736921296295</v>
      </c>
      <c r="G2794" t="s">
        <v>1189</v>
      </c>
      <c r="H2794" t="s">
        <v>1190</v>
      </c>
      <c r="I2794" s="13">
        <v>44694.736944444441</v>
      </c>
      <c r="K2794" t="s">
        <v>412</v>
      </c>
      <c r="R2794">
        <v>0</v>
      </c>
      <c r="S2794" t="s">
        <v>380</v>
      </c>
      <c r="V2794" t="s">
        <v>381</v>
      </c>
      <c r="W2794" t="s">
        <v>1191</v>
      </c>
      <c r="X2794" t="s">
        <v>1191</v>
      </c>
      <c r="AI2794">
        <v>109</v>
      </c>
      <c r="AL2794" t="s">
        <v>1192</v>
      </c>
      <c r="AN2794" t="s">
        <v>31</v>
      </c>
      <c r="AO2794">
        <v>0</v>
      </c>
      <c r="AZ2794" t="s">
        <v>1195</v>
      </c>
      <c r="BF2794">
        <v>0</v>
      </c>
      <c r="BK2794" t="s">
        <v>31</v>
      </c>
      <c r="BS2794" t="s">
        <v>412</v>
      </c>
      <c r="BT2794" t="s">
        <v>412</v>
      </c>
      <c r="CI2794" t="s">
        <v>388</v>
      </c>
      <c r="CJ2794" s="14">
        <v>45016</v>
      </c>
      <c r="CK2794">
        <v>1</v>
      </c>
    </row>
    <row r="2795" spans="1:89">
      <c r="A2795" t="s">
        <v>1196</v>
      </c>
      <c r="B2795" t="s">
        <v>374</v>
      </c>
      <c r="C2795" t="s">
        <v>1182</v>
      </c>
      <c r="D2795" t="s">
        <v>1197</v>
      </c>
      <c r="E2795" t="s">
        <v>1198</v>
      </c>
      <c r="F2795" s="13">
        <v>44694.566168981481</v>
      </c>
      <c r="G2795" t="s">
        <v>1125</v>
      </c>
      <c r="H2795" t="s">
        <v>1126</v>
      </c>
      <c r="I2795" s="13">
        <v>45012.044398148151</v>
      </c>
      <c r="K2795" t="s">
        <v>415</v>
      </c>
      <c r="M2795" s="13">
        <v>44740</v>
      </c>
      <c r="R2795">
        <v>100</v>
      </c>
      <c r="S2795" t="s">
        <v>380</v>
      </c>
      <c r="T2795" t="s">
        <v>57</v>
      </c>
      <c r="V2795" t="s">
        <v>478</v>
      </c>
      <c r="W2795" t="s">
        <v>1126</v>
      </c>
      <c r="X2795" t="s">
        <v>1126</v>
      </c>
      <c r="AF2795" t="s">
        <v>382</v>
      </c>
      <c r="AG2795" t="s">
        <v>1199</v>
      </c>
      <c r="AI2795">
        <v>-272</v>
      </c>
      <c r="AL2795" t="s">
        <v>1200</v>
      </c>
      <c r="AN2795" t="s">
        <v>57</v>
      </c>
      <c r="AO2795">
        <v>0</v>
      </c>
      <c r="AS2795" t="s">
        <v>385</v>
      </c>
      <c r="AX2795" t="s">
        <v>57</v>
      </c>
      <c r="AY2795" t="s">
        <v>442</v>
      </c>
      <c r="AZ2795" t="s">
        <v>745</v>
      </c>
      <c r="BF2795">
        <v>0</v>
      </c>
      <c r="BK2795" t="s">
        <v>31</v>
      </c>
      <c r="BS2795" t="s">
        <v>1201</v>
      </c>
      <c r="BT2795" t="s">
        <v>1202</v>
      </c>
      <c r="CI2795" t="s">
        <v>388</v>
      </c>
      <c r="CJ2795" s="14">
        <v>45016</v>
      </c>
      <c r="CK2795">
        <v>1</v>
      </c>
    </row>
    <row r="2796" spans="1:89">
      <c r="A2796" t="s">
        <v>1196</v>
      </c>
      <c r="B2796" t="s">
        <v>374</v>
      </c>
      <c r="C2796" t="s">
        <v>1182</v>
      </c>
      <c r="D2796" t="s">
        <v>1203</v>
      </c>
      <c r="E2796" t="s">
        <v>1204</v>
      </c>
      <c r="F2796" s="13">
        <v>44694.551689814813</v>
      </c>
      <c r="G2796" t="s">
        <v>1125</v>
      </c>
      <c r="H2796" t="s">
        <v>1126</v>
      </c>
      <c r="I2796" s="13">
        <v>44694.673750000002</v>
      </c>
      <c r="K2796" t="s">
        <v>379</v>
      </c>
      <c r="M2796" s="13">
        <v>44770</v>
      </c>
      <c r="R2796">
        <v>100</v>
      </c>
      <c r="S2796" t="s">
        <v>416</v>
      </c>
      <c r="T2796" t="s">
        <v>57</v>
      </c>
      <c r="V2796" t="s">
        <v>381</v>
      </c>
      <c r="W2796" t="s">
        <v>1205</v>
      </c>
      <c r="X2796" t="s">
        <v>1205</v>
      </c>
      <c r="AF2796" t="s">
        <v>382</v>
      </c>
      <c r="AG2796" t="s">
        <v>1206</v>
      </c>
      <c r="AI2796">
        <v>76</v>
      </c>
      <c r="AL2796" t="s">
        <v>1200</v>
      </c>
      <c r="AM2796">
        <v>1</v>
      </c>
      <c r="AN2796" t="s">
        <v>31</v>
      </c>
      <c r="AO2796">
        <v>0</v>
      </c>
      <c r="AS2796" t="s">
        <v>385</v>
      </c>
      <c r="AX2796" t="s">
        <v>57</v>
      </c>
      <c r="AY2796" t="s">
        <v>442</v>
      </c>
      <c r="AZ2796" t="s">
        <v>1204</v>
      </c>
      <c r="BF2796">
        <v>0</v>
      </c>
      <c r="BK2796" t="s">
        <v>31</v>
      </c>
      <c r="BS2796" t="s">
        <v>379</v>
      </c>
      <c r="BT2796" t="s">
        <v>379</v>
      </c>
      <c r="CI2796" t="s">
        <v>388</v>
      </c>
      <c r="CJ2796" s="14">
        <v>45016</v>
      </c>
      <c r="CK2796">
        <v>1</v>
      </c>
    </row>
    <row r="2797" spans="1:89">
      <c r="A2797" t="s">
        <v>673</v>
      </c>
      <c r="B2797" t="s">
        <v>374</v>
      </c>
      <c r="C2797" t="s">
        <v>674</v>
      </c>
      <c r="D2797" t="s">
        <v>1207</v>
      </c>
      <c r="E2797" t="s">
        <v>406</v>
      </c>
      <c r="F2797" s="13">
        <v>44694.483888888892</v>
      </c>
      <c r="G2797" t="s">
        <v>1208</v>
      </c>
      <c r="H2797" t="s">
        <v>1209</v>
      </c>
      <c r="I2797" s="13">
        <v>44694.56821759259</v>
      </c>
      <c r="K2797" t="s">
        <v>379</v>
      </c>
      <c r="M2797" s="13">
        <v>44784</v>
      </c>
      <c r="R2797">
        <v>100</v>
      </c>
      <c r="S2797" t="s">
        <v>380</v>
      </c>
      <c r="T2797" t="s">
        <v>57</v>
      </c>
      <c r="V2797" t="s">
        <v>381</v>
      </c>
      <c r="W2797" t="s">
        <v>1210</v>
      </c>
      <c r="X2797" t="s">
        <v>1210</v>
      </c>
      <c r="AB2797" t="s">
        <v>57</v>
      </c>
      <c r="AC2797" s="13">
        <v>44809</v>
      </c>
      <c r="AD2797" s="13">
        <v>44788</v>
      </c>
      <c r="AF2797" t="s">
        <v>382</v>
      </c>
      <c r="AG2797" t="s">
        <v>406</v>
      </c>
      <c r="AI2797">
        <v>90</v>
      </c>
      <c r="AL2797" t="s">
        <v>1211</v>
      </c>
      <c r="AN2797" t="s">
        <v>57</v>
      </c>
      <c r="AO2797">
        <v>0</v>
      </c>
      <c r="AS2797" t="s">
        <v>461</v>
      </c>
      <c r="AX2797" t="s">
        <v>57</v>
      </c>
      <c r="AY2797" t="s">
        <v>386</v>
      </c>
      <c r="AZ2797" t="s">
        <v>1212</v>
      </c>
      <c r="BC2797" t="s">
        <v>480</v>
      </c>
      <c r="BD2797" t="s">
        <v>406</v>
      </c>
      <c r="BF2797">
        <v>0</v>
      </c>
      <c r="BK2797" t="s">
        <v>31</v>
      </c>
      <c r="BS2797" t="s">
        <v>379</v>
      </c>
      <c r="BT2797" t="s">
        <v>379</v>
      </c>
      <c r="CC2797" t="s">
        <v>1213</v>
      </c>
      <c r="CI2797" t="s">
        <v>388</v>
      </c>
      <c r="CJ2797" s="14">
        <v>45016</v>
      </c>
      <c r="CK2797">
        <v>1</v>
      </c>
    </row>
    <row r="2798" spans="1:89">
      <c r="A2798" t="s">
        <v>673</v>
      </c>
      <c r="B2798" t="s">
        <v>374</v>
      </c>
      <c r="C2798" t="s">
        <v>674</v>
      </c>
      <c r="D2798" t="s">
        <v>1214</v>
      </c>
      <c r="E2798" t="s">
        <v>406</v>
      </c>
      <c r="F2798" s="13">
        <v>44694.477835648147</v>
      </c>
      <c r="G2798" t="s">
        <v>1208</v>
      </c>
      <c r="H2798" t="s">
        <v>1209</v>
      </c>
      <c r="I2798" s="13">
        <v>44694.495983796296</v>
      </c>
      <c r="K2798" t="s">
        <v>379</v>
      </c>
      <c r="M2798" s="13">
        <v>44784</v>
      </c>
      <c r="R2798">
        <v>100</v>
      </c>
      <c r="S2798" t="s">
        <v>416</v>
      </c>
      <c r="T2798" t="s">
        <v>31</v>
      </c>
      <c r="V2798" t="s">
        <v>381</v>
      </c>
      <c r="W2798" t="s">
        <v>1209</v>
      </c>
      <c r="X2798" t="s">
        <v>1209</v>
      </c>
      <c r="AF2798" t="s">
        <v>382</v>
      </c>
      <c r="AG2798" t="s">
        <v>406</v>
      </c>
      <c r="AI2798">
        <v>90</v>
      </c>
      <c r="AL2798" t="s">
        <v>1211</v>
      </c>
      <c r="AM2798">
        <v>1</v>
      </c>
      <c r="AN2798" t="s">
        <v>31</v>
      </c>
      <c r="AO2798">
        <v>0</v>
      </c>
      <c r="AS2798" t="s">
        <v>522</v>
      </c>
      <c r="AX2798" t="s">
        <v>31</v>
      </c>
      <c r="AY2798" t="s">
        <v>442</v>
      </c>
      <c r="AZ2798" t="s">
        <v>1215</v>
      </c>
      <c r="BF2798">
        <v>0</v>
      </c>
      <c r="BK2798" t="s">
        <v>31</v>
      </c>
      <c r="BS2798" t="s">
        <v>379</v>
      </c>
      <c r="BT2798" t="s">
        <v>379</v>
      </c>
      <c r="CI2798" t="s">
        <v>388</v>
      </c>
      <c r="CJ2798" s="14">
        <v>45016</v>
      </c>
      <c r="CK2798">
        <v>1</v>
      </c>
    </row>
    <row r="2799" spans="1:89">
      <c r="A2799" t="s">
        <v>673</v>
      </c>
      <c r="B2799" t="s">
        <v>374</v>
      </c>
      <c r="C2799" t="s">
        <v>674</v>
      </c>
      <c r="D2799" t="s">
        <v>1216</v>
      </c>
      <c r="E2799" t="s">
        <v>406</v>
      </c>
      <c r="F2799" s="13">
        <v>44694.476412037038</v>
      </c>
      <c r="G2799" t="s">
        <v>1208</v>
      </c>
      <c r="H2799" t="s">
        <v>1209</v>
      </c>
      <c r="I2799" s="13">
        <v>44694.569525462961</v>
      </c>
      <c r="K2799" t="s">
        <v>379</v>
      </c>
      <c r="M2799" s="13">
        <v>44819</v>
      </c>
      <c r="R2799">
        <v>100</v>
      </c>
      <c r="S2799" t="s">
        <v>380</v>
      </c>
      <c r="T2799" t="s">
        <v>57</v>
      </c>
      <c r="V2799" t="s">
        <v>381</v>
      </c>
      <c r="W2799" t="s">
        <v>1209</v>
      </c>
      <c r="X2799" t="s">
        <v>1209</v>
      </c>
      <c r="AF2799" t="s">
        <v>382</v>
      </c>
      <c r="AG2799" t="s">
        <v>406</v>
      </c>
      <c r="AI2799">
        <v>125</v>
      </c>
      <c r="AL2799" t="s">
        <v>1211</v>
      </c>
      <c r="AN2799" t="s">
        <v>31</v>
      </c>
      <c r="AO2799">
        <v>0</v>
      </c>
      <c r="AS2799" t="s">
        <v>385</v>
      </c>
      <c r="AX2799" t="s">
        <v>31</v>
      </c>
      <c r="AY2799" t="s">
        <v>442</v>
      </c>
      <c r="AZ2799" t="s">
        <v>1217</v>
      </c>
      <c r="BF2799">
        <v>0</v>
      </c>
      <c r="BK2799" t="s">
        <v>31</v>
      </c>
      <c r="BS2799" t="s">
        <v>379</v>
      </c>
      <c r="BT2799" t="s">
        <v>379</v>
      </c>
      <c r="CI2799" t="s">
        <v>388</v>
      </c>
      <c r="CJ2799" s="14">
        <v>45016</v>
      </c>
      <c r="CK2799">
        <v>1</v>
      </c>
    </row>
    <row r="2800" spans="1:89">
      <c r="A2800" t="s">
        <v>1218</v>
      </c>
      <c r="B2800" t="s">
        <v>374</v>
      </c>
      <c r="C2800" t="s">
        <v>1219</v>
      </c>
      <c r="D2800" t="s">
        <v>1220</v>
      </c>
      <c r="E2800" t="s">
        <v>406</v>
      </c>
      <c r="F2800" s="13">
        <v>44694.440717592595</v>
      </c>
      <c r="G2800" t="s">
        <v>1208</v>
      </c>
      <c r="H2800" t="s">
        <v>1209</v>
      </c>
      <c r="I2800" s="13">
        <v>44694.451631944445</v>
      </c>
      <c r="K2800" t="s">
        <v>379</v>
      </c>
      <c r="M2800" s="13">
        <v>44917</v>
      </c>
      <c r="R2800">
        <v>100</v>
      </c>
      <c r="S2800" t="s">
        <v>380</v>
      </c>
      <c r="T2800" t="s">
        <v>57</v>
      </c>
      <c r="V2800" t="s">
        <v>381</v>
      </c>
      <c r="W2800" t="s">
        <v>1209</v>
      </c>
      <c r="X2800" t="s">
        <v>1209</v>
      </c>
      <c r="AF2800" t="s">
        <v>382</v>
      </c>
      <c r="AG2800" t="s">
        <v>406</v>
      </c>
      <c r="AI2800">
        <v>223</v>
      </c>
      <c r="AL2800" t="s">
        <v>1221</v>
      </c>
      <c r="AN2800" t="s">
        <v>31</v>
      </c>
      <c r="AO2800">
        <v>0</v>
      </c>
      <c r="AS2800" t="s">
        <v>522</v>
      </c>
      <c r="AX2800" t="s">
        <v>57</v>
      </c>
      <c r="AY2800" t="s">
        <v>386</v>
      </c>
      <c r="AZ2800" t="s">
        <v>1222</v>
      </c>
      <c r="BF2800">
        <v>0</v>
      </c>
      <c r="BK2800" t="s">
        <v>31</v>
      </c>
      <c r="BS2800" t="s">
        <v>379</v>
      </c>
      <c r="BT2800" t="s">
        <v>379</v>
      </c>
      <c r="CI2800" t="s">
        <v>388</v>
      </c>
      <c r="CJ2800" s="14">
        <v>45016</v>
      </c>
      <c r="CK2800">
        <v>1</v>
      </c>
    </row>
    <row r="2801" spans="1:89">
      <c r="A2801" t="s">
        <v>1218</v>
      </c>
      <c r="B2801" t="s">
        <v>374</v>
      </c>
      <c r="C2801" t="s">
        <v>1219</v>
      </c>
      <c r="D2801" t="s">
        <v>1223</v>
      </c>
      <c r="E2801" t="s">
        <v>406</v>
      </c>
      <c r="F2801" s="13">
        <v>44694.423657407409</v>
      </c>
      <c r="G2801" t="s">
        <v>1208</v>
      </c>
      <c r="H2801" t="s">
        <v>1209</v>
      </c>
      <c r="I2801" s="13">
        <v>44694.445833333331</v>
      </c>
      <c r="K2801" t="s">
        <v>379</v>
      </c>
      <c r="M2801" s="13">
        <v>44784</v>
      </c>
      <c r="R2801">
        <v>100</v>
      </c>
      <c r="S2801" t="s">
        <v>416</v>
      </c>
      <c r="T2801" t="s">
        <v>57</v>
      </c>
      <c r="V2801" t="s">
        <v>381</v>
      </c>
      <c r="W2801" t="s">
        <v>1209</v>
      </c>
      <c r="X2801" t="s">
        <v>1209</v>
      </c>
      <c r="AF2801" t="s">
        <v>382</v>
      </c>
      <c r="AG2801" t="s">
        <v>406</v>
      </c>
      <c r="AI2801">
        <v>90</v>
      </c>
      <c r="AL2801" t="s">
        <v>1221</v>
      </c>
      <c r="AM2801">
        <v>1</v>
      </c>
      <c r="AN2801" t="s">
        <v>31</v>
      </c>
      <c r="AO2801">
        <v>0</v>
      </c>
      <c r="AS2801" t="s">
        <v>526</v>
      </c>
      <c r="AX2801" t="s">
        <v>31</v>
      </c>
      <c r="AY2801" t="s">
        <v>386</v>
      </c>
      <c r="AZ2801" t="s">
        <v>1215</v>
      </c>
      <c r="BF2801">
        <v>0</v>
      </c>
      <c r="BK2801" t="s">
        <v>31</v>
      </c>
      <c r="BS2801" t="s">
        <v>379</v>
      </c>
      <c r="BT2801" t="s">
        <v>379</v>
      </c>
      <c r="CI2801" t="s">
        <v>388</v>
      </c>
      <c r="CJ2801" s="14">
        <v>45016</v>
      </c>
      <c r="CK2801">
        <v>1</v>
      </c>
    </row>
    <row r="2802" spans="1:89">
      <c r="A2802" t="s">
        <v>1224</v>
      </c>
      <c r="B2802" t="s">
        <v>374</v>
      </c>
      <c r="C2802" t="s">
        <v>1225</v>
      </c>
      <c r="D2802" t="s">
        <v>1226</v>
      </c>
      <c r="E2802" t="s">
        <v>1227</v>
      </c>
      <c r="F2802" s="13">
        <v>44693.673796296294</v>
      </c>
      <c r="G2802" t="s">
        <v>1228</v>
      </c>
      <c r="H2802" t="s">
        <v>1229</v>
      </c>
      <c r="I2802" s="13">
        <v>44694.511446759258</v>
      </c>
      <c r="K2802" t="s">
        <v>379</v>
      </c>
      <c r="M2802" s="13">
        <v>44784</v>
      </c>
      <c r="R2802">
        <v>100</v>
      </c>
      <c r="S2802" t="s">
        <v>380</v>
      </c>
      <c r="T2802" t="s">
        <v>57</v>
      </c>
      <c r="V2802" t="s">
        <v>381</v>
      </c>
      <c r="W2802" t="s">
        <v>1230</v>
      </c>
      <c r="X2802" t="s">
        <v>1230</v>
      </c>
      <c r="AB2802" t="s">
        <v>57</v>
      </c>
      <c r="AF2802" t="s">
        <v>382</v>
      </c>
      <c r="AG2802" t="s">
        <v>383</v>
      </c>
      <c r="AI2802">
        <v>91</v>
      </c>
      <c r="AL2802" t="s">
        <v>1231</v>
      </c>
      <c r="AN2802" t="s">
        <v>57</v>
      </c>
      <c r="AO2802">
        <v>0</v>
      </c>
      <c r="AS2802" t="s">
        <v>526</v>
      </c>
      <c r="AX2802" t="s">
        <v>57</v>
      </c>
      <c r="AY2802" t="s">
        <v>386</v>
      </c>
      <c r="AZ2802" t="s">
        <v>1232</v>
      </c>
      <c r="BC2802" t="s">
        <v>480</v>
      </c>
      <c r="BD2802" t="s">
        <v>1233</v>
      </c>
      <c r="BF2802">
        <v>0</v>
      </c>
      <c r="BK2802" t="s">
        <v>31</v>
      </c>
      <c r="BS2802" t="s">
        <v>379</v>
      </c>
      <c r="BT2802" t="s">
        <v>379</v>
      </c>
      <c r="CC2802" t="s">
        <v>1234</v>
      </c>
      <c r="CI2802" t="s">
        <v>388</v>
      </c>
      <c r="CJ2802" s="14">
        <v>45016</v>
      </c>
      <c r="CK2802">
        <v>1</v>
      </c>
    </row>
    <row r="2803" spans="1:89">
      <c r="A2803" t="s">
        <v>1235</v>
      </c>
      <c r="B2803" t="s">
        <v>374</v>
      </c>
      <c r="C2803" t="s">
        <v>1236</v>
      </c>
      <c r="D2803" t="s">
        <v>1237</v>
      </c>
      <c r="E2803" t="s">
        <v>1238</v>
      </c>
      <c r="F2803" s="13">
        <v>44693.670543981483</v>
      </c>
      <c r="G2803" t="s">
        <v>1239</v>
      </c>
      <c r="H2803" t="s">
        <v>1240</v>
      </c>
      <c r="I2803" s="13">
        <v>44694.509363425925</v>
      </c>
      <c r="K2803" t="s">
        <v>379</v>
      </c>
      <c r="M2803" s="13">
        <v>44960</v>
      </c>
      <c r="R2803">
        <v>100</v>
      </c>
      <c r="S2803" t="s">
        <v>380</v>
      </c>
      <c r="T2803" t="s">
        <v>57</v>
      </c>
      <c r="V2803" t="s">
        <v>381</v>
      </c>
      <c r="W2803" t="s">
        <v>1240</v>
      </c>
      <c r="X2803" t="s">
        <v>1240</v>
      </c>
      <c r="AB2803" t="s">
        <v>57</v>
      </c>
      <c r="AF2803" t="s">
        <v>382</v>
      </c>
      <c r="AG2803" t="s">
        <v>1241</v>
      </c>
      <c r="AI2803">
        <v>267</v>
      </c>
      <c r="AL2803" t="s">
        <v>1242</v>
      </c>
      <c r="AN2803" t="s">
        <v>31</v>
      </c>
      <c r="AO2803">
        <v>0</v>
      </c>
      <c r="AS2803" t="s">
        <v>385</v>
      </c>
      <c r="AX2803" t="s">
        <v>31</v>
      </c>
      <c r="AY2803" t="s">
        <v>386</v>
      </c>
      <c r="AZ2803" t="s">
        <v>1243</v>
      </c>
      <c r="BC2803" t="s">
        <v>480</v>
      </c>
      <c r="BD2803" t="s">
        <v>1244</v>
      </c>
      <c r="BF2803">
        <v>0</v>
      </c>
      <c r="BK2803" t="s">
        <v>31</v>
      </c>
      <c r="BS2803" t="s">
        <v>379</v>
      </c>
      <c r="BT2803" t="s">
        <v>379</v>
      </c>
      <c r="CC2803" t="s">
        <v>1245</v>
      </c>
      <c r="CI2803" t="s">
        <v>388</v>
      </c>
      <c r="CJ2803" s="14">
        <v>45016</v>
      </c>
      <c r="CK2803">
        <v>1</v>
      </c>
    </row>
    <row r="2804" spans="1:89">
      <c r="A2804" t="s">
        <v>1224</v>
      </c>
      <c r="B2804" t="s">
        <v>374</v>
      </c>
      <c r="C2804" t="s">
        <v>1225</v>
      </c>
      <c r="D2804" t="s">
        <v>1246</v>
      </c>
      <c r="E2804" t="s">
        <v>1247</v>
      </c>
      <c r="F2804" s="13">
        <v>44693.657916666663</v>
      </c>
      <c r="G2804" t="s">
        <v>1228</v>
      </c>
      <c r="H2804" t="s">
        <v>1229</v>
      </c>
      <c r="I2804" s="13">
        <v>44693.689259259256</v>
      </c>
      <c r="K2804" t="s">
        <v>379</v>
      </c>
      <c r="M2804" s="13">
        <v>44781</v>
      </c>
      <c r="R2804">
        <v>100</v>
      </c>
      <c r="S2804" t="s">
        <v>416</v>
      </c>
      <c r="T2804" t="s">
        <v>57</v>
      </c>
      <c r="V2804" t="s">
        <v>381</v>
      </c>
      <c r="W2804" t="s">
        <v>1240</v>
      </c>
      <c r="X2804" t="s">
        <v>1240</v>
      </c>
      <c r="AF2804" t="s">
        <v>382</v>
      </c>
      <c r="AG2804" t="s">
        <v>1248</v>
      </c>
      <c r="AI2804">
        <v>88</v>
      </c>
      <c r="AL2804" t="s">
        <v>1231</v>
      </c>
      <c r="AM2804">
        <v>1</v>
      </c>
      <c r="AN2804" t="s">
        <v>31</v>
      </c>
      <c r="AO2804">
        <v>0</v>
      </c>
      <c r="AS2804" t="s">
        <v>526</v>
      </c>
      <c r="AX2804" t="s">
        <v>31</v>
      </c>
      <c r="AY2804" t="s">
        <v>386</v>
      </c>
      <c r="AZ2804" t="s">
        <v>1249</v>
      </c>
      <c r="BF2804">
        <v>0</v>
      </c>
      <c r="BK2804" t="s">
        <v>31</v>
      </c>
      <c r="BS2804" t="s">
        <v>379</v>
      </c>
      <c r="BT2804" t="s">
        <v>379</v>
      </c>
      <c r="CI2804" t="s">
        <v>388</v>
      </c>
      <c r="CJ2804" s="14">
        <v>45016</v>
      </c>
      <c r="CK2804">
        <v>1</v>
      </c>
    </row>
    <row r="2805" spans="1:89">
      <c r="A2805" t="s">
        <v>1235</v>
      </c>
      <c r="B2805" t="s">
        <v>374</v>
      </c>
      <c r="C2805" t="s">
        <v>1236</v>
      </c>
      <c r="D2805" t="s">
        <v>1250</v>
      </c>
      <c r="E2805" t="s">
        <v>1251</v>
      </c>
      <c r="F2805" s="13">
        <v>44693.657442129632</v>
      </c>
      <c r="G2805" t="s">
        <v>1239</v>
      </c>
      <c r="H2805" t="s">
        <v>1240</v>
      </c>
      <c r="I2805" s="13">
        <v>44693.687673611108</v>
      </c>
      <c r="K2805" t="s">
        <v>379</v>
      </c>
      <c r="M2805" s="13">
        <v>44776</v>
      </c>
      <c r="R2805">
        <v>100</v>
      </c>
      <c r="S2805" t="s">
        <v>416</v>
      </c>
      <c r="T2805" t="s">
        <v>57</v>
      </c>
      <c r="V2805" t="s">
        <v>381</v>
      </c>
      <c r="W2805" t="s">
        <v>1240</v>
      </c>
      <c r="X2805" t="s">
        <v>1240</v>
      </c>
      <c r="AF2805" t="s">
        <v>382</v>
      </c>
      <c r="AG2805" t="s">
        <v>1252</v>
      </c>
      <c r="AI2805">
        <v>83</v>
      </c>
      <c r="AL2805" t="s">
        <v>1242</v>
      </c>
      <c r="AM2805">
        <v>1</v>
      </c>
      <c r="AN2805" t="s">
        <v>31</v>
      </c>
      <c r="AO2805">
        <v>0</v>
      </c>
      <c r="AS2805" t="s">
        <v>461</v>
      </c>
      <c r="AX2805" t="s">
        <v>31</v>
      </c>
      <c r="AY2805" t="s">
        <v>386</v>
      </c>
      <c r="AZ2805" t="s">
        <v>1253</v>
      </c>
      <c r="BF2805">
        <v>0</v>
      </c>
      <c r="BK2805" t="s">
        <v>31</v>
      </c>
      <c r="BS2805" t="s">
        <v>379</v>
      </c>
      <c r="BT2805" t="s">
        <v>379</v>
      </c>
      <c r="CI2805" t="s">
        <v>388</v>
      </c>
      <c r="CJ2805" s="14">
        <v>45016</v>
      </c>
      <c r="CK2805">
        <v>1</v>
      </c>
    </row>
    <row r="2806" spans="1:89">
      <c r="A2806" t="s">
        <v>1235</v>
      </c>
      <c r="B2806" t="s">
        <v>374</v>
      </c>
      <c r="C2806" t="s">
        <v>1236</v>
      </c>
      <c r="D2806" t="s">
        <v>1254</v>
      </c>
      <c r="E2806" t="s">
        <v>1255</v>
      </c>
      <c r="F2806" s="13">
        <v>44693.653969907406</v>
      </c>
      <c r="G2806" t="s">
        <v>1239</v>
      </c>
      <c r="H2806" t="s">
        <v>1240</v>
      </c>
      <c r="I2806" s="13">
        <v>44694.491446759261</v>
      </c>
      <c r="K2806" t="s">
        <v>379</v>
      </c>
      <c r="M2806" s="13">
        <v>44778</v>
      </c>
      <c r="R2806">
        <v>100</v>
      </c>
      <c r="S2806" t="s">
        <v>380</v>
      </c>
      <c r="T2806" t="s">
        <v>57</v>
      </c>
      <c r="V2806" t="s">
        <v>381</v>
      </c>
      <c r="W2806" t="s">
        <v>1240</v>
      </c>
      <c r="X2806" t="s">
        <v>1240</v>
      </c>
      <c r="AF2806" t="s">
        <v>382</v>
      </c>
      <c r="AG2806" t="s">
        <v>1256</v>
      </c>
      <c r="AI2806">
        <v>85</v>
      </c>
      <c r="AL2806" t="s">
        <v>1242</v>
      </c>
      <c r="AN2806" t="s">
        <v>31</v>
      </c>
      <c r="AO2806">
        <v>0</v>
      </c>
      <c r="AS2806" t="s">
        <v>648</v>
      </c>
      <c r="AX2806" t="s">
        <v>31</v>
      </c>
      <c r="AY2806" t="s">
        <v>386</v>
      </c>
      <c r="AZ2806" t="s">
        <v>1257</v>
      </c>
      <c r="BF2806">
        <v>0</v>
      </c>
      <c r="BK2806" t="s">
        <v>31</v>
      </c>
      <c r="BS2806" t="s">
        <v>379</v>
      </c>
      <c r="BT2806" t="s">
        <v>379</v>
      </c>
      <c r="CI2806" t="s">
        <v>388</v>
      </c>
      <c r="CJ2806" s="14">
        <v>45016</v>
      </c>
      <c r="CK2806">
        <v>1</v>
      </c>
    </row>
    <row r="2807" spans="1:89">
      <c r="A2807" t="s">
        <v>1224</v>
      </c>
      <c r="B2807" t="s">
        <v>374</v>
      </c>
      <c r="C2807" t="s">
        <v>1225</v>
      </c>
      <c r="D2807" t="s">
        <v>1258</v>
      </c>
      <c r="E2807" t="s">
        <v>1259</v>
      </c>
      <c r="F2807" s="13">
        <v>44693.653599537036</v>
      </c>
      <c r="G2807" t="s">
        <v>1228</v>
      </c>
      <c r="H2807" t="s">
        <v>1229</v>
      </c>
      <c r="I2807" s="13">
        <v>44694.492048611108</v>
      </c>
      <c r="K2807" t="s">
        <v>379</v>
      </c>
      <c r="M2807" s="13">
        <v>44784</v>
      </c>
      <c r="R2807">
        <v>100</v>
      </c>
      <c r="S2807" t="s">
        <v>380</v>
      </c>
      <c r="T2807" t="s">
        <v>57</v>
      </c>
      <c r="V2807" t="s">
        <v>381</v>
      </c>
      <c r="W2807" t="s">
        <v>1240</v>
      </c>
      <c r="X2807" t="s">
        <v>1240</v>
      </c>
      <c r="AF2807" t="s">
        <v>382</v>
      </c>
      <c r="AG2807" t="s">
        <v>1260</v>
      </c>
      <c r="AI2807">
        <v>91</v>
      </c>
      <c r="AJ2807" s="13">
        <v>44785</v>
      </c>
      <c r="AL2807" t="s">
        <v>1231</v>
      </c>
      <c r="AN2807" t="s">
        <v>31</v>
      </c>
      <c r="AO2807">
        <v>0</v>
      </c>
      <c r="AS2807" t="s">
        <v>385</v>
      </c>
      <c r="AX2807" t="s">
        <v>31</v>
      </c>
      <c r="AY2807" t="s">
        <v>386</v>
      </c>
      <c r="AZ2807" t="s">
        <v>1261</v>
      </c>
      <c r="BF2807">
        <v>0</v>
      </c>
      <c r="BK2807" t="s">
        <v>31</v>
      </c>
      <c r="BS2807" t="s">
        <v>379</v>
      </c>
      <c r="BT2807" t="s">
        <v>379</v>
      </c>
      <c r="CI2807" t="s">
        <v>388</v>
      </c>
      <c r="CJ2807" s="14">
        <v>45016</v>
      </c>
      <c r="CK2807">
        <v>1</v>
      </c>
    </row>
    <row r="2808" spans="1:89">
      <c r="A2808" t="s">
        <v>454</v>
      </c>
      <c r="B2808" t="s">
        <v>374</v>
      </c>
      <c r="C2808" t="s">
        <v>455</v>
      </c>
      <c r="D2808" t="s">
        <v>1262</v>
      </c>
      <c r="E2808" t="s">
        <v>1263</v>
      </c>
      <c r="F2808" s="13">
        <v>44693.577951388892</v>
      </c>
      <c r="G2808" t="s">
        <v>1264</v>
      </c>
      <c r="H2808" t="s">
        <v>1265</v>
      </c>
      <c r="I2808" s="13">
        <v>44693.579050925924</v>
      </c>
      <c r="K2808" t="s">
        <v>412</v>
      </c>
      <c r="R2808">
        <v>0</v>
      </c>
      <c r="S2808" t="s">
        <v>380</v>
      </c>
      <c r="T2808" t="s">
        <v>57</v>
      </c>
      <c r="V2808" t="s">
        <v>381</v>
      </c>
      <c r="W2808" t="s">
        <v>1266</v>
      </c>
      <c r="X2808" t="s">
        <v>1266</v>
      </c>
      <c r="AI2808">
        <v>49</v>
      </c>
      <c r="AL2808" t="s">
        <v>1267</v>
      </c>
      <c r="AN2808" t="s">
        <v>31</v>
      </c>
      <c r="AO2808">
        <v>0</v>
      </c>
      <c r="AS2808" t="s">
        <v>385</v>
      </c>
      <c r="AX2808" t="s">
        <v>57</v>
      </c>
      <c r="AY2808" t="s">
        <v>386</v>
      </c>
      <c r="AZ2808" t="s">
        <v>1268</v>
      </c>
      <c r="BE2808" t="s">
        <v>1269</v>
      </c>
      <c r="BF2808">
        <v>0</v>
      </c>
      <c r="BK2808" t="s">
        <v>31</v>
      </c>
      <c r="BS2808" t="s">
        <v>412</v>
      </c>
      <c r="BT2808" t="s">
        <v>412</v>
      </c>
      <c r="CI2808" t="s">
        <v>388</v>
      </c>
      <c r="CJ2808" s="14">
        <v>45016</v>
      </c>
      <c r="CK2808">
        <v>1</v>
      </c>
    </row>
    <row r="2809" spans="1:89">
      <c r="A2809" t="s">
        <v>404</v>
      </c>
      <c r="B2809" t="s">
        <v>374</v>
      </c>
      <c r="C2809" t="s">
        <v>375</v>
      </c>
      <c r="D2809" t="s">
        <v>1270</v>
      </c>
      <c r="E2809" t="s">
        <v>406</v>
      </c>
      <c r="F2809" s="13">
        <v>44693.576689814814</v>
      </c>
      <c r="G2809" t="s">
        <v>1271</v>
      </c>
      <c r="H2809" t="s">
        <v>1272</v>
      </c>
      <c r="I2809" s="13">
        <v>44693.605671296296</v>
      </c>
      <c r="K2809" t="s">
        <v>379</v>
      </c>
      <c r="M2809" s="13">
        <v>44699</v>
      </c>
      <c r="R2809">
        <v>100</v>
      </c>
      <c r="S2809" t="s">
        <v>380</v>
      </c>
      <c r="T2809" t="s">
        <v>57</v>
      </c>
      <c r="V2809" t="s">
        <v>381</v>
      </c>
      <c r="W2809" t="s">
        <v>1273</v>
      </c>
      <c r="X2809" t="s">
        <v>1273</v>
      </c>
      <c r="AF2809" t="s">
        <v>382</v>
      </c>
      <c r="AG2809" t="s">
        <v>406</v>
      </c>
      <c r="AI2809">
        <v>6</v>
      </c>
      <c r="AL2809" t="s">
        <v>1274</v>
      </c>
      <c r="AN2809" t="s">
        <v>31</v>
      </c>
      <c r="AO2809">
        <v>0</v>
      </c>
      <c r="AS2809" t="s">
        <v>526</v>
      </c>
      <c r="AX2809" t="s">
        <v>31</v>
      </c>
      <c r="AY2809" t="s">
        <v>442</v>
      </c>
      <c r="AZ2809" t="s">
        <v>1275</v>
      </c>
      <c r="BF2809">
        <v>0</v>
      </c>
      <c r="BK2809" t="s">
        <v>31</v>
      </c>
      <c r="BS2809" t="s">
        <v>379</v>
      </c>
      <c r="BT2809" t="s">
        <v>379</v>
      </c>
      <c r="CI2809" t="s">
        <v>388</v>
      </c>
      <c r="CJ2809" s="14">
        <v>45016</v>
      </c>
      <c r="CK2809">
        <v>1</v>
      </c>
    </row>
    <row r="2810" spans="1:89">
      <c r="A2810" t="s">
        <v>454</v>
      </c>
      <c r="B2810" t="s">
        <v>374</v>
      </c>
      <c r="C2810" t="s">
        <v>455</v>
      </c>
      <c r="D2810" t="s">
        <v>1276</v>
      </c>
      <c r="E2810" t="s">
        <v>1277</v>
      </c>
      <c r="F2810" s="13">
        <v>44693.576423611114</v>
      </c>
      <c r="G2810" t="s">
        <v>1264</v>
      </c>
      <c r="H2810" t="s">
        <v>1265</v>
      </c>
      <c r="I2810" s="13">
        <v>44693.57707175926</v>
      </c>
      <c r="K2810" t="s">
        <v>412</v>
      </c>
      <c r="R2810">
        <v>0</v>
      </c>
      <c r="S2810" t="s">
        <v>380</v>
      </c>
      <c r="T2810" t="s">
        <v>57</v>
      </c>
      <c r="V2810" t="s">
        <v>381</v>
      </c>
      <c r="W2810" t="s">
        <v>1266</v>
      </c>
      <c r="X2810" t="s">
        <v>1266</v>
      </c>
      <c r="AI2810">
        <v>49</v>
      </c>
      <c r="AL2810" t="s">
        <v>1267</v>
      </c>
      <c r="AN2810" t="s">
        <v>31</v>
      </c>
      <c r="AO2810">
        <v>0</v>
      </c>
      <c r="AS2810" t="s">
        <v>385</v>
      </c>
      <c r="AX2810" t="s">
        <v>57</v>
      </c>
      <c r="AY2810" t="s">
        <v>386</v>
      </c>
      <c r="AZ2810" t="s">
        <v>1278</v>
      </c>
      <c r="BE2810" t="s">
        <v>1279</v>
      </c>
      <c r="BF2810">
        <v>0</v>
      </c>
      <c r="BK2810" t="s">
        <v>31</v>
      </c>
      <c r="BS2810" t="s">
        <v>412</v>
      </c>
      <c r="BT2810" t="s">
        <v>412</v>
      </c>
      <c r="CI2810" t="s">
        <v>388</v>
      </c>
      <c r="CJ2810" s="14">
        <v>45016</v>
      </c>
      <c r="CK2810">
        <v>1</v>
      </c>
    </row>
    <row r="2811" spans="1:89">
      <c r="A2811" t="s">
        <v>454</v>
      </c>
      <c r="B2811" t="s">
        <v>374</v>
      </c>
      <c r="C2811" t="s">
        <v>455</v>
      </c>
      <c r="D2811" t="s">
        <v>1280</v>
      </c>
      <c r="E2811" t="s">
        <v>1281</v>
      </c>
      <c r="F2811" s="13">
        <v>44693.575023148151</v>
      </c>
      <c r="G2811" t="s">
        <v>1264</v>
      </c>
      <c r="H2811" t="s">
        <v>1265</v>
      </c>
      <c r="I2811" s="13">
        <v>44693.575509259259</v>
      </c>
      <c r="K2811" t="s">
        <v>412</v>
      </c>
      <c r="R2811">
        <v>0</v>
      </c>
      <c r="S2811" t="s">
        <v>380</v>
      </c>
      <c r="T2811" t="s">
        <v>57</v>
      </c>
      <c r="V2811" t="s">
        <v>381</v>
      </c>
      <c r="W2811" t="s">
        <v>1266</v>
      </c>
      <c r="X2811" t="s">
        <v>1266</v>
      </c>
      <c r="AI2811">
        <v>49</v>
      </c>
      <c r="AL2811" t="s">
        <v>1267</v>
      </c>
      <c r="AN2811" t="s">
        <v>31</v>
      </c>
      <c r="AO2811">
        <v>0</v>
      </c>
      <c r="AS2811" t="s">
        <v>385</v>
      </c>
      <c r="AX2811" t="s">
        <v>57</v>
      </c>
      <c r="AY2811" t="s">
        <v>386</v>
      </c>
      <c r="AZ2811" t="s">
        <v>1282</v>
      </c>
      <c r="BF2811">
        <v>0</v>
      </c>
      <c r="BK2811" t="s">
        <v>31</v>
      </c>
      <c r="BS2811" t="s">
        <v>412</v>
      </c>
      <c r="BT2811" t="s">
        <v>412</v>
      </c>
      <c r="CI2811" t="s">
        <v>388</v>
      </c>
      <c r="CJ2811" s="14">
        <v>45016</v>
      </c>
      <c r="CK2811">
        <v>1</v>
      </c>
    </row>
    <row r="2812" spans="1:89">
      <c r="A2812" t="s">
        <v>454</v>
      </c>
      <c r="B2812" t="s">
        <v>374</v>
      </c>
      <c r="C2812" t="s">
        <v>455</v>
      </c>
      <c r="D2812" t="s">
        <v>1283</v>
      </c>
      <c r="E2812" t="s">
        <v>1284</v>
      </c>
      <c r="F2812" s="13">
        <v>44693.573182870372</v>
      </c>
      <c r="G2812" t="s">
        <v>1264</v>
      </c>
      <c r="H2812" t="s">
        <v>1265</v>
      </c>
      <c r="I2812" s="13">
        <v>44693.573958333334</v>
      </c>
      <c r="K2812" t="s">
        <v>412</v>
      </c>
      <c r="R2812">
        <v>0</v>
      </c>
      <c r="S2812" t="s">
        <v>380</v>
      </c>
      <c r="T2812" t="s">
        <v>57</v>
      </c>
      <c r="V2812" t="s">
        <v>381</v>
      </c>
      <c r="W2812" t="s">
        <v>1266</v>
      </c>
      <c r="X2812" t="s">
        <v>1266</v>
      </c>
      <c r="AI2812">
        <v>49</v>
      </c>
      <c r="AL2812" t="s">
        <v>1267</v>
      </c>
      <c r="AN2812" t="s">
        <v>31</v>
      </c>
      <c r="AO2812">
        <v>0</v>
      </c>
      <c r="AS2812" t="s">
        <v>385</v>
      </c>
      <c r="AX2812" t="s">
        <v>57</v>
      </c>
      <c r="AY2812" t="s">
        <v>386</v>
      </c>
      <c r="AZ2812" t="s">
        <v>1285</v>
      </c>
      <c r="BE2812" t="s">
        <v>1286</v>
      </c>
      <c r="BF2812">
        <v>0</v>
      </c>
      <c r="BK2812" t="s">
        <v>31</v>
      </c>
      <c r="BS2812" t="s">
        <v>412</v>
      </c>
      <c r="BT2812" t="s">
        <v>412</v>
      </c>
      <c r="CI2812" t="s">
        <v>388</v>
      </c>
      <c r="CJ2812" s="14">
        <v>45016</v>
      </c>
      <c r="CK2812">
        <v>1</v>
      </c>
    </row>
    <row r="2813" spans="1:89">
      <c r="A2813" t="s">
        <v>404</v>
      </c>
      <c r="B2813" t="s">
        <v>374</v>
      </c>
      <c r="C2813" t="s">
        <v>375</v>
      </c>
      <c r="D2813" t="s">
        <v>1287</v>
      </c>
      <c r="E2813" t="s">
        <v>406</v>
      </c>
      <c r="F2813" s="13">
        <v>44693.571053240739</v>
      </c>
      <c r="G2813" t="s">
        <v>1271</v>
      </c>
      <c r="H2813" t="s">
        <v>1272</v>
      </c>
      <c r="I2813" s="13">
        <v>44693.574317129627</v>
      </c>
      <c r="K2813" t="s">
        <v>379</v>
      </c>
      <c r="M2813" s="13">
        <v>44705</v>
      </c>
      <c r="R2813">
        <v>100</v>
      </c>
      <c r="S2813" t="s">
        <v>380</v>
      </c>
      <c r="T2813" t="s">
        <v>57</v>
      </c>
      <c r="V2813" t="s">
        <v>381</v>
      </c>
      <c r="W2813" t="s">
        <v>1273</v>
      </c>
      <c r="X2813" t="s">
        <v>1273</v>
      </c>
      <c r="AF2813" t="s">
        <v>382</v>
      </c>
      <c r="AG2813" t="s">
        <v>1288</v>
      </c>
      <c r="AI2813">
        <v>12</v>
      </c>
      <c r="AL2813" t="s">
        <v>1274</v>
      </c>
      <c r="AN2813" t="s">
        <v>31</v>
      </c>
      <c r="AO2813">
        <v>0</v>
      </c>
      <c r="AS2813" t="s">
        <v>522</v>
      </c>
      <c r="AX2813" t="s">
        <v>31</v>
      </c>
      <c r="AY2813" t="s">
        <v>442</v>
      </c>
      <c r="AZ2813" t="s">
        <v>1275</v>
      </c>
      <c r="BF2813">
        <v>0</v>
      </c>
      <c r="BK2813" t="s">
        <v>31</v>
      </c>
      <c r="BS2813" t="s">
        <v>379</v>
      </c>
      <c r="BT2813" t="s">
        <v>379</v>
      </c>
      <c r="CI2813" t="s">
        <v>388</v>
      </c>
      <c r="CJ2813" s="14">
        <v>45016</v>
      </c>
      <c r="CK2813">
        <v>1</v>
      </c>
    </row>
    <row r="2814" spans="1:89">
      <c r="A2814" t="s">
        <v>454</v>
      </c>
      <c r="B2814" t="s">
        <v>374</v>
      </c>
      <c r="C2814" t="s">
        <v>455</v>
      </c>
      <c r="D2814" t="s">
        <v>1289</v>
      </c>
      <c r="E2814" t="s">
        <v>1290</v>
      </c>
      <c r="F2814" s="13">
        <v>44693.570914351854</v>
      </c>
      <c r="G2814" t="s">
        <v>1264</v>
      </c>
      <c r="H2814" t="s">
        <v>1265</v>
      </c>
      <c r="I2814" s="13">
        <v>44693.572187500002</v>
      </c>
      <c r="K2814" t="s">
        <v>412</v>
      </c>
      <c r="R2814">
        <v>0</v>
      </c>
      <c r="S2814" t="s">
        <v>380</v>
      </c>
      <c r="T2814" t="s">
        <v>57</v>
      </c>
      <c r="V2814" t="s">
        <v>381</v>
      </c>
      <c r="W2814" t="s">
        <v>1291</v>
      </c>
      <c r="X2814" t="s">
        <v>1291</v>
      </c>
      <c r="AI2814">
        <v>49</v>
      </c>
      <c r="AL2814" t="s">
        <v>1267</v>
      </c>
      <c r="AN2814" t="s">
        <v>31</v>
      </c>
      <c r="AO2814">
        <v>0</v>
      </c>
      <c r="AS2814" t="s">
        <v>385</v>
      </c>
      <c r="AX2814" t="s">
        <v>57</v>
      </c>
      <c r="AY2814" t="s">
        <v>386</v>
      </c>
      <c r="AZ2814" t="s">
        <v>1292</v>
      </c>
      <c r="BE2814" t="s">
        <v>1293</v>
      </c>
      <c r="BF2814">
        <v>0</v>
      </c>
      <c r="BK2814" t="s">
        <v>31</v>
      </c>
      <c r="BS2814" t="s">
        <v>412</v>
      </c>
      <c r="BT2814" t="s">
        <v>412</v>
      </c>
      <c r="CI2814" t="s">
        <v>388</v>
      </c>
      <c r="CJ2814" s="14">
        <v>45016</v>
      </c>
      <c r="CK2814">
        <v>1</v>
      </c>
    </row>
    <row r="2815" spans="1:89">
      <c r="A2815" t="s">
        <v>404</v>
      </c>
      <c r="B2815" t="s">
        <v>374</v>
      </c>
      <c r="C2815" t="s">
        <v>375</v>
      </c>
      <c r="D2815" t="s">
        <v>1294</v>
      </c>
      <c r="E2815" t="s">
        <v>406</v>
      </c>
      <c r="F2815" s="13">
        <v>44693.569675925923</v>
      </c>
      <c r="G2815" t="s">
        <v>1271</v>
      </c>
      <c r="H2815" t="s">
        <v>1272</v>
      </c>
      <c r="I2815" s="13">
        <v>44693.604756944442</v>
      </c>
      <c r="K2815" t="s">
        <v>379</v>
      </c>
      <c r="M2815" s="13">
        <v>44708</v>
      </c>
      <c r="R2815">
        <v>100</v>
      </c>
      <c r="S2815" t="s">
        <v>416</v>
      </c>
      <c r="T2815" t="s">
        <v>57</v>
      </c>
      <c r="V2815" t="s">
        <v>381</v>
      </c>
      <c r="W2815" t="s">
        <v>1273</v>
      </c>
      <c r="X2815" t="s">
        <v>1273</v>
      </c>
      <c r="AF2815" t="s">
        <v>382</v>
      </c>
      <c r="AG2815" t="s">
        <v>406</v>
      </c>
      <c r="AI2815">
        <v>15</v>
      </c>
      <c r="AL2815" t="s">
        <v>1274</v>
      </c>
      <c r="AM2815">
        <v>1</v>
      </c>
      <c r="AN2815" t="s">
        <v>31</v>
      </c>
      <c r="AO2815">
        <v>0</v>
      </c>
      <c r="AS2815" t="s">
        <v>522</v>
      </c>
      <c r="AX2815" t="s">
        <v>31</v>
      </c>
      <c r="AY2815" t="s">
        <v>442</v>
      </c>
      <c r="AZ2815" t="s">
        <v>1295</v>
      </c>
      <c r="BF2815">
        <v>0</v>
      </c>
      <c r="BK2815" t="s">
        <v>31</v>
      </c>
      <c r="BS2815" t="s">
        <v>379</v>
      </c>
      <c r="BT2815" t="s">
        <v>379</v>
      </c>
      <c r="CI2815" t="s">
        <v>388</v>
      </c>
      <c r="CJ2815" s="14">
        <v>45016</v>
      </c>
      <c r="CK2815">
        <v>1</v>
      </c>
    </row>
    <row r="2816" spans="1:89">
      <c r="A2816" t="s">
        <v>454</v>
      </c>
      <c r="B2816" t="s">
        <v>374</v>
      </c>
      <c r="C2816" t="s">
        <v>455</v>
      </c>
      <c r="D2816" t="s">
        <v>1296</v>
      </c>
      <c r="E2816" t="s">
        <v>1297</v>
      </c>
      <c r="F2816" s="13">
        <v>44693.568078703705</v>
      </c>
      <c r="G2816" t="s">
        <v>1264</v>
      </c>
      <c r="H2816" t="s">
        <v>1265</v>
      </c>
      <c r="I2816" s="13">
        <v>44693.568877314814</v>
      </c>
      <c r="K2816" t="s">
        <v>412</v>
      </c>
      <c r="R2816">
        <v>0</v>
      </c>
      <c r="S2816" t="s">
        <v>380</v>
      </c>
      <c r="T2816" t="s">
        <v>57</v>
      </c>
      <c r="V2816" t="s">
        <v>381</v>
      </c>
      <c r="W2816" t="s">
        <v>1266</v>
      </c>
      <c r="X2816" t="s">
        <v>1266</v>
      </c>
      <c r="AI2816">
        <v>48</v>
      </c>
      <c r="AL2816" t="s">
        <v>1267</v>
      </c>
      <c r="AN2816" t="s">
        <v>31</v>
      </c>
      <c r="AO2816">
        <v>0</v>
      </c>
      <c r="AS2816" t="s">
        <v>385</v>
      </c>
      <c r="AX2816" t="s">
        <v>57</v>
      </c>
      <c r="AY2816" t="s">
        <v>386</v>
      </c>
      <c r="AZ2816" t="s">
        <v>1298</v>
      </c>
      <c r="BE2816" t="s">
        <v>1299</v>
      </c>
      <c r="BF2816">
        <v>0</v>
      </c>
      <c r="BK2816" t="s">
        <v>31</v>
      </c>
      <c r="BS2816" t="s">
        <v>412</v>
      </c>
      <c r="BT2816" t="s">
        <v>412</v>
      </c>
      <c r="CI2816" t="s">
        <v>388</v>
      </c>
      <c r="CJ2816" s="14">
        <v>45016</v>
      </c>
      <c r="CK2816">
        <v>1</v>
      </c>
    </row>
    <row r="2817" spans="1:89">
      <c r="A2817" t="s">
        <v>687</v>
      </c>
      <c r="B2817" t="s">
        <v>374</v>
      </c>
      <c r="C2817" t="s">
        <v>688</v>
      </c>
      <c r="D2817" t="s">
        <v>1300</v>
      </c>
      <c r="E2817" t="s">
        <v>406</v>
      </c>
      <c r="F2817" s="13">
        <v>44693.566018518519</v>
      </c>
      <c r="G2817" t="s">
        <v>1208</v>
      </c>
      <c r="H2817" t="s">
        <v>1209</v>
      </c>
      <c r="I2817" s="13">
        <v>45012.044398148151</v>
      </c>
      <c r="K2817" t="s">
        <v>415</v>
      </c>
      <c r="M2817" s="13">
        <v>44693</v>
      </c>
      <c r="R2817">
        <v>0</v>
      </c>
      <c r="S2817" t="s">
        <v>380</v>
      </c>
      <c r="T2817" t="s">
        <v>57</v>
      </c>
      <c r="V2817" t="s">
        <v>478</v>
      </c>
      <c r="W2817" t="s">
        <v>1209</v>
      </c>
      <c r="X2817" t="s">
        <v>1209</v>
      </c>
      <c r="Y2817" t="s">
        <v>480</v>
      </c>
      <c r="AF2817" t="s">
        <v>1301</v>
      </c>
      <c r="AG2817" t="s">
        <v>406</v>
      </c>
      <c r="AI2817">
        <v>-319</v>
      </c>
      <c r="AJ2817" s="13">
        <v>44713</v>
      </c>
      <c r="AK2817" t="s">
        <v>480</v>
      </c>
      <c r="AL2817" t="s">
        <v>1302</v>
      </c>
      <c r="AN2817" t="s">
        <v>31</v>
      </c>
      <c r="AO2817">
        <v>0</v>
      </c>
      <c r="AS2817" t="s">
        <v>385</v>
      </c>
      <c r="AX2817" t="s">
        <v>31</v>
      </c>
      <c r="AY2817" t="s">
        <v>442</v>
      </c>
      <c r="AZ2817" t="s">
        <v>406</v>
      </c>
      <c r="BF2817">
        <v>1</v>
      </c>
      <c r="BK2817" t="s">
        <v>57</v>
      </c>
      <c r="BR2817" s="13">
        <v>44713</v>
      </c>
      <c r="BS2817" t="s">
        <v>419</v>
      </c>
      <c r="BT2817" t="s">
        <v>419</v>
      </c>
      <c r="BZ2817" s="13">
        <v>44693</v>
      </c>
      <c r="CI2817" t="s">
        <v>388</v>
      </c>
      <c r="CJ2817" s="14">
        <v>45016</v>
      </c>
      <c r="CK2817">
        <v>1</v>
      </c>
    </row>
    <row r="2818" spans="1:89">
      <c r="A2818" t="s">
        <v>404</v>
      </c>
      <c r="B2818" t="s">
        <v>374</v>
      </c>
      <c r="C2818" t="s">
        <v>375</v>
      </c>
      <c r="D2818" t="s">
        <v>1303</v>
      </c>
      <c r="E2818" t="s">
        <v>406</v>
      </c>
      <c r="F2818" s="13">
        <v>44693.555104166669</v>
      </c>
      <c r="G2818" t="s">
        <v>1271</v>
      </c>
      <c r="H2818" t="s">
        <v>1272</v>
      </c>
      <c r="I2818" s="13">
        <v>44693.565937500003</v>
      </c>
      <c r="K2818" t="s">
        <v>379</v>
      </c>
      <c r="M2818" s="13">
        <v>44701</v>
      </c>
      <c r="R2818">
        <v>100</v>
      </c>
      <c r="S2818" t="s">
        <v>380</v>
      </c>
      <c r="T2818" t="s">
        <v>57</v>
      </c>
      <c r="V2818" t="s">
        <v>381</v>
      </c>
      <c r="W2818" t="s">
        <v>1304</v>
      </c>
      <c r="X2818" t="s">
        <v>1304</v>
      </c>
      <c r="AF2818" t="s">
        <v>382</v>
      </c>
      <c r="AG2818" t="s">
        <v>406</v>
      </c>
      <c r="AI2818">
        <v>8</v>
      </c>
      <c r="AL2818" t="s">
        <v>1305</v>
      </c>
      <c r="AN2818" t="s">
        <v>31</v>
      </c>
      <c r="AO2818">
        <v>0</v>
      </c>
      <c r="AS2818" t="s">
        <v>526</v>
      </c>
      <c r="AX2818" t="s">
        <v>31</v>
      </c>
      <c r="AY2818" t="s">
        <v>442</v>
      </c>
      <c r="AZ2818" t="s">
        <v>1306</v>
      </c>
      <c r="BF2818">
        <v>0</v>
      </c>
      <c r="BK2818" t="s">
        <v>31</v>
      </c>
      <c r="BS2818" t="s">
        <v>379</v>
      </c>
      <c r="BT2818" t="s">
        <v>379</v>
      </c>
      <c r="CI2818" t="s">
        <v>388</v>
      </c>
      <c r="CJ2818" s="14">
        <v>45016</v>
      </c>
      <c r="CK2818">
        <v>1</v>
      </c>
    </row>
    <row r="2819" spans="1:89">
      <c r="A2819" t="s">
        <v>404</v>
      </c>
      <c r="B2819" t="s">
        <v>374</v>
      </c>
      <c r="C2819" t="s">
        <v>375</v>
      </c>
      <c r="D2819" t="s">
        <v>1307</v>
      </c>
      <c r="E2819" t="s">
        <v>406</v>
      </c>
      <c r="F2819" s="13">
        <v>44693.545011574075</v>
      </c>
      <c r="G2819" t="s">
        <v>1271</v>
      </c>
      <c r="H2819" t="s">
        <v>1272</v>
      </c>
      <c r="I2819" s="13">
        <v>44693.561782407407</v>
      </c>
      <c r="K2819" t="s">
        <v>379</v>
      </c>
      <c r="M2819" s="13">
        <v>44728</v>
      </c>
      <c r="R2819">
        <v>100</v>
      </c>
      <c r="S2819" t="s">
        <v>416</v>
      </c>
      <c r="T2819" t="s">
        <v>57</v>
      </c>
      <c r="V2819" t="s">
        <v>381</v>
      </c>
      <c r="W2819" t="s">
        <v>1304</v>
      </c>
      <c r="X2819" t="s">
        <v>1304</v>
      </c>
      <c r="AF2819" t="s">
        <v>382</v>
      </c>
      <c r="AG2819" t="s">
        <v>406</v>
      </c>
      <c r="AI2819">
        <v>35</v>
      </c>
      <c r="AL2819" t="s">
        <v>1305</v>
      </c>
      <c r="AM2819">
        <v>1</v>
      </c>
      <c r="AN2819" t="s">
        <v>31</v>
      </c>
      <c r="AO2819">
        <v>0</v>
      </c>
      <c r="AS2819" t="s">
        <v>526</v>
      </c>
      <c r="AX2819" t="s">
        <v>57</v>
      </c>
      <c r="AY2819" t="s">
        <v>442</v>
      </c>
      <c r="AZ2819" t="s">
        <v>1308</v>
      </c>
      <c r="BF2819">
        <v>0</v>
      </c>
      <c r="BK2819" t="s">
        <v>31</v>
      </c>
      <c r="BS2819" t="s">
        <v>379</v>
      </c>
      <c r="BT2819" t="s">
        <v>379</v>
      </c>
      <c r="CI2819" t="s">
        <v>388</v>
      </c>
      <c r="CJ2819" s="14">
        <v>45016</v>
      </c>
      <c r="CK2819">
        <v>1</v>
      </c>
    </row>
    <row r="2820" spans="1:89">
      <c r="A2820" t="s">
        <v>454</v>
      </c>
      <c r="B2820" t="s">
        <v>374</v>
      </c>
      <c r="C2820" t="s">
        <v>455</v>
      </c>
      <c r="D2820" t="s">
        <v>1309</v>
      </c>
      <c r="E2820" t="s">
        <v>1310</v>
      </c>
      <c r="F2820" s="13">
        <v>44693.536585648151</v>
      </c>
      <c r="G2820" t="s">
        <v>1264</v>
      </c>
      <c r="H2820" t="s">
        <v>1265</v>
      </c>
      <c r="I2820" s="13">
        <v>44693.540289351855</v>
      </c>
      <c r="K2820" t="s">
        <v>379</v>
      </c>
      <c r="M2820" s="13">
        <v>44693</v>
      </c>
      <c r="R2820">
        <v>100</v>
      </c>
      <c r="S2820" t="s">
        <v>380</v>
      </c>
      <c r="T2820" t="s">
        <v>57</v>
      </c>
      <c r="V2820" t="s">
        <v>381</v>
      </c>
      <c r="W2820" t="s">
        <v>1266</v>
      </c>
      <c r="X2820" t="s">
        <v>1266</v>
      </c>
      <c r="AF2820" t="s">
        <v>382</v>
      </c>
      <c r="AG2820" t="s">
        <v>1311</v>
      </c>
      <c r="AI2820">
        <v>0</v>
      </c>
      <c r="AL2820" t="s">
        <v>1312</v>
      </c>
      <c r="AN2820" t="s">
        <v>31</v>
      </c>
      <c r="AO2820">
        <v>0</v>
      </c>
      <c r="AS2820" t="s">
        <v>385</v>
      </c>
      <c r="AX2820" t="s">
        <v>57</v>
      </c>
      <c r="AY2820" t="s">
        <v>386</v>
      </c>
      <c r="AZ2820" t="s">
        <v>1313</v>
      </c>
      <c r="BE2820" t="s">
        <v>1313</v>
      </c>
      <c r="BF2820">
        <v>0</v>
      </c>
      <c r="BK2820" t="s">
        <v>31</v>
      </c>
      <c r="BS2820" t="s">
        <v>379</v>
      </c>
      <c r="BT2820" t="s">
        <v>379</v>
      </c>
      <c r="CI2820" t="s">
        <v>388</v>
      </c>
      <c r="CJ2820" s="14">
        <v>45016</v>
      </c>
      <c r="CK2820">
        <v>1</v>
      </c>
    </row>
    <row r="2821" spans="1:89">
      <c r="A2821" t="s">
        <v>404</v>
      </c>
      <c r="B2821" t="s">
        <v>374</v>
      </c>
      <c r="C2821" t="s">
        <v>375</v>
      </c>
      <c r="D2821" t="s">
        <v>1314</v>
      </c>
      <c r="E2821" t="s">
        <v>406</v>
      </c>
      <c r="F2821" s="13">
        <v>44693.52</v>
      </c>
      <c r="G2821" t="s">
        <v>1271</v>
      </c>
      <c r="H2821" t="s">
        <v>1272</v>
      </c>
      <c r="I2821" s="13">
        <v>44693.539166666669</v>
      </c>
      <c r="K2821" t="s">
        <v>379</v>
      </c>
      <c r="M2821" s="13">
        <v>44701</v>
      </c>
      <c r="R2821">
        <v>100</v>
      </c>
      <c r="S2821" t="s">
        <v>380</v>
      </c>
      <c r="T2821" t="s">
        <v>57</v>
      </c>
      <c r="V2821" t="s">
        <v>381</v>
      </c>
      <c r="W2821" t="s">
        <v>1272</v>
      </c>
      <c r="X2821" t="s">
        <v>1272</v>
      </c>
      <c r="AF2821" t="s">
        <v>382</v>
      </c>
      <c r="AG2821" t="s">
        <v>406</v>
      </c>
      <c r="AI2821">
        <v>8</v>
      </c>
      <c r="AK2821" t="s">
        <v>480</v>
      </c>
      <c r="AL2821" t="s">
        <v>1315</v>
      </c>
      <c r="AN2821" t="s">
        <v>31</v>
      </c>
      <c r="AO2821">
        <v>0</v>
      </c>
      <c r="AS2821" t="s">
        <v>526</v>
      </c>
      <c r="AX2821" t="s">
        <v>31</v>
      </c>
      <c r="AY2821" t="s">
        <v>442</v>
      </c>
      <c r="AZ2821" t="s">
        <v>1316</v>
      </c>
      <c r="BF2821">
        <v>0</v>
      </c>
      <c r="BK2821" t="s">
        <v>31</v>
      </c>
      <c r="BS2821" t="s">
        <v>379</v>
      </c>
      <c r="BT2821" t="s">
        <v>379</v>
      </c>
      <c r="CI2821" t="s">
        <v>388</v>
      </c>
      <c r="CJ2821" s="14">
        <v>45016</v>
      </c>
      <c r="CK2821">
        <v>1</v>
      </c>
    </row>
    <row r="2822" spans="1:89">
      <c r="A2822" t="s">
        <v>1317</v>
      </c>
      <c r="B2822" t="s">
        <v>374</v>
      </c>
      <c r="C2822" t="s">
        <v>1318</v>
      </c>
      <c r="D2822" t="s">
        <v>1319</v>
      </c>
      <c r="E2822" t="s">
        <v>1320</v>
      </c>
      <c r="F2822" s="13">
        <v>44693.49050925926</v>
      </c>
      <c r="G2822" t="s">
        <v>1321</v>
      </c>
      <c r="H2822" t="s">
        <v>1322</v>
      </c>
      <c r="I2822" s="13">
        <v>45012.044398148151</v>
      </c>
      <c r="K2822" t="s">
        <v>415</v>
      </c>
      <c r="M2822" s="13">
        <v>44693</v>
      </c>
      <c r="R2822">
        <v>100</v>
      </c>
      <c r="S2822" t="s">
        <v>380</v>
      </c>
      <c r="T2822" t="s">
        <v>57</v>
      </c>
      <c r="V2822" t="s">
        <v>478</v>
      </c>
      <c r="W2822" t="s">
        <v>1323</v>
      </c>
      <c r="X2822" t="s">
        <v>1323</v>
      </c>
      <c r="AB2822" t="s">
        <v>57</v>
      </c>
      <c r="AF2822" t="s">
        <v>382</v>
      </c>
      <c r="AG2822" t="s">
        <v>1324</v>
      </c>
      <c r="AI2822">
        <v>-319</v>
      </c>
      <c r="AL2822" t="s">
        <v>1325</v>
      </c>
      <c r="AN2822" t="s">
        <v>57</v>
      </c>
      <c r="AO2822">
        <v>0</v>
      </c>
      <c r="AS2822" t="s">
        <v>385</v>
      </c>
      <c r="AX2822" t="s">
        <v>57</v>
      </c>
      <c r="AY2822" t="s">
        <v>442</v>
      </c>
      <c r="AZ2822" t="s">
        <v>1326</v>
      </c>
      <c r="BF2822">
        <v>0</v>
      </c>
      <c r="BK2822" t="s">
        <v>31</v>
      </c>
      <c r="BS2822" t="s">
        <v>1327</v>
      </c>
      <c r="BT2822" t="s">
        <v>1328</v>
      </c>
      <c r="CC2822" t="s">
        <v>1329</v>
      </c>
      <c r="CI2822" t="s">
        <v>388</v>
      </c>
      <c r="CJ2822" s="14">
        <v>45016</v>
      </c>
      <c r="CK2822">
        <v>1</v>
      </c>
    </row>
    <row r="2823" spans="1:89">
      <c r="A2823" t="s">
        <v>1330</v>
      </c>
      <c r="B2823" t="s">
        <v>374</v>
      </c>
      <c r="C2823" t="s">
        <v>1331</v>
      </c>
      <c r="D2823" t="s">
        <v>1332</v>
      </c>
      <c r="E2823" t="s">
        <v>574</v>
      </c>
      <c r="F2823" s="13">
        <v>44693.430046296293</v>
      </c>
      <c r="G2823" t="s">
        <v>1125</v>
      </c>
      <c r="H2823" t="s">
        <v>1126</v>
      </c>
      <c r="I2823" s="13">
        <v>44694.532569444447</v>
      </c>
      <c r="K2823" t="s">
        <v>379</v>
      </c>
      <c r="M2823" s="13">
        <v>44894</v>
      </c>
      <c r="R2823">
        <v>100</v>
      </c>
      <c r="S2823" t="s">
        <v>380</v>
      </c>
      <c r="T2823" t="s">
        <v>57</v>
      </c>
      <c r="V2823" t="s">
        <v>381</v>
      </c>
      <c r="W2823" t="s">
        <v>1126</v>
      </c>
      <c r="X2823" t="s">
        <v>1126</v>
      </c>
      <c r="AF2823" t="s">
        <v>382</v>
      </c>
      <c r="AG2823" t="s">
        <v>1333</v>
      </c>
      <c r="AI2823">
        <v>200</v>
      </c>
      <c r="AL2823" t="s">
        <v>1334</v>
      </c>
      <c r="AN2823" t="s">
        <v>31</v>
      </c>
      <c r="AO2823">
        <v>0</v>
      </c>
      <c r="AS2823" t="s">
        <v>392</v>
      </c>
      <c r="AX2823" t="s">
        <v>57</v>
      </c>
      <c r="AY2823" t="s">
        <v>442</v>
      </c>
      <c r="AZ2823" t="s">
        <v>574</v>
      </c>
      <c r="BF2823">
        <v>0</v>
      </c>
      <c r="BK2823" t="s">
        <v>31</v>
      </c>
      <c r="BS2823" t="s">
        <v>379</v>
      </c>
      <c r="BT2823" t="s">
        <v>379</v>
      </c>
      <c r="CI2823" t="s">
        <v>388</v>
      </c>
      <c r="CJ2823" s="14">
        <v>45016</v>
      </c>
      <c r="CK2823">
        <v>1</v>
      </c>
    </row>
    <row r="2824" spans="1:89">
      <c r="A2824" t="s">
        <v>1330</v>
      </c>
      <c r="B2824" t="s">
        <v>374</v>
      </c>
      <c r="C2824" t="s">
        <v>1331</v>
      </c>
      <c r="D2824" t="s">
        <v>1335</v>
      </c>
      <c r="E2824" t="s">
        <v>1336</v>
      </c>
      <c r="F2824" s="13">
        <v>44693.396770833337</v>
      </c>
      <c r="G2824" t="s">
        <v>1125</v>
      </c>
      <c r="H2824" t="s">
        <v>1126</v>
      </c>
      <c r="I2824" s="13">
        <v>44694.529664351852</v>
      </c>
      <c r="K2824" t="s">
        <v>379</v>
      </c>
      <c r="M2824" s="13">
        <v>44764</v>
      </c>
      <c r="R2824">
        <v>100</v>
      </c>
      <c r="S2824" t="s">
        <v>416</v>
      </c>
      <c r="T2824" t="s">
        <v>57</v>
      </c>
      <c r="V2824" t="s">
        <v>381</v>
      </c>
      <c r="W2824" t="s">
        <v>1126</v>
      </c>
      <c r="X2824" t="s">
        <v>1126</v>
      </c>
      <c r="AF2824" t="s">
        <v>382</v>
      </c>
      <c r="AG2824" t="s">
        <v>1337</v>
      </c>
      <c r="AI2824">
        <v>71</v>
      </c>
      <c r="AL2824" t="s">
        <v>1334</v>
      </c>
      <c r="AM2824">
        <v>1</v>
      </c>
      <c r="AN2824" t="s">
        <v>31</v>
      </c>
      <c r="AO2824">
        <v>0</v>
      </c>
      <c r="AS2824" t="s">
        <v>392</v>
      </c>
      <c r="AX2824" t="s">
        <v>31</v>
      </c>
      <c r="AY2824" t="s">
        <v>442</v>
      </c>
      <c r="AZ2824" t="s">
        <v>1336</v>
      </c>
      <c r="BF2824">
        <v>0</v>
      </c>
      <c r="BK2824" t="s">
        <v>31</v>
      </c>
      <c r="BS2824" t="s">
        <v>379</v>
      </c>
      <c r="BT2824" t="s">
        <v>379</v>
      </c>
      <c r="CI2824" t="s">
        <v>388</v>
      </c>
      <c r="CJ2824" s="14">
        <v>45016</v>
      </c>
      <c r="CK2824">
        <v>1</v>
      </c>
    </row>
    <row r="2825" spans="1:89">
      <c r="A2825" t="s">
        <v>687</v>
      </c>
      <c r="B2825" t="s">
        <v>374</v>
      </c>
      <c r="C2825" t="s">
        <v>688</v>
      </c>
      <c r="D2825" t="s">
        <v>1338</v>
      </c>
      <c r="E2825" t="s">
        <v>1339</v>
      </c>
      <c r="F2825" s="13">
        <v>44692.656400462962</v>
      </c>
      <c r="G2825" t="s">
        <v>1340</v>
      </c>
      <c r="H2825" t="s">
        <v>1341</v>
      </c>
      <c r="I2825" s="13">
        <v>45012.04414351852</v>
      </c>
      <c r="K2825" t="s">
        <v>415</v>
      </c>
      <c r="M2825" s="13">
        <v>44753</v>
      </c>
      <c r="R2825">
        <v>30</v>
      </c>
      <c r="S2825" t="s">
        <v>416</v>
      </c>
      <c r="T2825" t="s">
        <v>57</v>
      </c>
      <c r="V2825" t="s">
        <v>478</v>
      </c>
      <c r="W2825" t="s">
        <v>1341</v>
      </c>
      <c r="X2825" t="s">
        <v>1341</v>
      </c>
      <c r="Y2825" t="s">
        <v>480</v>
      </c>
      <c r="AF2825" t="s">
        <v>1301</v>
      </c>
      <c r="AG2825" t="s">
        <v>1342</v>
      </c>
      <c r="AI2825">
        <v>-259</v>
      </c>
      <c r="AL2825" t="s">
        <v>1343</v>
      </c>
      <c r="AN2825" t="s">
        <v>31</v>
      </c>
      <c r="AO2825">
        <v>0</v>
      </c>
      <c r="AS2825" t="s">
        <v>385</v>
      </c>
      <c r="AT2825" t="s">
        <v>31</v>
      </c>
      <c r="AX2825" t="s">
        <v>57</v>
      </c>
      <c r="AY2825" t="s">
        <v>442</v>
      </c>
      <c r="AZ2825" t="s">
        <v>1339</v>
      </c>
      <c r="BF2825">
        <v>0</v>
      </c>
      <c r="BK2825" t="s">
        <v>31</v>
      </c>
      <c r="BS2825" t="s">
        <v>484</v>
      </c>
      <c r="BT2825" t="s">
        <v>484</v>
      </c>
      <c r="CI2825" t="s">
        <v>388</v>
      </c>
      <c r="CJ2825" s="14">
        <v>45016</v>
      </c>
      <c r="CK2825">
        <v>1</v>
      </c>
    </row>
    <row r="2826" spans="1:89">
      <c r="A2826" t="s">
        <v>1344</v>
      </c>
      <c r="B2826" t="s">
        <v>374</v>
      </c>
      <c r="C2826" t="s">
        <v>1345</v>
      </c>
      <c r="D2826" t="s">
        <v>1346</v>
      </c>
      <c r="E2826" t="s">
        <v>1347</v>
      </c>
      <c r="F2826" s="13">
        <v>44692.634479166663</v>
      </c>
      <c r="G2826" t="s">
        <v>1228</v>
      </c>
      <c r="H2826" t="s">
        <v>1229</v>
      </c>
      <c r="I2826" s="13">
        <v>44692.695879629631</v>
      </c>
      <c r="K2826" t="s">
        <v>379</v>
      </c>
      <c r="M2826" s="13">
        <v>44875</v>
      </c>
      <c r="R2826">
        <v>100</v>
      </c>
      <c r="S2826" t="s">
        <v>380</v>
      </c>
      <c r="T2826" t="s">
        <v>57</v>
      </c>
      <c r="V2826" t="s">
        <v>381</v>
      </c>
      <c r="W2826" t="s">
        <v>1240</v>
      </c>
      <c r="X2826" t="s">
        <v>1240</v>
      </c>
      <c r="AF2826" t="s">
        <v>382</v>
      </c>
      <c r="AG2826" t="s">
        <v>1260</v>
      </c>
      <c r="AI2826">
        <v>183</v>
      </c>
      <c r="AL2826" t="s">
        <v>1348</v>
      </c>
      <c r="AN2826" t="s">
        <v>31</v>
      </c>
      <c r="AO2826">
        <v>0</v>
      </c>
      <c r="AS2826" t="s">
        <v>385</v>
      </c>
      <c r="AX2826" t="s">
        <v>57</v>
      </c>
      <c r="AY2826" t="s">
        <v>386</v>
      </c>
      <c r="AZ2826" t="s">
        <v>1349</v>
      </c>
      <c r="BF2826">
        <v>0</v>
      </c>
      <c r="BK2826" t="s">
        <v>31</v>
      </c>
      <c r="BS2826" t="s">
        <v>379</v>
      </c>
      <c r="BT2826" t="s">
        <v>379</v>
      </c>
      <c r="CI2826" t="s">
        <v>388</v>
      </c>
      <c r="CJ2826" s="14">
        <v>45016</v>
      </c>
      <c r="CK2826">
        <v>1</v>
      </c>
    </row>
    <row r="2827" spans="1:89">
      <c r="A2827" t="s">
        <v>1235</v>
      </c>
      <c r="B2827" t="s">
        <v>374</v>
      </c>
      <c r="C2827" t="s">
        <v>1236</v>
      </c>
      <c r="D2827" t="s">
        <v>1350</v>
      </c>
      <c r="E2827" t="s">
        <v>1351</v>
      </c>
      <c r="F2827" s="13">
        <v>44692.630972222221</v>
      </c>
      <c r="G2827" t="s">
        <v>1239</v>
      </c>
      <c r="H2827" t="s">
        <v>1240</v>
      </c>
      <c r="I2827" s="13">
        <v>44692.695011574076</v>
      </c>
      <c r="K2827" t="s">
        <v>379</v>
      </c>
      <c r="M2827" s="13">
        <v>44972</v>
      </c>
      <c r="R2827">
        <v>100</v>
      </c>
      <c r="S2827" t="s">
        <v>380</v>
      </c>
      <c r="T2827" t="s">
        <v>57</v>
      </c>
      <c r="V2827" t="s">
        <v>381</v>
      </c>
      <c r="W2827" t="s">
        <v>1240</v>
      </c>
      <c r="X2827" t="s">
        <v>1240</v>
      </c>
      <c r="AF2827" t="s">
        <v>382</v>
      </c>
      <c r="AG2827" t="s">
        <v>1352</v>
      </c>
      <c r="AI2827">
        <v>280</v>
      </c>
      <c r="AL2827" t="s">
        <v>1353</v>
      </c>
      <c r="AN2827" t="s">
        <v>31</v>
      </c>
      <c r="AO2827">
        <v>0</v>
      </c>
      <c r="AS2827" t="s">
        <v>392</v>
      </c>
      <c r="AX2827" t="s">
        <v>31</v>
      </c>
      <c r="AY2827" t="s">
        <v>386</v>
      </c>
      <c r="AZ2827" t="s">
        <v>1354</v>
      </c>
      <c r="BF2827">
        <v>0</v>
      </c>
      <c r="BK2827" t="s">
        <v>31</v>
      </c>
      <c r="BS2827" t="s">
        <v>379</v>
      </c>
      <c r="BT2827" t="s">
        <v>379</v>
      </c>
      <c r="CI2827" t="s">
        <v>388</v>
      </c>
      <c r="CJ2827" s="14">
        <v>45016</v>
      </c>
      <c r="CK2827">
        <v>1</v>
      </c>
    </row>
    <row r="2828" spans="1:89">
      <c r="A2828" t="s">
        <v>1355</v>
      </c>
      <c r="B2828" t="s">
        <v>374</v>
      </c>
      <c r="C2828" t="s">
        <v>1356</v>
      </c>
      <c r="D2828" t="s">
        <v>1357</v>
      </c>
      <c r="E2828" t="s">
        <v>1358</v>
      </c>
      <c r="F2828" s="13">
        <v>44692.626203703701</v>
      </c>
      <c r="G2828" t="s">
        <v>1340</v>
      </c>
      <c r="H2828" t="s">
        <v>1341</v>
      </c>
      <c r="I2828" s="13">
        <v>44692.632835648146</v>
      </c>
      <c r="K2828" t="s">
        <v>379</v>
      </c>
      <c r="M2828" s="13">
        <v>44712</v>
      </c>
      <c r="R2828">
        <v>100</v>
      </c>
      <c r="S2828" t="s">
        <v>380</v>
      </c>
      <c r="T2828" t="s">
        <v>57</v>
      </c>
      <c r="V2828" t="s">
        <v>381</v>
      </c>
      <c r="W2828" t="s">
        <v>1359</v>
      </c>
      <c r="X2828" t="s">
        <v>1359</v>
      </c>
      <c r="AF2828" t="s">
        <v>382</v>
      </c>
      <c r="AG2828" t="s">
        <v>1360</v>
      </c>
      <c r="AI2828">
        <v>20</v>
      </c>
      <c r="AL2828" t="s">
        <v>1361</v>
      </c>
      <c r="AN2828" t="s">
        <v>31</v>
      </c>
      <c r="AO2828">
        <v>0</v>
      </c>
      <c r="AS2828" t="s">
        <v>461</v>
      </c>
      <c r="AX2828" t="s">
        <v>31</v>
      </c>
      <c r="AY2828" t="s">
        <v>442</v>
      </c>
      <c r="AZ2828" t="s">
        <v>1358</v>
      </c>
      <c r="BF2828">
        <v>0</v>
      </c>
      <c r="BK2828" t="s">
        <v>31</v>
      </c>
      <c r="BS2828" t="s">
        <v>379</v>
      </c>
      <c r="BT2828" t="s">
        <v>379</v>
      </c>
      <c r="CI2828" t="s">
        <v>388</v>
      </c>
      <c r="CJ2828" s="14">
        <v>45016</v>
      </c>
      <c r="CK2828">
        <v>1</v>
      </c>
    </row>
    <row r="2829" spans="1:89">
      <c r="A2829" t="s">
        <v>1344</v>
      </c>
      <c r="B2829" t="s">
        <v>374</v>
      </c>
      <c r="C2829" t="s">
        <v>1345</v>
      </c>
      <c r="D2829" t="s">
        <v>1362</v>
      </c>
      <c r="E2829" t="s">
        <v>1363</v>
      </c>
      <c r="F2829" s="13">
        <v>44692.602453703701</v>
      </c>
      <c r="G2829" t="s">
        <v>1228</v>
      </c>
      <c r="H2829" t="s">
        <v>1229</v>
      </c>
      <c r="I2829" s="13">
        <v>44692.655706018515</v>
      </c>
      <c r="K2829" t="s">
        <v>379</v>
      </c>
      <c r="M2829" s="13">
        <v>44783</v>
      </c>
      <c r="R2829">
        <v>100</v>
      </c>
      <c r="S2829" t="s">
        <v>416</v>
      </c>
      <c r="T2829" t="s">
        <v>57</v>
      </c>
      <c r="V2829" t="s">
        <v>381</v>
      </c>
      <c r="W2829" t="s">
        <v>1240</v>
      </c>
      <c r="X2829" t="s">
        <v>1240</v>
      </c>
      <c r="AF2829" t="s">
        <v>382</v>
      </c>
      <c r="AG2829" t="s">
        <v>1260</v>
      </c>
      <c r="AI2829">
        <v>91</v>
      </c>
      <c r="AL2829" t="s">
        <v>1348</v>
      </c>
      <c r="AM2829">
        <v>1</v>
      </c>
      <c r="AN2829" t="s">
        <v>31</v>
      </c>
      <c r="AO2829">
        <v>0</v>
      </c>
      <c r="AS2829" t="s">
        <v>707</v>
      </c>
      <c r="AX2829" t="s">
        <v>31</v>
      </c>
      <c r="AY2829" t="s">
        <v>386</v>
      </c>
      <c r="AZ2829" t="s">
        <v>1249</v>
      </c>
      <c r="BE2829" t="s">
        <v>1364</v>
      </c>
      <c r="BF2829">
        <v>0</v>
      </c>
      <c r="BK2829" t="s">
        <v>31</v>
      </c>
      <c r="BS2829" t="s">
        <v>379</v>
      </c>
      <c r="BT2829" t="s">
        <v>379</v>
      </c>
      <c r="CI2829" t="s">
        <v>388</v>
      </c>
      <c r="CJ2829" s="14">
        <v>45016</v>
      </c>
      <c r="CK2829">
        <v>1</v>
      </c>
    </row>
    <row r="2830" spans="1:89">
      <c r="A2830" t="s">
        <v>1235</v>
      </c>
      <c r="B2830" t="s">
        <v>374</v>
      </c>
      <c r="C2830" t="s">
        <v>1236</v>
      </c>
      <c r="D2830" t="s">
        <v>1365</v>
      </c>
      <c r="E2830" t="s">
        <v>1366</v>
      </c>
      <c r="F2830" s="13">
        <v>44692.529699074075</v>
      </c>
      <c r="G2830" t="s">
        <v>1239</v>
      </c>
      <c r="H2830" t="s">
        <v>1240</v>
      </c>
      <c r="I2830" s="13">
        <v>44692.664722222224</v>
      </c>
      <c r="K2830" t="s">
        <v>379</v>
      </c>
      <c r="M2830" s="13">
        <v>44775</v>
      </c>
      <c r="R2830">
        <v>100</v>
      </c>
      <c r="S2830" t="s">
        <v>416</v>
      </c>
      <c r="T2830" t="s">
        <v>57</v>
      </c>
      <c r="V2830" t="s">
        <v>381</v>
      </c>
      <c r="W2830" t="s">
        <v>1367</v>
      </c>
      <c r="X2830" t="s">
        <v>1367</v>
      </c>
      <c r="AF2830" t="s">
        <v>382</v>
      </c>
      <c r="AG2830" t="s">
        <v>1241</v>
      </c>
      <c r="AI2830">
        <v>83</v>
      </c>
      <c r="AL2830" t="s">
        <v>1353</v>
      </c>
      <c r="AM2830">
        <v>1</v>
      </c>
      <c r="AN2830" t="s">
        <v>31</v>
      </c>
      <c r="AO2830">
        <v>0</v>
      </c>
      <c r="AS2830" t="s">
        <v>648</v>
      </c>
      <c r="AX2830" t="s">
        <v>31</v>
      </c>
      <c r="AY2830" t="s">
        <v>386</v>
      </c>
      <c r="AZ2830" t="s">
        <v>1368</v>
      </c>
      <c r="BF2830">
        <v>0</v>
      </c>
      <c r="BK2830" t="s">
        <v>31</v>
      </c>
      <c r="BS2830" t="s">
        <v>379</v>
      </c>
      <c r="BT2830" t="s">
        <v>379</v>
      </c>
      <c r="CI2830" t="s">
        <v>388</v>
      </c>
      <c r="CJ2830" s="14">
        <v>45016</v>
      </c>
      <c r="CK2830">
        <v>1</v>
      </c>
    </row>
    <row r="2831" spans="1:89">
      <c r="A2831" t="s">
        <v>1344</v>
      </c>
      <c r="B2831" t="s">
        <v>374</v>
      </c>
      <c r="C2831" t="s">
        <v>1345</v>
      </c>
      <c r="D2831" t="s">
        <v>1369</v>
      </c>
      <c r="E2831" t="s">
        <v>1370</v>
      </c>
      <c r="F2831" s="13">
        <v>44692.48064814815</v>
      </c>
      <c r="G2831" t="s">
        <v>1228</v>
      </c>
      <c r="H2831" t="s">
        <v>1229</v>
      </c>
      <c r="I2831" s="13">
        <v>45012.044398148151</v>
      </c>
      <c r="K2831" t="s">
        <v>415</v>
      </c>
      <c r="M2831" s="13">
        <v>44783</v>
      </c>
      <c r="R2831">
        <v>0</v>
      </c>
      <c r="S2831" t="s">
        <v>380</v>
      </c>
      <c r="T2831" t="s">
        <v>57</v>
      </c>
      <c r="V2831" t="s">
        <v>478</v>
      </c>
      <c r="W2831" t="s">
        <v>1240</v>
      </c>
      <c r="X2831" t="s">
        <v>1240</v>
      </c>
      <c r="AF2831" t="s">
        <v>451</v>
      </c>
      <c r="AI2831">
        <v>-229</v>
      </c>
      <c r="AL2831" t="s">
        <v>1371</v>
      </c>
      <c r="AN2831" t="s">
        <v>31</v>
      </c>
      <c r="AO2831">
        <v>0</v>
      </c>
      <c r="AS2831" t="s">
        <v>707</v>
      </c>
      <c r="AX2831" t="s">
        <v>31</v>
      </c>
      <c r="AY2831" t="s">
        <v>386</v>
      </c>
      <c r="AZ2831" t="s">
        <v>1249</v>
      </c>
      <c r="BF2831">
        <v>0</v>
      </c>
      <c r="BK2831" t="s">
        <v>31</v>
      </c>
      <c r="BS2831" t="s">
        <v>419</v>
      </c>
      <c r="BT2831" t="s">
        <v>419</v>
      </c>
      <c r="CI2831" t="s">
        <v>388</v>
      </c>
      <c r="CJ2831" s="14">
        <v>45016</v>
      </c>
      <c r="CK2831">
        <v>1</v>
      </c>
    </row>
    <row r="2832" spans="1:89">
      <c r="A2832" t="s">
        <v>1317</v>
      </c>
      <c r="B2832" t="s">
        <v>374</v>
      </c>
      <c r="C2832" t="s">
        <v>1318</v>
      </c>
      <c r="D2832" t="s">
        <v>1372</v>
      </c>
      <c r="E2832" t="s">
        <v>1373</v>
      </c>
      <c r="F2832" s="13">
        <v>44691.751469907409</v>
      </c>
      <c r="G2832" t="s">
        <v>1321</v>
      </c>
      <c r="H2832" t="s">
        <v>1322</v>
      </c>
      <c r="I2832" s="13">
        <v>45012.044386574074</v>
      </c>
      <c r="K2832" t="s">
        <v>415</v>
      </c>
      <c r="M2832" s="13">
        <v>44781</v>
      </c>
      <c r="R2832">
        <v>100</v>
      </c>
      <c r="S2832" t="s">
        <v>380</v>
      </c>
      <c r="T2832" t="s">
        <v>57</v>
      </c>
      <c r="V2832" t="s">
        <v>478</v>
      </c>
      <c r="W2832" t="s">
        <v>1323</v>
      </c>
      <c r="X2832" t="s">
        <v>1323</v>
      </c>
      <c r="AB2832" t="s">
        <v>57</v>
      </c>
      <c r="AF2832" t="s">
        <v>382</v>
      </c>
      <c r="AG2832" t="s">
        <v>1206</v>
      </c>
      <c r="AI2832">
        <v>-231</v>
      </c>
      <c r="AL2832" t="s">
        <v>1325</v>
      </c>
      <c r="AN2832" t="s">
        <v>57</v>
      </c>
      <c r="AO2832">
        <v>0</v>
      </c>
      <c r="AS2832" t="s">
        <v>385</v>
      </c>
      <c r="AX2832" t="s">
        <v>57</v>
      </c>
      <c r="AY2832" t="s">
        <v>442</v>
      </c>
      <c r="AZ2832" t="s">
        <v>1374</v>
      </c>
      <c r="BF2832">
        <v>0</v>
      </c>
      <c r="BK2832" t="s">
        <v>31</v>
      </c>
      <c r="BS2832" t="s">
        <v>1327</v>
      </c>
      <c r="BT2832" t="s">
        <v>1328</v>
      </c>
      <c r="CC2832" t="s">
        <v>1375</v>
      </c>
      <c r="CI2832" t="s">
        <v>388</v>
      </c>
      <c r="CJ2832" s="14">
        <v>45016</v>
      </c>
      <c r="CK2832">
        <v>1</v>
      </c>
    </row>
    <row r="2833" spans="1:89">
      <c r="A2833" t="s">
        <v>1317</v>
      </c>
      <c r="B2833" t="s">
        <v>374</v>
      </c>
      <c r="C2833" t="s">
        <v>1318</v>
      </c>
      <c r="D2833" t="s">
        <v>1376</v>
      </c>
      <c r="E2833" t="s">
        <v>1377</v>
      </c>
      <c r="F2833" s="13">
        <v>44691.730983796297</v>
      </c>
      <c r="G2833" t="s">
        <v>1321</v>
      </c>
      <c r="H2833" t="s">
        <v>1322</v>
      </c>
      <c r="I2833" s="13">
        <v>44833.703101851854</v>
      </c>
      <c r="K2833" t="s">
        <v>379</v>
      </c>
      <c r="M2833" s="13">
        <v>44781</v>
      </c>
      <c r="R2833">
        <v>100</v>
      </c>
      <c r="S2833" t="s">
        <v>416</v>
      </c>
      <c r="T2833" t="s">
        <v>57</v>
      </c>
      <c r="V2833" t="s">
        <v>381</v>
      </c>
      <c r="W2833" t="s">
        <v>1323</v>
      </c>
      <c r="X2833" t="s">
        <v>1323</v>
      </c>
      <c r="AF2833" t="s">
        <v>382</v>
      </c>
      <c r="AG2833" t="s">
        <v>1324</v>
      </c>
      <c r="AI2833">
        <v>90</v>
      </c>
      <c r="AL2833" t="s">
        <v>1325</v>
      </c>
      <c r="AM2833">
        <v>1</v>
      </c>
      <c r="AN2833" t="s">
        <v>31</v>
      </c>
      <c r="AO2833">
        <v>0</v>
      </c>
      <c r="AS2833" t="s">
        <v>385</v>
      </c>
      <c r="AX2833" t="s">
        <v>31</v>
      </c>
      <c r="AY2833" t="s">
        <v>442</v>
      </c>
      <c r="AZ2833" t="s">
        <v>1378</v>
      </c>
      <c r="BF2833">
        <v>0</v>
      </c>
      <c r="BK2833" t="s">
        <v>31</v>
      </c>
      <c r="BS2833" t="s">
        <v>379</v>
      </c>
      <c r="BT2833" t="s">
        <v>379</v>
      </c>
      <c r="CI2833" t="s">
        <v>388</v>
      </c>
      <c r="CJ2833" s="14">
        <v>45016</v>
      </c>
      <c r="CK2833">
        <v>1</v>
      </c>
    </row>
    <row r="2834" spans="1:89">
      <c r="A2834" t="s">
        <v>1317</v>
      </c>
      <c r="B2834" t="s">
        <v>374</v>
      </c>
      <c r="C2834" t="s">
        <v>1318</v>
      </c>
      <c r="D2834" t="s">
        <v>1379</v>
      </c>
      <c r="E2834" t="s">
        <v>1373</v>
      </c>
      <c r="F2834" s="13">
        <v>44691.728912037041</v>
      </c>
      <c r="G2834" t="s">
        <v>1321</v>
      </c>
      <c r="H2834" t="s">
        <v>1322</v>
      </c>
      <c r="I2834" s="13">
        <v>44833.703101851854</v>
      </c>
      <c r="K2834" t="s">
        <v>379</v>
      </c>
      <c r="M2834" s="13">
        <v>44781</v>
      </c>
      <c r="R2834">
        <v>100</v>
      </c>
      <c r="S2834" t="s">
        <v>416</v>
      </c>
      <c r="T2834" t="s">
        <v>57</v>
      </c>
      <c r="V2834" t="s">
        <v>381</v>
      </c>
      <c r="W2834" t="s">
        <v>1323</v>
      </c>
      <c r="X2834" t="s">
        <v>1323</v>
      </c>
      <c r="AF2834" t="s">
        <v>382</v>
      </c>
      <c r="AG2834" t="s">
        <v>1380</v>
      </c>
      <c r="AI2834">
        <v>90</v>
      </c>
      <c r="AL2834" t="s">
        <v>1325</v>
      </c>
      <c r="AM2834">
        <v>1</v>
      </c>
      <c r="AN2834" t="s">
        <v>31</v>
      </c>
      <c r="AO2834">
        <v>0</v>
      </c>
      <c r="AS2834" t="s">
        <v>385</v>
      </c>
      <c r="AX2834" t="s">
        <v>31</v>
      </c>
      <c r="AY2834" t="s">
        <v>442</v>
      </c>
      <c r="AZ2834" t="s">
        <v>1374</v>
      </c>
      <c r="BF2834">
        <v>0</v>
      </c>
      <c r="BK2834" t="s">
        <v>31</v>
      </c>
      <c r="BS2834" t="s">
        <v>379</v>
      </c>
      <c r="BT2834" t="s">
        <v>379</v>
      </c>
      <c r="CI2834" t="s">
        <v>388</v>
      </c>
      <c r="CJ2834" s="14">
        <v>45016</v>
      </c>
      <c r="CK2834">
        <v>1</v>
      </c>
    </row>
    <row r="2835" spans="1:89">
      <c r="A2835" t="s">
        <v>404</v>
      </c>
      <c r="B2835" t="s">
        <v>374</v>
      </c>
      <c r="C2835" t="s">
        <v>375</v>
      </c>
      <c r="D2835" t="s">
        <v>1381</v>
      </c>
      <c r="E2835" t="s">
        <v>595</v>
      </c>
      <c r="F2835" s="13">
        <v>44691.657569444447</v>
      </c>
      <c r="G2835" t="s">
        <v>407</v>
      </c>
      <c r="H2835" t="s">
        <v>408</v>
      </c>
      <c r="I2835" s="13">
        <v>44692.456782407404</v>
      </c>
      <c r="K2835" t="s">
        <v>379</v>
      </c>
      <c r="M2835" s="13">
        <v>44774</v>
      </c>
      <c r="R2835">
        <v>100</v>
      </c>
      <c r="S2835" t="s">
        <v>380</v>
      </c>
      <c r="T2835" t="s">
        <v>57</v>
      </c>
      <c r="V2835" t="s">
        <v>381</v>
      </c>
      <c r="W2835" t="s">
        <v>686</v>
      </c>
      <c r="X2835" t="s">
        <v>686</v>
      </c>
      <c r="AC2835" s="13">
        <v>44833</v>
      </c>
      <c r="AD2835" s="13">
        <v>44776</v>
      </c>
      <c r="AF2835" t="s">
        <v>382</v>
      </c>
      <c r="AG2835" t="s">
        <v>406</v>
      </c>
      <c r="AI2835">
        <v>83</v>
      </c>
      <c r="AK2835" t="s">
        <v>480</v>
      </c>
      <c r="AL2835" t="s">
        <v>1382</v>
      </c>
      <c r="AN2835" t="s">
        <v>31</v>
      </c>
      <c r="AO2835">
        <v>0</v>
      </c>
      <c r="AS2835" t="s">
        <v>526</v>
      </c>
      <c r="AX2835" t="s">
        <v>57</v>
      </c>
      <c r="AY2835" t="s">
        <v>442</v>
      </c>
      <c r="AZ2835" t="s">
        <v>406</v>
      </c>
      <c r="BF2835">
        <v>0</v>
      </c>
      <c r="BK2835" t="s">
        <v>31</v>
      </c>
      <c r="BS2835" t="s">
        <v>379</v>
      </c>
      <c r="BT2835" t="s">
        <v>379</v>
      </c>
      <c r="CI2835" t="s">
        <v>388</v>
      </c>
      <c r="CJ2835" s="14">
        <v>45016</v>
      </c>
      <c r="CK2835">
        <v>1</v>
      </c>
    </row>
    <row r="2836" spans="1:89">
      <c r="A2836" t="s">
        <v>1383</v>
      </c>
      <c r="B2836" t="s">
        <v>374</v>
      </c>
      <c r="C2836" t="s">
        <v>1384</v>
      </c>
      <c r="D2836" t="s">
        <v>1385</v>
      </c>
      <c r="E2836" t="s">
        <v>1386</v>
      </c>
      <c r="F2836" s="13">
        <v>44691.624212962961</v>
      </c>
      <c r="G2836" t="s">
        <v>1321</v>
      </c>
      <c r="H2836" t="s">
        <v>1322</v>
      </c>
      <c r="I2836" s="13">
        <v>44833.703101851854</v>
      </c>
      <c r="K2836" t="s">
        <v>379</v>
      </c>
      <c r="M2836" s="13">
        <v>44873</v>
      </c>
      <c r="R2836">
        <v>100</v>
      </c>
      <c r="S2836" t="s">
        <v>380</v>
      </c>
      <c r="T2836" t="s">
        <v>57</v>
      </c>
      <c r="V2836" t="s">
        <v>381</v>
      </c>
      <c r="W2836" t="s">
        <v>1323</v>
      </c>
      <c r="X2836" t="s">
        <v>1323</v>
      </c>
      <c r="AF2836" t="s">
        <v>382</v>
      </c>
      <c r="AG2836" t="s">
        <v>1387</v>
      </c>
      <c r="AI2836">
        <v>180</v>
      </c>
      <c r="AL2836" t="s">
        <v>1388</v>
      </c>
      <c r="AN2836" t="s">
        <v>31</v>
      </c>
      <c r="AO2836">
        <v>0</v>
      </c>
      <c r="AS2836" t="s">
        <v>744</v>
      </c>
      <c r="AX2836" t="s">
        <v>57</v>
      </c>
      <c r="AY2836" t="s">
        <v>442</v>
      </c>
      <c r="AZ2836" t="s">
        <v>1389</v>
      </c>
      <c r="BF2836">
        <v>0</v>
      </c>
      <c r="BK2836" t="s">
        <v>31</v>
      </c>
      <c r="BS2836" t="s">
        <v>379</v>
      </c>
      <c r="BT2836" t="s">
        <v>379</v>
      </c>
      <c r="CI2836" t="s">
        <v>388</v>
      </c>
      <c r="CJ2836" s="14">
        <v>45016</v>
      </c>
      <c r="CK2836">
        <v>1</v>
      </c>
    </row>
    <row r="2837" spans="1:89">
      <c r="A2837" t="s">
        <v>1383</v>
      </c>
      <c r="B2837" t="s">
        <v>374</v>
      </c>
      <c r="C2837" t="s">
        <v>1384</v>
      </c>
      <c r="D2837" t="s">
        <v>1390</v>
      </c>
      <c r="E2837" t="s">
        <v>1386</v>
      </c>
      <c r="F2837" s="13">
        <v>44691.60560185185</v>
      </c>
      <c r="G2837" t="s">
        <v>1321</v>
      </c>
      <c r="H2837" t="s">
        <v>1322</v>
      </c>
      <c r="I2837" s="13">
        <v>44833.703101851854</v>
      </c>
      <c r="K2837" t="s">
        <v>379</v>
      </c>
      <c r="M2837" s="13">
        <v>44781</v>
      </c>
      <c r="R2837">
        <v>100</v>
      </c>
      <c r="S2837" t="s">
        <v>416</v>
      </c>
      <c r="T2837" t="s">
        <v>57</v>
      </c>
      <c r="V2837" t="s">
        <v>381</v>
      </c>
      <c r="W2837" t="s">
        <v>1323</v>
      </c>
      <c r="X2837" t="s">
        <v>1323</v>
      </c>
      <c r="AF2837" t="s">
        <v>382</v>
      </c>
      <c r="AG2837" t="s">
        <v>382</v>
      </c>
      <c r="AI2837">
        <v>90</v>
      </c>
      <c r="AL2837" t="s">
        <v>1388</v>
      </c>
      <c r="AM2837">
        <v>1</v>
      </c>
      <c r="AN2837" t="s">
        <v>31</v>
      </c>
      <c r="AO2837">
        <v>0</v>
      </c>
      <c r="AS2837" t="s">
        <v>744</v>
      </c>
      <c r="AX2837" t="s">
        <v>31</v>
      </c>
      <c r="AY2837" t="s">
        <v>442</v>
      </c>
      <c r="AZ2837" t="s">
        <v>1389</v>
      </c>
      <c r="BF2837">
        <v>0</v>
      </c>
      <c r="BK2837" t="s">
        <v>31</v>
      </c>
      <c r="BS2837" t="s">
        <v>379</v>
      </c>
      <c r="BT2837" t="s">
        <v>379</v>
      </c>
      <c r="CI2837" t="s">
        <v>388</v>
      </c>
      <c r="CJ2837" s="14">
        <v>45016</v>
      </c>
      <c r="CK2837">
        <v>1</v>
      </c>
    </row>
    <row r="2838" spans="1:89">
      <c r="A2838" t="s">
        <v>404</v>
      </c>
      <c r="B2838" t="s">
        <v>374</v>
      </c>
      <c r="C2838" t="s">
        <v>375</v>
      </c>
      <c r="D2838" t="s">
        <v>1391</v>
      </c>
      <c r="E2838" t="s">
        <v>406</v>
      </c>
      <c r="F2838" s="13">
        <v>44691.5309375</v>
      </c>
      <c r="G2838" t="s">
        <v>407</v>
      </c>
      <c r="H2838" t="s">
        <v>408</v>
      </c>
      <c r="I2838" s="13">
        <v>45015.407581018517</v>
      </c>
      <c r="K2838" t="s">
        <v>415</v>
      </c>
      <c r="M2838" s="13">
        <v>44862</v>
      </c>
      <c r="R2838">
        <v>0</v>
      </c>
      <c r="S2838" t="s">
        <v>380</v>
      </c>
      <c r="T2838" t="s">
        <v>57</v>
      </c>
      <c r="V2838" t="s">
        <v>478</v>
      </c>
      <c r="W2838" t="s">
        <v>406</v>
      </c>
      <c r="X2838" t="s">
        <v>406</v>
      </c>
      <c r="Y2838" t="s">
        <v>480</v>
      </c>
      <c r="AB2838" t="s">
        <v>31</v>
      </c>
      <c r="AF2838" t="s">
        <v>1301</v>
      </c>
      <c r="AG2838" t="s">
        <v>406</v>
      </c>
      <c r="AI2838">
        <v>-153</v>
      </c>
      <c r="AJ2838" s="13">
        <v>44875</v>
      </c>
      <c r="AK2838" t="s">
        <v>480</v>
      </c>
      <c r="AL2838" t="s">
        <v>1392</v>
      </c>
      <c r="AN2838" t="s">
        <v>31</v>
      </c>
      <c r="AO2838">
        <v>0</v>
      </c>
      <c r="AS2838" t="s">
        <v>526</v>
      </c>
      <c r="AX2838" t="s">
        <v>31</v>
      </c>
      <c r="AY2838" t="s">
        <v>386</v>
      </c>
      <c r="AZ2838" t="s">
        <v>406</v>
      </c>
      <c r="BC2838" t="s">
        <v>480</v>
      </c>
      <c r="BD2838" t="s">
        <v>406</v>
      </c>
      <c r="BE2838" t="s">
        <v>520</v>
      </c>
      <c r="BF2838">
        <v>1</v>
      </c>
      <c r="BK2838" t="s">
        <v>57</v>
      </c>
      <c r="BR2838" s="13">
        <v>44875</v>
      </c>
      <c r="BS2838" t="s">
        <v>419</v>
      </c>
      <c r="BT2838" t="s">
        <v>419</v>
      </c>
      <c r="BZ2838" s="13">
        <v>44714</v>
      </c>
      <c r="CI2838" t="s">
        <v>388</v>
      </c>
      <c r="CJ2838" s="14">
        <v>45016</v>
      </c>
      <c r="CK2838">
        <v>1</v>
      </c>
    </row>
    <row r="2839" spans="1:89">
      <c r="A2839" t="s">
        <v>404</v>
      </c>
      <c r="B2839" t="s">
        <v>374</v>
      </c>
      <c r="C2839" t="s">
        <v>375</v>
      </c>
      <c r="D2839" t="s">
        <v>1393</v>
      </c>
      <c r="E2839" t="s">
        <v>406</v>
      </c>
      <c r="F2839" s="13">
        <v>44691.514976851853</v>
      </c>
      <c r="G2839" t="s">
        <v>407</v>
      </c>
      <c r="H2839" t="s">
        <v>408</v>
      </c>
      <c r="I2839" s="13">
        <v>44691.563460648147</v>
      </c>
      <c r="K2839" t="s">
        <v>379</v>
      </c>
      <c r="M2839" s="13">
        <v>44781</v>
      </c>
      <c r="R2839">
        <v>100</v>
      </c>
      <c r="S2839" t="s">
        <v>416</v>
      </c>
      <c r="T2839" t="s">
        <v>57</v>
      </c>
      <c r="V2839" t="s">
        <v>381</v>
      </c>
      <c r="W2839" t="s">
        <v>406</v>
      </c>
      <c r="X2839" t="s">
        <v>406</v>
      </c>
      <c r="AF2839" t="s">
        <v>382</v>
      </c>
      <c r="AG2839" t="s">
        <v>406</v>
      </c>
      <c r="AI2839">
        <v>90</v>
      </c>
      <c r="AL2839" t="s">
        <v>1392</v>
      </c>
      <c r="AM2839">
        <v>1</v>
      </c>
      <c r="AN2839" t="s">
        <v>31</v>
      </c>
      <c r="AO2839">
        <v>0</v>
      </c>
      <c r="AS2839" t="s">
        <v>385</v>
      </c>
      <c r="AX2839" t="s">
        <v>57</v>
      </c>
      <c r="AY2839" t="s">
        <v>442</v>
      </c>
      <c r="AZ2839" t="s">
        <v>406</v>
      </c>
      <c r="BF2839">
        <v>0</v>
      </c>
      <c r="BK2839" t="s">
        <v>31</v>
      </c>
      <c r="BS2839" t="s">
        <v>379</v>
      </c>
      <c r="BT2839" t="s">
        <v>379</v>
      </c>
      <c r="CI2839" t="s">
        <v>388</v>
      </c>
      <c r="CJ2839" s="14">
        <v>45016</v>
      </c>
      <c r="CK2839">
        <v>1</v>
      </c>
    </row>
    <row r="2840" spans="1:89">
      <c r="A2840" t="s">
        <v>1383</v>
      </c>
      <c r="B2840" t="s">
        <v>374</v>
      </c>
      <c r="C2840" t="s">
        <v>1384</v>
      </c>
      <c r="D2840" t="s">
        <v>1394</v>
      </c>
      <c r="E2840" t="s">
        <v>1395</v>
      </c>
      <c r="F2840" s="13">
        <v>44691.51122685185</v>
      </c>
      <c r="G2840" t="s">
        <v>1321</v>
      </c>
      <c r="H2840" t="s">
        <v>1322</v>
      </c>
      <c r="I2840" s="13">
        <v>44833.703101851854</v>
      </c>
      <c r="K2840" t="s">
        <v>379</v>
      </c>
      <c r="M2840" s="13">
        <v>44783</v>
      </c>
      <c r="R2840">
        <v>100</v>
      </c>
      <c r="S2840" t="s">
        <v>380</v>
      </c>
      <c r="T2840" t="s">
        <v>57</v>
      </c>
      <c r="V2840" t="s">
        <v>381</v>
      </c>
      <c r="W2840" t="s">
        <v>1323</v>
      </c>
      <c r="X2840" t="s">
        <v>1323</v>
      </c>
      <c r="Y2840" t="s">
        <v>480</v>
      </c>
      <c r="AF2840" t="s">
        <v>382</v>
      </c>
      <c r="AG2840" t="s">
        <v>382</v>
      </c>
      <c r="AI2840">
        <v>91</v>
      </c>
      <c r="AJ2840" s="13">
        <v>44798</v>
      </c>
      <c r="AK2840" t="s">
        <v>480</v>
      </c>
      <c r="AL2840" t="s">
        <v>1396</v>
      </c>
      <c r="AN2840" t="s">
        <v>31</v>
      </c>
      <c r="AO2840">
        <v>0</v>
      </c>
      <c r="AS2840" t="s">
        <v>744</v>
      </c>
      <c r="AX2840" t="s">
        <v>31</v>
      </c>
      <c r="AY2840" t="s">
        <v>442</v>
      </c>
      <c r="AZ2840" t="s">
        <v>1397</v>
      </c>
      <c r="BF2840">
        <v>1</v>
      </c>
      <c r="BK2840" t="s">
        <v>57</v>
      </c>
      <c r="BR2840" s="13">
        <v>44798</v>
      </c>
      <c r="BS2840" t="s">
        <v>379</v>
      </c>
      <c r="BT2840" t="s">
        <v>379</v>
      </c>
      <c r="BZ2840" s="13">
        <v>44692</v>
      </c>
      <c r="CI2840" t="s">
        <v>388</v>
      </c>
      <c r="CJ2840" s="14">
        <v>45016</v>
      </c>
      <c r="CK2840">
        <v>1</v>
      </c>
    </row>
    <row r="2841" spans="1:89">
      <c r="A2841" t="s">
        <v>1398</v>
      </c>
      <c r="B2841" t="s">
        <v>374</v>
      </c>
      <c r="C2841" t="s">
        <v>35</v>
      </c>
      <c r="D2841" t="s">
        <v>1399</v>
      </c>
      <c r="E2841" t="s">
        <v>1400</v>
      </c>
      <c r="F2841" s="13">
        <v>44691.51116898148</v>
      </c>
      <c r="G2841" t="s">
        <v>1228</v>
      </c>
      <c r="H2841" t="s">
        <v>1229</v>
      </c>
      <c r="I2841" s="13">
        <v>44691.688090277778</v>
      </c>
      <c r="K2841" t="s">
        <v>379</v>
      </c>
      <c r="M2841" s="13">
        <v>44706</v>
      </c>
      <c r="R2841">
        <v>100</v>
      </c>
      <c r="S2841" t="s">
        <v>380</v>
      </c>
      <c r="T2841" t="s">
        <v>57</v>
      </c>
      <c r="V2841" t="s">
        <v>381</v>
      </c>
      <c r="W2841" t="s">
        <v>1230</v>
      </c>
      <c r="X2841" t="s">
        <v>1230</v>
      </c>
      <c r="AF2841" t="s">
        <v>382</v>
      </c>
      <c r="AG2841" t="s">
        <v>1401</v>
      </c>
      <c r="AI2841">
        <v>15</v>
      </c>
      <c r="AK2841" t="s">
        <v>480</v>
      </c>
      <c r="AL2841" t="s">
        <v>1402</v>
      </c>
      <c r="AN2841" t="s">
        <v>31</v>
      </c>
      <c r="AO2841">
        <v>0</v>
      </c>
      <c r="AS2841" t="s">
        <v>526</v>
      </c>
      <c r="AX2841" t="s">
        <v>31</v>
      </c>
      <c r="AY2841" t="s">
        <v>386</v>
      </c>
      <c r="AZ2841" t="s">
        <v>1403</v>
      </c>
      <c r="BE2841" t="s">
        <v>1404</v>
      </c>
      <c r="BF2841">
        <v>0</v>
      </c>
      <c r="BK2841" t="s">
        <v>31</v>
      </c>
      <c r="BS2841" t="s">
        <v>379</v>
      </c>
      <c r="BT2841" t="s">
        <v>379</v>
      </c>
      <c r="CI2841" t="s">
        <v>388</v>
      </c>
      <c r="CJ2841" s="14">
        <v>45016</v>
      </c>
      <c r="CK2841">
        <v>1</v>
      </c>
    </row>
    <row r="2842" spans="1:89">
      <c r="A2842" t="s">
        <v>1235</v>
      </c>
      <c r="B2842" t="s">
        <v>374</v>
      </c>
      <c r="C2842" t="s">
        <v>1236</v>
      </c>
      <c r="D2842" t="s">
        <v>1405</v>
      </c>
      <c r="E2842" t="s">
        <v>1406</v>
      </c>
      <c r="F2842" s="13">
        <v>44691.508020833331</v>
      </c>
      <c r="G2842" t="s">
        <v>1239</v>
      </c>
      <c r="H2842" t="s">
        <v>1240</v>
      </c>
      <c r="I2842" s="13">
        <v>45012.044386574074</v>
      </c>
      <c r="K2842" t="s">
        <v>415</v>
      </c>
      <c r="M2842" s="13">
        <v>44712</v>
      </c>
      <c r="R2842">
        <v>0</v>
      </c>
      <c r="S2842" t="s">
        <v>380</v>
      </c>
      <c r="T2842" t="s">
        <v>57</v>
      </c>
      <c r="V2842" t="s">
        <v>478</v>
      </c>
      <c r="W2842" t="s">
        <v>1240</v>
      </c>
      <c r="X2842" t="s">
        <v>1240</v>
      </c>
      <c r="Y2842" t="s">
        <v>480</v>
      </c>
      <c r="AF2842" t="s">
        <v>1301</v>
      </c>
      <c r="AG2842" t="s">
        <v>1407</v>
      </c>
      <c r="AI2842">
        <v>-300</v>
      </c>
      <c r="AJ2842" s="13">
        <v>44713</v>
      </c>
      <c r="AK2842" t="s">
        <v>480</v>
      </c>
      <c r="AL2842" t="s">
        <v>1408</v>
      </c>
      <c r="AN2842" t="s">
        <v>31</v>
      </c>
      <c r="AO2842">
        <v>0</v>
      </c>
      <c r="AS2842" t="s">
        <v>648</v>
      </c>
      <c r="AX2842" t="s">
        <v>31</v>
      </c>
      <c r="AY2842" t="s">
        <v>386</v>
      </c>
      <c r="AZ2842" t="s">
        <v>1409</v>
      </c>
      <c r="BF2842">
        <v>1</v>
      </c>
      <c r="BK2842" t="s">
        <v>57</v>
      </c>
      <c r="BR2842" s="13">
        <v>44713</v>
      </c>
      <c r="BS2842" t="s">
        <v>419</v>
      </c>
      <c r="BT2842" t="s">
        <v>419</v>
      </c>
      <c r="BZ2842" s="13">
        <v>44691</v>
      </c>
      <c r="CI2842" t="s">
        <v>388</v>
      </c>
      <c r="CJ2842" s="14">
        <v>45016</v>
      </c>
      <c r="CK2842">
        <v>1</v>
      </c>
    </row>
    <row r="2843" spans="1:89">
      <c r="A2843" t="s">
        <v>1224</v>
      </c>
      <c r="B2843" t="s">
        <v>374</v>
      </c>
      <c r="C2843" t="s">
        <v>1225</v>
      </c>
      <c r="D2843" t="s">
        <v>1410</v>
      </c>
      <c r="E2843" t="s">
        <v>1411</v>
      </c>
      <c r="F2843" s="13">
        <v>44691.494120370371</v>
      </c>
      <c r="G2843" t="s">
        <v>1125</v>
      </c>
      <c r="H2843" t="s">
        <v>1126</v>
      </c>
      <c r="I2843" s="13">
        <v>44691.700300925928</v>
      </c>
      <c r="K2843" t="s">
        <v>379</v>
      </c>
      <c r="M2843" s="13">
        <v>44742</v>
      </c>
      <c r="R2843">
        <v>100</v>
      </c>
      <c r="S2843" t="s">
        <v>380</v>
      </c>
      <c r="T2843" t="s">
        <v>57</v>
      </c>
      <c r="V2843" t="s">
        <v>381</v>
      </c>
      <c r="W2843" t="s">
        <v>1205</v>
      </c>
      <c r="X2843" t="s">
        <v>1205</v>
      </c>
      <c r="AF2843" t="s">
        <v>382</v>
      </c>
      <c r="AG2843" t="s">
        <v>1412</v>
      </c>
      <c r="AI2843">
        <v>51</v>
      </c>
      <c r="AJ2843" s="13">
        <v>44773</v>
      </c>
      <c r="AK2843" t="s">
        <v>480</v>
      </c>
      <c r="AL2843" t="s">
        <v>1413</v>
      </c>
      <c r="AN2843" t="s">
        <v>31</v>
      </c>
      <c r="AO2843">
        <v>0</v>
      </c>
      <c r="AS2843" t="s">
        <v>385</v>
      </c>
      <c r="AX2843" t="s">
        <v>31</v>
      </c>
      <c r="AY2843" t="s">
        <v>386</v>
      </c>
      <c r="AZ2843" t="s">
        <v>1414</v>
      </c>
      <c r="BF2843">
        <v>0</v>
      </c>
      <c r="BK2843" t="s">
        <v>31</v>
      </c>
      <c r="BS2843" t="s">
        <v>379</v>
      </c>
      <c r="BT2843" t="s">
        <v>379</v>
      </c>
      <c r="CI2843" t="s">
        <v>388</v>
      </c>
      <c r="CJ2843" s="14">
        <v>45016</v>
      </c>
      <c r="CK2843">
        <v>1</v>
      </c>
    </row>
    <row r="2844" spans="1:89">
      <c r="A2844" t="s">
        <v>1415</v>
      </c>
      <c r="B2844" t="s">
        <v>374</v>
      </c>
      <c r="C2844" t="s">
        <v>1416</v>
      </c>
      <c r="D2844" t="s">
        <v>1417</v>
      </c>
      <c r="E2844" t="s">
        <v>574</v>
      </c>
      <c r="F2844" s="13">
        <v>44691.479548611111</v>
      </c>
      <c r="G2844" t="s">
        <v>1418</v>
      </c>
      <c r="H2844" t="s">
        <v>1419</v>
      </c>
      <c r="I2844" s="13">
        <v>45012.044374999998</v>
      </c>
      <c r="K2844" t="s">
        <v>415</v>
      </c>
      <c r="M2844" s="13">
        <v>44773</v>
      </c>
      <c r="R2844">
        <v>0</v>
      </c>
      <c r="S2844" t="s">
        <v>380</v>
      </c>
      <c r="T2844" t="s">
        <v>57</v>
      </c>
      <c r="V2844" t="s">
        <v>478</v>
      </c>
      <c r="W2844" t="s">
        <v>574</v>
      </c>
      <c r="X2844" t="s">
        <v>574</v>
      </c>
      <c r="AF2844" t="s">
        <v>451</v>
      </c>
      <c r="AI2844">
        <v>-239</v>
      </c>
      <c r="AL2844" t="s">
        <v>1420</v>
      </c>
      <c r="AN2844" t="s">
        <v>31</v>
      </c>
      <c r="AO2844">
        <v>0</v>
      </c>
      <c r="AS2844" t="s">
        <v>385</v>
      </c>
      <c r="AX2844" t="s">
        <v>31</v>
      </c>
      <c r="AY2844" t="s">
        <v>442</v>
      </c>
      <c r="AZ2844" t="s">
        <v>574</v>
      </c>
      <c r="BF2844">
        <v>0</v>
      </c>
      <c r="BK2844" t="s">
        <v>31</v>
      </c>
      <c r="BS2844" t="s">
        <v>419</v>
      </c>
      <c r="BT2844" t="s">
        <v>419</v>
      </c>
      <c r="CI2844" t="s">
        <v>388</v>
      </c>
      <c r="CJ2844" s="14">
        <v>45016</v>
      </c>
      <c r="CK2844">
        <v>1</v>
      </c>
    </row>
    <row r="2845" spans="1:89">
      <c r="A2845" t="s">
        <v>1421</v>
      </c>
      <c r="B2845" t="s">
        <v>374</v>
      </c>
      <c r="C2845" t="s">
        <v>1422</v>
      </c>
      <c r="D2845" t="s">
        <v>1423</v>
      </c>
      <c r="E2845" t="s">
        <v>1424</v>
      </c>
      <c r="F2845" s="13">
        <v>44685.547037037039</v>
      </c>
      <c r="G2845" t="s">
        <v>1155</v>
      </c>
      <c r="H2845" t="s">
        <v>1156</v>
      </c>
      <c r="I2845" s="13">
        <v>45012.044374999998</v>
      </c>
      <c r="K2845" t="s">
        <v>415</v>
      </c>
      <c r="M2845" s="13">
        <v>44712</v>
      </c>
      <c r="R2845">
        <v>0</v>
      </c>
      <c r="S2845" t="s">
        <v>380</v>
      </c>
      <c r="T2845" t="s">
        <v>57</v>
      </c>
      <c r="V2845" t="s">
        <v>478</v>
      </c>
      <c r="W2845" t="s">
        <v>1425</v>
      </c>
      <c r="X2845" t="s">
        <v>1425</v>
      </c>
      <c r="AF2845" t="s">
        <v>451</v>
      </c>
      <c r="AI2845">
        <v>-300</v>
      </c>
      <c r="AL2845" t="s">
        <v>1426</v>
      </c>
      <c r="AN2845" t="s">
        <v>31</v>
      </c>
      <c r="AO2845">
        <v>0</v>
      </c>
      <c r="AS2845" t="s">
        <v>385</v>
      </c>
      <c r="AX2845" t="s">
        <v>31</v>
      </c>
      <c r="AY2845" t="s">
        <v>386</v>
      </c>
      <c r="AZ2845" t="s">
        <v>1427</v>
      </c>
      <c r="BF2845">
        <v>0</v>
      </c>
      <c r="BK2845" t="s">
        <v>31</v>
      </c>
      <c r="BS2845" t="s">
        <v>419</v>
      </c>
      <c r="BT2845" t="s">
        <v>419</v>
      </c>
      <c r="CI2845" t="s">
        <v>388</v>
      </c>
      <c r="CJ2845" s="14">
        <v>45016</v>
      </c>
      <c r="CK2845">
        <v>1</v>
      </c>
    </row>
    <row r="2846" spans="1:89">
      <c r="A2846" t="s">
        <v>1421</v>
      </c>
      <c r="B2846" t="s">
        <v>374</v>
      </c>
      <c r="C2846" t="s">
        <v>1422</v>
      </c>
      <c r="D2846" t="s">
        <v>1428</v>
      </c>
      <c r="E2846" t="s">
        <v>1429</v>
      </c>
      <c r="F2846" s="13">
        <v>44684.737430555557</v>
      </c>
      <c r="G2846" t="s">
        <v>1155</v>
      </c>
      <c r="H2846" t="s">
        <v>1156</v>
      </c>
      <c r="I2846" s="13">
        <v>44684.748599537037</v>
      </c>
      <c r="K2846" t="s">
        <v>412</v>
      </c>
      <c r="R2846">
        <v>0</v>
      </c>
      <c r="S2846" t="s">
        <v>380</v>
      </c>
      <c r="T2846" t="s">
        <v>57</v>
      </c>
      <c r="V2846" t="s">
        <v>381</v>
      </c>
      <c r="W2846" t="s">
        <v>1425</v>
      </c>
      <c r="X2846" t="s">
        <v>1425</v>
      </c>
      <c r="AI2846">
        <v>87</v>
      </c>
      <c r="AL2846" t="s">
        <v>1430</v>
      </c>
      <c r="AN2846" t="s">
        <v>31</v>
      </c>
      <c r="AO2846">
        <v>0</v>
      </c>
      <c r="AS2846" t="s">
        <v>730</v>
      </c>
      <c r="AX2846" t="s">
        <v>31</v>
      </c>
      <c r="AY2846" t="s">
        <v>386</v>
      </c>
      <c r="AZ2846" t="s">
        <v>1431</v>
      </c>
      <c r="BF2846">
        <v>0</v>
      </c>
      <c r="BK2846" t="s">
        <v>31</v>
      </c>
      <c r="BS2846" t="s">
        <v>412</v>
      </c>
      <c r="BT2846" t="s">
        <v>412</v>
      </c>
      <c r="CI2846" t="s">
        <v>388</v>
      </c>
      <c r="CJ2846" s="14">
        <v>45016</v>
      </c>
      <c r="CK2846">
        <v>1</v>
      </c>
    </row>
    <row r="2847" spans="1:89">
      <c r="A2847" t="s">
        <v>1421</v>
      </c>
      <c r="B2847" t="s">
        <v>374</v>
      </c>
      <c r="C2847" t="s">
        <v>1422</v>
      </c>
      <c r="D2847" t="s">
        <v>1432</v>
      </c>
      <c r="E2847" t="s">
        <v>1433</v>
      </c>
      <c r="F2847" s="13">
        <v>44684.593078703707</v>
      </c>
      <c r="G2847" t="s">
        <v>1155</v>
      </c>
      <c r="H2847" t="s">
        <v>1156</v>
      </c>
      <c r="I2847" s="13">
        <v>44684.593622685185</v>
      </c>
      <c r="K2847" t="s">
        <v>412</v>
      </c>
      <c r="R2847">
        <v>0</v>
      </c>
      <c r="S2847" t="s">
        <v>416</v>
      </c>
      <c r="T2847" t="s">
        <v>57</v>
      </c>
      <c r="V2847" t="s">
        <v>381</v>
      </c>
      <c r="W2847" t="s">
        <v>1425</v>
      </c>
      <c r="X2847" t="s">
        <v>1425</v>
      </c>
      <c r="AI2847">
        <v>73</v>
      </c>
      <c r="AL2847" t="s">
        <v>1434</v>
      </c>
      <c r="AN2847" t="s">
        <v>31</v>
      </c>
      <c r="AO2847">
        <v>0</v>
      </c>
      <c r="AS2847" t="s">
        <v>385</v>
      </c>
      <c r="AX2847" t="s">
        <v>31</v>
      </c>
      <c r="AY2847" t="s">
        <v>386</v>
      </c>
      <c r="AZ2847" t="s">
        <v>1435</v>
      </c>
      <c r="BF2847">
        <v>0</v>
      </c>
      <c r="BK2847" t="s">
        <v>31</v>
      </c>
      <c r="BS2847" t="s">
        <v>412</v>
      </c>
      <c r="BT2847" t="s">
        <v>412</v>
      </c>
      <c r="CI2847" t="s">
        <v>388</v>
      </c>
      <c r="CJ2847" s="14">
        <v>45016</v>
      </c>
      <c r="CK2847">
        <v>1</v>
      </c>
    </row>
    <row r="2848" spans="1:89">
      <c r="A2848" t="s">
        <v>1421</v>
      </c>
      <c r="B2848" t="s">
        <v>374</v>
      </c>
      <c r="C2848" t="s">
        <v>1422</v>
      </c>
      <c r="D2848" t="s">
        <v>1436</v>
      </c>
      <c r="E2848" t="s">
        <v>1433</v>
      </c>
      <c r="F2848" s="13">
        <v>44684.567986111113</v>
      </c>
      <c r="G2848" t="s">
        <v>1155</v>
      </c>
      <c r="H2848" t="s">
        <v>1156</v>
      </c>
      <c r="I2848" s="13">
        <v>44684.56821759259</v>
      </c>
      <c r="K2848" t="s">
        <v>409</v>
      </c>
      <c r="R2848">
        <v>0</v>
      </c>
      <c r="S2848" t="s">
        <v>380</v>
      </c>
      <c r="V2848" t="s">
        <v>381</v>
      </c>
      <c r="W2848" t="s">
        <v>1425</v>
      </c>
      <c r="X2848" t="s">
        <v>1425</v>
      </c>
      <c r="AI2848">
        <v>73</v>
      </c>
      <c r="AL2848" t="s">
        <v>1434</v>
      </c>
      <c r="AN2848" t="s">
        <v>31</v>
      </c>
      <c r="AO2848">
        <v>0</v>
      </c>
      <c r="AZ2848" t="s">
        <v>1435</v>
      </c>
      <c r="BF2848">
        <v>0</v>
      </c>
      <c r="BK2848" t="s">
        <v>31</v>
      </c>
      <c r="BS2848" t="s">
        <v>409</v>
      </c>
      <c r="BT2848" t="s">
        <v>409</v>
      </c>
      <c r="CI2848" t="s">
        <v>388</v>
      </c>
      <c r="CJ2848" s="14">
        <v>45016</v>
      </c>
      <c r="CK2848">
        <v>1</v>
      </c>
    </row>
    <row r="2849" spans="1:89">
      <c r="A2849" t="s">
        <v>1421</v>
      </c>
      <c r="B2849" t="s">
        <v>374</v>
      </c>
      <c r="C2849" t="s">
        <v>1422</v>
      </c>
      <c r="D2849" t="s">
        <v>1437</v>
      </c>
      <c r="E2849" t="s">
        <v>1438</v>
      </c>
      <c r="F2849" s="13">
        <v>44684.562303240738</v>
      </c>
      <c r="G2849" t="s">
        <v>1155</v>
      </c>
      <c r="H2849" t="s">
        <v>1156</v>
      </c>
      <c r="I2849" s="13">
        <v>44685.549849537034</v>
      </c>
      <c r="K2849" t="s">
        <v>409</v>
      </c>
      <c r="R2849">
        <v>0</v>
      </c>
      <c r="S2849" t="s">
        <v>380</v>
      </c>
      <c r="V2849" t="s">
        <v>381</v>
      </c>
      <c r="W2849" t="s">
        <v>1425</v>
      </c>
      <c r="X2849" t="s">
        <v>1425</v>
      </c>
      <c r="AI2849">
        <v>58</v>
      </c>
      <c r="AL2849" t="s">
        <v>1434</v>
      </c>
      <c r="AN2849" t="s">
        <v>31</v>
      </c>
      <c r="AO2849">
        <v>0</v>
      </c>
      <c r="AZ2849" t="s">
        <v>1439</v>
      </c>
      <c r="BF2849">
        <v>0</v>
      </c>
      <c r="BK2849" t="s">
        <v>31</v>
      </c>
      <c r="BS2849" t="s">
        <v>409</v>
      </c>
      <c r="BT2849" t="s">
        <v>409</v>
      </c>
      <c r="CI2849" t="s">
        <v>388</v>
      </c>
      <c r="CJ2849" s="14">
        <v>45016</v>
      </c>
      <c r="CK2849">
        <v>1</v>
      </c>
    </row>
    <row r="2850" spans="1:89">
      <c r="A2850" t="s">
        <v>1421</v>
      </c>
      <c r="B2850" t="s">
        <v>374</v>
      </c>
      <c r="C2850" t="s">
        <v>1422</v>
      </c>
      <c r="D2850" t="s">
        <v>1440</v>
      </c>
      <c r="E2850" t="s">
        <v>1441</v>
      </c>
      <c r="F2850" s="13">
        <v>44684.561377314814</v>
      </c>
      <c r="G2850" t="s">
        <v>1155</v>
      </c>
      <c r="H2850" t="s">
        <v>1156</v>
      </c>
      <c r="I2850" s="13">
        <v>44685.55064814815</v>
      </c>
      <c r="K2850" t="s">
        <v>409</v>
      </c>
      <c r="R2850">
        <v>0</v>
      </c>
      <c r="S2850" t="s">
        <v>380</v>
      </c>
      <c r="V2850" t="s">
        <v>381</v>
      </c>
      <c r="W2850" t="s">
        <v>1425</v>
      </c>
      <c r="X2850" t="s">
        <v>1425</v>
      </c>
      <c r="AI2850">
        <v>58</v>
      </c>
      <c r="AL2850" t="s">
        <v>1434</v>
      </c>
      <c r="AN2850" t="s">
        <v>31</v>
      </c>
      <c r="AO2850">
        <v>0</v>
      </c>
      <c r="AZ2850" t="s">
        <v>648</v>
      </c>
      <c r="BF2850">
        <v>0</v>
      </c>
      <c r="BK2850" t="s">
        <v>31</v>
      </c>
      <c r="BS2850" t="s">
        <v>409</v>
      </c>
      <c r="BT2850" t="s">
        <v>409</v>
      </c>
      <c r="CI2850" t="s">
        <v>388</v>
      </c>
      <c r="CJ2850" s="14">
        <v>45016</v>
      </c>
      <c r="CK2850">
        <v>1</v>
      </c>
    </row>
    <row r="2851" spans="1:89">
      <c r="A2851" t="s">
        <v>1421</v>
      </c>
      <c r="B2851" t="s">
        <v>374</v>
      </c>
      <c r="C2851" t="s">
        <v>1422</v>
      </c>
      <c r="D2851" t="s">
        <v>1442</v>
      </c>
      <c r="E2851" t="s">
        <v>1443</v>
      </c>
      <c r="F2851" s="13">
        <v>44684.560428240744</v>
      </c>
      <c r="G2851" t="s">
        <v>1155</v>
      </c>
      <c r="H2851" t="s">
        <v>1156</v>
      </c>
      <c r="I2851" s="13">
        <v>44685.550300925926</v>
      </c>
      <c r="K2851" t="s">
        <v>409</v>
      </c>
      <c r="R2851">
        <v>0</v>
      </c>
      <c r="S2851" t="s">
        <v>380</v>
      </c>
      <c r="V2851" t="s">
        <v>381</v>
      </c>
      <c r="W2851" t="s">
        <v>1425</v>
      </c>
      <c r="X2851" t="s">
        <v>1425</v>
      </c>
      <c r="AI2851">
        <v>28</v>
      </c>
      <c r="AL2851" t="s">
        <v>1434</v>
      </c>
      <c r="AN2851" t="s">
        <v>31</v>
      </c>
      <c r="AO2851">
        <v>0</v>
      </c>
      <c r="AZ2851" t="s">
        <v>1444</v>
      </c>
      <c r="BF2851">
        <v>0</v>
      </c>
      <c r="BK2851" t="s">
        <v>31</v>
      </c>
      <c r="BS2851" t="s">
        <v>409</v>
      </c>
      <c r="BT2851" t="s">
        <v>409</v>
      </c>
      <c r="CI2851" t="s">
        <v>388</v>
      </c>
      <c r="CJ2851" s="14">
        <v>45016</v>
      </c>
      <c r="CK2851">
        <v>1</v>
      </c>
    </row>
    <row r="2852" spans="1:89">
      <c r="A2852" t="s">
        <v>1421</v>
      </c>
      <c r="B2852" t="s">
        <v>374</v>
      </c>
      <c r="C2852" t="s">
        <v>1422</v>
      </c>
      <c r="D2852" t="s">
        <v>1445</v>
      </c>
      <c r="E2852" t="s">
        <v>1433</v>
      </c>
      <c r="F2852" s="13">
        <v>44680.290821759256</v>
      </c>
      <c r="G2852" t="s">
        <v>1155</v>
      </c>
      <c r="H2852" t="s">
        <v>1156</v>
      </c>
      <c r="I2852" s="13">
        <v>45012.044374999998</v>
      </c>
      <c r="K2852" t="s">
        <v>415</v>
      </c>
      <c r="M2852" s="13">
        <v>44757</v>
      </c>
      <c r="R2852">
        <v>100</v>
      </c>
      <c r="S2852" t="s">
        <v>416</v>
      </c>
      <c r="T2852" t="s">
        <v>57</v>
      </c>
      <c r="V2852" t="s">
        <v>478</v>
      </c>
      <c r="W2852" t="s">
        <v>1425</v>
      </c>
      <c r="X2852" t="s">
        <v>1425</v>
      </c>
      <c r="AF2852" t="s">
        <v>451</v>
      </c>
      <c r="AG2852" t="s">
        <v>1446</v>
      </c>
      <c r="AI2852">
        <v>-255</v>
      </c>
      <c r="AL2852" t="s">
        <v>1447</v>
      </c>
      <c r="AN2852" t="s">
        <v>31</v>
      </c>
      <c r="AO2852">
        <v>0</v>
      </c>
      <c r="AS2852" t="s">
        <v>385</v>
      </c>
      <c r="AX2852" t="s">
        <v>31</v>
      </c>
      <c r="AY2852" t="s">
        <v>386</v>
      </c>
      <c r="AZ2852" t="s">
        <v>1435</v>
      </c>
      <c r="BF2852">
        <v>0</v>
      </c>
      <c r="BK2852" t="s">
        <v>31</v>
      </c>
      <c r="BS2852" t="s">
        <v>419</v>
      </c>
      <c r="BT2852" t="s">
        <v>419</v>
      </c>
      <c r="CI2852" t="s">
        <v>388</v>
      </c>
      <c r="CJ2852" s="14">
        <v>45016</v>
      </c>
      <c r="CK2852">
        <v>1</v>
      </c>
    </row>
    <row r="2853" spans="1:89">
      <c r="A2853" t="s">
        <v>1421</v>
      </c>
      <c r="B2853" t="s">
        <v>374</v>
      </c>
      <c r="C2853" t="s">
        <v>1422</v>
      </c>
      <c r="D2853" t="s">
        <v>1448</v>
      </c>
      <c r="E2853" t="s">
        <v>1449</v>
      </c>
      <c r="F2853" s="13">
        <v>44680.28979166667</v>
      </c>
      <c r="G2853" t="s">
        <v>1155</v>
      </c>
      <c r="H2853" t="s">
        <v>1156</v>
      </c>
      <c r="I2853" s="13">
        <v>45012.044363425928</v>
      </c>
      <c r="K2853" t="s">
        <v>415</v>
      </c>
      <c r="M2853" s="13">
        <v>44742</v>
      </c>
      <c r="R2853">
        <v>0</v>
      </c>
      <c r="S2853" t="s">
        <v>380</v>
      </c>
      <c r="T2853" t="s">
        <v>57</v>
      </c>
      <c r="V2853" t="s">
        <v>478</v>
      </c>
      <c r="W2853" t="s">
        <v>1425</v>
      </c>
      <c r="X2853" t="s">
        <v>1425</v>
      </c>
      <c r="AC2853" s="13">
        <v>44676</v>
      </c>
      <c r="AD2853" s="13">
        <v>44645</v>
      </c>
      <c r="AF2853" t="s">
        <v>451</v>
      </c>
      <c r="AI2853">
        <v>-270</v>
      </c>
      <c r="AL2853" t="s">
        <v>1447</v>
      </c>
      <c r="AN2853" t="s">
        <v>31</v>
      </c>
      <c r="AO2853">
        <v>0</v>
      </c>
      <c r="AS2853" t="s">
        <v>385</v>
      </c>
      <c r="AX2853" t="s">
        <v>31</v>
      </c>
      <c r="AY2853" t="s">
        <v>386</v>
      </c>
      <c r="AZ2853" t="s">
        <v>1439</v>
      </c>
      <c r="BF2853">
        <v>0</v>
      </c>
      <c r="BK2853" t="s">
        <v>31</v>
      </c>
      <c r="BS2853" t="s">
        <v>419</v>
      </c>
      <c r="BT2853" t="s">
        <v>419</v>
      </c>
      <c r="CI2853" t="s">
        <v>388</v>
      </c>
      <c r="CJ2853" s="14">
        <v>45016</v>
      </c>
      <c r="CK2853">
        <v>1</v>
      </c>
    </row>
    <row r="2854" spans="1:89">
      <c r="A2854" t="s">
        <v>1421</v>
      </c>
      <c r="B2854" t="s">
        <v>374</v>
      </c>
      <c r="C2854" t="s">
        <v>1422</v>
      </c>
      <c r="D2854" t="s">
        <v>1450</v>
      </c>
      <c r="E2854" t="s">
        <v>1451</v>
      </c>
      <c r="F2854" s="13">
        <v>44680.289074074077</v>
      </c>
      <c r="G2854" t="s">
        <v>1155</v>
      </c>
      <c r="H2854" t="s">
        <v>1156</v>
      </c>
      <c r="I2854" s="13">
        <v>45012.044363425928</v>
      </c>
      <c r="K2854" t="s">
        <v>415</v>
      </c>
      <c r="M2854" s="13">
        <v>44742</v>
      </c>
      <c r="R2854">
        <v>0</v>
      </c>
      <c r="S2854" t="s">
        <v>380</v>
      </c>
      <c r="T2854" t="s">
        <v>57</v>
      </c>
      <c r="V2854" t="s">
        <v>478</v>
      </c>
      <c r="W2854" t="s">
        <v>1425</v>
      </c>
      <c r="X2854" t="s">
        <v>1425</v>
      </c>
      <c r="AF2854" t="s">
        <v>451</v>
      </c>
      <c r="AI2854">
        <v>-270</v>
      </c>
      <c r="AL2854" t="s">
        <v>1447</v>
      </c>
      <c r="AN2854" t="s">
        <v>31</v>
      </c>
      <c r="AO2854">
        <v>0</v>
      </c>
      <c r="AS2854" t="s">
        <v>648</v>
      </c>
      <c r="AX2854" t="s">
        <v>31</v>
      </c>
      <c r="AY2854" t="s">
        <v>386</v>
      </c>
      <c r="AZ2854" t="s">
        <v>648</v>
      </c>
      <c r="BF2854">
        <v>0</v>
      </c>
      <c r="BK2854" t="s">
        <v>31</v>
      </c>
      <c r="BS2854" t="s">
        <v>419</v>
      </c>
      <c r="BT2854" t="s">
        <v>419</v>
      </c>
      <c r="CI2854" t="s">
        <v>388</v>
      </c>
      <c r="CJ2854" s="14">
        <v>45016</v>
      </c>
      <c r="CK2854">
        <v>1</v>
      </c>
    </row>
    <row r="2855" spans="1:89">
      <c r="A2855" t="s">
        <v>1421</v>
      </c>
      <c r="B2855" t="s">
        <v>374</v>
      </c>
      <c r="C2855" t="s">
        <v>1422</v>
      </c>
      <c r="D2855" t="s">
        <v>1452</v>
      </c>
      <c r="E2855" t="s">
        <v>1443</v>
      </c>
      <c r="F2855" s="13">
        <v>44680.288368055553</v>
      </c>
      <c r="G2855" t="s">
        <v>1155</v>
      </c>
      <c r="H2855" t="s">
        <v>1156</v>
      </c>
      <c r="I2855" s="13">
        <v>45012.044363425928</v>
      </c>
      <c r="K2855" t="s">
        <v>415</v>
      </c>
      <c r="M2855" s="13">
        <v>44712</v>
      </c>
      <c r="R2855">
        <v>0</v>
      </c>
      <c r="S2855" t="s">
        <v>380</v>
      </c>
      <c r="T2855" t="s">
        <v>57</v>
      </c>
      <c r="V2855" t="s">
        <v>478</v>
      </c>
      <c r="W2855" t="s">
        <v>1425</v>
      </c>
      <c r="X2855" t="s">
        <v>1425</v>
      </c>
      <c r="AF2855" t="s">
        <v>451</v>
      </c>
      <c r="AI2855">
        <v>-300</v>
      </c>
      <c r="AL2855" t="s">
        <v>1447</v>
      </c>
      <c r="AN2855" t="s">
        <v>31</v>
      </c>
      <c r="AO2855">
        <v>0</v>
      </c>
      <c r="AS2855" t="s">
        <v>385</v>
      </c>
      <c r="AX2855" t="s">
        <v>31</v>
      </c>
      <c r="AY2855" t="s">
        <v>386</v>
      </c>
      <c r="AZ2855" t="s">
        <v>1444</v>
      </c>
      <c r="BF2855">
        <v>0</v>
      </c>
      <c r="BK2855" t="s">
        <v>31</v>
      </c>
      <c r="BS2855" t="s">
        <v>419</v>
      </c>
      <c r="BT2855" t="s">
        <v>419</v>
      </c>
      <c r="CI2855" t="s">
        <v>388</v>
      </c>
      <c r="CJ2855" s="14">
        <v>45016</v>
      </c>
      <c r="CK2855">
        <v>1</v>
      </c>
    </row>
    <row r="2856" spans="1:89">
      <c r="A2856" t="s">
        <v>435</v>
      </c>
      <c r="B2856" t="s">
        <v>374</v>
      </c>
      <c r="C2856" t="s">
        <v>436</v>
      </c>
      <c r="D2856" t="s">
        <v>1453</v>
      </c>
      <c r="E2856" t="s">
        <v>1454</v>
      </c>
      <c r="F2856" s="13">
        <v>44665.52516203704</v>
      </c>
      <c r="G2856" t="s">
        <v>1139</v>
      </c>
      <c r="H2856" t="s">
        <v>1140</v>
      </c>
      <c r="I2856" s="13">
        <v>44665.534675925926</v>
      </c>
      <c r="K2856" t="s">
        <v>379</v>
      </c>
      <c r="M2856" s="13">
        <v>44712</v>
      </c>
      <c r="R2856">
        <v>100</v>
      </c>
      <c r="S2856" t="s">
        <v>380</v>
      </c>
      <c r="T2856" t="s">
        <v>57</v>
      </c>
      <c r="V2856" t="s">
        <v>381</v>
      </c>
      <c r="W2856" t="s">
        <v>1141</v>
      </c>
      <c r="X2856" t="s">
        <v>1141</v>
      </c>
      <c r="AC2856" s="13">
        <v>44742</v>
      </c>
      <c r="AD2856" s="13">
        <v>44712</v>
      </c>
      <c r="AF2856" t="s">
        <v>382</v>
      </c>
      <c r="AG2856" t="s">
        <v>1455</v>
      </c>
      <c r="AI2856">
        <v>47</v>
      </c>
      <c r="AL2856" t="s">
        <v>1456</v>
      </c>
      <c r="AN2856" t="s">
        <v>31</v>
      </c>
      <c r="AO2856">
        <v>0</v>
      </c>
      <c r="AS2856" t="s">
        <v>385</v>
      </c>
      <c r="AX2856" t="s">
        <v>57</v>
      </c>
      <c r="AY2856" t="s">
        <v>386</v>
      </c>
      <c r="AZ2856" t="s">
        <v>1457</v>
      </c>
      <c r="BE2856" t="s">
        <v>1458</v>
      </c>
      <c r="BF2856">
        <v>0</v>
      </c>
      <c r="BK2856" t="s">
        <v>31</v>
      </c>
      <c r="BS2856" t="s">
        <v>379</v>
      </c>
      <c r="BT2856" t="s">
        <v>379</v>
      </c>
      <c r="CI2856" t="s">
        <v>388</v>
      </c>
      <c r="CJ2856" s="14">
        <v>45016</v>
      </c>
      <c r="CK2856">
        <v>1</v>
      </c>
    </row>
    <row r="2857" spans="1:89">
      <c r="A2857" t="s">
        <v>1459</v>
      </c>
      <c r="B2857" t="s">
        <v>374</v>
      </c>
      <c r="C2857" t="s">
        <v>1460</v>
      </c>
      <c r="D2857" t="s">
        <v>1461</v>
      </c>
      <c r="E2857" t="s">
        <v>1462</v>
      </c>
      <c r="F2857" s="13">
        <v>44650.419722222221</v>
      </c>
      <c r="G2857" t="s">
        <v>1463</v>
      </c>
      <c r="H2857" t="s">
        <v>1464</v>
      </c>
      <c r="I2857" s="13">
        <v>45012.044351851851</v>
      </c>
      <c r="K2857" t="s">
        <v>415</v>
      </c>
      <c r="M2857" s="13">
        <v>44651</v>
      </c>
      <c r="R2857">
        <v>0</v>
      </c>
      <c r="S2857" t="s">
        <v>380</v>
      </c>
      <c r="T2857" t="s">
        <v>57</v>
      </c>
      <c r="V2857" t="s">
        <v>478</v>
      </c>
      <c r="W2857" t="s">
        <v>1465</v>
      </c>
      <c r="X2857" t="s">
        <v>1465</v>
      </c>
      <c r="Y2857" t="s">
        <v>480</v>
      </c>
      <c r="AF2857" t="s">
        <v>451</v>
      </c>
      <c r="AI2857">
        <v>-361</v>
      </c>
      <c r="AL2857" t="s">
        <v>1466</v>
      </c>
      <c r="AN2857" t="s">
        <v>31</v>
      </c>
      <c r="AO2857">
        <v>0</v>
      </c>
      <c r="AS2857" t="s">
        <v>881</v>
      </c>
      <c r="AT2857" t="s">
        <v>31</v>
      </c>
      <c r="AX2857" t="s">
        <v>57</v>
      </c>
      <c r="AY2857" t="s">
        <v>386</v>
      </c>
      <c r="AZ2857" t="s">
        <v>1467</v>
      </c>
      <c r="BF2857">
        <v>0</v>
      </c>
      <c r="BK2857" t="s">
        <v>31</v>
      </c>
      <c r="BS2857" t="s">
        <v>484</v>
      </c>
      <c r="BT2857" t="s">
        <v>484</v>
      </c>
      <c r="CI2857" t="s">
        <v>388</v>
      </c>
      <c r="CJ2857" s="14">
        <v>45016</v>
      </c>
      <c r="CK2857">
        <v>1</v>
      </c>
    </row>
    <row r="2858" spans="1:89">
      <c r="A2858" t="s">
        <v>1468</v>
      </c>
      <c r="B2858" t="s">
        <v>374</v>
      </c>
      <c r="C2858" t="s">
        <v>1469</v>
      </c>
      <c r="D2858" t="s">
        <v>1470</v>
      </c>
      <c r="E2858" t="s">
        <v>1471</v>
      </c>
      <c r="F2858" s="13">
        <v>44645.876875000002</v>
      </c>
      <c r="G2858" t="s">
        <v>1472</v>
      </c>
      <c r="H2858" t="s">
        <v>1473</v>
      </c>
      <c r="I2858" s="13">
        <v>45012.044351851851</v>
      </c>
      <c r="K2858" t="s">
        <v>415</v>
      </c>
      <c r="M2858" s="13">
        <v>44712</v>
      </c>
      <c r="R2858">
        <v>0</v>
      </c>
      <c r="S2858" t="s">
        <v>380</v>
      </c>
      <c r="T2858" t="s">
        <v>57</v>
      </c>
      <c r="V2858" t="s">
        <v>478</v>
      </c>
      <c r="W2858" t="s">
        <v>1474</v>
      </c>
      <c r="X2858" t="s">
        <v>1474</v>
      </c>
      <c r="AF2858" t="s">
        <v>451</v>
      </c>
      <c r="AI2858">
        <v>-300</v>
      </c>
      <c r="AL2858" t="s">
        <v>1475</v>
      </c>
      <c r="AN2858" t="s">
        <v>31</v>
      </c>
      <c r="AO2858">
        <v>0</v>
      </c>
      <c r="AS2858" t="s">
        <v>385</v>
      </c>
      <c r="AX2858" t="s">
        <v>31</v>
      </c>
      <c r="AY2858" t="s">
        <v>386</v>
      </c>
      <c r="AZ2858" t="s">
        <v>1476</v>
      </c>
      <c r="BF2858">
        <v>0</v>
      </c>
      <c r="BK2858" t="s">
        <v>31</v>
      </c>
      <c r="BS2858" t="s">
        <v>419</v>
      </c>
      <c r="BT2858" t="s">
        <v>419</v>
      </c>
      <c r="CI2858" t="s">
        <v>388</v>
      </c>
      <c r="CJ2858" s="14">
        <v>45016</v>
      </c>
      <c r="CK2858">
        <v>1</v>
      </c>
    </row>
    <row r="2859" spans="1:89">
      <c r="A2859" t="s">
        <v>1468</v>
      </c>
      <c r="B2859" t="s">
        <v>374</v>
      </c>
      <c r="C2859" t="s">
        <v>1469</v>
      </c>
      <c r="D2859" t="s">
        <v>1477</v>
      </c>
      <c r="E2859" t="s">
        <v>1478</v>
      </c>
      <c r="F2859" s="13">
        <v>44645.869328703702</v>
      </c>
      <c r="G2859" t="s">
        <v>1472</v>
      </c>
      <c r="H2859" t="s">
        <v>1473</v>
      </c>
      <c r="I2859" s="13">
        <v>44645.875</v>
      </c>
      <c r="K2859" t="s">
        <v>409</v>
      </c>
      <c r="R2859">
        <v>0</v>
      </c>
      <c r="S2859" t="s">
        <v>380</v>
      </c>
      <c r="T2859" t="s">
        <v>57</v>
      </c>
      <c r="V2859" t="s">
        <v>381</v>
      </c>
      <c r="W2859" t="s">
        <v>1474</v>
      </c>
      <c r="X2859" t="s">
        <v>1474</v>
      </c>
      <c r="AI2859">
        <v>67</v>
      </c>
      <c r="AL2859" t="s">
        <v>1475</v>
      </c>
      <c r="AN2859" t="s">
        <v>31</v>
      </c>
      <c r="AO2859">
        <v>0</v>
      </c>
      <c r="AS2859" t="s">
        <v>385</v>
      </c>
      <c r="AX2859" t="s">
        <v>31</v>
      </c>
      <c r="AY2859" t="s">
        <v>386</v>
      </c>
      <c r="AZ2859" t="s">
        <v>1476</v>
      </c>
      <c r="BF2859">
        <v>1</v>
      </c>
      <c r="BK2859" t="s">
        <v>31</v>
      </c>
      <c r="BS2859" t="s">
        <v>409</v>
      </c>
      <c r="BT2859" t="s">
        <v>409</v>
      </c>
      <c r="CI2859" t="s">
        <v>388</v>
      </c>
      <c r="CJ2859" s="14">
        <v>45016</v>
      </c>
      <c r="CK2859">
        <v>1</v>
      </c>
    </row>
    <row r="2860" spans="1:89">
      <c r="A2860" t="s">
        <v>1479</v>
      </c>
      <c r="B2860" t="s">
        <v>374</v>
      </c>
      <c r="C2860" t="s">
        <v>1480</v>
      </c>
      <c r="D2860" t="s">
        <v>1481</v>
      </c>
      <c r="E2860" t="s">
        <v>1482</v>
      </c>
      <c r="F2860" s="13">
        <v>44645.568483796298</v>
      </c>
      <c r="G2860" t="s">
        <v>1483</v>
      </c>
      <c r="H2860" t="s">
        <v>1484</v>
      </c>
      <c r="I2860" s="13">
        <v>45012.044351851851</v>
      </c>
      <c r="K2860" t="s">
        <v>415</v>
      </c>
      <c r="M2860" s="13">
        <v>44699</v>
      </c>
      <c r="R2860">
        <v>0</v>
      </c>
      <c r="S2860" t="s">
        <v>380</v>
      </c>
      <c r="T2860" t="s">
        <v>57</v>
      </c>
      <c r="V2860" t="s">
        <v>478</v>
      </c>
      <c r="W2860" t="s">
        <v>1485</v>
      </c>
      <c r="X2860" t="s">
        <v>1485</v>
      </c>
      <c r="AC2860" s="13">
        <v>44699</v>
      </c>
      <c r="AD2860" s="13">
        <v>44610</v>
      </c>
      <c r="AF2860" t="s">
        <v>451</v>
      </c>
      <c r="AI2860">
        <v>-313</v>
      </c>
      <c r="AL2860" t="s">
        <v>1486</v>
      </c>
      <c r="AN2860" t="s">
        <v>31</v>
      </c>
      <c r="AO2860">
        <v>0</v>
      </c>
      <c r="AS2860" t="s">
        <v>648</v>
      </c>
      <c r="AX2860" t="s">
        <v>31</v>
      </c>
      <c r="AY2860" t="s">
        <v>386</v>
      </c>
      <c r="AZ2860" t="s">
        <v>1487</v>
      </c>
      <c r="BF2860">
        <v>0</v>
      </c>
      <c r="BK2860" t="s">
        <v>31</v>
      </c>
      <c r="BS2860" t="s">
        <v>419</v>
      </c>
      <c r="BT2860" t="s">
        <v>419</v>
      </c>
      <c r="CI2860" t="s">
        <v>388</v>
      </c>
      <c r="CJ2860" s="14">
        <v>45016</v>
      </c>
      <c r="CK2860">
        <v>1</v>
      </c>
    </row>
    <row r="2861" spans="1:89">
      <c r="A2861" t="s">
        <v>1479</v>
      </c>
      <c r="B2861" t="s">
        <v>374</v>
      </c>
      <c r="C2861" t="s">
        <v>1480</v>
      </c>
      <c r="D2861" t="s">
        <v>1488</v>
      </c>
      <c r="E2861" t="s">
        <v>1489</v>
      </c>
      <c r="F2861" s="13">
        <v>44645.440960648149</v>
      </c>
      <c r="G2861" t="s">
        <v>1483</v>
      </c>
      <c r="H2861" t="s">
        <v>1484</v>
      </c>
      <c r="I2861" s="13">
        <v>45012.044340277775</v>
      </c>
      <c r="K2861" t="s">
        <v>415</v>
      </c>
      <c r="M2861" s="13">
        <v>44687</v>
      </c>
      <c r="R2861">
        <v>0</v>
      </c>
      <c r="S2861" t="s">
        <v>380</v>
      </c>
      <c r="T2861" t="s">
        <v>57</v>
      </c>
      <c r="V2861" t="s">
        <v>478</v>
      </c>
      <c r="W2861" t="s">
        <v>1490</v>
      </c>
      <c r="X2861" t="s">
        <v>1490</v>
      </c>
      <c r="AC2861" s="13">
        <v>44687</v>
      </c>
      <c r="AD2861" s="13">
        <v>44607</v>
      </c>
      <c r="AF2861" t="s">
        <v>451</v>
      </c>
      <c r="AI2861">
        <v>-325</v>
      </c>
      <c r="AL2861" t="s">
        <v>1491</v>
      </c>
      <c r="AN2861" t="s">
        <v>31</v>
      </c>
      <c r="AO2861">
        <v>0</v>
      </c>
      <c r="AS2861" t="s">
        <v>702</v>
      </c>
      <c r="AX2861" t="s">
        <v>31</v>
      </c>
      <c r="AY2861" t="s">
        <v>386</v>
      </c>
      <c r="AZ2861" t="s">
        <v>1492</v>
      </c>
      <c r="BF2861">
        <v>0</v>
      </c>
      <c r="BK2861" t="s">
        <v>31</v>
      </c>
      <c r="BS2861" t="s">
        <v>419</v>
      </c>
      <c r="BT2861" t="s">
        <v>419</v>
      </c>
      <c r="CI2861" t="s">
        <v>388</v>
      </c>
      <c r="CJ2861" s="14">
        <v>45016</v>
      </c>
      <c r="CK2861">
        <v>1</v>
      </c>
    </row>
    <row r="2862" spans="1:89">
      <c r="A2862" t="s">
        <v>1479</v>
      </c>
      <c r="B2862" t="s">
        <v>374</v>
      </c>
      <c r="C2862" t="s">
        <v>1480</v>
      </c>
      <c r="D2862" t="s">
        <v>1493</v>
      </c>
      <c r="E2862" t="s">
        <v>1494</v>
      </c>
      <c r="F2862" s="13">
        <v>44645.331284722219</v>
      </c>
      <c r="G2862" t="s">
        <v>1483</v>
      </c>
      <c r="H2862" t="s">
        <v>1484</v>
      </c>
      <c r="I2862" s="13">
        <v>45012.044340277775</v>
      </c>
      <c r="K2862" t="s">
        <v>415</v>
      </c>
      <c r="M2862" s="13">
        <v>44704</v>
      </c>
      <c r="R2862">
        <v>0</v>
      </c>
      <c r="S2862" t="s">
        <v>380</v>
      </c>
      <c r="T2862" t="s">
        <v>57</v>
      </c>
      <c r="V2862" t="s">
        <v>478</v>
      </c>
      <c r="W2862" t="s">
        <v>1485</v>
      </c>
      <c r="X2862" t="s">
        <v>1485</v>
      </c>
      <c r="AC2862" s="13">
        <v>44704</v>
      </c>
      <c r="AD2862" s="13">
        <v>44610</v>
      </c>
      <c r="AF2862" t="s">
        <v>451</v>
      </c>
      <c r="AI2862">
        <v>-308</v>
      </c>
      <c r="AL2862" t="s">
        <v>1495</v>
      </c>
      <c r="AN2862" t="s">
        <v>31</v>
      </c>
      <c r="AO2862">
        <v>0</v>
      </c>
      <c r="AS2862" t="s">
        <v>385</v>
      </c>
      <c r="AX2862" t="s">
        <v>31</v>
      </c>
      <c r="AY2862" t="s">
        <v>386</v>
      </c>
      <c r="AZ2862" t="s">
        <v>1496</v>
      </c>
      <c r="BF2862">
        <v>0</v>
      </c>
      <c r="BK2862" t="s">
        <v>31</v>
      </c>
      <c r="BS2862" t="s">
        <v>419</v>
      </c>
      <c r="BT2862" t="s">
        <v>419</v>
      </c>
      <c r="CI2862" t="s">
        <v>388</v>
      </c>
      <c r="CJ2862" s="14">
        <v>45016</v>
      </c>
      <c r="CK2862">
        <v>1</v>
      </c>
    </row>
    <row r="2863" spans="1:89">
      <c r="A2863" t="s">
        <v>1497</v>
      </c>
      <c r="B2863" t="s">
        <v>374</v>
      </c>
      <c r="C2863" t="s">
        <v>1498</v>
      </c>
      <c r="D2863" t="s">
        <v>1499</v>
      </c>
      <c r="E2863" t="s">
        <v>1500</v>
      </c>
      <c r="F2863" s="13">
        <v>44644.64980324074</v>
      </c>
      <c r="G2863" t="s">
        <v>1501</v>
      </c>
      <c r="H2863" t="s">
        <v>1502</v>
      </c>
      <c r="I2863" s="13">
        <v>45012.044340277775</v>
      </c>
      <c r="K2863" t="s">
        <v>415</v>
      </c>
      <c r="M2863" s="13">
        <v>44742</v>
      </c>
      <c r="R2863">
        <v>0</v>
      </c>
      <c r="S2863" t="s">
        <v>380</v>
      </c>
      <c r="T2863" t="s">
        <v>57</v>
      </c>
      <c r="V2863" t="s">
        <v>478</v>
      </c>
      <c r="W2863" t="s">
        <v>1503</v>
      </c>
      <c r="X2863" t="s">
        <v>1503</v>
      </c>
      <c r="AC2863" s="13">
        <v>44742</v>
      </c>
      <c r="AD2863" s="13">
        <v>44742</v>
      </c>
      <c r="AF2863" t="s">
        <v>451</v>
      </c>
      <c r="AI2863">
        <v>-270</v>
      </c>
      <c r="AL2863" t="s">
        <v>1504</v>
      </c>
      <c r="AN2863" t="s">
        <v>31</v>
      </c>
      <c r="AO2863">
        <v>0</v>
      </c>
      <c r="AS2863" t="s">
        <v>538</v>
      </c>
      <c r="AX2863" t="s">
        <v>57</v>
      </c>
      <c r="AY2863" t="s">
        <v>442</v>
      </c>
      <c r="AZ2863" t="s">
        <v>1505</v>
      </c>
      <c r="BF2863">
        <v>0</v>
      </c>
      <c r="BK2863" t="s">
        <v>31</v>
      </c>
      <c r="BS2863" t="s">
        <v>419</v>
      </c>
      <c r="BT2863" t="s">
        <v>419</v>
      </c>
      <c r="CI2863" t="s">
        <v>388</v>
      </c>
      <c r="CJ2863" s="14">
        <v>45016</v>
      </c>
      <c r="CK2863">
        <v>1</v>
      </c>
    </row>
    <row r="2864" spans="1:89">
      <c r="A2864" t="s">
        <v>1497</v>
      </c>
      <c r="B2864" t="s">
        <v>374</v>
      </c>
      <c r="C2864" t="s">
        <v>1498</v>
      </c>
      <c r="D2864" t="s">
        <v>1506</v>
      </c>
      <c r="E2864" t="s">
        <v>1507</v>
      </c>
      <c r="F2864" s="13">
        <v>44644.645532407405</v>
      </c>
      <c r="G2864" t="s">
        <v>1501</v>
      </c>
      <c r="H2864" t="s">
        <v>1502</v>
      </c>
      <c r="I2864" s="13">
        <v>45012.044340277775</v>
      </c>
      <c r="K2864" t="s">
        <v>415</v>
      </c>
      <c r="M2864" s="13">
        <v>44742</v>
      </c>
      <c r="R2864">
        <v>0</v>
      </c>
      <c r="S2864" t="s">
        <v>380</v>
      </c>
      <c r="T2864" t="s">
        <v>57</v>
      </c>
      <c r="V2864" t="s">
        <v>478</v>
      </c>
      <c r="W2864" t="s">
        <v>1503</v>
      </c>
      <c r="X2864" t="s">
        <v>1503</v>
      </c>
      <c r="AC2864" s="13">
        <v>44742</v>
      </c>
      <c r="AD2864" s="13">
        <v>44742</v>
      </c>
      <c r="AF2864" t="s">
        <v>451</v>
      </c>
      <c r="AI2864">
        <v>-270</v>
      </c>
      <c r="AL2864" t="s">
        <v>1504</v>
      </c>
      <c r="AN2864" t="s">
        <v>31</v>
      </c>
      <c r="AO2864">
        <v>0</v>
      </c>
      <c r="AS2864" t="s">
        <v>538</v>
      </c>
      <c r="AX2864" t="s">
        <v>57</v>
      </c>
      <c r="AY2864" t="s">
        <v>442</v>
      </c>
      <c r="AZ2864" t="s">
        <v>1508</v>
      </c>
      <c r="BF2864">
        <v>0</v>
      </c>
      <c r="BK2864" t="s">
        <v>31</v>
      </c>
      <c r="BS2864" t="s">
        <v>419</v>
      </c>
      <c r="BT2864" t="s">
        <v>419</v>
      </c>
      <c r="CI2864" t="s">
        <v>388</v>
      </c>
      <c r="CJ2864" s="14">
        <v>45016</v>
      </c>
      <c r="CK2864">
        <v>1</v>
      </c>
    </row>
    <row r="2865" spans="1:89">
      <c r="A2865" t="s">
        <v>1497</v>
      </c>
      <c r="B2865" t="s">
        <v>374</v>
      </c>
      <c r="C2865" t="s">
        <v>1498</v>
      </c>
      <c r="D2865" t="s">
        <v>1509</v>
      </c>
      <c r="E2865" t="s">
        <v>1510</v>
      </c>
      <c r="F2865" s="13">
        <v>44644.641585648147</v>
      </c>
      <c r="G2865" t="s">
        <v>1501</v>
      </c>
      <c r="H2865" t="s">
        <v>1502</v>
      </c>
      <c r="I2865" s="13">
        <v>45012.044328703705</v>
      </c>
      <c r="K2865" t="s">
        <v>415</v>
      </c>
      <c r="M2865" s="13">
        <v>44742</v>
      </c>
      <c r="R2865">
        <v>0</v>
      </c>
      <c r="S2865" t="s">
        <v>380</v>
      </c>
      <c r="T2865" t="s">
        <v>57</v>
      </c>
      <c r="V2865" t="s">
        <v>478</v>
      </c>
      <c r="W2865" t="s">
        <v>1503</v>
      </c>
      <c r="X2865" t="s">
        <v>1503</v>
      </c>
      <c r="AC2865" s="13">
        <v>44742</v>
      </c>
      <c r="AD2865" s="13">
        <v>44742</v>
      </c>
      <c r="AF2865" t="s">
        <v>451</v>
      </c>
      <c r="AI2865">
        <v>-270</v>
      </c>
      <c r="AL2865" t="s">
        <v>1504</v>
      </c>
      <c r="AN2865" t="s">
        <v>31</v>
      </c>
      <c r="AO2865">
        <v>0</v>
      </c>
      <c r="AS2865" t="s">
        <v>538</v>
      </c>
      <c r="AX2865" t="s">
        <v>57</v>
      </c>
      <c r="AY2865" t="s">
        <v>442</v>
      </c>
      <c r="AZ2865" t="s">
        <v>1511</v>
      </c>
      <c r="BF2865">
        <v>0</v>
      </c>
      <c r="BK2865" t="s">
        <v>31</v>
      </c>
      <c r="BS2865" t="s">
        <v>419</v>
      </c>
      <c r="BT2865" t="s">
        <v>419</v>
      </c>
      <c r="CI2865" t="s">
        <v>388</v>
      </c>
      <c r="CJ2865" s="14">
        <v>45016</v>
      </c>
      <c r="CK2865">
        <v>1</v>
      </c>
    </row>
    <row r="2866" spans="1:89">
      <c r="A2866" t="s">
        <v>1497</v>
      </c>
      <c r="B2866" t="s">
        <v>374</v>
      </c>
      <c r="C2866" t="s">
        <v>1498</v>
      </c>
      <c r="D2866" t="s">
        <v>1512</v>
      </c>
      <c r="E2866" t="s">
        <v>1513</v>
      </c>
      <c r="F2866" s="13">
        <v>44644.626018518517</v>
      </c>
      <c r="G2866" t="s">
        <v>1501</v>
      </c>
      <c r="H2866" t="s">
        <v>1502</v>
      </c>
      <c r="I2866" s="13">
        <v>45012.044328703705</v>
      </c>
      <c r="K2866" t="s">
        <v>415</v>
      </c>
      <c r="M2866" s="13">
        <v>44742</v>
      </c>
      <c r="R2866">
        <v>0</v>
      </c>
      <c r="S2866" t="s">
        <v>380</v>
      </c>
      <c r="T2866" t="s">
        <v>57</v>
      </c>
      <c r="V2866" t="s">
        <v>478</v>
      </c>
      <c r="W2866" t="s">
        <v>1503</v>
      </c>
      <c r="X2866" t="s">
        <v>1503</v>
      </c>
      <c r="AC2866" s="13">
        <v>44742</v>
      </c>
      <c r="AD2866" s="13">
        <v>44742</v>
      </c>
      <c r="AF2866" t="s">
        <v>451</v>
      </c>
      <c r="AI2866">
        <v>-270</v>
      </c>
      <c r="AL2866" t="s">
        <v>1504</v>
      </c>
      <c r="AN2866" t="s">
        <v>31</v>
      </c>
      <c r="AO2866">
        <v>0</v>
      </c>
      <c r="AS2866" t="s">
        <v>538</v>
      </c>
      <c r="AX2866" t="s">
        <v>57</v>
      </c>
      <c r="AY2866" t="s">
        <v>442</v>
      </c>
      <c r="AZ2866" t="s">
        <v>1514</v>
      </c>
      <c r="BF2866">
        <v>0</v>
      </c>
      <c r="BK2866" t="s">
        <v>31</v>
      </c>
      <c r="BS2866" t="s">
        <v>419</v>
      </c>
      <c r="BT2866" t="s">
        <v>419</v>
      </c>
      <c r="CI2866" t="s">
        <v>388</v>
      </c>
      <c r="CJ2866" s="14">
        <v>45016</v>
      </c>
      <c r="CK2866">
        <v>1</v>
      </c>
    </row>
    <row r="2867" spans="1:89">
      <c r="A2867" t="s">
        <v>1497</v>
      </c>
      <c r="B2867" t="s">
        <v>374</v>
      </c>
      <c r="C2867" t="s">
        <v>1498</v>
      </c>
      <c r="D2867" t="s">
        <v>1515</v>
      </c>
      <c r="E2867" t="s">
        <v>1516</v>
      </c>
      <c r="F2867" s="13">
        <v>44644.612858796296</v>
      </c>
      <c r="G2867" t="s">
        <v>1501</v>
      </c>
      <c r="H2867" t="s">
        <v>1502</v>
      </c>
      <c r="I2867" s="13">
        <v>45012.044328703705</v>
      </c>
      <c r="K2867" t="s">
        <v>415</v>
      </c>
      <c r="M2867" s="13">
        <v>44742</v>
      </c>
      <c r="R2867">
        <v>0</v>
      </c>
      <c r="S2867" t="s">
        <v>380</v>
      </c>
      <c r="T2867" t="s">
        <v>57</v>
      </c>
      <c r="V2867" t="s">
        <v>478</v>
      </c>
      <c r="W2867" t="s">
        <v>1503</v>
      </c>
      <c r="X2867" t="s">
        <v>1503</v>
      </c>
      <c r="AC2867" s="13">
        <v>44742</v>
      </c>
      <c r="AD2867" s="13">
        <v>44742</v>
      </c>
      <c r="AF2867" t="s">
        <v>451</v>
      </c>
      <c r="AI2867">
        <v>-270</v>
      </c>
      <c r="AL2867" t="s">
        <v>1504</v>
      </c>
      <c r="AN2867" t="s">
        <v>31</v>
      </c>
      <c r="AO2867">
        <v>0</v>
      </c>
      <c r="AS2867" t="s">
        <v>538</v>
      </c>
      <c r="AX2867" t="s">
        <v>57</v>
      </c>
      <c r="AY2867" t="s">
        <v>442</v>
      </c>
      <c r="AZ2867" t="s">
        <v>1517</v>
      </c>
      <c r="BF2867">
        <v>0</v>
      </c>
      <c r="BK2867" t="s">
        <v>31</v>
      </c>
      <c r="BS2867" t="s">
        <v>419</v>
      </c>
      <c r="BT2867" t="s">
        <v>419</v>
      </c>
      <c r="CI2867" t="s">
        <v>388</v>
      </c>
      <c r="CJ2867" s="14">
        <v>45016</v>
      </c>
      <c r="CK2867">
        <v>1</v>
      </c>
    </row>
    <row r="2868" spans="1:89">
      <c r="A2868" t="s">
        <v>1497</v>
      </c>
      <c r="B2868" t="s">
        <v>374</v>
      </c>
      <c r="C2868" t="s">
        <v>1498</v>
      </c>
      <c r="D2868" t="s">
        <v>1518</v>
      </c>
      <c r="E2868" t="s">
        <v>1519</v>
      </c>
      <c r="F2868" s="13">
        <v>44644.596377314818</v>
      </c>
      <c r="G2868" t="s">
        <v>1501</v>
      </c>
      <c r="H2868" t="s">
        <v>1502</v>
      </c>
      <c r="I2868" s="13">
        <v>45012.044317129628</v>
      </c>
      <c r="K2868" t="s">
        <v>415</v>
      </c>
      <c r="M2868" s="13">
        <v>44681</v>
      </c>
      <c r="R2868">
        <v>0</v>
      </c>
      <c r="S2868" t="s">
        <v>380</v>
      </c>
      <c r="T2868" t="s">
        <v>57</v>
      </c>
      <c r="V2868" t="s">
        <v>478</v>
      </c>
      <c r="W2868" t="s">
        <v>1503</v>
      </c>
      <c r="X2868" t="s">
        <v>1503</v>
      </c>
      <c r="AC2868" s="13">
        <v>44620</v>
      </c>
      <c r="AD2868" s="13">
        <v>44620</v>
      </c>
      <c r="AF2868" t="s">
        <v>451</v>
      </c>
      <c r="AI2868">
        <v>-331</v>
      </c>
      <c r="AL2868" t="s">
        <v>1520</v>
      </c>
      <c r="AN2868" t="s">
        <v>31</v>
      </c>
      <c r="AO2868">
        <v>0</v>
      </c>
      <c r="AS2868" t="s">
        <v>385</v>
      </c>
      <c r="AX2868" t="s">
        <v>31</v>
      </c>
      <c r="AY2868" t="s">
        <v>442</v>
      </c>
      <c r="AZ2868" t="s">
        <v>1521</v>
      </c>
      <c r="BF2868">
        <v>0</v>
      </c>
      <c r="BK2868" t="s">
        <v>31</v>
      </c>
      <c r="BS2868" t="s">
        <v>419</v>
      </c>
      <c r="BT2868" t="s">
        <v>419</v>
      </c>
      <c r="CI2868" t="s">
        <v>388</v>
      </c>
      <c r="CJ2868" s="14">
        <v>45016</v>
      </c>
      <c r="CK2868">
        <v>1</v>
      </c>
    </row>
    <row r="2869" spans="1:89">
      <c r="A2869" t="s">
        <v>1522</v>
      </c>
      <c r="B2869" t="s">
        <v>374</v>
      </c>
      <c r="C2869" t="s">
        <v>1523</v>
      </c>
      <c r="D2869" t="s">
        <v>1524</v>
      </c>
      <c r="E2869" t="s">
        <v>1525</v>
      </c>
      <c r="F2869" s="13">
        <v>44644.566805555558</v>
      </c>
      <c r="G2869" t="s">
        <v>1526</v>
      </c>
      <c r="H2869" t="s">
        <v>1527</v>
      </c>
      <c r="I2869" s="13">
        <v>44644.56790509259</v>
      </c>
      <c r="K2869" t="s">
        <v>412</v>
      </c>
      <c r="R2869">
        <v>0</v>
      </c>
      <c r="S2869" t="s">
        <v>380</v>
      </c>
      <c r="T2869" t="s">
        <v>57</v>
      </c>
      <c r="V2869" t="s">
        <v>381</v>
      </c>
      <c r="W2869" t="s">
        <v>1528</v>
      </c>
      <c r="X2869" t="s">
        <v>1528</v>
      </c>
      <c r="AC2869" s="13">
        <v>44834</v>
      </c>
      <c r="AD2869" s="13">
        <v>44834</v>
      </c>
      <c r="AI2869">
        <v>190</v>
      </c>
      <c r="AL2869" t="s">
        <v>1529</v>
      </c>
      <c r="AN2869" t="s">
        <v>31</v>
      </c>
      <c r="AO2869">
        <v>0</v>
      </c>
      <c r="AS2869" t="s">
        <v>392</v>
      </c>
      <c r="AX2869" t="s">
        <v>31</v>
      </c>
      <c r="AY2869" t="s">
        <v>442</v>
      </c>
      <c r="AZ2869" t="s">
        <v>1530</v>
      </c>
      <c r="BF2869">
        <v>0</v>
      </c>
      <c r="BK2869" t="s">
        <v>31</v>
      </c>
      <c r="BS2869" t="s">
        <v>412</v>
      </c>
      <c r="BT2869" t="s">
        <v>412</v>
      </c>
      <c r="CI2869" t="s">
        <v>388</v>
      </c>
      <c r="CJ2869" s="14">
        <v>45016</v>
      </c>
      <c r="CK2869">
        <v>1</v>
      </c>
    </row>
    <row r="2870" spans="1:89">
      <c r="A2870" t="s">
        <v>1479</v>
      </c>
      <c r="B2870" t="s">
        <v>374</v>
      </c>
      <c r="C2870" t="s">
        <v>1480</v>
      </c>
      <c r="D2870" t="s">
        <v>1531</v>
      </c>
      <c r="E2870" t="s">
        <v>1532</v>
      </c>
      <c r="F2870" s="13">
        <v>44644.36383101852</v>
      </c>
      <c r="G2870" t="s">
        <v>1483</v>
      </c>
      <c r="H2870" t="s">
        <v>1484</v>
      </c>
      <c r="I2870" s="13">
        <v>45012.044317129628</v>
      </c>
      <c r="K2870" t="s">
        <v>415</v>
      </c>
      <c r="M2870" s="13">
        <v>44648</v>
      </c>
      <c r="R2870">
        <v>0</v>
      </c>
      <c r="S2870" t="s">
        <v>380</v>
      </c>
      <c r="T2870" t="s">
        <v>57</v>
      </c>
      <c r="V2870" t="s">
        <v>478</v>
      </c>
      <c r="W2870" t="s">
        <v>1490</v>
      </c>
      <c r="X2870" t="s">
        <v>1490</v>
      </c>
      <c r="AC2870" s="13">
        <v>44648</v>
      </c>
      <c r="AD2870" s="13">
        <v>44564</v>
      </c>
      <c r="AF2870" t="s">
        <v>451</v>
      </c>
      <c r="AI2870">
        <v>-364</v>
      </c>
      <c r="AL2870" t="s">
        <v>1533</v>
      </c>
      <c r="AN2870" t="s">
        <v>31</v>
      </c>
      <c r="AO2870">
        <v>0</v>
      </c>
      <c r="AS2870" t="s">
        <v>648</v>
      </c>
      <c r="AX2870" t="s">
        <v>31</v>
      </c>
      <c r="AY2870" t="s">
        <v>386</v>
      </c>
      <c r="AZ2870" t="s">
        <v>1534</v>
      </c>
      <c r="BF2870">
        <v>0</v>
      </c>
      <c r="BK2870" t="s">
        <v>31</v>
      </c>
      <c r="BS2870" t="s">
        <v>419</v>
      </c>
      <c r="BT2870" t="s">
        <v>419</v>
      </c>
      <c r="CI2870" t="s">
        <v>388</v>
      </c>
      <c r="CJ2870" s="14">
        <v>45016</v>
      </c>
      <c r="CK2870">
        <v>1</v>
      </c>
    </row>
    <row r="2871" spans="1:89">
      <c r="A2871" t="s">
        <v>1535</v>
      </c>
      <c r="B2871" t="s">
        <v>374</v>
      </c>
      <c r="C2871" t="s">
        <v>1536</v>
      </c>
      <c r="D2871" t="s">
        <v>1537</v>
      </c>
      <c r="E2871" t="s">
        <v>1538</v>
      </c>
      <c r="F2871" s="13">
        <v>44644.34920138889</v>
      </c>
      <c r="G2871" t="s">
        <v>1539</v>
      </c>
      <c r="H2871" t="s">
        <v>1540</v>
      </c>
      <c r="I2871" s="13">
        <v>44644.349918981483</v>
      </c>
      <c r="K2871" t="s">
        <v>412</v>
      </c>
      <c r="R2871">
        <v>0</v>
      </c>
      <c r="S2871" t="s">
        <v>380</v>
      </c>
      <c r="T2871" t="s">
        <v>57</v>
      </c>
      <c r="V2871" t="s">
        <v>381</v>
      </c>
      <c r="W2871" t="s">
        <v>1541</v>
      </c>
      <c r="X2871" t="s">
        <v>1541</v>
      </c>
      <c r="AC2871" s="13">
        <v>44652</v>
      </c>
      <c r="AD2871" s="13">
        <v>44652</v>
      </c>
      <c r="AI2871">
        <v>7</v>
      </c>
      <c r="AL2871" t="s">
        <v>1542</v>
      </c>
      <c r="AN2871" t="s">
        <v>31</v>
      </c>
      <c r="AO2871">
        <v>0</v>
      </c>
      <c r="AS2871" t="s">
        <v>385</v>
      </c>
      <c r="AX2871" t="s">
        <v>57</v>
      </c>
      <c r="AY2871" t="s">
        <v>386</v>
      </c>
      <c r="AZ2871" t="s">
        <v>1543</v>
      </c>
      <c r="BF2871">
        <v>0</v>
      </c>
      <c r="BK2871" t="s">
        <v>31</v>
      </c>
      <c r="BS2871" t="s">
        <v>412</v>
      </c>
      <c r="BT2871" t="s">
        <v>412</v>
      </c>
      <c r="CI2871" t="s">
        <v>388</v>
      </c>
      <c r="CJ2871" s="14">
        <v>45016</v>
      </c>
      <c r="CK2871">
        <v>1</v>
      </c>
    </row>
    <row r="2872" spans="1:89">
      <c r="A2872" t="s">
        <v>1479</v>
      </c>
      <c r="B2872" t="s">
        <v>374</v>
      </c>
      <c r="C2872" t="s">
        <v>1480</v>
      </c>
      <c r="D2872" t="s">
        <v>1544</v>
      </c>
      <c r="E2872" t="s">
        <v>1545</v>
      </c>
      <c r="F2872" s="13">
        <v>44644.343252314815</v>
      </c>
      <c r="G2872" t="s">
        <v>1483</v>
      </c>
      <c r="H2872" t="s">
        <v>1484</v>
      </c>
      <c r="I2872" s="13">
        <v>45012.044317129628</v>
      </c>
      <c r="K2872" t="s">
        <v>415</v>
      </c>
      <c r="M2872" s="13">
        <v>44673</v>
      </c>
      <c r="R2872">
        <v>0</v>
      </c>
      <c r="S2872" t="s">
        <v>380</v>
      </c>
      <c r="T2872" t="s">
        <v>57</v>
      </c>
      <c r="V2872" t="s">
        <v>478</v>
      </c>
      <c r="W2872" t="s">
        <v>1490</v>
      </c>
      <c r="X2872" t="s">
        <v>1490</v>
      </c>
      <c r="AC2872" s="13">
        <v>44673</v>
      </c>
      <c r="AD2872" s="13">
        <v>44582</v>
      </c>
      <c r="AF2872" t="s">
        <v>451</v>
      </c>
      <c r="AI2872">
        <v>-339</v>
      </c>
      <c r="AL2872" t="s">
        <v>1546</v>
      </c>
      <c r="AN2872" t="s">
        <v>31</v>
      </c>
      <c r="AO2872">
        <v>0</v>
      </c>
      <c r="AS2872" t="s">
        <v>385</v>
      </c>
      <c r="AX2872" t="s">
        <v>31</v>
      </c>
      <c r="AY2872" t="s">
        <v>386</v>
      </c>
      <c r="AZ2872" t="s">
        <v>1547</v>
      </c>
      <c r="BF2872">
        <v>0</v>
      </c>
      <c r="BK2872" t="s">
        <v>31</v>
      </c>
      <c r="BS2872" t="s">
        <v>419</v>
      </c>
      <c r="BT2872" t="s">
        <v>419</v>
      </c>
      <c r="CI2872" t="s">
        <v>388</v>
      </c>
      <c r="CJ2872" s="14">
        <v>45016</v>
      </c>
      <c r="CK2872">
        <v>1</v>
      </c>
    </row>
    <row r="2873" spans="1:89">
      <c r="A2873" t="s">
        <v>1535</v>
      </c>
      <c r="B2873" t="s">
        <v>374</v>
      </c>
      <c r="C2873" t="s">
        <v>1536</v>
      </c>
      <c r="D2873" t="s">
        <v>1548</v>
      </c>
      <c r="E2873" t="s">
        <v>1549</v>
      </c>
      <c r="F2873" s="13">
        <v>44644.330960648149</v>
      </c>
      <c r="G2873" t="s">
        <v>1539</v>
      </c>
      <c r="H2873" t="s">
        <v>1540</v>
      </c>
      <c r="I2873" s="13">
        <v>44644.335659722223</v>
      </c>
      <c r="K2873" t="s">
        <v>412</v>
      </c>
      <c r="R2873">
        <v>0</v>
      </c>
      <c r="S2873" t="s">
        <v>380</v>
      </c>
      <c r="T2873" t="s">
        <v>57</v>
      </c>
      <c r="V2873" t="s">
        <v>381</v>
      </c>
      <c r="W2873" t="s">
        <v>1540</v>
      </c>
      <c r="X2873" t="s">
        <v>1540</v>
      </c>
      <c r="AC2873" s="13">
        <v>44652</v>
      </c>
      <c r="AD2873" s="13">
        <v>44652</v>
      </c>
      <c r="AI2873">
        <v>7</v>
      </c>
      <c r="AL2873" t="s">
        <v>1542</v>
      </c>
      <c r="AN2873" t="s">
        <v>31</v>
      </c>
      <c r="AO2873">
        <v>0</v>
      </c>
      <c r="AS2873" t="s">
        <v>385</v>
      </c>
      <c r="AX2873" t="s">
        <v>57</v>
      </c>
      <c r="AY2873" t="s">
        <v>386</v>
      </c>
      <c r="AZ2873" t="s">
        <v>1543</v>
      </c>
      <c r="BF2873">
        <v>0</v>
      </c>
      <c r="BK2873" t="s">
        <v>31</v>
      </c>
      <c r="BS2873" t="s">
        <v>412</v>
      </c>
      <c r="BT2873" t="s">
        <v>412</v>
      </c>
      <c r="CI2873" t="s">
        <v>388</v>
      </c>
      <c r="CJ2873" s="14">
        <v>45016</v>
      </c>
      <c r="CK2873">
        <v>1</v>
      </c>
    </row>
    <row r="2874" spans="1:89">
      <c r="A2874" t="s">
        <v>1550</v>
      </c>
      <c r="B2874" t="s">
        <v>374</v>
      </c>
      <c r="C2874" t="s">
        <v>1551</v>
      </c>
      <c r="D2874" t="s">
        <v>1552</v>
      </c>
      <c r="E2874" t="s">
        <v>1553</v>
      </c>
      <c r="F2874" s="13">
        <v>44643.746099537035</v>
      </c>
      <c r="G2874" t="s">
        <v>1554</v>
      </c>
      <c r="H2874" t="s">
        <v>1555</v>
      </c>
      <c r="I2874" s="13">
        <v>44694.683680555558</v>
      </c>
      <c r="K2874" t="s">
        <v>412</v>
      </c>
      <c r="R2874">
        <v>0</v>
      </c>
      <c r="S2874" t="s">
        <v>380</v>
      </c>
      <c r="T2874" t="s">
        <v>57</v>
      </c>
      <c r="V2874" t="s">
        <v>381</v>
      </c>
      <c r="W2874" t="s">
        <v>1556</v>
      </c>
      <c r="X2874" t="s">
        <v>1556</v>
      </c>
      <c r="AI2874">
        <v>53</v>
      </c>
      <c r="AL2874" t="s">
        <v>1557</v>
      </c>
      <c r="AN2874" t="s">
        <v>31</v>
      </c>
      <c r="AO2874">
        <v>0</v>
      </c>
      <c r="AS2874" t="s">
        <v>385</v>
      </c>
      <c r="AX2874" t="s">
        <v>57</v>
      </c>
      <c r="AY2874" t="s">
        <v>386</v>
      </c>
      <c r="AZ2874" t="s">
        <v>1558</v>
      </c>
      <c r="BF2874">
        <v>0</v>
      </c>
      <c r="BK2874" t="s">
        <v>31</v>
      </c>
      <c r="BS2874" t="s">
        <v>412</v>
      </c>
      <c r="BT2874" t="s">
        <v>412</v>
      </c>
      <c r="CI2874" t="s">
        <v>388</v>
      </c>
      <c r="CJ2874" s="14">
        <v>45016</v>
      </c>
      <c r="CK2874">
        <v>1</v>
      </c>
    </row>
    <row r="2875" spans="1:89">
      <c r="A2875" t="s">
        <v>1559</v>
      </c>
      <c r="B2875" t="s">
        <v>374</v>
      </c>
      <c r="C2875" t="s">
        <v>1560</v>
      </c>
      <c r="D2875" t="s">
        <v>1561</v>
      </c>
      <c r="E2875" t="s">
        <v>1562</v>
      </c>
      <c r="F2875" s="13">
        <v>44643.732662037037</v>
      </c>
      <c r="G2875" t="s">
        <v>1563</v>
      </c>
      <c r="H2875" t="s">
        <v>1564</v>
      </c>
      <c r="I2875" s="13">
        <v>45012.044305555559</v>
      </c>
      <c r="K2875" t="s">
        <v>415</v>
      </c>
      <c r="M2875" s="13">
        <v>44651</v>
      </c>
      <c r="R2875">
        <v>0</v>
      </c>
      <c r="S2875" t="s">
        <v>416</v>
      </c>
      <c r="T2875" t="s">
        <v>57</v>
      </c>
      <c r="V2875" t="s">
        <v>478</v>
      </c>
      <c r="W2875" t="s">
        <v>1565</v>
      </c>
      <c r="X2875" t="s">
        <v>1565</v>
      </c>
      <c r="AF2875" t="s">
        <v>451</v>
      </c>
      <c r="AI2875">
        <v>-361</v>
      </c>
      <c r="AL2875" t="s">
        <v>1566</v>
      </c>
      <c r="AN2875" t="s">
        <v>31</v>
      </c>
      <c r="AO2875">
        <v>0</v>
      </c>
      <c r="AS2875" t="s">
        <v>385</v>
      </c>
      <c r="AX2875" t="s">
        <v>31</v>
      </c>
      <c r="AY2875" t="s">
        <v>442</v>
      </c>
      <c r="AZ2875" t="s">
        <v>1567</v>
      </c>
      <c r="BF2875">
        <v>0</v>
      </c>
      <c r="BK2875" t="s">
        <v>31</v>
      </c>
      <c r="BS2875" t="s">
        <v>419</v>
      </c>
      <c r="BT2875" t="s">
        <v>419</v>
      </c>
      <c r="CI2875" t="s">
        <v>388</v>
      </c>
      <c r="CJ2875" s="14">
        <v>45016</v>
      </c>
      <c r="CK2875">
        <v>1</v>
      </c>
    </row>
    <row r="2876" spans="1:89">
      <c r="A2876" t="s">
        <v>1559</v>
      </c>
      <c r="B2876" t="s">
        <v>374</v>
      </c>
      <c r="C2876" t="s">
        <v>1560</v>
      </c>
      <c r="D2876" t="s">
        <v>1568</v>
      </c>
      <c r="E2876" t="s">
        <v>1569</v>
      </c>
      <c r="F2876" s="13">
        <v>44643.731226851851</v>
      </c>
      <c r="G2876" t="s">
        <v>1563</v>
      </c>
      <c r="H2876" t="s">
        <v>1564</v>
      </c>
      <c r="I2876" s="13">
        <v>45012.044305555559</v>
      </c>
      <c r="K2876" t="s">
        <v>415</v>
      </c>
      <c r="M2876" s="13">
        <v>44651</v>
      </c>
      <c r="R2876">
        <v>0</v>
      </c>
      <c r="S2876" t="s">
        <v>416</v>
      </c>
      <c r="T2876" t="s">
        <v>57</v>
      </c>
      <c r="V2876" t="s">
        <v>478</v>
      </c>
      <c r="W2876" t="s">
        <v>1565</v>
      </c>
      <c r="X2876" t="s">
        <v>1565</v>
      </c>
      <c r="AF2876" t="s">
        <v>451</v>
      </c>
      <c r="AI2876">
        <v>-361</v>
      </c>
      <c r="AL2876" t="s">
        <v>1566</v>
      </c>
      <c r="AN2876" t="s">
        <v>31</v>
      </c>
      <c r="AO2876">
        <v>0</v>
      </c>
      <c r="AS2876" t="s">
        <v>385</v>
      </c>
      <c r="AX2876" t="s">
        <v>31</v>
      </c>
      <c r="AY2876" t="s">
        <v>386</v>
      </c>
      <c r="AZ2876" t="s">
        <v>1570</v>
      </c>
      <c r="BF2876">
        <v>0</v>
      </c>
      <c r="BK2876" t="s">
        <v>31</v>
      </c>
      <c r="BS2876" t="s">
        <v>419</v>
      </c>
      <c r="BT2876" t="s">
        <v>419</v>
      </c>
      <c r="CI2876" t="s">
        <v>388</v>
      </c>
      <c r="CJ2876" s="14">
        <v>45016</v>
      </c>
      <c r="CK2876">
        <v>1</v>
      </c>
    </row>
    <row r="2877" spans="1:89">
      <c r="A2877" t="s">
        <v>1559</v>
      </c>
      <c r="B2877" t="s">
        <v>374</v>
      </c>
      <c r="C2877" t="s">
        <v>1560</v>
      </c>
      <c r="D2877" t="s">
        <v>1571</v>
      </c>
      <c r="E2877" t="s">
        <v>1572</v>
      </c>
      <c r="F2877" s="13">
        <v>44643.724976851852</v>
      </c>
      <c r="G2877" t="s">
        <v>1563</v>
      </c>
      <c r="H2877" t="s">
        <v>1564</v>
      </c>
      <c r="I2877" s="13">
        <v>45012.044305555559</v>
      </c>
      <c r="K2877" t="s">
        <v>415</v>
      </c>
      <c r="M2877" s="13">
        <v>44651</v>
      </c>
      <c r="R2877">
        <v>90</v>
      </c>
      <c r="S2877" t="s">
        <v>416</v>
      </c>
      <c r="T2877" t="s">
        <v>57</v>
      </c>
      <c r="V2877" t="s">
        <v>478</v>
      </c>
      <c r="W2877" t="s">
        <v>1573</v>
      </c>
      <c r="X2877" t="s">
        <v>1573</v>
      </c>
      <c r="AF2877" t="s">
        <v>451</v>
      </c>
      <c r="AG2877" t="s">
        <v>1574</v>
      </c>
      <c r="AI2877">
        <v>-361</v>
      </c>
      <c r="AL2877" t="s">
        <v>1566</v>
      </c>
      <c r="AN2877" t="s">
        <v>31</v>
      </c>
      <c r="AO2877">
        <v>0</v>
      </c>
      <c r="AS2877" t="s">
        <v>526</v>
      </c>
      <c r="AX2877" t="s">
        <v>31</v>
      </c>
      <c r="AY2877" t="s">
        <v>442</v>
      </c>
      <c r="AZ2877" t="s">
        <v>1570</v>
      </c>
      <c r="BF2877">
        <v>0</v>
      </c>
      <c r="BK2877" t="s">
        <v>31</v>
      </c>
      <c r="BS2877" t="s">
        <v>419</v>
      </c>
      <c r="BT2877" t="s">
        <v>419</v>
      </c>
      <c r="CI2877" t="s">
        <v>388</v>
      </c>
      <c r="CJ2877" s="14">
        <v>45016</v>
      </c>
      <c r="CK2877">
        <v>1</v>
      </c>
    </row>
    <row r="2878" spans="1:89">
      <c r="A2878" t="s">
        <v>1559</v>
      </c>
      <c r="B2878" t="s">
        <v>374</v>
      </c>
      <c r="C2878" t="s">
        <v>1560</v>
      </c>
      <c r="D2878" t="s">
        <v>1575</v>
      </c>
      <c r="E2878" t="s">
        <v>1572</v>
      </c>
      <c r="F2878" s="13">
        <v>44643.723645833335</v>
      </c>
      <c r="G2878" t="s">
        <v>1563</v>
      </c>
      <c r="H2878" t="s">
        <v>1564</v>
      </c>
      <c r="I2878" s="13">
        <v>44833.685474537036</v>
      </c>
      <c r="K2878" t="s">
        <v>409</v>
      </c>
      <c r="R2878">
        <v>0</v>
      </c>
      <c r="S2878" t="s">
        <v>380</v>
      </c>
      <c r="T2878" t="s">
        <v>57</v>
      </c>
      <c r="V2878" t="s">
        <v>381</v>
      </c>
      <c r="W2878" t="s">
        <v>1573</v>
      </c>
      <c r="X2878" t="s">
        <v>1573</v>
      </c>
      <c r="AI2878">
        <v>8</v>
      </c>
      <c r="AL2878" t="s">
        <v>1566</v>
      </c>
      <c r="AN2878" t="s">
        <v>31</v>
      </c>
      <c r="AO2878">
        <v>0</v>
      </c>
      <c r="AS2878" t="s">
        <v>526</v>
      </c>
      <c r="AX2878" t="s">
        <v>31</v>
      </c>
      <c r="AY2878" t="s">
        <v>442</v>
      </c>
      <c r="AZ2878" t="s">
        <v>1570</v>
      </c>
      <c r="BF2878">
        <v>0</v>
      </c>
      <c r="BK2878" t="s">
        <v>31</v>
      </c>
      <c r="BS2878" t="s">
        <v>409</v>
      </c>
      <c r="BT2878" t="s">
        <v>409</v>
      </c>
      <c r="CI2878" t="s">
        <v>388</v>
      </c>
      <c r="CJ2878" s="14">
        <v>45016</v>
      </c>
      <c r="CK2878">
        <v>1</v>
      </c>
    </row>
    <row r="2879" spans="1:89">
      <c r="A2879" t="s">
        <v>1559</v>
      </c>
      <c r="B2879" t="s">
        <v>374</v>
      </c>
      <c r="C2879" t="s">
        <v>1560</v>
      </c>
      <c r="D2879" t="s">
        <v>1576</v>
      </c>
      <c r="E2879" t="s">
        <v>1577</v>
      </c>
      <c r="F2879" s="13">
        <v>44643.722002314818</v>
      </c>
      <c r="G2879" t="s">
        <v>1563</v>
      </c>
      <c r="H2879" t="s">
        <v>1564</v>
      </c>
      <c r="I2879" s="13">
        <v>45012.044305555559</v>
      </c>
      <c r="K2879" t="s">
        <v>415</v>
      </c>
      <c r="M2879" s="13">
        <v>44651</v>
      </c>
      <c r="R2879">
        <v>90</v>
      </c>
      <c r="S2879" t="s">
        <v>416</v>
      </c>
      <c r="T2879" t="s">
        <v>57</v>
      </c>
      <c r="V2879" t="s">
        <v>478</v>
      </c>
      <c r="W2879" t="s">
        <v>1573</v>
      </c>
      <c r="X2879" t="s">
        <v>1573</v>
      </c>
      <c r="AF2879" t="s">
        <v>451</v>
      </c>
      <c r="AG2879" t="s">
        <v>1578</v>
      </c>
      <c r="AI2879">
        <v>-361</v>
      </c>
      <c r="AL2879" t="s">
        <v>1566</v>
      </c>
      <c r="AN2879" t="s">
        <v>31</v>
      </c>
      <c r="AO2879">
        <v>0</v>
      </c>
      <c r="AS2879" t="s">
        <v>385</v>
      </c>
      <c r="AX2879" t="s">
        <v>31</v>
      </c>
      <c r="AY2879" t="s">
        <v>442</v>
      </c>
      <c r="AZ2879" t="s">
        <v>1570</v>
      </c>
      <c r="BF2879">
        <v>0</v>
      </c>
      <c r="BK2879" t="s">
        <v>31</v>
      </c>
      <c r="BS2879" t="s">
        <v>419</v>
      </c>
      <c r="BT2879" t="s">
        <v>419</v>
      </c>
      <c r="CI2879" t="s">
        <v>388</v>
      </c>
      <c r="CJ2879" s="14">
        <v>45016</v>
      </c>
      <c r="CK2879">
        <v>1</v>
      </c>
    </row>
    <row r="2880" spans="1:89">
      <c r="A2880" t="s">
        <v>1579</v>
      </c>
      <c r="B2880" t="s">
        <v>374</v>
      </c>
      <c r="C2880" t="s">
        <v>1580</v>
      </c>
      <c r="D2880" t="s">
        <v>1581</v>
      </c>
      <c r="E2880" t="s">
        <v>1582</v>
      </c>
      <c r="F2880" s="13">
        <v>44643.616574074076</v>
      </c>
      <c r="G2880" t="s">
        <v>1583</v>
      </c>
      <c r="H2880" t="s">
        <v>1584</v>
      </c>
      <c r="I2880" s="13">
        <v>44714.517256944448</v>
      </c>
      <c r="K2880" t="s">
        <v>379</v>
      </c>
      <c r="M2880" s="13">
        <v>44651</v>
      </c>
      <c r="R2880">
        <v>100</v>
      </c>
      <c r="S2880" t="s">
        <v>380</v>
      </c>
      <c r="T2880" t="s">
        <v>57</v>
      </c>
      <c r="V2880" t="s">
        <v>478</v>
      </c>
      <c r="W2880" t="s">
        <v>1585</v>
      </c>
      <c r="X2880" t="s">
        <v>1585</v>
      </c>
      <c r="AF2880" t="s">
        <v>382</v>
      </c>
      <c r="AG2880" t="s">
        <v>1586</v>
      </c>
      <c r="AI2880">
        <v>-7</v>
      </c>
      <c r="AJ2880" s="13">
        <v>44714</v>
      </c>
      <c r="AL2880" t="s">
        <v>1587</v>
      </c>
      <c r="AN2880" t="s">
        <v>31</v>
      </c>
      <c r="AO2880">
        <v>0</v>
      </c>
      <c r="AR2880" t="s">
        <v>1586</v>
      </c>
      <c r="AS2880" t="s">
        <v>707</v>
      </c>
      <c r="AX2880" t="s">
        <v>31</v>
      </c>
      <c r="AY2880" t="s">
        <v>386</v>
      </c>
      <c r="AZ2880" t="s">
        <v>1588</v>
      </c>
      <c r="BF2880">
        <v>0</v>
      </c>
      <c r="BK2880" t="s">
        <v>31</v>
      </c>
      <c r="BS2880" t="s">
        <v>379</v>
      </c>
      <c r="BT2880" t="s">
        <v>379</v>
      </c>
      <c r="CI2880" t="s">
        <v>388</v>
      </c>
      <c r="CJ2880" s="14">
        <v>45016</v>
      </c>
      <c r="CK2880">
        <v>1</v>
      </c>
    </row>
    <row r="2881" spans="1:89">
      <c r="A2881" t="s">
        <v>454</v>
      </c>
      <c r="B2881" t="s">
        <v>374</v>
      </c>
      <c r="C2881" t="s">
        <v>455</v>
      </c>
      <c r="D2881" t="s">
        <v>1589</v>
      </c>
      <c r="E2881" t="s">
        <v>1590</v>
      </c>
      <c r="F2881" s="13">
        <v>44643.605694444443</v>
      </c>
      <c r="G2881" t="s">
        <v>1591</v>
      </c>
      <c r="H2881" t="s">
        <v>1592</v>
      </c>
      <c r="I2881" s="13">
        <v>44643.606504629628</v>
      </c>
      <c r="K2881" t="s">
        <v>412</v>
      </c>
      <c r="R2881">
        <v>0</v>
      </c>
      <c r="S2881" t="s">
        <v>380</v>
      </c>
      <c r="T2881" t="s">
        <v>57</v>
      </c>
      <c r="V2881" t="s">
        <v>381</v>
      </c>
      <c r="W2881" t="s">
        <v>1593</v>
      </c>
      <c r="X2881" t="s">
        <v>1593</v>
      </c>
      <c r="AC2881" s="13">
        <v>44696</v>
      </c>
      <c r="AD2881" s="13">
        <v>44607</v>
      </c>
      <c r="AI2881">
        <v>53</v>
      </c>
      <c r="AL2881" t="s">
        <v>1594</v>
      </c>
      <c r="AN2881" t="s">
        <v>31</v>
      </c>
      <c r="AO2881">
        <v>0</v>
      </c>
      <c r="AS2881" t="s">
        <v>385</v>
      </c>
      <c r="AX2881" t="s">
        <v>57</v>
      </c>
      <c r="AY2881" t="s">
        <v>386</v>
      </c>
      <c r="AZ2881" t="s">
        <v>1595</v>
      </c>
      <c r="BF2881">
        <v>0</v>
      </c>
      <c r="BK2881" t="s">
        <v>31</v>
      </c>
      <c r="BS2881" t="s">
        <v>412</v>
      </c>
      <c r="BT2881" t="s">
        <v>412</v>
      </c>
      <c r="CI2881" t="s">
        <v>388</v>
      </c>
      <c r="CJ2881" s="14">
        <v>45016</v>
      </c>
      <c r="CK2881">
        <v>1</v>
      </c>
    </row>
    <row r="2882" spans="1:89">
      <c r="A2882" t="s">
        <v>454</v>
      </c>
      <c r="B2882" t="s">
        <v>374</v>
      </c>
      <c r="C2882" t="s">
        <v>455</v>
      </c>
      <c r="D2882" t="s">
        <v>1596</v>
      </c>
      <c r="E2882" t="s">
        <v>1597</v>
      </c>
      <c r="F2882" s="13">
        <v>44643.596597222226</v>
      </c>
      <c r="G2882" t="s">
        <v>1591</v>
      </c>
      <c r="H2882" t="s">
        <v>1592</v>
      </c>
      <c r="I2882" s="13">
        <v>44643.59752314815</v>
      </c>
      <c r="K2882" t="s">
        <v>412</v>
      </c>
      <c r="R2882">
        <v>0</v>
      </c>
      <c r="S2882" t="s">
        <v>380</v>
      </c>
      <c r="T2882" t="s">
        <v>57</v>
      </c>
      <c r="V2882" t="s">
        <v>381</v>
      </c>
      <c r="W2882" t="s">
        <v>1593</v>
      </c>
      <c r="X2882" t="s">
        <v>1593</v>
      </c>
      <c r="AC2882" s="13">
        <v>44696</v>
      </c>
      <c r="AD2882" s="13">
        <v>44607</v>
      </c>
      <c r="AI2882">
        <v>53</v>
      </c>
      <c r="AL2882" t="s">
        <v>1598</v>
      </c>
      <c r="AN2882" t="s">
        <v>31</v>
      </c>
      <c r="AO2882">
        <v>0</v>
      </c>
      <c r="AS2882" t="s">
        <v>385</v>
      </c>
      <c r="AX2882" t="s">
        <v>57</v>
      </c>
      <c r="AY2882" t="s">
        <v>442</v>
      </c>
      <c r="AZ2882" t="s">
        <v>1285</v>
      </c>
      <c r="BF2882">
        <v>0</v>
      </c>
      <c r="BK2882" t="s">
        <v>31</v>
      </c>
      <c r="BS2882" t="s">
        <v>412</v>
      </c>
      <c r="BT2882" t="s">
        <v>412</v>
      </c>
      <c r="CI2882" t="s">
        <v>388</v>
      </c>
      <c r="CJ2882" s="14">
        <v>45016</v>
      </c>
      <c r="CK2882">
        <v>1</v>
      </c>
    </row>
    <row r="2883" spans="1:89">
      <c r="A2883" t="s">
        <v>454</v>
      </c>
      <c r="B2883" t="s">
        <v>374</v>
      </c>
      <c r="C2883" t="s">
        <v>455</v>
      </c>
      <c r="D2883" t="s">
        <v>1599</v>
      </c>
      <c r="E2883" t="s">
        <v>1600</v>
      </c>
      <c r="F2883" s="13">
        <v>44643.586516203701</v>
      </c>
      <c r="G2883" t="s">
        <v>1591</v>
      </c>
      <c r="H2883" t="s">
        <v>1592</v>
      </c>
      <c r="I2883" s="13">
        <v>44643.587442129632</v>
      </c>
      <c r="K2883" t="s">
        <v>412</v>
      </c>
      <c r="R2883">
        <v>0</v>
      </c>
      <c r="S2883" t="s">
        <v>380</v>
      </c>
      <c r="T2883" t="s">
        <v>57</v>
      </c>
      <c r="V2883" t="s">
        <v>381</v>
      </c>
      <c r="W2883" t="s">
        <v>1593</v>
      </c>
      <c r="X2883" t="s">
        <v>1593</v>
      </c>
      <c r="AC2883" s="13">
        <v>44696</v>
      </c>
      <c r="AD2883" s="13">
        <v>44607</v>
      </c>
      <c r="AI2883">
        <v>53</v>
      </c>
      <c r="AL2883" t="s">
        <v>1601</v>
      </c>
      <c r="AN2883" t="s">
        <v>31</v>
      </c>
      <c r="AO2883">
        <v>0</v>
      </c>
      <c r="AS2883" t="s">
        <v>385</v>
      </c>
      <c r="AX2883" t="s">
        <v>57</v>
      </c>
      <c r="AY2883" t="s">
        <v>386</v>
      </c>
      <c r="AZ2883" t="s">
        <v>1602</v>
      </c>
      <c r="BF2883">
        <v>0</v>
      </c>
      <c r="BK2883" t="s">
        <v>31</v>
      </c>
      <c r="BS2883" t="s">
        <v>412</v>
      </c>
      <c r="BT2883" t="s">
        <v>412</v>
      </c>
      <c r="CI2883" t="s">
        <v>388</v>
      </c>
      <c r="CJ2883" s="14">
        <v>45016</v>
      </c>
      <c r="CK2883">
        <v>1</v>
      </c>
    </row>
    <row r="2884" spans="1:89">
      <c r="A2884" t="s">
        <v>1603</v>
      </c>
      <c r="B2884" t="s">
        <v>374</v>
      </c>
      <c r="C2884" t="s">
        <v>1604</v>
      </c>
      <c r="D2884" t="s">
        <v>1605</v>
      </c>
      <c r="E2884" t="s">
        <v>1606</v>
      </c>
      <c r="F2884" s="13">
        <v>44643.578668981485</v>
      </c>
      <c r="G2884" t="s">
        <v>1583</v>
      </c>
      <c r="H2884" t="s">
        <v>1584</v>
      </c>
      <c r="I2884" s="13">
        <v>45015.367638888885</v>
      </c>
      <c r="K2884" t="s">
        <v>415</v>
      </c>
      <c r="M2884" s="13">
        <v>44712</v>
      </c>
      <c r="R2884">
        <v>0</v>
      </c>
      <c r="S2884" t="s">
        <v>380</v>
      </c>
      <c r="T2884" t="s">
        <v>57</v>
      </c>
      <c r="V2884" t="s">
        <v>478</v>
      </c>
      <c r="W2884" t="s">
        <v>1607</v>
      </c>
      <c r="X2884" t="s">
        <v>1607</v>
      </c>
      <c r="Y2884" t="s">
        <v>480</v>
      </c>
      <c r="AF2884" t="s">
        <v>451</v>
      </c>
      <c r="AI2884">
        <v>-303</v>
      </c>
      <c r="AL2884" t="s">
        <v>1608</v>
      </c>
      <c r="AN2884" t="s">
        <v>31</v>
      </c>
      <c r="AO2884">
        <v>0</v>
      </c>
      <c r="AS2884" t="s">
        <v>707</v>
      </c>
      <c r="AT2884" t="s">
        <v>31</v>
      </c>
      <c r="AX2884" t="s">
        <v>31</v>
      </c>
      <c r="AY2884" t="s">
        <v>386</v>
      </c>
      <c r="AZ2884" t="s">
        <v>1609</v>
      </c>
      <c r="BF2884">
        <v>0</v>
      </c>
      <c r="BK2884" t="s">
        <v>31</v>
      </c>
      <c r="BS2884" t="s">
        <v>484</v>
      </c>
      <c r="BT2884" t="s">
        <v>484</v>
      </c>
      <c r="CI2884" t="s">
        <v>388</v>
      </c>
      <c r="CJ2884" s="14">
        <v>45016</v>
      </c>
      <c r="CK2884">
        <v>1</v>
      </c>
    </row>
    <row r="2885" spans="1:89">
      <c r="A2885" t="s">
        <v>454</v>
      </c>
      <c r="B2885" t="s">
        <v>374</v>
      </c>
      <c r="C2885" t="s">
        <v>455</v>
      </c>
      <c r="D2885" t="s">
        <v>1610</v>
      </c>
      <c r="E2885" t="s">
        <v>1611</v>
      </c>
      <c r="F2885" s="13">
        <v>44643.564351851855</v>
      </c>
      <c r="G2885" t="s">
        <v>1591</v>
      </c>
      <c r="H2885" t="s">
        <v>1592</v>
      </c>
      <c r="I2885" s="13">
        <v>44643.565520833334</v>
      </c>
      <c r="K2885" t="s">
        <v>412</v>
      </c>
      <c r="R2885">
        <v>0</v>
      </c>
      <c r="S2885" t="s">
        <v>380</v>
      </c>
      <c r="T2885" t="s">
        <v>57</v>
      </c>
      <c r="V2885" t="s">
        <v>381</v>
      </c>
      <c r="W2885" t="s">
        <v>1593</v>
      </c>
      <c r="X2885" t="s">
        <v>1593</v>
      </c>
      <c r="AC2885" s="13">
        <v>44696</v>
      </c>
      <c r="AD2885" s="13">
        <v>44607</v>
      </c>
      <c r="AI2885">
        <v>53</v>
      </c>
      <c r="AL2885" t="s">
        <v>1612</v>
      </c>
      <c r="AN2885" t="s">
        <v>31</v>
      </c>
      <c r="AO2885">
        <v>0</v>
      </c>
      <c r="AS2885" t="s">
        <v>385</v>
      </c>
      <c r="AX2885" t="s">
        <v>57</v>
      </c>
      <c r="AY2885" t="s">
        <v>386</v>
      </c>
      <c r="AZ2885" t="s">
        <v>1613</v>
      </c>
      <c r="BF2885">
        <v>0</v>
      </c>
      <c r="BK2885" t="s">
        <v>31</v>
      </c>
      <c r="BS2885" t="s">
        <v>412</v>
      </c>
      <c r="BT2885" t="s">
        <v>412</v>
      </c>
      <c r="CI2885" t="s">
        <v>388</v>
      </c>
      <c r="CJ2885" s="14">
        <v>45016</v>
      </c>
      <c r="CK2885">
        <v>1</v>
      </c>
    </row>
    <row r="2886" spans="1:89">
      <c r="A2886" t="s">
        <v>454</v>
      </c>
      <c r="B2886" t="s">
        <v>374</v>
      </c>
      <c r="C2886" t="s">
        <v>455</v>
      </c>
      <c r="D2886" t="s">
        <v>1614</v>
      </c>
      <c r="E2886" t="s">
        <v>1615</v>
      </c>
      <c r="F2886" s="13">
        <v>44643.553043981483</v>
      </c>
      <c r="G2886" t="s">
        <v>1591</v>
      </c>
      <c r="H2886" t="s">
        <v>1592</v>
      </c>
      <c r="I2886" s="13">
        <v>44643.554247685184</v>
      </c>
      <c r="K2886" t="s">
        <v>412</v>
      </c>
      <c r="R2886">
        <v>0</v>
      </c>
      <c r="S2886" t="s">
        <v>380</v>
      </c>
      <c r="T2886" t="s">
        <v>57</v>
      </c>
      <c r="V2886" t="s">
        <v>381</v>
      </c>
      <c r="W2886" t="s">
        <v>1593</v>
      </c>
      <c r="X2886" t="s">
        <v>1593</v>
      </c>
      <c r="AC2886" s="13">
        <v>44696</v>
      </c>
      <c r="AD2886" s="13">
        <v>44607</v>
      </c>
      <c r="AI2886">
        <v>53</v>
      </c>
      <c r="AL2886" t="s">
        <v>1616</v>
      </c>
      <c r="AN2886" t="s">
        <v>31</v>
      </c>
      <c r="AO2886">
        <v>0</v>
      </c>
      <c r="AS2886" t="s">
        <v>385</v>
      </c>
      <c r="AX2886" t="s">
        <v>57</v>
      </c>
      <c r="AY2886" t="s">
        <v>442</v>
      </c>
      <c r="AZ2886" t="s">
        <v>1617</v>
      </c>
      <c r="BF2886">
        <v>0</v>
      </c>
      <c r="BK2886" t="s">
        <v>31</v>
      </c>
      <c r="BS2886" t="s">
        <v>412</v>
      </c>
      <c r="BT2886" t="s">
        <v>412</v>
      </c>
      <c r="CI2886" t="s">
        <v>388</v>
      </c>
      <c r="CJ2886" s="14">
        <v>45016</v>
      </c>
      <c r="CK2886">
        <v>1</v>
      </c>
    </row>
    <row r="2887" spans="1:89">
      <c r="A2887" t="s">
        <v>454</v>
      </c>
      <c r="B2887" t="s">
        <v>374</v>
      </c>
      <c r="C2887" t="s">
        <v>455</v>
      </c>
      <c r="D2887" t="s">
        <v>1618</v>
      </c>
      <c r="E2887" t="s">
        <v>1619</v>
      </c>
      <c r="F2887" s="13">
        <v>44643.542800925927</v>
      </c>
      <c r="G2887" t="s">
        <v>1591</v>
      </c>
      <c r="H2887" t="s">
        <v>1592</v>
      </c>
      <c r="I2887" s="13">
        <v>44643.544502314813</v>
      </c>
      <c r="K2887" t="s">
        <v>412</v>
      </c>
      <c r="R2887">
        <v>0</v>
      </c>
      <c r="S2887" t="s">
        <v>380</v>
      </c>
      <c r="T2887" t="s">
        <v>57</v>
      </c>
      <c r="V2887" t="s">
        <v>381</v>
      </c>
      <c r="W2887" t="s">
        <v>1593</v>
      </c>
      <c r="X2887" t="s">
        <v>1593</v>
      </c>
      <c r="AC2887" s="13">
        <v>44696</v>
      </c>
      <c r="AD2887" s="13">
        <v>44607</v>
      </c>
      <c r="AI2887">
        <v>53</v>
      </c>
      <c r="AL2887" t="s">
        <v>1620</v>
      </c>
      <c r="AN2887" t="s">
        <v>31</v>
      </c>
      <c r="AO2887">
        <v>0</v>
      </c>
      <c r="AS2887" t="s">
        <v>385</v>
      </c>
      <c r="AX2887" t="s">
        <v>57</v>
      </c>
      <c r="AY2887" t="s">
        <v>386</v>
      </c>
      <c r="AZ2887" t="s">
        <v>1621</v>
      </c>
      <c r="BF2887">
        <v>0</v>
      </c>
      <c r="BK2887" t="s">
        <v>31</v>
      </c>
      <c r="BS2887" t="s">
        <v>412</v>
      </c>
      <c r="BT2887" t="s">
        <v>412</v>
      </c>
      <c r="CI2887" t="s">
        <v>388</v>
      </c>
      <c r="CJ2887" s="14">
        <v>45016</v>
      </c>
      <c r="CK2887">
        <v>1</v>
      </c>
    </row>
    <row r="2888" spans="1:89">
      <c r="A2888" t="s">
        <v>454</v>
      </c>
      <c r="B2888" t="s">
        <v>374</v>
      </c>
      <c r="C2888" t="s">
        <v>455</v>
      </c>
      <c r="D2888" t="s">
        <v>1622</v>
      </c>
      <c r="E2888" t="s">
        <v>1623</v>
      </c>
      <c r="F2888" s="13">
        <v>44643.53769675926</v>
      </c>
      <c r="G2888" t="s">
        <v>1591</v>
      </c>
      <c r="H2888" t="s">
        <v>1592</v>
      </c>
      <c r="I2888" s="13">
        <v>44643.540439814817</v>
      </c>
      <c r="K2888" t="s">
        <v>412</v>
      </c>
      <c r="R2888">
        <v>0</v>
      </c>
      <c r="S2888" t="s">
        <v>380</v>
      </c>
      <c r="T2888" t="s">
        <v>57</v>
      </c>
      <c r="V2888" t="s">
        <v>381</v>
      </c>
      <c r="W2888" t="s">
        <v>1593</v>
      </c>
      <c r="X2888" t="s">
        <v>1593</v>
      </c>
      <c r="AC2888" s="13">
        <v>44696</v>
      </c>
      <c r="AD2888" s="13">
        <v>44607</v>
      </c>
      <c r="AI2888">
        <v>53</v>
      </c>
      <c r="AL2888" t="s">
        <v>1624</v>
      </c>
      <c r="AN2888" t="s">
        <v>31</v>
      </c>
      <c r="AO2888">
        <v>0</v>
      </c>
      <c r="AS2888" t="s">
        <v>385</v>
      </c>
      <c r="AX2888" t="s">
        <v>57</v>
      </c>
      <c r="AY2888" t="s">
        <v>442</v>
      </c>
      <c r="AZ2888" t="s">
        <v>1625</v>
      </c>
      <c r="BE2888" t="s">
        <v>1626</v>
      </c>
      <c r="BF2888">
        <v>0</v>
      </c>
      <c r="BK2888" t="s">
        <v>31</v>
      </c>
      <c r="BS2888" t="s">
        <v>412</v>
      </c>
      <c r="BT2888" t="s">
        <v>412</v>
      </c>
      <c r="CI2888" t="s">
        <v>388</v>
      </c>
      <c r="CJ2888" s="14">
        <v>45016</v>
      </c>
      <c r="CK2888">
        <v>1</v>
      </c>
    </row>
    <row r="2889" spans="1:89">
      <c r="A2889" t="s">
        <v>1603</v>
      </c>
      <c r="B2889" t="s">
        <v>374</v>
      </c>
      <c r="C2889" t="s">
        <v>1604</v>
      </c>
      <c r="D2889" t="s">
        <v>1627</v>
      </c>
      <c r="E2889" t="s">
        <v>1628</v>
      </c>
      <c r="F2889" s="13">
        <v>44643.498460648145</v>
      </c>
      <c r="G2889" t="s">
        <v>1583</v>
      </c>
      <c r="H2889" t="s">
        <v>1584</v>
      </c>
      <c r="I2889" s="13">
        <v>44643.525682870371</v>
      </c>
      <c r="K2889" t="s">
        <v>379</v>
      </c>
      <c r="M2889" s="13">
        <v>44651</v>
      </c>
      <c r="R2889">
        <v>100</v>
      </c>
      <c r="S2889" t="s">
        <v>380</v>
      </c>
      <c r="T2889" t="s">
        <v>57</v>
      </c>
      <c r="V2889" t="s">
        <v>381</v>
      </c>
      <c r="W2889" t="s">
        <v>1629</v>
      </c>
      <c r="X2889" t="s">
        <v>1629</v>
      </c>
      <c r="AF2889" t="s">
        <v>382</v>
      </c>
      <c r="AG2889" t="s">
        <v>1630</v>
      </c>
      <c r="AI2889">
        <v>8</v>
      </c>
      <c r="AL2889" t="s">
        <v>1631</v>
      </c>
      <c r="AN2889" t="s">
        <v>31</v>
      </c>
      <c r="AO2889">
        <v>0</v>
      </c>
      <c r="AS2889" t="s">
        <v>392</v>
      </c>
      <c r="AX2889" t="s">
        <v>31</v>
      </c>
      <c r="AY2889" t="s">
        <v>386</v>
      </c>
      <c r="AZ2889" t="s">
        <v>1632</v>
      </c>
      <c r="BF2889">
        <v>0</v>
      </c>
      <c r="BK2889" t="s">
        <v>31</v>
      </c>
      <c r="BS2889" t="s">
        <v>379</v>
      </c>
      <c r="BT2889" t="s">
        <v>379</v>
      </c>
      <c r="CI2889" t="s">
        <v>388</v>
      </c>
      <c r="CJ2889" s="14">
        <v>45016</v>
      </c>
      <c r="CK2889">
        <v>1</v>
      </c>
    </row>
    <row r="2890" spans="1:89">
      <c r="A2890" t="s">
        <v>1633</v>
      </c>
      <c r="B2890" t="s">
        <v>374</v>
      </c>
      <c r="C2890" t="s">
        <v>1634</v>
      </c>
      <c r="D2890" t="s">
        <v>1635</v>
      </c>
      <c r="E2890" t="s">
        <v>1636</v>
      </c>
      <c r="F2890" s="13">
        <v>44643.444814814815</v>
      </c>
      <c r="G2890" t="s">
        <v>1637</v>
      </c>
      <c r="H2890" t="s">
        <v>1638</v>
      </c>
      <c r="I2890" s="13">
        <v>44643.457685185182</v>
      </c>
      <c r="K2890" t="s">
        <v>379</v>
      </c>
      <c r="M2890" s="13">
        <v>44649</v>
      </c>
      <c r="R2890">
        <v>100</v>
      </c>
      <c r="S2890" t="s">
        <v>380</v>
      </c>
      <c r="T2890" t="s">
        <v>57</v>
      </c>
      <c r="V2890" t="s">
        <v>381</v>
      </c>
      <c r="W2890" t="s">
        <v>1639</v>
      </c>
      <c r="X2890" t="s">
        <v>1639</v>
      </c>
      <c r="AF2890" t="s">
        <v>382</v>
      </c>
      <c r="AG2890" t="s">
        <v>1640</v>
      </c>
      <c r="AI2890">
        <v>6</v>
      </c>
      <c r="AL2890" t="s">
        <v>1641</v>
      </c>
      <c r="AN2890" t="s">
        <v>31</v>
      </c>
      <c r="AO2890">
        <v>0</v>
      </c>
      <c r="AS2890" t="s">
        <v>385</v>
      </c>
      <c r="AX2890" t="s">
        <v>57</v>
      </c>
      <c r="AY2890" t="s">
        <v>386</v>
      </c>
      <c r="AZ2890" t="s">
        <v>1642</v>
      </c>
      <c r="BF2890">
        <v>0</v>
      </c>
      <c r="BK2890" t="s">
        <v>31</v>
      </c>
      <c r="BS2890" t="s">
        <v>379</v>
      </c>
      <c r="BT2890" t="s">
        <v>379</v>
      </c>
      <c r="CI2890" t="s">
        <v>388</v>
      </c>
      <c r="CJ2890" s="14">
        <v>45016</v>
      </c>
      <c r="CK2890">
        <v>1</v>
      </c>
    </row>
    <row r="2891" spans="1:89">
      <c r="A2891" t="s">
        <v>1643</v>
      </c>
      <c r="B2891" t="s">
        <v>374</v>
      </c>
      <c r="C2891" t="s">
        <v>1644</v>
      </c>
      <c r="D2891" t="s">
        <v>1645</v>
      </c>
      <c r="E2891" t="s">
        <v>1646</v>
      </c>
      <c r="F2891" s="13">
        <v>44643.4375</v>
      </c>
      <c r="G2891" t="s">
        <v>1647</v>
      </c>
      <c r="H2891" t="s">
        <v>1648</v>
      </c>
      <c r="I2891" s="13">
        <v>45012.044293981482</v>
      </c>
      <c r="K2891" t="s">
        <v>415</v>
      </c>
      <c r="M2891" s="13">
        <v>44682</v>
      </c>
      <c r="R2891">
        <v>0</v>
      </c>
      <c r="S2891" t="s">
        <v>416</v>
      </c>
      <c r="T2891" t="s">
        <v>57</v>
      </c>
      <c r="V2891" t="s">
        <v>478</v>
      </c>
      <c r="W2891" t="s">
        <v>1649</v>
      </c>
      <c r="X2891" t="s">
        <v>1649</v>
      </c>
      <c r="AF2891" t="s">
        <v>451</v>
      </c>
      <c r="AI2891">
        <v>-330</v>
      </c>
      <c r="AL2891" t="s">
        <v>1650</v>
      </c>
      <c r="AN2891" t="s">
        <v>31</v>
      </c>
      <c r="AO2891">
        <v>0</v>
      </c>
      <c r="AS2891" t="s">
        <v>702</v>
      </c>
      <c r="AX2891" t="s">
        <v>31</v>
      </c>
      <c r="AY2891" t="s">
        <v>386</v>
      </c>
      <c r="AZ2891" t="s">
        <v>1651</v>
      </c>
      <c r="BF2891">
        <v>0</v>
      </c>
      <c r="BK2891" t="s">
        <v>31</v>
      </c>
      <c r="BS2891" t="s">
        <v>419</v>
      </c>
      <c r="BT2891" t="s">
        <v>419</v>
      </c>
      <c r="CI2891" t="s">
        <v>388</v>
      </c>
      <c r="CJ2891" s="14">
        <v>45016</v>
      </c>
      <c r="CK2891">
        <v>1</v>
      </c>
    </row>
    <row r="2892" spans="1:89">
      <c r="A2892" t="s">
        <v>1479</v>
      </c>
      <c r="B2892" t="s">
        <v>374</v>
      </c>
      <c r="C2892" t="s">
        <v>1480</v>
      </c>
      <c r="D2892" t="s">
        <v>1652</v>
      </c>
      <c r="E2892" t="s">
        <v>1494</v>
      </c>
      <c r="F2892" s="13">
        <v>44643.382060185184</v>
      </c>
      <c r="G2892" t="s">
        <v>1483</v>
      </c>
      <c r="H2892" t="s">
        <v>1484</v>
      </c>
      <c r="I2892" s="13">
        <v>45012.044293981482</v>
      </c>
      <c r="K2892" t="s">
        <v>415</v>
      </c>
      <c r="M2892" s="13">
        <v>44690</v>
      </c>
      <c r="R2892">
        <v>0</v>
      </c>
      <c r="S2892" t="s">
        <v>380</v>
      </c>
      <c r="T2892" t="s">
        <v>57</v>
      </c>
      <c r="V2892" t="s">
        <v>478</v>
      </c>
      <c r="W2892" t="s">
        <v>1653</v>
      </c>
      <c r="X2892" t="s">
        <v>1653</v>
      </c>
      <c r="AC2892" s="13">
        <v>44690</v>
      </c>
      <c r="AD2892" s="13">
        <v>44610</v>
      </c>
      <c r="AF2892" t="s">
        <v>451</v>
      </c>
      <c r="AI2892">
        <v>-322</v>
      </c>
      <c r="AL2892" t="s">
        <v>1654</v>
      </c>
      <c r="AN2892" t="s">
        <v>31</v>
      </c>
      <c r="AO2892">
        <v>0</v>
      </c>
      <c r="AS2892" t="s">
        <v>385</v>
      </c>
      <c r="AX2892" t="s">
        <v>31</v>
      </c>
      <c r="AY2892" t="s">
        <v>386</v>
      </c>
      <c r="AZ2892" t="s">
        <v>1547</v>
      </c>
      <c r="BF2892">
        <v>0</v>
      </c>
      <c r="BK2892" t="s">
        <v>31</v>
      </c>
      <c r="BS2892" t="s">
        <v>419</v>
      </c>
      <c r="BT2892" t="s">
        <v>419</v>
      </c>
      <c r="CI2892" t="s">
        <v>388</v>
      </c>
      <c r="CJ2892" s="14">
        <v>45016</v>
      </c>
      <c r="CK2892">
        <v>1</v>
      </c>
    </row>
    <row r="2893" spans="1:89">
      <c r="A2893" t="s">
        <v>1655</v>
      </c>
      <c r="B2893" t="s">
        <v>374</v>
      </c>
      <c r="C2893" t="s">
        <v>1656</v>
      </c>
      <c r="D2893" t="s">
        <v>1657</v>
      </c>
      <c r="E2893" t="s">
        <v>1658</v>
      </c>
      <c r="F2893" s="13">
        <v>44642.739652777775</v>
      </c>
      <c r="G2893" t="s">
        <v>1659</v>
      </c>
      <c r="H2893" t="s">
        <v>1660</v>
      </c>
      <c r="I2893" s="13">
        <v>45012.044282407405</v>
      </c>
      <c r="K2893" t="s">
        <v>415</v>
      </c>
      <c r="M2893" s="13">
        <v>44742</v>
      </c>
      <c r="R2893">
        <v>0</v>
      </c>
      <c r="S2893" t="s">
        <v>380</v>
      </c>
      <c r="T2893" t="s">
        <v>57</v>
      </c>
      <c r="V2893" t="s">
        <v>478</v>
      </c>
      <c r="W2893" t="s">
        <v>1661</v>
      </c>
      <c r="X2893" t="s">
        <v>1661</v>
      </c>
      <c r="AF2893" t="s">
        <v>451</v>
      </c>
      <c r="AI2893">
        <v>-270</v>
      </c>
      <c r="AL2893" t="s">
        <v>1662</v>
      </c>
      <c r="AN2893" t="s">
        <v>31</v>
      </c>
      <c r="AO2893">
        <v>0</v>
      </c>
      <c r="AS2893" t="s">
        <v>385</v>
      </c>
      <c r="AX2893" t="s">
        <v>31</v>
      </c>
      <c r="AY2893" t="s">
        <v>442</v>
      </c>
      <c r="AZ2893" t="s">
        <v>1663</v>
      </c>
      <c r="BF2893">
        <v>0</v>
      </c>
      <c r="BK2893" t="s">
        <v>31</v>
      </c>
      <c r="BS2893" t="s">
        <v>419</v>
      </c>
      <c r="BT2893" t="s">
        <v>419</v>
      </c>
      <c r="CI2893" t="s">
        <v>388</v>
      </c>
      <c r="CJ2893" s="14">
        <v>45016</v>
      </c>
      <c r="CK2893">
        <v>1</v>
      </c>
    </row>
    <row r="2894" spans="1:89">
      <c r="A2894" t="s">
        <v>1655</v>
      </c>
      <c r="B2894" t="s">
        <v>374</v>
      </c>
      <c r="C2894" t="s">
        <v>1656</v>
      </c>
      <c r="D2894" t="s">
        <v>1664</v>
      </c>
      <c r="E2894" t="s">
        <v>1665</v>
      </c>
      <c r="F2894" s="13">
        <v>44642.738078703704</v>
      </c>
      <c r="G2894" t="s">
        <v>1659</v>
      </c>
      <c r="H2894" t="s">
        <v>1660</v>
      </c>
      <c r="I2894" s="13">
        <v>45012.044282407405</v>
      </c>
      <c r="K2894" t="s">
        <v>415</v>
      </c>
      <c r="M2894" s="13">
        <v>44834</v>
      </c>
      <c r="R2894">
        <v>0</v>
      </c>
      <c r="S2894" t="s">
        <v>380</v>
      </c>
      <c r="T2894" t="s">
        <v>57</v>
      </c>
      <c r="V2894" t="s">
        <v>478</v>
      </c>
      <c r="W2894" t="s">
        <v>1661</v>
      </c>
      <c r="X2894" t="s">
        <v>1661</v>
      </c>
      <c r="AF2894" t="s">
        <v>451</v>
      </c>
      <c r="AI2894">
        <v>-178</v>
      </c>
      <c r="AL2894" t="s">
        <v>1662</v>
      </c>
      <c r="AN2894" t="s">
        <v>31</v>
      </c>
      <c r="AO2894">
        <v>0</v>
      </c>
      <c r="AS2894" t="s">
        <v>707</v>
      </c>
      <c r="AX2894" t="s">
        <v>31</v>
      </c>
      <c r="AY2894" t="s">
        <v>442</v>
      </c>
      <c r="AZ2894" t="s">
        <v>1666</v>
      </c>
      <c r="BF2894">
        <v>0</v>
      </c>
      <c r="BK2894" t="s">
        <v>31</v>
      </c>
      <c r="BS2894" t="s">
        <v>419</v>
      </c>
      <c r="BT2894" t="s">
        <v>419</v>
      </c>
      <c r="CI2894" t="s">
        <v>388</v>
      </c>
      <c r="CJ2894" s="14">
        <v>45016</v>
      </c>
      <c r="CK2894">
        <v>1</v>
      </c>
    </row>
    <row r="2895" spans="1:89">
      <c r="A2895" t="s">
        <v>1655</v>
      </c>
      <c r="B2895" t="s">
        <v>374</v>
      </c>
      <c r="C2895" t="s">
        <v>1656</v>
      </c>
      <c r="D2895" t="s">
        <v>1667</v>
      </c>
      <c r="E2895" t="s">
        <v>1668</v>
      </c>
      <c r="F2895" s="13">
        <v>44642.689097222225</v>
      </c>
      <c r="G2895" t="s">
        <v>1659</v>
      </c>
      <c r="H2895" t="s">
        <v>1660</v>
      </c>
      <c r="I2895" s="13">
        <v>45012.044282407405</v>
      </c>
      <c r="K2895" t="s">
        <v>415</v>
      </c>
      <c r="M2895" s="13">
        <v>44650</v>
      </c>
      <c r="R2895">
        <v>100</v>
      </c>
      <c r="S2895" t="s">
        <v>380</v>
      </c>
      <c r="T2895" t="s">
        <v>57</v>
      </c>
      <c r="V2895" t="s">
        <v>478</v>
      </c>
      <c r="W2895" t="s">
        <v>1661</v>
      </c>
      <c r="X2895" t="s">
        <v>1661</v>
      </c>
      <c r="AB2895" t="s">
        <v>57</v>
      </c>
      <c r="AF2895" t="s">
        <v>382</v>
      </c>
      <c r="AG2895" t="s">
        <v>1669</v>
      </c>
      <c r="AI2895">
        <v>-362</v>
      </c>
      <c r="AJ2895" s="13">
        <v>44651</v>
      </c>
      <c r="AL2895" t="s">
        <v>1670</v>
      </c>
      <c r="AN2895" t="s">
        <v>31</v>
      </c>
      <c r="AO2895">
        <v>0</v>
      </c>
      <c r="AR2895" t="s">
        <v>1669</v>
      </c>
      <c r="AS2895" t="s">
        <v>385</v>
      </c>
      <c r="AX2895" t="s">
        <v>31</v>
      </c>
      <c r="AY2895" t="s">
        <v>442</v>
      </c>
      <c r="AZ2895" t="s">
        <v>1671</v>
      </c>
      <c r="BF2895">
        <v>0</v>
      </c>
      <c r="BK2895" t="s">
        <v>31</v>
      </c>
      <c r="BS2895" t="s">
        <v>1201</v>
      </c>
      <c r="BT2895" t="s">
        <v>1202</v>
      </c>
      <c r="CI2895" t="s">
        <v>388</v>
      </c>
      <c r="CJ2895" s="14">
        <v>45016</v>
      </c>
      <c r="CK2895">
        <v>1</v>
      </c>
    </row>
    <row r="2896" spans="1:89">
      <c r="A2896" t="s">
        <v>1655</v>
      </c>
      <c r="B2896" t="s">
        <v>374</v>
      </c>
      <c r="C2896" t="s">
        <v>1656</v>
      </c>
      <c r="D2896" t="s">
        <v>1672</v>
      </c>
      <c r="E2896" t="s">
        <v>1673</v>
      </c>
      <c r="F2896" s="13">
        <v>44642.686909722222</v>
      </c>
      <c r="G2896" t="s">
        <v>1659</v>
      </c>
      <c r="H2896" t="s">
        <v>1660</v>
      </c>
      <c r="I2896" s="13">
        <v>45012.044270833336</v>
      </c>
      <c r="K2896" t="s">
        <v>415</v>
      </c>
      <c r="M2896" s="13">
        <v>44650</v>
      </c>
      <c r="R2896">
        <v>100</v>
      </c>
      <c r="S2896" t="s">
        <v>380</v>
      </c>
      <c r="T2896" t="s">
        <v>57</v>
      </c>
      <c r="V2896" t="s">
        <v>478</v>
      </c>
      <c r="W2896" t="s">
        <v>1661</v>
      </c>
      <c r="X2896" t="s">
        <v>1661</v>
      </c>
      <c r="AB2896" t="s">
        <v>57</v>
      </c>
      <c r="AF2896" t="s">
        <v>382</v>
      </c>
      <c r="AG2896" t="s">
        <v>1669</v>
      </c>
      <c r="AI2896">
        <v>-362</v>
      </c>
      <c r="AJ2896" s="13">
        <v>44651</v>
      </c>
      <c r="AL2896" t="s">
        <v>1670</v>
      </c>
      <c r="AN2896" t="s">
        <v>31</v>
      </c>
      <c r="AO2896">
        <v>0</v>
      </c>
      <c r="AR2896" t="s">
        <v>1669</v>
      </c>
      <c r="AS2896" t="s">
        <v>392</v>
      </c>
      <c r="AX2896" t="s">
        <v>31</v>
      </c>
      <c r="AY2896" t="s">
        <v>442</v>
      </c>
      <c r="AZ2896" t="s">
        <v>1674</v>
      </c>
      <c r="BF2896">
        <v>0</v>
      </c>
      <c r="BK2896" t="s">
        <v>31</v>
      </c>
      <c r="BS2896" t="s">
        <v>1201</v>
      </c>
      <c r="BT2896" t="s">
        <v>1202</v>
      </c>
      <c r="CI2896" t="s">
        <v>388</v>
      </c>
      <c r="CJ2896" s="14">
        <v>45016</v>
      </c>
      <c r="CK2896">
        <v>1</v>
      </c>
    </row>
    <row r="2897" spans="1:89">
      <c r="A2897" t="s">
        <v>1675</v>
      </c>
      <c r="B2897" t="s">
        <v>374</v>
      </c>
      <c r="C2897" t="s">
        <v>1676</v>
      </c>
      <c r="D2897" t="s">
        <v>1677</v>
      </c>
      <c r="E2897" t="s">
        <v>1678</v>
      </c>
      <c r="F2897" s="13">
        <v>44642.555474537039</v>
      </c>
      <c r="G2897" t="s">
        <v>1501</v>
      </c>
      <c r="H2897" t="s">
        <v>1502</v>
      </c>
      <c r="I2897" s="13">
        <v>45012.044270833336</v>
      </c>
      <c r="K2897" t="s">
        <v>415</v>
      </c>
      <c r="M2897" s="13">
        <v>44895</v>
      </c>
      <c r="R2897">
        <v>0</v>
      </c>
      <c r="S2897" t="s">
        <v>380</v>
      </c>
      <c r="T2897" t="s">
        <v>57</v>
      </c>
      <c r="V2897" t="s">
        <v>478</v>
      </c>
      <c r="W2897" t="s">
        <v>1679</v>
      </c>
      <c r="X2897" t="s">
        <v>1679</v>
      </c>
      <c r="AF2897" t="s">
        <v>451</v>
      </c>
      <c r="AI2897">
        <v>-117</v>
      </c>
      <c r="AL2897" t="s">
        <v>1680</v>
      </c>
      <c r="AN2897" t="s">
        <v>57</v>
      </c>
      <c r="AO2897">
        <v>0</v>
      </c>
      <c r="AS2897" t="s">
        <v>392</v>
      </c>
      <c r="AX2897" t="s">
        <v>57</v>
      </c>
      <c r="AY2897" t="s">
        <v>442</v>
      </c>
      <c r="AZ2897" t="s">
        <v>1681</v>
      </c>
      <c r="BF2897">
        <v>0</v>
      </c>
      <c r="BK2897" t="s">
        <v>31</v>
      </c>
      <c r="BS2897" t="s">
        <v>419</v>
      </c>
      <c r="BT2897" t="s">
        <v>419</v>
      </c>
      <c r="CI2897" t="s">
        <v>388</v>
      </c>
      <c r="CJ2897" s="14">
        <v>45016</v>
      </c>
      <c r="CK2897">
        <v>1</v>
      </c>
    </row>
    <row r="2898" spans="1:89">
      <c r="A2898" t="s">
        <v>1497</v>
      </c>
      <c r="B2898" t="s">
        <v>374</v>
      </c>
      <c r="C2898" t="s">
        <v>1498</v>
      </c>
      <c r="D2898" t="s">
        <v>1682</v>
      </c>
      <c r="E2898" t="s">
        <v>1683</v>
      </c>
      <c r="F2898" s="13">
        <v>44642.548449074071</v>
      </c>
      <c r="G2898" t="s">
        <v>1501</v>
      </c>
      <c r="H2898" t="s">
        <v>1502</v>
      </c>
      <c r="I2898" s="13">
        <v>45012.044270833336</v>
      </c>
      <c r="K2898" t="s">
        <v>415</v>
      </c>
      <c r="M2898" s="13">
        <v>44895</v>
      </c>
      <c r="R2898">
        <v>0</v>
      </c>
      <c r="S2898" t="s">
        <v>380</v>
      </c>
      <c r="T2898" t="s">
        <v>57</v>
      </c>
      <c r="V2898" t="s">
        <v>478</v>
      </c>
      <c r="W2898" t="s">
        <v>1684</v>
      </c>
      <c r="X2898" t="s">
        <v>1684</v>
      </c>
      <c r="AF2898" t="s">
        <v>451</v>
      </c>
      <c r="AI2898">
        <v>-117</v>
      </c>
      <c r="AL2898" t="s">
        <v>1685</v>
      </c>
      <c r="AN2898" t="s">
        <v>57</v>
      </c>
      <c r="AO2898">
        <v>0</v>
      </c>
      <c r="AS2898" t="s">
        <v>392</v>
      </c>
      <c r="AX2898" t="s">
        <v>57</v>
      </c>
      <c r="AY2898" t="s">
        <v>442</v>
      </c>
      <c r="AZ2898" t="s">
        <v>1686</v>
      </c>
      <c r="BF2898">
        <v>0</v>
      </c>
      <c r="BK2898" t="s">
        <v>31</v>
      </c>
      <c r="BS2898" t="s">
        <v>419</v>
      </c>
      <c r="BT2898" t="s">
        <v>419</v>
      </c>
      <c r="CI2898" t="s">
        <v>388</v>
      </c>
      <c r="CJ2898" s="14">
        <v>45016</v>
      </c>
      <c r="CK2898">
        <v>1</v>
      </c>
    </row>
    <row r="2899" spans="1:89">
      <c r="A2899" t="s">
        <v>1459</v>
      </c>
      <c r="B2899" t="s">
        <v>374</v>
      </c>
      <c r="C2899" t="s">
        <v>1460</v>
      </c>
      <c r="D2899" t="s">
        <v>1687</v>
      </c>
      <c r="E2899" t="s">
        <v>1688</v>
      </c>
      <c r="F2899" s="13">
        <v>44638.764374999999</v>
      </c>
      <c r="G2899" t="s">
        <v>641</v>
      </c>
      <c r="H2899" t="s">
        <v>642</v>
      </c>
      <c r="I2899" s="13">
        <v>44650.372847222221</v>
      </c>
      <c r="K2899" t="s">
        <v>379</v>
      </c>
      <c r="M2899" s="13">
        <v>44635</v>
      </c>
      <c r="R2899">
        <v>100</v>
      </c>
      <c r="S2899" t="s">
        <v>380</v>
      </c>
      <c r="T2899" t="s">
        <v>57</v>
      </c>
      <c r="V2899" t="s">
        <v>381</v>
      </c>
      <c r="W2899" t="s">
        <v>1465</v>
      </c>
      <c r="X2899" t="s">
        <v>1465</v>
      </c>
      <c r="AC2899" s="13">
        <v>44595</v>
      </c>
      <c r="AD2899" s="13">
        <v>44582</v>
      </c>
      <c r="AF2899" t="s">
        <v>382</v>
      </c>
      <c r="AG2899" t="s">
        <v>1689</v>
      </c>
      <c r="AI2899">
        <v>-15</v>
      </c>
      <c r="AN2899" t="s">
        <v>31</v>
      </c>
      <c r="AO2899">
        <v>0</v>
      </c>
      <c r="AS2899" t="s">
        <v>385</v>
      </c>
      <c r="AX2899" t="s">
        <v>31</v>
      </c>
      <c r="AY2899" t="s">
        <v>386</v>
      </c>
      <c r="AZ2899" t="s">
        <v>1690</v>
      </c>
      <c r="BF2899">
        <v>0</v>
      </c>
      <c r="BK2899" t="s">
        <v>31</v>
      </c>
      <c r="BS2899" t="s">
        <v>379</v>
      </c>
      <c r="BT2899" t="s">
        <v>379</v>
      </c>
      <c r="CI2899" t="s">
        <v>388</v>
      </c>
      <c r="CJ2899" s="14">
        <v>45016</v>
      </c>
      <c r="CK2899">
        <v>1</v>
      </c>
    </row>
    <row r="2900" spans="1:89">
      <c r="A2900" t="s">
        <v>1459</v>
      </c>
      <c r="B2900" t="s">
        <v>374</v>
      </c>
      <c r="C2900" t="s">
        <v>1460</v>
      </c>
      <c r="D2900" t="s">
        <v>1691</v>
      </c>
      <c r="E2900" t="s">
        <v>1692</v>
      </c>
      <c r="F2900" s="13">
        <v>44638.764374999999</v>
      </c>
      <c r="G2900" t="s">
        <v>641</v>
      </c>
      <c r="H2900" t="s">
        <v>642</v>
      </c>
      <c r="I2900" s="13">
        <v>45012.044259259259</v>
      </c>
      <c r="K2900" t="s">
        <v>415</v>
      </c>
      <c r="M2900" s="13">
        <v>44650</v>
      </c>
      <c r="R2900">
        <v>0</v>
      </c>
      <c r="S2900" t="s">
        <v>380</v>
      </c>
      <c r="T2900" t="s">
        <v>57</v>
      </c>
      <c r="V2900" t="s">
        <v>478</v>
      </c>
      <c r="W2900" t="s">
        <v>1465</v>
      </c>
      <c r="X2900" t="s">
        <v>1465</v>
      </c>
      <c r="AC2900" s="13">
        <v>44594</v>
      </c>
      <c r="AD2900" s="13">
        <v>44581</v>
      </c>
      <c r="AF2900" t="s">
        <v>451</v>
      </c>
      <c r="AI2900">
        <v>-362</v>
      </c>
      <c r="AN2900" t="s">
        <v>31</v>
      </c>
      <c r="AO2900">
        <v>0</v>
      </c>
      <c r="AS2900" t="s">
        <v>538</v>
      </c>
      <c r="AX2900" t="s">
        <v>31</v>
      </c>
      <c r="AY2900" t="s">
        <v>386</v>
      </c>
      <c r="AZ2900" t="s">
        <v>1693</v>
      </c>
      <c r="BF2900">
        <v>0</v>
      </c>
      <c r="BK2900" t="s">
        <v>31</v>
      </c>
      <c r="BS2900" t="s">
        <v>419</v>
      </c>
      <c r="BT2900" t="s">
        <v>419</v>
      </c>
      <c r="CI2900" t="s">
        <v>388</v>
      </c>
      <c r="CJ2900" s="14">
        <v>45016</v>
      </c>
      <c r="CK2900">
        <v>1</v>
      </c>
    </row>
    <row r="2901" spans="1:89">
      <c r="A2901" t="s">
        <v>1459</v>
      </c>
      <c r="B2901" t="s">
        <v>374</v>
      </c>
      <c r="C2901" t="s">
        <v>1460</v>
      </c>
      <c r="D2901" t="s">
        <v>1694</v>
      </c>
      <c r="E2901" t="s">
        <v>1695</v>
      </c>
      <c r="F2901" s="13">
        <v>44638.764363425929</v>
      </c>
      <c r="G2901" t="s">
        <v>641</v>
      </c>
      <c r="H2901" t="s">
        <v>642</v>
      </c>
      <c r="I2901" s="13">
        <v>45012.044259259259</v>
      </c>
      <c r="K2901" t="s">
        <v>415</v>
      </c>
      <c r="M2901" s="13">
        <v>44650</v>
      </c>
      <c r="R2901">
        <v>0</v>
      </c>
      <c r="S2901" t="s">
        <v>380</v>
      </c>
      <c r="T2901" t="s">
        <v>57</v>
      </c>
      <c r="V2901" t="s">
        <v>478</v>
      </c>
      <c r="W2901" t="s">
        <v>1465</v>
      </c>
      <c r="X2901" t="s">
        <v>1465</v>
      </c>
      <c r="Y2901" t="s">
        <v>480</v>
      </c>
      <c r="AC2901" s="13">
        <v>44592</v>
      </c>
      <c r="AD2901" s="13">
        <v>44579</v>
      </c>
      <c r="AF2901" t="s">
        <v>451</v>
      </c>
      <c r="AG2901" t="s">
        <v>1696</v>
      </c>
      <c r="AI2901">
        <v>-362</v>
      </c>
      <c r="AN2901" t="s">
        <v>31</v>
      </c>
      <c r="AO2901">
        <v>0</v>
      </c>
      <c r="AS2901" t="s">
        <v>392</v>
      </c>
      <c r="AT2901" t="s">
        <v>31</v>
      </c>
      <c r="AX2901" t="s">
        <v>31</v>
      </c>
      <c r="AY2901" t="s">
        <v>386</v>
      </c>
      <c r="AZ2901" t="s">
        <v>1697</v>
      </c>
      <c r="BF2901">
        <v>0</v>
      </c>
      <c r="BK2901" t="s">
        <v>31</v>
      </c>
      <c r="BS2901" t="s">
        <v>484</v>
      </c>
      <c r="BT2901" t="s">
        <v>484</v>
      </c>
      <c r="CI2901" t="s">
        <v>388</v>
      </c>
      <c r="CJ2901" s="14">
        <v>45016</v>
      </c>
      <c r="CK2901">
        <v>1</v>
      </c>
    </row>
    <row r="2902" spans="1:89">
      <c r="A2902" t="s">
        <v>1459</v>
      </c>
      <c r="B2902" t="s">
        <v>374</v>
      </c>
      <c r="C2902" t="s">
        <v>1460</v>
      </c>
      <c r="D2902" t="s">
        <v>1698</v>
      </c>
      <c r="E2902" t="s">
        <v>1699</v>
      </c>
      <c r="F2902" s="13">
        <v>44638.764363425929</v>
      </c>
      <c r="G2902" t="s">
        <v>641</v>
      </c>
      <c r="H2902" t="s">
        <v>642</v>
      </c>
      <c r="I2902" s="13">
        <v>45012.044259259259</v>
      </c>
      <c r="K2902" t="s">
        <v>415</v>
      </c>
      <c r="M2902" s="13">
        <v>44650</v>
      </c>
      <c r="R2902">
        <v>0</v>
      </c>
      <c r="S2902" t="s">
        <v>380</v>
      </c>
      <c r="T2902" t="s">
        <v>57</v>
      </c>
      <c r="V2902" t="s">
        <v>478</v>
      </c>
      <c r="W2902" t="s">
        <v>1465</v>
      </c>
      <c r="X2902" t="s">
        <v>1465</v>
      </c>
      <c r="AC2902" s="13">
        <v>44593</v>
      </c>
      <c r="AD2902" s="13">
        <v>44580</v>
      </c>
      <c r="AF2902" t="s">
        <v>451</v>
      </c>
      <c r="AI2902">
        <v>-361</v>
      </c>
      <c r="AN2902" t="s">
        <v>31</v>
      </c>
      <c r="AO2902">
        <v>0</v>
      </c>
      <c r="AS2902" t="s">
        <v>744</v>
      </c>
      <c r="AX2902" t="s">
        <v>31</v>
      </c>
      <c r="AY2902" t="s">
        <v>386</v>
      </c>
      <c r="AZ2902" t="s">
        <v>1700</v>
      </c>
      <c r="BF2902">
        <v>0</v>
      </c>
      <c r="BK2902" t="s">
        <v>31</v>
      </c>
      <c r="BS2902" t="s">
        <v>419</v>
      </c>
      <c r="BT2902" t="s">
        <v>419</v>
      </c>
      <c r="CI2902" t="s">
        <v>388</v>
      </c>
      <c r="CJ2902" s="14">
        <v>45016</v>
      </c>
      <c r="CK2902">
        <v>1</v>
      </c>
    </row>
    <row r="2903" spans="1:89">
      <c r="A2903" t="s">
        <v>1701</v>
      </c>
      <c r="B2903" t="s">
        <v>374</v>
      </c>
      <c r="C2903" t="s">
        <v>1702</v>
      </c>
      <c r="D2903" t="s">
        <v>1703</v>
      </c>
      <c r="E2903" t="s">
        <v>1704</v>
      </c>
      <c r="F2903" s="13">
        <v>44638.759328703702</v>
      </c>
      <c r="G2903" t="s">
        <v>641</v>
      </c>
      <c r="H2903" t="s">
        <v>642</v>
      </c>
      <c r="I2903" s="13">
        <v>44638.759328703702</v>
      </c>
      <c r="K2903" t="s">
        <v>412</v>
      </c>
      <c r="M2903" s="13">
        <v>44579</v>
      </c>
      <c r="R2903">
        <v>0</v>
      </c>
      <c r="S2903" t="s">
        <v>380</v>
      </c>
      <c r="T2903" t="s">
        <v>57</v>
      </c>
      <c r="V2903" t="s">
        <v>381</v>
      </c>
      <c r="W2903" t="s">
        <v>1639</v>
      </c>
      <c r="X2903" t="s">
        <v>1639</v>
      </c>
      <c r="AC2903" s="13">
        <v>44579</v>
      </c>
      <c r="AD2903" s="13">
        <v>44579</v>
      </c>
      <c r="AI2903">
        <v>-59</v>
      </c>
      <c r="AN2903" t="s">
        <v>31</v>
      </c>
      <c r="AO2903">
        <v>0</v>
      </c>
      <c r="AS2903" t="s">
        <v>385</v>
      </c>
      <c r="AX2903" t="s">
        <v>57</v>
      </c>
      <c r="AY2903" t="s">
        <v>442</v>
      </c>
      <c r="BF2903">
        <v>0</v>
      </c>
      <c r="BK2903" t="s">
        <v>31</v>
      </c>
      <c r="BS2903" t="s">
        <v>412</v>
      </c>
      <c r="CI2903" t="s">
        <v>388</v>
      </c>
      <c r="CJ2903" s="14">
        <v>45016</v>
      </c>
      <c r="CK2903">
        <v>1</v>
      </c>
    </row>
    <row r="2904" spans="1:89">
      <c r="A2904" t="s">
        <v>1705</v>
      </c>
      <c r="B2904" t="s">
        <v>374</v>
      </c>
      <c r="C2904" t="s">
        <v>1706</v>
      </c>
      <c r="D2904" t="s">
        <v>1707</v>
      </c>
      <c r="E2904" t="s">
        <v>1708</v>
      </c>
      <c r="F2904" s="13">
        <v>44638.759328703702</v>
      </c>
      <c r="G2904" t="s">
        <v>641</v>
      </c>
      <c r="H2904" t="s">
        <v>642</v>
      </c>
      <c r="I2904" s="13">
        <v>44638.759328703702</v>
      </c>
      <c r="K2904" t="s">
        <v>412</v>
      </c>
      <c r="M2904" s="13">
        <v>44609</v>
      </c>
      <c r="R2904">
        <v>0</v>
      </c>
      <c r="S2904" t="s">
        <v>380</v>
      </c>
      <c r="T2904" t="s">
        <v>57</v>
      </c>
      <c r="V2904" t="s">
        <v>381</v>
      </c>
      <c r="W2904" t="s">
        <v>1709</v>
      </c>
      <c r="X2904" t="s">
        <v>1709</v>
      </c>
      <c r="AC2904" s="13">
        <v>44609</v>
      </c>
      <c r="AD2904" s="13">
        <v>44609</v>
      </c>
      <c r="AI2904">
        <v>-29</v>
      </c>
      <c r="AN2904" t="s">
        <v>31</v>
      </c>
      <c r="AO2904">
        <v>0</v>
      </c>
      <c r="AS2904" t="s">
        <v>648</v>
      </c>
      <c r="AX2904" t="s">
        <v>57</v>
      </c>
      <c r="AY2904" t="s">
        <v>442</v>
      </c>
      <c r="BF2904">
        <v>0</v>
      </c>
      <c r="BK2904" t="s">
        <v>31</v>
      </c>
      <c r="BS2904" t="s">
        <v>412</v>
      </c>
      <c r="CI2904" t="s">
        <v>388</v>
      </c>
      <c r="CJ2904" s="14">
        <v>45016</v>
      </c>
      <c r="CK2904">
        <v>1</v>
      </c>
    </row>
    <row r="2905" spans="1:89">
      <c r="A2905" t="s">
        <v>1710</v>
      </c>
      <c r="B2905" t="s">
        <v>374</v>
      </c>
      <c r="C2905" t="s">
        <v>392</v>
      </c>
      <c r="D2905" t="s">
        <v>1711</v>
      </c>
      <c r="E2905" t="s">
        <v>1712</v>
      </c>
      <c r="F2905" s="13">
        <v>44638.759317129632</v>
      </c>
      <c r="G2905" t="s">
        <v>641</v>
      </c>
      <c r="H2905" t="s">
        <v>642</v>
      </c>
      <c r="I2905" s="13">
        <v>44638.759317129632</v>
      </c>
      <c r="K2905" t="s">
        <v>412</v>
      </c>
      <c r="M2905" s="13">
        <v>44742</v>
      </c>
      <c r="R2905">
        <v>0</v>
      </c>
      <c r="S2905" t="s">
        <v>380</v>
      </c>
      <c r="T2905" t="s">
        <v>57</v>
      </c>
      <c r="V2905" t="s">
        <v>381</v>
      </c>
      <c r="W2905" t="s">
        <v>1713</v>
      </c>
      <c r="X2905" t="s">
        <v>1713</v>
      </c>
      <c r="AC2905" s="13">
        <v>44742</v>
      </c>
      <c r="AD2905" s="13">
        <v>44742</v>
      </c>
      <c r="AI2905">
        <v>104</v>
      </c>
      <c r="AN2905" t="s">
        <v>31</v>
      </c>
      <c r="AO2905">
        <v>0</v>
      </c>
      <c r="AS2905" t="s">
        <v>392</v>
      </c>
      <c r="AX2905" t="s">
        <v>57</v>
      </c>
      <c r="AY2905" t="s">
        <v>442</v>
      </c>
      <c r="BF2905">
        <v>0</v>
      </c>
      <c r="BK2905" t="s">
        <v>31</v>
      </c>
      <c r="BS2905" t="s">
        <v>412</v>
      </c>
      <c r="CI2905" t="s">
        <v>388</v>
      </c>
      <c r="CJ2905" s="14">
        <v>45016</v>
      </c>
      <c r="CK2905">
        <v>1</v>
      </c>
    </row>
    <row r="2906" spans="1:89">
      <c r="A2906" t="s">
        <v>1710</v>
      </c>
      <c r="B2906" t="s">
        <v>374</v>
      </c>
      <c r="C2906" t="s">
        <v>392</v>
      </c>
      <c r="D2906" t="s">
        <v>1714</v>
      </c>
      <c r="E2906" t="s">
        <v>1715</v>
      </c>
      <c r="F2906" s="13">
        <v>44638.759317129632</v>
      </c>
      <c r="G2906" t="s">
        <v>641</v>
      </c>
      <c r="H2906" t="s">
        <v>642</v>
      </c>
      <c r="I2906" s="13">
        <v>44638.759317129632</v>
      </c>
      <c r="K2906" t="s">
        <v>412</v>
      </c>
      <c r="M2906" s="13">
        <v>44742</v>
      </c>
      <c r="R2906">
        <v>0</v>
      </c>
      <c r="S2906" t="s">
        <v>380</v>
      </c>
      <c r="T2906" t="s">
        <v>57</v>
      </c>
      <c r="V2906" t="s">
        <v>381</v>
      </c>
      <c r="W2906" t="s">
        <v>1713</v>
      </c>
      <c r="X2906" t="s">
        <v>1713</v>
      </c>
      <c r="AC2906" s="13">
        <v>44742</v>
      </c>
      <c r="AD2906" s="13">
        <v>44742</v>
      </c>
      <c r="AI2906">
        <v>104</v>
      </c>
      <c r="AN2906" t="s">
        <v>31</v>
      </c>
      <c r="AO2906">
        <v>0</v>
      </c>
      <c r="AS2906" t="s">
        <v>392</v>
      </c>
      <c r="AX2906" t="s">
        <v>57</v>
      </c>
      <c r="AY2906" t="s">
        <v>442</v>
      </c>
      <c r="BF2906">
        <v>0</v>
      </c>
      <c r="BK2906" t="s">
        <v>31</v>
      </c>
      <c r="BS2906" t="s">
        <v>412</v>
      </c>
      <c r="CI2906" t="s">
        <v>388</v>
      </c>
      <c r="CJ2906" s="14">
        <v>45016</v>
      </c>
      <c r="CK2906">
        <v>1</v>
      </c>
    </row>
    <row r="2907" spans="1:89">
      <c r="A2907" t="s">
        <v>1716</v>
      </c>
      <c r="B2907" t="s">
        <v>374</v>
      </c>
      <c r="C2907" t="s">
        <v>966</v>
      </c>
      <c r="D2907" t="s">
        <v>1717</v>
      </c>
      <c r="E2907" t="s">
        <v>1718</v>
      </c>
      <c r="F2907" s="13">
        <v>44638.759305555555</v>
      </c>
      <c r="G2907" t="s">
        <v>641</v>
      </c>
      <c r="H2907" t="s">
        <v>642</v>
      </c>
      <c r="I2907" s="13">
        <v>44638.759305555555</v>
      </c>
      <c r="K2907" t="s">
        <v>412</v>
      </c>
      <c r="M2907" s="13">
        <v>44601</v>
      </c>
      <c r="R2907">
        <v>0</v>
      </c>
      <c r="S2907" t="s">
        <v>380</v>
      </c>
      <c r="T2907" t="s">
        <v>57</v>
      </c>
      <c r="V2907" t="s">
        <v>381</v>
      </c>
      <c r="W2907" t="s">
        <v>1719</v>
      </c>
      <c r="X2907" t="s">
        <v>1719</v>
      </c>
      <c r="AC2907" s="13">
        <v>44601</v>
      </c>
      <c r="AD2907" s="13">
        <v>44601</v>
      </c>
      <c r="AI2907">
        <v>-37</v>
      </c>
      <c r="AN2907" t="s">
        <v>31</v>
      </c>
      <c r="AO2907">
        <v>0</v>
      </c>
      <c r="AS2907" t="s">
        <v>1720</v>
      </c>
      <c r="AX2907" t="s">
        <v>57</v>
      </c>
      <c r="AY2907" t="s">
        <v>386</v>
      </c>
      <c r="BF2907">
        <v>0</v>
      </c>
      <c r="BK2907" t="s">
        <v>31</v>
      </c>
      <c r="BS2907" t="s">
        <v>412</v>
      </c>
      <c r="CI2907" t="s">
        <v>388</v>
      </c>
      <c r="CJ2907" s="14">
        <v>45016</v>
      </c>
      <c r="CK2907">
        <v>1</v>
      </c>
    </row>
    <row r="2908" spans="1:89">
      <c r="A2908" t="s">
        <v>1721</v>
      </c>
      <c r="B2908" t="s">
        <v>374</v>
      </c>
      <c r="C2908" t="s">
        <v>1722</v>
      </c>
      <c r="D2908" t="s">
        <v>1723</v>
      </c>
      <c r="E2908" t="s">
        <v>1724</v>
      </c>
      <c r="F2908" s="13">
        <v>44638.759305555555</v>
      </c>
      <c r="G2908" t="s">
        <v>641</v>
      </c>
      <c r="H2908" t="s">
        <v>642</v>
      </c>
      <c r="I2908" s="13">
        <v>44638.759305555555</v>
      </c>
      <c r="K2908" t="s">
        <v>412</v>
      </c>
      <c r="M2908" s="13">
        <v>44643</v>
      </c>
      <c r="R2908">
        <v>0</v>
      </c>
      <c r="S2908" t="s">
        <v>380</v>
      </c>
      <c r="T2908" t="s">
        <v>57</v>
      </c>
      <c r="V2908" t="s">
        <v>381</v>
      </c>
      <c r="W2908" t="s">
        <v>1725</v>
      </c>
      <c r="X2908" t="s">
        <v>1725</v>
      </c>
      <c r="AC2908" s="13">
        <v>44643</v>
      </c>
      <c r="AD2908" s="13">
        <v>44643</v>
      </c>
      <c r="AI2908">
        <v>5</v>
      </c>
      <c r="AN2908" t="s">
        <v>31</v>
      </c>
      <c r="AO2908">
        <v>0</v>
      </c>
      <c r="AS2908" t="s">
        <v>648</v>
      </c>
      <c r="AX2908" t="s">
        <v>57</v>
      </c>
      <c r="AY2908" t="s">
        <v>386</v>
      </c>
      <c r="BF2908">
        <v>0</v>
      </c>
      <c r="BK2908" t="s">
        <v>31</v>
      </c>
      <c r="BS2908" t="s">
        <v>412</v>
      </c>
      <c r="CI2908" t="s">
        <v>388</v>
      </c>
      <c r="CJ2908" s="14">
        <v>45016</v>
      </c>
      <c r="CK2908">
        <v>1</v>
      </c>
    </row>
    <row r="2909" spans="1:89">
      <c r="A2909" t="s">
        <v>1721</v>
      </c>
      <c r="B2909" t="s">
        <v>374</v>
      </c>
      <c r="C2909" t="s">
        <v>1722</v>
      </c>
      <c r="D2909" t="s">
        <v>1726</v>
      </c>
      <c r="E2909" t="s">
        <v>1727</v>
      </c>
      <c r="F2909" s="13">
        <v>44638.759293981479</v>
      </c>
      <c r="G2909" t="s">
        <v>641</v>
      </c>
      <c r="H2909" t="s">
        <v>642</v>
      </c>
      <c r="I2909" s="13">
        <v>44638.759293981479</v>
      </c>
      <c r="K2909" t="s">
        <v>412</v>
      </c>
      <c r="M2909" s="13">
        <v>44574</v>
      </c>
      <c r="R2909">
        <v>0</v>
      </c>
      <c r="S2909" t="s">
        <v>380</v>
      </c>
      <c r="T2909" t="s">
        <v>57</v>
      </c>
      <c r="V2909" t="s">
        <v>381</v>
      </c>
      <c r="W2909" t="s">
        <v>1725</v>
      </c>
      <c r="X2909" t="s">
        <v>1725</v>
      </c>
      <c r="AC2909" s="13">
        <v>44574</v>
      </c>
      <c r="AD2909" s="13">
        <v>44574</v>
      </c>
      <c r="AI2909">
        <v>-64</v>
      </c>
      <c r="AN2909" t="s">
        <v>31</v>
      </c>
      <c r="AO2909">
        <v>0</v>
      </c>
      <c r="AS2909" t="s">
        <v>385</v>
      </c>
      <c r="AX2909" t="s">
        <v>57</v>
      </c>
      <c r="AY2909" t="s">
        <v>386</v>
      </c>
      <c r="BF2909">
        <v>0</v>
      </c>
      <c r="BK2909" t="s">
        <v>31</v>
      </c>
      <c r="BS2909" t="s">
        <v>412</v>
      </c>
      <c r="CI2909" t="s">
        <v>388</v>
      </c>
      <c r="CJ2909" s="14">
        <v>45016</v>
      </c>
      <c r="CK2909">
        <v>1</v>
      </c>
    </row>
    <row r="2910" spans="1:89">
      <c r="A2910" t="s">
        <v>1705</v>
      </c>
      <c r="B2910" t="s">
        <v>374</v>
      </c>
      <c r="C2910" t="s">
        <v>1706</v>
      </c>
      <c r="D2910" t="s">
        <v>1728</v>
      </c>
      <c r="E2910" t="s">
        <v>1729</v>
      </c>
      <c r="F2910" s="13">
        <v>44638.759293981479</v>
      </c>
      <c r="G2910" t="s">
        <v>641</v>
      </c>
      <c r="H2910" t="s">
        <v>642</v>
      </c>
      <c r="I2910" s="13">
        <v>44638.759293981479</v>
      </c>
      <c r="K2910" t="s">
        <v>412</v>
      </c>
      <c r="M2910" s="13">
        <v>44651</v>
      </c>
      <c r="R2910">
        <v>0</v>
      </c>
      <c r="S2910" t="s">
        <v>380</v>
      </c>
      <c r="T2910" t="s">
        <v>57</v>
      </c>
      <c r="V2910" t="s">
        <v>381</v>
      </c>
      <c r="W2910" t="s">
        <v>1730</v>
      </c>
      <c r="X2910" t="s">
        <v>1730</v>
      </c>
      <c r="AC2910" s="13">
        <v>44651</v>
      </c>
      <c r="AD2910" s="13">
        <v>44651</v>
      </c>
      <c r="AI2910">
        <v>13</v>
      </c>
      <c r="AN2910" t="s">
        <v>31</v>
      </c>
      <c r="AO2910">
        <v>0</v>
      </c>
      <c r="AS2910" t="s">
        <v>385</v>
      </c>
      <c r="AX2910" t="s">
        <v>57</v>
      </c>
      <c r="AY2910" t="s">
        <v>386</v>
      </c>
      <c r="BF2910">
        <v>0</v>
      </c>
      <c r="BK2910" t="s">
        <v>31</v>
      </c>
      <c r="BS2910" t="s">
        <v>412</v>
      </c>
      <c r="CI2910" t="s">
        <v>388</v>
      </c>
      <c r="CJ2910" s="14">
        <v>45016</v>
      </c>
      <c r="CK2910">
        <v>1</v>
      </c>
    </row>
    <row r="2911" spans="1:89">
      <c r="A2911" t="s">
        <v>1705</v>
      </c>
      <c r="B2911" t="s">
        <v>374</v>
      </c>
      <c r="C2911" t="s">
        <v>1706</v>
      </c>
      <c r="D2911" t="s">
        <v>1731</v>
      </c>
      <c r="E2911" t="s">
        <v>1732</v>
      </c>
      <c r="F2911" s="13">
        <v>44638.759293981479</v>
      </c>
      <c r="G2911" t="s">
        <v>641</v>
      </c>
      <c r="H2911" t="s">
        <v>642</v>
      </c>
      <c r="I2911" s="13">
        <v>44638.759293981479</v>
      </c>
      <c r="K2911" t="s">
        <v>412</v>
      </c>
      <c r="M2911" s="13">
        <v>44651</v>
      </c>
      <c r="R2911">
        <v>0</v>
      </c>
      <c r="S2911" t="s">
        <v>380</v>
      </c>
      <c r="T2911" t="s">
        <v>57</v>
      </c>
      <c r="V2911" t="s">
        <v>381</v>
      </c>
      <c r="W2911" t="s">
        <v>1733</v>
      </c>
      <c r="X2911" t="s">
        <v>1733</v>
      </c>
      <c r="AC2911" s="13">
        <v>44651</v>
      </c>
      <c r="AD2911" s="13">
        <v>44651</v>
      </c>
      <c r="AI2911">
        <v>13</v>
      </c>
      <c r="AN2911" t="s">
        <v>31</v>
      </c>
      <c r="AO2911">
        <v>0</v>
      </c>
      <c r="AS2911" t="s">
        <v>385</v>
      </c>
      <c r="AX2911" t="s">
        <v>57</v>
      </c>
      <c r="AY2911" t="s">
        <v>386</v>
      </c>
      <c r="BF2911">
        <v>0</v>
      </c>
      <c r="BK2911" t="s">
        <v>31</v>
      </c>
      <c r="BS2911" t="s">
        <v>412</v>
      </c>
      <c r="CI2911" t="s">
        <v>388</v>
      </c>
      <c r="CJ2911" s="14">
        <v>45016</v>
      </c>
      <c r="CK2911">
        <v>1</v>
      </c>
    </row>
    <row r="2912" spans="1:89">
      <c r="A2912" t="s">
        <v>1705</v>
      </c>
      <c r="B2912" t="s">
        <v>374</v>
      </c>
      <c r="C2912" t="s">
        <v>1706</v>
      </c>
      <c r="D2912" t="s">
        <v>1734</v>
      </c>
      <c r="E2912" t="s">
        <v>1735</v>
      </c>
      <c r="F2912" s="13">
        <v>44638.759282407409</v>
      </c>
      <c r="G2912" t="s">
        <v>641</v>
      </c>
      <c r="H2912" t="s">
        <v>642</v>
      </c>
      <c r="I2912" s="13">
        <v>44638.759282407409</v>
      </c>
      <c r="K2912" t="s">
        <v>412</v>
      </c>
      <c r="M2912" s="13">
        <v>44651</v>
      </c>
      <c r="R2912">
        <v>0</v>
      </c>
      <c r="S2912" t="s">
        <v>380</v>
      </c>
      <c r="T2912" t="s">
        <v>57</v>
      </c>
      <c r="V2912" t="s">
        <v>381</v>
      </c>
      <c r="W2912" t="s">
        <v>1719</v>
      </c>
      <c r="X2912" t="s">
        <v>1719</v>
      </c>
      <c r="AC2912" s="13">
        <v>44651</v>
      </c>
      <c r="AD2912" s="13">
        <v>44651</v>
      </c>
      <c r="AI2912">
        <v>13</v>
      </c>
      <c r="AN2912" t="s">
        <v>31</v>
      </c>
      <c r="AO2912">
        <v>0</v>
      </c>
      <c r="AS2912" t="s">
        <v>385</v>
      </c>
      <c r="AX2912" t="s">
        <v>57</v>
      </c>
      <c r="AY2912" t="s">
        <v>386</v>
      </c>
      <c r="BF2912">
        <v>0</v>
      </c>
      <c r="BK2912" t="s">
        <v>31</v>
      </c>
      <c r="BS2912" t="s">
        <v>412</v>
      </c>
      <c r="CI2912" t="s">
        <v>388</v>
      </c>
      <c r="CJ2912" s="14">
        <v>45016</v>
      </c>
      <c r="CK2912">
        <v>1</v>
      </c>
    </row>
    <row r="2913" spans="1:89">
      <c r="A2913" t="s">
        <v>1705</v>
      </c>
      <c r="B2913" t="s">
        <v>374</v>
      </c>
      <c r="C2913" t="s">
        <v>1706</v>
      </c>
      <c r="D2913" t="s">
        <v>1736</v>
      </c>
      <c r="E2913" t="s">
        <v>1737</v>
      </c>
      <c r="F2913" s="13">
        <v>44638.759282407409</v>
      </c>
      <c r="G2913" t="s">
        <v>641</v>
      </c>
      <c r="H2913" t="s">
        <v>642</v>
      </c>
      <c r="I2913" s="13">
        <v>44638.759282407409</v>
      </c>
      <c r="K2913" t="s">
        <v>412</v>
      </c>
      <c r="M2913" s="13">
        <v>44651</v>
      </c>
      <c r="R2913">
        <v>0</v>
      </c>
      <c r="S2913" t="s">
        <v>380</v>
      </c>
      <c r="T2913" t="s">
        <v>57</v>
      </c>
      <c r="V2913" t="s">
        <v>381</v>
      </c>
      <c r="W2913" t="s">
        <v>1733</v>
      </c>
      <c r="X2913" t="s">
        <v>1733</v>
      </c>
      <c r="AC2913" s="13">
        <v>44651</v>
      </c>
      <c r="AD2913" s="13">
        <v>44651</v>
      </c>
      <c r="AI2913">
        <v>13</v>
      </c>
      <c r="AN2913" t="s">
        <v>31</v>
      </c>
      <c r="AO2913">
        <v>0</v>
      </c>
      <c r="AS2913" t="s">
        <v>385</v>
      </c>
      <c r="AX2913" t="s">
        <v>57</v>
      </c>
      <c r="AY2913" t="s">
        <v>386</v>
      </c>
      <c r="BF2913">
        <v>0</v>
      </c>
      <c r="BK2913" t="s">
        <v>31</v>
      </c>
      <c r="BS2913" t="s">
        <v>412</v>
      </c>
      <c r="CI2913" t="s">
        <v>388</v>
      </c>
      <c r="CJ2913" s="14">
        <v>45016</v>
      </c>
      <c r="CK2913">
        <v>1</v>
      </c>
    </row>
    <row r="2914" spans="1:89">
      <c r="A2914" t="s">
        <v>1705</v>
      </c>
      <c r="B2914" t="s">
        <v>374</v>
      </c>
      <c r="C2914" t="s">
        <v>1706</v>
      </c>
      <c r="D2914" t="s">
        <v>1738</v>
      </c>
      <c r="E2914" t="s">
        <v>1739</v>
      </c>
      <c r="F2914" s="13">
        <v>44638.759270833332</v>
      </c>
      <c r="G2914" t="s">
        <v>641</v>
      </c>
      <c r="H2914" t="s">
        <v>642</v>
      </c>
      <c r="I2914" s="13">
        <v>44638.759270833332</v>
      </c>
      <c r="K2914" t="s">
        <v>412</v>
      </c>
      <c r="M2914" s="13">
        <v>44651</v>
      </c>
      <c r="R2914">
        <v>0</v>
      </c>
      <c r="S2914" t="s">
        <v>380</v>
      </c>
      <c r="T2914" t="s">
        <v>57</v>
      </c>
      <c r="V2914" t="s">
        <v>381</v>
      </c>
      <c r="W2914" t="s">
        <v>1709</v>
      </c>
      <c r="X2914" t="s">
        <v>1709</v>
      </c>
      <c r="AC2914" s="13">
        <v>44651</v>
      </c>
      <c r="AD2914" s="13">
        <v>44651</v>
      </c>
      <c r="AI2914">
        <v>13</v>
      </c>
      <c r="AN2914" t="s">
        <v>31</v>
      </c>
      <c r="AO2914">
        <v>0</v>
      </c>
      <c r="AS2914" t="s">
        <v>385</v>
      </c>
      <c r="AX2914" t="s">
        <v>57</v>
      </c>
      <c r="AY2914" t="s">
        <v>386</v>
      </c>
      <c r="BF2914">
        <v>0</v>
      </c>
      <c r="BK2914" t="s">
        <v>31</v>
      </c>
      <c r="BS2914" t="s">
        <v>412</v>
      </c>
      <c r="CI2914" t="s">
        <v>388</v>
      </c>
      <c r="CJ2914" s="14">
        <v>45016</v>
      </c>
      <c r="CK2914">
        <v>1</v>
      </c>
    </row>
    <row r="2915" spans="1:89">
      <c r="A2915" t="s">
        <v>1705</v>
      </c>
      <c r="B2915" t="s">
        <v>374</v>
      </c>
      <c r="C2915" t="s">
        <v>1706</v>
      </c>
      <c r="D2915" t="s">
        <v>1740</v>
      </c>
      <c r="E2915" t="s">
        <v>1741</v>
      </c>
      <c r="F2915" s="13">
        <v>44638.759270833332</v>
      </c>
      <c r="G2915" t="s">
        <v>641</v>
      </c>
      <c r="H2915" t="s">
        <v>642</v>
      </c>
      <c r="I2915" s="13">
        <v>44638.759270833332</v>
      </c>
      <c r="K2915" t="s">
        <v>412</v>
      </c>
      <c r="M2915" s="13">
        <v>44651</v>
      </c>
      <c r="R2915">
        <v>0</v>
      </c>
      <c r="S2915" t="s">
        <v>380</v>
      </c>
      <c r="T2915" t="s">
        <v>57</v>
      </c>
      <c r="V2915" t="s">
        <v>381</v>
      </c>
      <c r="W2915" t="s">
        <v>1709</v>
      </c>
      <c r="X2915" t="s">
        <v>1709</v>
      </c>
      <c r="AC2915" s="13">
        <v>44651</v>
      </c>
      <c r="AD2915" s="13">
        <v>44651</v>
      </c>
      <c r="AI2915">
        <v>13</v>
      </c>
      <c r="AN2915" t="s">
        <v>31</v>
      </c>
      <c r="AO2915">
        <v>0</v>
      </c>
      <c r="AS2915" t="s">
        <v>392</v>
      </c>
      <c r="AX2915" t="s">
        <v>57</v>
      </c>
      <c r="AY2915" t="s">
        <v>386</v>
      </c>
      <c r="BF2915">
        <v>0</v>
      </c>
      <c r="BK2915" t="s">
        <v>31</v>
      </c>
      <c r="BS2915" t="s">
        <v>412</v>
      </c>
      <c r="CI2915" t="s">
        <v>388</v>
      </c>
      <c r="CJ2915" s="14">
        <v>45016</v>
      </c>
      <c r="CK2915">
        <v>1</v>
      </c>
    </row>
    <row r="2916" spans="1:89">
      <c r="A2916" t="s">
        <v>1705</v>
      </c>
      <c r="B2916" t="s">
        <v>374</v>
      </c>
      <c r="C2916" t="s">
        <v>1706</v>
      </c>
      <c r="D2916" t="s">
        <v>1742</v>
      </c>
      <c r="E2916" t="s">
        <v>1743</v>
      </c>
      <c r="F2916" s="13">
        <v>44638.759270833332</v>
      </c>
      <c r="G2916" t="s">
        <v>641</v>
      </c>
      <c r="H2916" t="s">
        <v>642</v>
      </c>
      <c r="I2916" s="13">
        <v>44638.759270833332</v>
      </c>
      <c r="K2916" t="s">
        <v>412</v>
      </c>
      <c r="M2916" s="13">
        <v>44651</v>
      </c>
      <c r="R2916">
        <v>0</v>
      </c>
      <c r="S2916" t="s">
        <v>380</v>
      </c>
      <c r="T2916" t="s">
        <v>57</v>
      </c>
      <c r="V2916" t="s">
        <v>381</v>
      </c>
      <c r="W2916" t="s">
        <v>1709</v>
      </c>
      <c r="X2916" t="s">
        <v>1709</v>
      </c>
      <c r="AC2916" s="13">
        <v>44651</v>
      </c>
      <c r="AD2916" s="13">
        <v>44651</v>
      </c>
      <c r="AI2916">
        <v>13</v>
      </c>
      <c r="AN2916" t="s">
        <v>31</v>
      </c>
      <c r="AO2916">
        <v>0</v>
      </c>
      <c r="AS2916" t="s">
        <v>648</v>
      </c>
      <c r="AX2916" t="s">
        <v>57</v>
      </c>
      <c r="AY2916" t="s">
        <v>386</v>
      </c>
      <c r="BF2916">
        <v>0</v>
      </c>
      <c r="BK2916" t="s">
        <v>31</v>
      </c>
      <c r="BS2916" t="s">
        <v>412</v>
      </c>
      <c r="CI2916" t="s">
        <v>388</v>
      </c>
      <c r="CJ2916" s="14">
        <v>45016</v>
      </c>
      <c r="CK2916">
        <v>1</v>
      </c>
    </row>
    <row r="2917" spans="1:89">
      <c r="A2917" t="s">
        <v>1705</v>
      </c>
      <c r="B2917" t="s">
        <v>374</v>
      </c>
      <c r="C2917" t="s">
        <v>1706</v>
      </c>
      <c r="D2917" t="s">
        <v>1744</v>
      </c>
      <c r="E2917" t="s">
        <v>1745</v>
      </c>
      <c r="F2917" s="13">
        <v>44638.759259259263</v>
      </c>
      <c r="G2917" t="s">
        <v>641</v>
      </c>
      <c r="H2917" t="s">
        <v>642</v>
      </c>
      <c r="I2917" s="13">
        <v>44638.759259259263</v>
      </c>
      <c r="K2917" t="s">
        <v>412</v>
      </c>
      <c r="M2917" s="13">
        <v>44651</v>
      </c>
      <c r="R2917">
        <v>0</v>
      </c>
      <c r="S2917" t="s">
        <v>380</v>
      </c>
      <c r="T2917" t="s">
        <v>57</v>
      </c>
      <c r="V2917" t="s">
        <v>381</v>
      </c>
      <c r="W2917" t="s">
        <v>1733</v>
      </c>
      <c r="X2917" t="s">
        <v>1733</v>
      </c>
      <c r="AC2917" s="13">
        <v>44651</v>
      </c>
      <c r="AD2917" s="13">
        <v>44651</v>
      </c>
      <c r="AI2917">
        <v>13</v>
      </c>
      <c r="AN2917" t="s">
        <v>31</v>
      </c>
      <c r="AO2917">
        <v>0</v>
      </c>
      <c r="AS2917" t="s">
        <v>385</v>
      </c>
      <c r="AX2917" t="s">
        <v>57</v>
      </c>
      <c r="AY2917" t="s">
        <v>386</v>
      </c>
      <c r="BF2917">
        <v>0</v>
      </c>
      <c r="BK2917" t="s">
        <v>31</v>
      </c>
      <c r="BS2917" t="s">
        <v>412</v>
      </c>
      <c r="CI2917" t="s">
        <v>388</v>
      </c>
      <c r="CJ2917" s="14">
        <v>45016</v>
      </c>
      <c r="CK2917">
        <v>1</v>
      </c>
    </row>
    <row r="2918" spans="1:89">
      <c r="A2918" t="s">
        <v>1705</v>
      </c>
      <c r="B2918" t="s">
        <v>374</v>
      </c>
      <c r="C2918" t="s">
        <v>1706</v>
      </c>
      <c r="D2918" t="s">
        <v>1746</v>
      </c>
      <c r="E2918" t="s">
        <v>1747</v>
      </c>
      <c r="F2918" s="13">
        <v>44638.759259259263</v>
      </c>
      <c r="G2918" t="s">
        <v>641</v>
      </c>
      <c r="H2918" t="s">
        <v>642</v>
      </c>
      <c r="I2918" s="13">
        <v>44638.759259259263</v>
      </c>
      <c r="K2918" t="s">
        <v>412</v>
      </c>
      <c r="M2918" s="13">
        <v>44651</v>
      </c>
      <c r="R2918">
        <v>0</v>
      </c>
      <c r="S2918" t="s">
        <v>380</v>
      </c>
      <c r="T2918" t="s">
        <v>57</v>
      </c>
      <c r="V2918" t="s">
        <v>381</v>
      </c>
      <c r="W2918" t="s">
        <v>1733</v>
      </c>
      <c r="X2918" t="s">
        <v>1733</v>
      </c>
      <c r="AC2918" s="13">
        <v>44651</v>
      </c>
      <c r="AD2918" s="13">
        <v>44651</v>
      </c>
      <c r="AI2918">
        <v>13</v>
      </c>
      <c r="AN2918" t="s">
        <v>31</v>
      </c>
      <c r="AO2918">
        <v>0</v>
      </c>
      <c r="AS2918" t="s">
        <v>385</v>
      </c>
      <c r="AX2918" t="s">
        <v>57</v>
      </c>
      <c r="AY2918" t="s">
        <v>386</v>
      </c>
      <c r="BF2918">
        <v>0</v>
      </c>
      <c r="BK2918" t="s">
        <v>31</v>
      </c>
      <c r="BS2918" t="s">
        <v>412</v>
      </c>
      <c r="CI2918" t="s">
        <v>388</v>
      </c>
      <c r="CJ2918" s="14">
        <v>45016</v>
      </c>
      <c r="CK2918">
        <v>1</v>
      </c>
    </row>
    <row r="2919" spans="1:89">
      <c r="A2919" t="s">
        <v>1705</v>
      </c>
      <c r="B2919" t="s">
        <v>374</v>
      </c>
      <c r="C2919" t="s">
        <v>1706</v>
      </c>
      <c r="D2919" t="s">
        <v>1748</v>
      </c>
      <c r="E2919" t="s">
        <v>1749</v>
      </c>
      <c r="F2919" s="13">
        <v>44638.759247685186</v>
      </c>
      <c r="G2919" t="s">
        <v>641</v>
      </c>
      <c r="H2919" t="s">
        <v>642</v>
      </c>
      <c r="I2919" s="13">
        <v>44638.759247685186</v>
      </c>
      <c r="K2919" t="s">
        <v>412</v>
      </c>
      <c r="M2919" s="13">
        <v>44580</v>
      </c>
      <c r="R2919">
        <v>0</v>
      </c>
      <c r="S2919" t="s">
        <v>380</v>
      </c>
      <c r="T2919" t="s">
        <v>57</v>
      </c>
      <c r="V2919" t="s">
        <v>381</v>
      </c>
      <c r="W2919" t="s">
        <v>1750</v>
      </c>
      <c r="X2919" t="s">
        <v>1750</v>
      </c>
      <c r="AC2919" s="13">
        <v>44580</v>
      </c>
      <c r="AD2919" s="13">
        <v>44580</v>
      </c>
      <c r="AI2919">
        <v>-58</v>
      </c>
      <c r="AN2919" t="s">
        <v>31</v>
      </c>
      <c r="AO2919">
        <v>0</v>
      </c>
      <c r="AS2919" t="s">
        <v>385</v>
      </c>
      <c r="AX2919" t="s">
        <v>57</v>
      </c>
      <c r="AY2919" t="s">
        <v>386</v>
      </c>
      <c r="BF2919">
        <v>0</v>
      </c>
      <c r="BK2919" t="s">
        <v>31</v>
      </c>
      <c r="BS2919" t="s">
        <v>412</v>
      </c>
      <c r="CI2919" t="s">
        <v>388</v>
      </c>
      <c r="CJ2919" s="14">
        <v>45016</v>
      </c>
      <c r="CK2919">
        <v>1</v>
      </c>
    </row>
    <row r="2920" spans="1:89">
      <c r="A2920" t="s">
        <v>1705</v>
      </c>
      <c r="B2920" t="s">
        <v>374</v>
      </c>
      <c r="C2920" t="s">
        <v>1706</v>
      </c>
      <c r="D2920" t="s">
        <v>1751</v>
      </c>
      <c r="E2920" t="s">
        <v>1752</v>
      </c>
      <c r="F2920" s="13">
        <v>44638.759247685186</v>
      </c>
      <c r="G2920" t="s">
        <v>641</v>
      </c>
      <c r="H2920" t="s">
        <v>642</v>
      </c>
      <c r="I2920" s="13">
        <v>44638.759247685186</v>
      </c>
      <c r="K2920" t="s">
        <v>412</v>
      </c>
      <c r="M2920" s="13">
        <v>44651</v>
      </c>
      <c r="R2920">
        <v>0</v>
      </c>
      <c r="S2920" t="s">
        <v>380</v>
      </c>
      <c r="T2920" t="s">
        <v>57</v>
      </c>
      <c r="V2920" t="s">
        <v>381</v>
      </c>
      <c r="W2920" t="s">
        <v>1733</v>
      </c>
      <c r="X2920" t="s">
        <v>1733</v>
      </c>
      <c r="AC2920" s="13">
        <v>44651</v>
      </c>
      <c r="AD2920" s="13">
        <v>44651</v>
      </c>
      <c r="AI2920">
        <v>13</v>
      </c>
      <c r="AN2920" t="s">
        <v>31</v>
      </c>
      <c r="AO2920">
        <v>0</v>
      </c>
      <c r="AS2920" t="s">
        <v>385</v>
      </c>
      <c r="AX2920" t="s">
        <v>57</v>
      </c>
      <c r="AY2920" t="s">
        <v>386</v>
      </c>
      <c r="BF2920">
        <v>0</v>
      </c>
      <c r="BK2920" t="s">
        <v>31</v>
      </c>
      <c r="BS2920" t="s">
        <v>412</v>
      </c>
      <c r="CI2920" t="s">
        <v>388</v>
      </c>
      <c r="CJ2920" s="14">
        <v>45016</v>
      </c>
      <c r="CK2920">
        <v>1</v>
      </c>
    </row>
    <row r="2921" spans="1:89">
      <c r="A2921" t="s">
        <v>1705</v>
      </c>
      <c r="B2921" t="s">
        <v>374</v>
      </c>
      <c r="C2921" t="s">
        <v>1706</v>
      </c>
      <c r="D2921" t="s">
        <v>1753</v>
      </c>
      <c r="E2921" t="s">
        <v>1754</v>
      </c>
      <c r="F2921" s="13">
        <v>44638.759236111109</v>
      </c>
      <c r="G2921" t="s">
        <v>641</v>
      </c>
      <c r="H2921" t="s">
        <v>642</v>
      </c>
      <c r="I2921" s="13">
        <v>44638.759236111109</v>
      </c>
      <c r="K2921" t="s">
        <v>412</v>
      </c>
      <c r="M2921" s="13">
        <v>44649</v>
      </c>
      <c r="R2921">
        <v>0</v>
      </c>
      <c r="S2921" t="s">
        <v>380</v>
      </c>
      <c r="T2921" t="s">
        <v>57</v>
      </c>
      <c r="V2921" t="s">
        <v>381</v>
      </c>
      <c r="W2921" t="s">
        <v>1750</v>
      </c>
      <c r="X2921" t="s">
        <v>1750</v>
      </c>
      <c r="AC2921" s="13">
        <v>44649</v>
      </c>
      <c r="AD2921" s="13">
        <v>44649</v>
      </c>
      <c r="AI2921">
        <v>11</v>
      </c>
      <c r="AN2921" t="s">
        <v>31</v>
      </c>
      <c r="AO2921">
        <v>0</v>
      </c>
      <c r="AS2921" t="s">
        <v>385</v>
      </c>
      <c r="AX2921" t="s">
        <v>57</v>
      </c>
      <c r="AY2921" t="s">
        <v>386</v>
      </c>
      <c r="BF2921">
        <v>0</v>
      </c>
      <c r="BK2921" t="s">
        <v>31</v>
      </c>
      <c r="BS2921" t="s">
        <v>412</v>
      </c>
      <c r="CI2921" t="s">
        <v>388</v>
      </c>
      <c r="CJ2921" s="14">
        <v>45016</v>
      </c>
      <c r="CK2921">
        <v>1</v>
      </c>
    </row>
    <row r="2922" spans="1:89">
      <c r="A2922" t="s">
        <v>1705</v>
      </c>
      <c r="B2922" t="s">
        <v>374</v>
      </c>
      <c r="C2922" t="s">
        <v>1706</v>
      </c>
      <c r="D2922" t="s">
        <v>1755</v>
      </c>
      <c r="E2922" t="s">
        <v>1756</v>
      </c>
      <c r="F2922" s="13">
        <v>44638.759236111109</v>
      </c>
      <c r="G2922" t="s">
        <v>641</v>
      </c>
      <c r="H2922" t="s">
        <v>642</v>
      </c>
      <c r="I2922" s="13">
        <v>44638.759236111109</v>
      </c>
      <c r="K2922" t="s">
        <v>412</v>
      </c>
      <c r="M2922" s="13">
        <v>44649</v>
      </c>
      <c r="R2922">
        <v>0</v>
      </c>
      <c r="S2922" t="s">
        <v>380</v>
      </c>
      <c r="T2922" t="s">
        <v>57</v>
      </c>
      <c r="V2922" t="s">
        <v>381</v>
      </c>
      <c r="W2922" t="s">
        <v>1750</v>
      </c>
      <c r="X2922" t="s">
        <v>1750</v>
      </c>
      <c r="AC2922" s="13">
        <v>44649</v>
      </c>
      <c r="AD2922" s="13">
        <v>44649</v>
      </c>
      <c r="AI2922">
        <v>11</v>
      </c>
      <c r="AN2922" t="s">
        <v>31</v>
      </c>
      <c r="AO2922">
        <v>0</v>
      </c>
      <c r="AS2922" t="s">
        <v>385</v>
      </c>
      <c r="AX2922" t="s">
        <v>57</v>
      </c>
      <c r="AY2922" t="s">
        <v>386</v>
      </c>
      <c r="BF2922">
        <v>0</v>
      </c>
      <c r="BK2922" t="s">
        <v>31</v>
      </c>
      <c r="BS2922" t="s">
        <v>412</v>
      </c>
      <c r="CI2922" t="s">
        <v>388</v>
      </c>
      <c r="CJ2922" s="14">
        <v>45016</v>
      </c>
      <c r="CK2922">
        <v>1</v>
      </c>
    </row>
    <row r="2923" spans="1:89">
      <c r="A2923" t="s">
        <v>1705</v>
      </c>
      <c r="B2923" t="s">
        <v>374</v>
      </c>
      <c r="C2923" t="s">
        <v>1706</v>
      </c>
      <c r="D2923" t="s">
        <v>1757</v>
      </c>
      <c r="E2923" t="s">
        <v>1758</v>
      </c>
      <c r="F2923" s="13">
        <v>44638.75922453704</v>
      </c>
      <c r="G2923" t="s">
        <v>641</v>
      </c>
      <c r="H2923" t="s">
        <v>642</v>
      </c>
      <c r="I2923" s="13">
        <v>44638.75922453704</v>
      </c>
      <c r="K2923" t="s">
        <v>412</v>
      </c>
      <c r="M2923" s="13">
        <v>44580</v>
      </c>
      <c r="R2923">
        <v>0</v>
      </c>
      <c r="S2923" t="s">
        <v>380</v>
      </c>
      <c r="T2923" t="s">
        <v>57</v>
      </c>
      <c r="V2923" t="s">
        <v>381</v>
      </c>
      <c r="W2923" t="s">
        <v>1759</v>
      </c>
      <c r="X2923" t="s">
        <v>1759</v>
      </c>
      <c r="AC2923" s="13">
        <v>44580</v>
      </c>
      <c r="AD2923" s="13">
        <v>44580</v>
      </c>
      <c r="AI2923">
        <v>-58</v>
      </c>
      <c r="AN2923" t="s">
        <v>31</v>
      </c>
      <c r="AO2923">
        <v>0</v>
      </c>
      <c r="AS2923" t="s">
        <v>881</v>
      </c>
      <c r="AX2923" t="s">
        <v>57</v>
      </c>
      <c r="AY2923" t="s">
        <v>386</v>
      </c>
      <c r="BF2923">
        <v>0</v>
      </c>
      <c r="BK2923" t="s">
        <v>31</v>
      </c>
      <c r="BS2923" t="s">
        <v>412</v>
      </c>
      <c r="CI2923" t="s">
        <v>388</v>
      </c>
      <c r="CJ2923" s="14">
        <v>45016</v>
      </c>
      <c r="CK2923">
        <v>1</v>
      </c>
    </row>
    <row r="2924" spans="1:89">
      <c r="A2924" t="s">
        <v>1705</v>
      </c>
      <c r="B2924" t="s">
        <v>374</v>
      </c>
      <c r="C2924" t="s">
        <v>1706</v>
      </c>
      <c r="D2924" t="s">
        <v>1760</v>
      </c>
      <c r="E2924" t="s">
        <v>1761</v>
      </c>
      <c r="F2924" s="13">
        <v>44638.75922453704</v>
      </c>
      <c r="G2924" t="s">
        <v>641</v>
      </c>
      <c r="H2924" t="s">
        <v>642</v>
      </c>
      <c r="I2924" s="13">
        <v>44638.75922453704</v>
      </c>
      <c r="K2924" t="s">
        <v>412</v>
      </c>
      <c r="M2924" s="13">
        <v>44617</v>
      </c>
      <c r="R2924">
        <v>0</v>
      </c>
      <c r="S2924" t="s">
        <v>380</v>
      </c>
      <c r="T2924" t="s">
        <v>57</v>
      </c>
      <c r="V2924" t="s">
        <v>381</v>
      </c>
      <c r="W2924" t="s">
        <v>1762</v>
      </c>
      <c r="X2924" t="s">
        <v>1762</v>
      </c>
      <c r="AC2924" s="13">
        <v>44617</v>
      </c>
      <c r="AD2924" s="13">
        <v>44617</v>
      </c>
      <c r="AI2924">
        <v>-21</v>
      </c>
      <c r="AN2924" t="s">
        <v>31</v>
      </c>
      <c r="AO2924">
        <v>0</v>
      </c>
      <c r="AS2924" t="s">
        <v>881</v>
      </c>
      <c r="AX2924" t="s">
        <v>57</v>
      </c>
      <c r="AY2924" t="s">
        <v>386</v>
      </c>
      <c r="BF2924">
        <v>0</v>
      </c>
      <c r="BK2924" t="s">
        <v>31</v>
      </c>
      <c r="BS2924" t="s">
        <v>412</v>
      </c>
      <c r="CI2924" t="s">
        <v>388</v>
      </c>
      <c r="CJ2924" s="14">
        <v>45016</v>
      </c>
      <c r="CK2924">
        <v>1</v>
      </c>
    </row>
    <row r="2925" spans="1:89">
      <c r="A2925" t="s">
        <v>1721</v>
      </c>
      <c r="B2925" t="s">
        <v>374</v>
      </c>
      <c r="C2925" t="s">
        <v>1722</v>
      </c>
      <c r="D2925" t="s">
        <v>1763</v>
      </c>
      <c r="E2925" t="s">
        <v>1764</v>
      </c>
      <c r="F2925" s="13">
        <v>44638.759212962963</v>
      </c>
      <c r="G2925" t="s">
        <v>641</v>
      </c>
      <c r="H2925" t="s">
        <v>642</v>
      </c>
      <c r="I2925" s="13">
        <v>44638.759212962963</v>
      </c>
      <c r="K2925" t="s">
        <v>412</v>
      </c>
      <c r="M2925" s="13">
        <v>44620</v>
      </c>
      <c r="R2925">
        <v>0</v>
      </c>
      <c r="S2925" t="s">
        <v>380</v>
      </c>
      <c r="T2925" t="s">
        <v>57</v>
      </c>
      <c r="V2925" t="s">
        <v>381</v>
      </c>
      <c r="W2925" t="s">
        <v>1765</v>
      </c>
      <c r="X2925" t="s">
        <v>1765</v>
      </c>
      <c r="AC2925" s="13">
        <v>44620</v>
      </c>
      <c r="AD2925" s="13">
        <v>44620</v>
      </c>
      <c r="AI2925">
        <v>-18</v>
      </c>
      <c r="AN2925" t="s">
        <v>31</v>
      </c>
      <c r="AO2925">
        <v>0</v>
      </c>
      <c r="AS2925" t="s">
        <v>707</v>
      </c>
      <c r="AX2925" t="s">
        <v>57</v>
      </c>
      <c r="AY2925" t="s">
        <v>386</v>
      </c>
      <c r="BF2925">
        <v>0</v>
      </c>
      <c r="BK2925" t="s">
        <v>31</v>
      </c>
      <c r="BS2925" t="s">
        <v>412</v>
      </c>
      <c r="CI2925" t="s">
        <v>388</v>
      </c>
      <c r="CJ2925" s="14">
        <v>45016</v>
      </c>
      <c r="CK2925">
        <v>1</v>
      </c>
    </row>
    <row r="2926" spans="1:89">
      <c r="A2926" t="s">
        <v>1766</v>
      </c>
      <c r="B2926" t="s">
        <v>374</v>
      </c>
      <c r="C2926" t="s">
        <v>35</v>
      </c>
      <c r="D2926" t="s">
        <v>1767</v>
      </c>
      <c r="E2926" t="s">
        <v>1768</v>
      </c>
      <c r="F2926" s="13">
        <v>44638.759212962963</v>
      </c>
      <c r="G2926" t="s">
        <v>641</v>
      </c>
      <c r="H2926" t="s">
        <v>642</v>
      </c>
      <c r="I2926" s="13">
        <v>44638.759212962963</v>
      </c>
      <c r="K2926" t="s">
        <v>412</v>
      </c>
      <c r="M2926" s="13">
        <v>44596</v>
      </c>
      <c r="R2926">
        <v>0</v>
      </c>
      <c r="S2926" t="s">
        <v>380</v>
      </c>
      <c r="T2926" t="s">
        <v>57</v>
      </c>
      <c r="V2926" t="s">
        <v>381</v>
      </c>
      <c r="W2926" t="s">
        <v>1762</v>
      </c>
      <c r="X2926" t="s">
        <v>1762</v>
      </c>
      <c r="AC2926" s="13">
        <v>44596</v>
      </c>
      <c r="AD2926" s="13">
        <v>44596</v>
      </c>
      <c r="AI2926">
        <v>-42</v>
      </c>
      <c r="AN2926" t="s">
        <v>31</v>
      </c>
      <c r="AO2926">
        <v>0</v>
      </c>
      <c r="AS2926" t="s">
        <v>1720</v>
      </c>
      <c r="AX2926" t="s">
        <v>57</v>
      </c>
      <c r="AY2926" t="s">
        <v>386</v>
      </c>
      <c r="BF2926">
        <v>0</v>
      </c>
      <c r="BK2926" t="s">
        <v>31</v>
      </c>
      <c r="BS2926" t="s">
        <v>412</v>
      </c>
      <c r="CI2926" t="s">
        <v>388</v>
      </c>
      <c r="CJ2926" s="14">
        <v>45016</v>
      </c>
      <c r="CK2926">
        <v>1</v>
      </c>
    </row>
    <row r="2927" spans="1:89">
      <c r="A2927" t="s">
        <v>1769</v>
      </c>
      <c r="B2927" t="s">
        <v>374</v>
      </c>
      <c r="C2927" t="s">
        <v>1770</v>
      </c>
      <c r="D2927" t="s">
        <v>1771</v>
      </c>
      <c r="E2927" t="s">
        <v>1772</v>
      </c>
      <c r="F2927" s="13">
        <v>44638.759201388886</v>
      </c>
      <c r="G2927" t="s">
        <v>641</v>
      </c>
      <c r="H2927" t="s">
        <v>642</v>
      </c>
      <c r="I2927" s="13">
        <v>44638.759201388886</v>
      </c>
      <c r="K2927" t="s">
        <v>412</v>
      </c>
      <c r="M2927" s="13">
        <v>44650</v>
      </c>
      <c r="R2927">
        <v>0</v>
      </c>
      <c r="S2927" t="s">
        <v>380</v>
      </c>
      <c r="T2927" t="s">
        <v>57</v>
      </c>
      <c r="V2927" t="s">
        <v>381</v>
      </c>
      <c r="W2927" t="s">
        <v>1765</v>
      </c>
      <c r="X2927" t="s">
        <v>1765</v>
      </c>
      <c r="AC2927" s="13">
        <v>44650</v>
      </c>
      <c r="AD2927" s="13">
        <v>44650</v>
      </c>
      <c r="AI2927">
        <v>12</v>
      </c>
      <c r="AN2927" t="s">
        <v>31</v>
      </c>
      <c r="AO2927">
        <v>0</v>
      </c>
      <c r="AS2927" t="s">
        <v>385</v>
      </c>
      <c r="AX2927" t="s">
        <v>57</v>
      </c>
      <c r="AY2927" t="s">
        <v>386</v>
      </c>
      <c r="BF2927">
        <v>0</v>
      </c>
      <c r="BK2927" t="s">
        <v>31</v>
      </c>
      <c r="BS2927" t="s">
        <v>412</v>
      </c>
      <c r="CI2927" t="s">
        <v>388</v>
      </c>
      <c r="CJ2927" s="14">
        <v>45016</v>
      </c>
      <c r="CK2927">
        <v>1</v>
      </c>
    </row>
    <row r="2928" spans="1:89">
      <c r="A2928" t="s">
        <v>1769</v>
      </c>
      <c r="B2928" t="s">
        <v>374</v>
      </c>
      <c r="C2928" t="s">
        <v>1770</v>
      </c>
      <c r="D2928" t="s">
        <v>1773</v>
      </c>
      <c r="E2928" t="s">
        <v>1774</v>
      </c>
      <c r="F2928" s="13">
        <v>44638.759201388886</v>
      </c>
      <c r="G2928" t="s">
        <v>641</v>
      </c>
      <c r="H2928" t="s">
        <v>642</v>
      </c>
      <c r="I2928" s="13">
        <v>44638.759201388886</v>
      </c>
      <c r="K2928" t="s">
        <v>412</v>
      </c>
      <c r="M2928" s="13">
        <v>44742</v>
      </c>
      <c r="R2928">
        <v>0</v>
      </c>
      <c r="S2928" t="s">
        <v>380</v>
      </c>
      <c r="T2928" t="s">
        <v>57</v>
      </c>
      <c r="V2928" t="s">
        <v>381</v>
      </c>
      <c r="W2928" t="s">
        <v>1775</v>
      </c>
      <c r="X2928" t="s">
        <v>1775</v>
      </c>
      <c r="AC2928" s="13">
        <v>44742</v>
      </c>
      <c r="AD2928" s="13">
        <v>44742</v>
      </c>
      <c r="AI2928">
        <v>104</v>
      </c>
      <c r="AN2928" t="s">
        <v>31</v>
      </c>
      <c r="AO2928">
        <v>0</v>
      </c>
      <c r="AS2928" t="s">
        <v>385</v>
      </c>
      <c r="AX2928" t="s">
        <v>57</v>
      </c>
      <c r="AY2928" t="s">
        <v>386</v>
      </c>
      <c r="BF2928">
        <v>0</v>
      </c>
      <c r="BK2928" t="s">
        <v>31</v>
      </c>
      <c r="BS2928" t="s">
        <v>412</v>
      </c>
      <c r="CI2928" t="s">
        <v>388</v>
      </c>
      <c r="CJ2928" s="14">
        <v>45016</v>
      </c>
      <c r="CK2928">
        <v>1</v>
      </c>
    </row>
    <row r="2929" spans="1:89">
      <c r="A2929" t="s">
        <v>1769</v>
      </c>
      <c r="B2929" t="s">
        <v>374</v>
      </c>
      <c r="C2929" t="s">
        <v>1770</v>
      </c>
      <c r="D2929" t="s">
        <v>1776</v>
      </c>
      <c r="E2929" t="s">
        <v>1777</v>
      </c>
      <c r="F2929" s="13">
        <v>44638.759201388886</v>
      </c>
      <c r="G2929" t="s">
        <v>641</v>
      </c>
      <c r="H2929" t="s">
        <v>642</v>
      </c>
      <c r="I2929" s="13">
        <v>44638.759201388886</v>
      </c>
      <c r="K2929" t="s">
        <v>412</v>
      </c>
      <c r="M2929" s="13">
        <v>44803</v>
      </c>
      <c r="R2929">
        <v>0</v>
      </c>
      <c r="S2929" t="s">
        <v>380</v>
      </c>
      <c r="T2929" t="s">
        <v>57</v>
      </c>
      <c r="V2929" t="s">
        <v>381</v>
      </c>
      <c r="W2929" t="s">
        <v>1778</v>
      </c>
      <c r="X2929" t="s">
        <v>1778</v>
      </c>
      <c r="AC2929" s="13">
        <v>44803</v>
      </c>
      <c r="AD2929" s="13">
        <v>44803</v>
      </c>
      <c r="AI2929">
        <v>165</v>
      </c>
      <c r="AN2929" t="s">
        <v>31</v>
      </c>
      <c r="AO2929">
        <v>0</v>
      </c>
      <c r="AX2929" t="s">
        <v>57</v>
      </c>
      <c r="AY2929" t="s">
        <v>386</v>
      </c>
      <c r="BF2929">
        <v>0</v>
      </c>
      <c r="BK2929" t="s">
        <v>31</v>
      </c>
      <c r="BS2929" t="s">
        <v>412</v>
      </c>
      <c r="CI2929" t="s">
        <v>388</v>
      </c>
      <c r="CJ2929" s="14">
        <v>45016</v>
      </c>
      <c r="CK2929">
        <v>1</v>
      </c>
    </row>
    <row r="2930" spans="1:89">
      <c r="A2930" t="s">
        <v>1769</v>
      </c>
      <c r="B2930" t="s">
        <v>374</v>
      </c>
      <c r="C2930" t="s">
        <v>1770</v>
      </c>
      <c r="D2930" t="s">
        <v>1779</v>
      </c>
      <c r="E2930" t="s">
        <v>1780</v>
      </c>
      <c r="F2930" s="13">
        <v>44638.759189814817</v>
      </c>
      <c r="G2930" t="s">
        <v>641</v>
      </c>
      <c r="H2930" t="s">
        <v>642</v>
      </c>
      <c r="I2930" s="13">
        <v>44638.759189814817</v>
      </c>
      <c r="K2930" t="s">
        <v>412</v>
      </c>
      <c r="M2930" s="13">
        <v>44650</v>
      </c>
      <c r="R2930">
        <v>0</v>
      </c>
      <c r="S2930" t="s">
        <v>380</v>
      </c>
      <c r="T2930" t="s">
        <v>57</v>
      </c>
      <c r="V2930" t="s">
        <v>381</v>
      </c>
      <c r="W2930" t="s">
        <v>1765</v>
      </c>
      <c r="X2930" t="s">
        <v>1765</v>
      </c>
      <c r="AC2930" s="13">
        <v>44650</v>
      </c>
      <c r="AD2930" s="13">
        <v>44650</v>
      </c>
      <c r="AI2930">
        <v>12</v>
      </c>
      <c r="AN2930" t="s">
        <v>31</v>
      </c>
      <c r="AO2930">
        <v>0</v>
      </c>
      <c r="AS2930" t="s">
        <v>385</v>
      </c>
      <c r="AX2930" t="s">
        <v>57</v>
      </c>
      <c r="AY2930" t="s">
        <v>386</v>
      </c>
      <c r="BF2930">
        <v>0</v>
      </c>
      <c r="BK2930" t="s">
        <v>31</v>
      </c>
      <c r="BS2930" t="s">
        <v>412</v>
      </c>
      <c r="CI2930" t="s">
        <v>388</v>
      </c>
      <c r="CJ2930" s="14">
        <v>45016</v>
      </c>
      <c r="CK2930">
        <v>1</v>
      </c>
    </row>
    <row r="2931" spans="1:89">
      <c r="A2931" t="s">
        <v>1769</v>
      </c>
      <c r="B2931" t="s">
        <v>374</v>
      </c>
      <c r="C2931" t="s">
        <v>1770</v>
      </c>
      <c r="D2931" t="s">
        <v>1781</v>
      </c>
      <c r="E2931" t="s">
        <v>1782</v>
      </c>
      <c r="F2931" s="13">
        <v>44638.759189814817</v>
      </c>
      <c r="G2931" t="s">
        <v>641</v>
      </c>
      <c r="H2931" t="s">
        <v>642</v>
      </c>
      <c r="I2931" s="13">
        <v>44638.759189814817</v>
      </c>
      <c r="K2931" t="s">
        <v>412</v>
      </c>
      <c r="M2931" s="13">
        <v>44650</v>
      </c>
      <c r="R2931">
        <v>0</v>
      </c>
      <c r="S2931" t="s">
        <v>380</v>
      </c>
      <c r="T2931" t="s">
        <v>57</v>
      </c>
      <c r="V2931" t="s">
        <v>381</v>
      </c>
      <c r="W2931" t="s">
        <v>1765</v>
      </c>
      <c r="X2931" t="s">
        <v>1765</v>
      </c>
      <c r="AC2931" s="13">
        <v>44650</v>
      </c>
      <c r="AD2931" s="13">
        <v>44650</v>
      </c>
      <c r="AI2931">
        <v>12</v>
      </c>
      <c r="AN2931" t="s">
        <v>31</v>
      </c>
      <c r="AO2931">
        <v>0</v>
      </c>
      <c r="AS2931" t="s">
        <v>385</v>
      </c>
      <c r="AX2931" t="s">
        <v>57</v>
      </c>
      <c r="AY2931" t="s">
        <v>386</v>
      </c>
      <c r="BF2931">
        <v>0</v>
      </c>
      <c r="BK2931" t="s">
        <v>31</v>
      </c>
      <c r="BS2931" t="s">
        <v>412</v>
      </c>
      <c r="CI2931" t="s">
        <v>388</v>
      </c>
      <c r="CJ2931" s="14">
        <v>45016</v>
      </c>
      <c r="CK2931">
        <v>1</v>
      </c>
    </row>
    <row r="2932" spans="1:89">
      <c r="A2932" t="s">
        <v>1769</v>
      </c>
      <c r="B2932" t="s">
        <v>374</v>
      </c>
      <c r="C2932" t="s">
        <v>1770</v>
      </c>
      <c r="D2932" t="s">
        <v>1783</v>
      </c>
      <c r="E2932" t="s">
        <v>1784</v>
      </c>
      <c r="F2932" s="13">
        <v>44638.75917824074</v>
      </c>
      <c r="G2932" t="s">
        <v>641</v>
      </c>
      <c r="H2932" t="s">
        <v>642</v>
      </c>
      <c r="I2932" s="13">
        <v>44638.75917824074</v>
      </c>
      <c r="K2932" t="s">
        <v>412</v>
      </c>
      <c r="M2932" s="13">
        <v>44650</v>
      </c>
      <c r="R2932">
        <v>0</v>
      </c>
      <c r="S2932" t="s">
        <v>380</v>
      </c>
      <c r="T2932" t="s">
        <v>57</v>
      </c>
      <c r="V2932" t="s">
        <v>381</v>
      </c>
      <c r="W2932" t="s">
        <v>1765</v>
      </c>
      <c r="X2932" t="s">
        <v>1765</v>
      </c>
      <c r="AC2932" s="13">
        <v>44650</v>
      </c>
      <c r="AD2932" s="13">
        <v>44650</v>
      </c>
      <c r="AI2932">
        <v>12</v>
      </c>
      <c r="AN2932" t="s">
        <v>31</v>
      </c>
      <c r="AO2932">
        <v>0</v>
      </c>
      <c r="AS2932" t="s">
        <v>385</v>
      </c>
      <c r="AX2932" t="s">
        <v>57</v>
      </c>
      <c r="AY2932" t="s">
        <v>386</v>
      </c>
      <c r="BF2932">
        <v>0</v>
      </c>
      <c r="BK2932" t="s">
        <v>31</v>
      </c>
      <c r="BS2932" t="s">
        <v>412</v>
      </c>
      <c r="CI2932" t="s">
        <v>388</v>
      </c>
      <c r="CJ2932" s="14">
        <v>45016</v>
      </c>
      <c r="CK2932">
        <v>1</v>
      </c>
    </row>
    <row r="2933" spans="1:89">
      <c r="A2933" t="s">
        <v>1769</v>
      </c>
      <c r="B2933" t="s">
        <v>374</v>
      </c>
      <c r="C2933" t="s">
        <v>1770</v>
      </c>
      <c r="D2933" t="s">
        <v>1785</v>
      </c>
      <c r="E2933" t="s">
        <v>1786</v>
      </c>
      <c r="F2933" s="13">
        <v>44638.75917824074</v>
      </c>
      <c r="G2933" t="s">
        <v>641</v>
      </c>
      <c r="H2933" t="s">
        <v>642</v>
      </c>
      <c r="I2933" s="13">
        <v>44638.75917824074</v>
      </c>
      <c r="K2933" t="s">
        <v>412</v>
      </c>
      <c r="M2933" s="13">
        <v>44650</v>
      </c>
      <c r="R2933">
        <v>0</v>
      </c>
      <c r="S2933" t="s">
        <v>380</v>
      </c>
      <c r="T2933" t="s">
        <v>57</v>
      </c>
      <c r="V2933" t="s">
        <v>381</v>
      </c>
      <c r="W2933" t="s">
        <v>1765</v>
      </c>
      <c r="X2933" t="s">
        <v>1765</v>
      </c>
      <c r="AC2933" s="13">
        <v>44650</v>
      </c>
      <c r="AD2933" s="13">
        <v>44650</v>
      </c>
      <c r="AI2933">
        <v>12</v>
      </c>
      <c r="AN2933" t="s">
        <v>31</v>
      </c>
      <c r="AO2933">
        <v>0</v>
      </c>
      <c r="AS2933" t="s">
        <v>385</v>
      </c>
      <c r="AX2933" t="s">
        <v>57</v>
      </c>
      <c r="AY2933" t="s">
        <v>386</v>
      </c>
      <c r="BF2933">
        <v>0</v>
      </c>
      <c r="BK2933" t="s">
        <v>31</v>
      </c>
      <c r="BS2933" t="s">
        <v>412</v>
      </c>
      <c r="CI2933" t="s">
        <v>388</v>
      </c>
      <c r="CJ2933" s="14">
        <v>45016</v>
      </c>
      <c r="CK2933">
        <v>1</v>
      </c>
    </row>
    <row r="2934" spans="1:89">
      <c r="A2934" t="s">
        <v>1769</v>
      </c>
      <c r="B2934" t="s">
        <v>374</v>
      </c>
      <c r="C2934" t="s">
        <v>1770</v>
      </c>
      <c r="D2934" t="s">
        <v>1787</v>
      </c>
      <c r="E2934" t="s">
        <v>1788</v>
      </c>
      <c r="F2934" s="13">
        <v>44638.759166666663</v>
      </c>
      <c r="G2934" t="s">
        <v>641</v>
      </c>
      <c r="H2934" t="s">
        <v>642</v>
      </c>
      <c r="I2934" s="13">
        <v>44638.759166666663</v>
      </c>
      <c r="K2934" t="s">
        <v>412</v>
      </c>
      <c r="M2934" s="13">
        <v>44650</v>
      </c>
      <c r="R2934">
        <v>0</v>
      </c>
      <c r="S2934" t="s">
        <v>380</v>
      </c>
      <c r="T2934" t="s">
        <v>57</v>
      </c>
      <c r="V2934" t="s">
        <v>381</v>
      </c>
      <c r="W2934" t="s">
        <v>1765</v>
      </c>
      <c r="X2934" t="s">
        <v>1765</v>
      </c>
      <c r="AC2934" s="13">
        <v>44650</v>
      </c>
      <c r="AD2934" s="13">
        <v>44650</v>
      </c>
      <c r="AI2934">
        <v>12</v>
      </c>
      <c r="AN2934" t="s">
        <v>31</v>
      </c>
      <c r="AO2934">
        <v>0</v>
      </c>
      <c r="AS2934" t="s">
        <v>385</v>
      </c>
      <c r="AX2934" t="s">
        <v>57</v>
      </c>
      <c r="AY2934" t="s">
        <v>386</v>
      </c>
      <c r="BF2934">
        <v>0</v>
      </c>
      <c r="BK2934" t="s">
        <v>31</v>
      </c>
      <c r="BS2934" t="s">
        <v>412</v>
      </c>
      <c r="CI2934" t="s">
        <v>388</v>
      </c>
      <c r="CJ2934" s="14">
        <v>45016</v>
      </c>
      <c r="CK2934">
        <v>1</v>
      </c>
    </row>
    <row r="2935" spans="1:89">
      <c r="A2935" t="s">
        <v>1769</v>
      </c>
      <c r="B2935" t="s">
        <v>374</v>
      </c>
      <c r="C2935" t="s">
        <v>1770</v>
      </c>
      <c r="D2935" t="s">
        <v>1789</v>
      </c>
      <c r="E2935" t="s">
        <v>1790</v>
      </c>
      <c r="F2935" s="13">
        <v>44638.759166666663</v>
      </c>
      <c r="G2935" t="s">
        <v>641</v>
      </c>
      <c r="H2935" t="s">
        <v>642</v>
      </c>
      <c r="I2935" s="13">
        <v>44638.759166666663</v>
      </c>
      <c r="K2935" t="s">
        <v>412</v>
      </c>
      <c r="M2935" s="13">
        <v>44650</v>
      </c>
      <c r="R2935">
        <v>0</v>
      </c>
      <c r="S2935" t="s">
        <v>380</v>
      </c>
      <c r="T2935" t="s">
        <v>57</v>
      </c>
      <c r="V2935" t="s">
        <v>381</v>
      </c>
      <c r="AC2935" s="13">
        <v>44650</v>
      </c>
      <c r="AD2935" s="13">
        <v>44650</v>
      </c>
      <c r="AI2935">
        <v>12</v>
      </c>
      <c r="AN2935" t="s">
        <v>31</v>
      </c>
      <c r="AO2935">
        <v>0</v>
      </c>
      <c r="AS2935" t="s">
        <v>385</v>
      </c>
      <c r="AX2935" t="s">
        <v>57</v>
      </c>
      <c r="AY2935" t="s">
        <v>386</v>
      </c>
      <c r="BF2935">
        <v>0</v>
      </c>
      <c r="BK2935" t="s">
        <v>31</v>
      </c>
      <c r="BS2935" t="s">
        <v>412</v>
      </c>
      <c r="CI2935" t="s">
        <v>388</v>
      </c>
      <c r="CJ2935" s="14">
        <v>45016</v>
      </c>
      <c r="CK2935">
        <v>1</v>
      </c>
    </row>
    <row r="2936" spans="1:89">
      <c r="A2936" t="s">
        <v>1769</v>
      </c>
      <c r="B2936" t="s">
        <v>374</v>
      </c>
      <c r="C2936" t="s">
        <v>1770</v>
      </c>
      <c r="D2936" t="s">
        <v>1791</v>
      </c>
      <c r="E2936" t="s">
        <v>1792</v>
      </c>
      <c r="F2936" s="13">
        <v>44638.759155092594</v>
      </c>
      <c r="G2936" t="s">
        <v>641</v>
      </c>
      <c r="H2936" t="s">
        <v>642</v>
      </c>
      <c r="I2936" s="13">
        <v>44638.759155092594</v>
      </c>
      <c r="K2936" t="s">
        <v>412</v>
      </c>
      <c r="M2936" s="13">
        <v>44650</v>
      </c>
      <c r="R2936">
        <v>0</v>
      </c>
      <c r="S2936" t="s">
        <v>380</v>
      </c>
      <c r="T2936" t="s">
        <v>57</v>
      </c>
      <c r="V2936" t="s">
        <v>381</v>
      </c>
      <c r="W2936" t="s">
        <v>1765</v>
      </c>
      <c r="X2936" t="s">
        <v>1765</v>
      </c>
      <c r="AC2936" s="13">
        <v>44650</v>
      </c>
      <c r="AD2936" s="13">
        <v>44650</v>
      </c>
      <c r="AI2936">
        <v>12</v>
      </c>
      <c r="AN2936" t="s">
        <v>31</v>
      </c>
      <c r="AO2936">
        <v>0</v>
      </c>
      <c r="AS2936" t="s">
        <v>385</v>
      </c>
      <c r="AX2936" t="s">
        <v>57</v>
      </c>
      <c r="AY2936" t="s">
        <v>386</v>
      </c>
      <c r="BF2936">
        <v>0</v>
      </c>
      <c r="BK2936" t="s">
        <v>31</v>
      </c>
      <c r="BS2936" t="s">
        <v>412</v>
      </c>
      <c r="CI2936" t="s">
        <v>388</v>
      </c>
      <c r="CJ2936" s="14">
        <v>45016</v>
      </c>
      <c r="CK2936">
        <v>1</v>
      </c>
    </row>
    <row r="2937" spans="1:89">
      <c r="A2937" t="s">
        <v>1769</v>
      </c>
      <c r="B2937" t="s">
        <v>374</v>
      </c>
      <c r="C2937" t="s">
        <v>1770</v>
      </c>
      <c r="D2937" t="s">
        <v>1793</v>
      </c>
      <c r="E2937" t="s">
        <v>1794</v>
      </c>
      <c r="F2937" s="13">
        <v>44638.759155092594</v>
      </c>
      <c r="G2937" t="s">
        <v>641</v>
      </c>
      <c r="H2937" t="s">
        <v>642</v>
      </c>
      <c r="I2937" s="13">
        <v>44638.759155092594</v>
      </c>
      <c r="K2937" t="s">
        <v>412</v>
      </c>
      <c r="M2937" s="13">
        <v>44650</v>
      </c>
      <c r="R2937">
        <v>0</v>
      </c>
      <c r="S2937" t="s">
        <v>380</v>
      </c>
      <c r="T2937" t="s">
        <v>57</v>
      </c>
      <c r="V2937" t="s">
        <v>381</v>
      </c>
      <c r="W2937" t="s">
        <v>1765</v>
      </c>
      <c r="X2937" t="s">
        <v>1765</v>
      </c>
      <c r="AC2937" s="13">
        <v>44650</v>
      </c>
      <c r="AD2937" s="13">
        <v>44650</v>
      </c>
      <c r="AI2937">
        <v>12</v>
      </c>
      <c r="AN2937" t="s">
        <v>31</v>
      </c>
      <c r="AO2937">
        <v>0</v>
      </c>
      <c r="AS2937" t="s">
        <v>385</v>
      </c>
      <c r="AX2937" t="s">
        <v>57</v>
      </c>
      <c r="AY2937" t="s">
        <v>386</v>
      </c>
      <c r="BF2937">
        <v>0</v>
      </c>
      <c r="BK2937" t="s">
        <v>31</v>
      </c>
      <c r="BS2937" t="s">
        <v>412</v>
      </c>
      <c r="CI2937" t="s">
        <v>388</v>
      </c>
      <c r="CJ2937" s="14">
        <v>45016</v>
      </c>
      <c r="CK2937">
        <v>1</v>
      </c>
    </row>
    <row r="2938" spans="1:89">
      <c r="A2938" t="s">
        <v>1716</v>
      </c>
      <c r="B2938" t="s">
        <v>374</v>
      </c>
      <c r="C2938" t="s">
        <v>966</v>
      </c>
      <c r="D2938" t="s">
        <v>1795</v>
      </c>
      <c r="E2938" t="s">
        <v>1796</v>
      </c>
      <c r="F2938" s="13">
        <v>44638.759143518517</v>
      </c>
      <c r="G2938" t="s">
        <v>641</v>
      </c>
      <c r="H2938" t="s">
        <v>642</v>
      </c>
      <c r="I2938" s="13">
        <v>44638.759143518517</v>
      </c>
      <c r="K2938" t="s">
        <v>412</v>
      </c>
      <c r="M2938" s="13">
        <v>44650</v>
      </c>
      <c r="R2938">
        <v>0</v>
      </c>
      <c r="S2938" t="s">
        <v>380</v>
      </c>
      <c r="T2938" t="s">
        <v>57</v>
      </c>
      <c r="V2938" t="s">
        <v>381</v>
      </c>
      <c r="W2938" t="s">
        <v>1765</v>
      </c>
      <c r="X2938" t="s">
        <v>1765</v>
      </c>
      <c r="AC2938" s="13">
        <v>44650</v>
      </c>
      <c r="AD2938" s="13">
        <v>44650</v>
      </c>
      <c r="AI2938">
        <v>12</v>
      </c>
      <c r="AN2938" t="s">
        <v>31</v>
      </c>
      <c r="AO2938">
        <v>0</v>
      </c>
      <c r="AS2938" t="s">
        <v>385</v>
      </c>
      <c r="AX2938" t="s">
        <v>57</v>
      </c>
      <c r="AY2938" t="s">
        <v>386</v>
      </c>
      <c r="BF2938">
        <v>0</v>
      </c>
      <c r="BK2938" t="s">
        <v>31</v>
      </c>
      <c r="BS2938" t="s">
        <v>412</v>
      </c>
      <c r="CI2938" t="s">
        <v>388</v>
      </c>
      <c r="CJ2938" s="14">
        <v>45016</v>
      </c>
      <c r="CK2938">
        <v>1</v>
      </c>
    </row>
    <row r="2939" spans="1:89">
      <c r="A2939" t="s">
        <v>1769</v>
      </c>
      <c r="B2939" t="s">
        <v>374</v>
      </c>
      <c r="C2939" t="s">
        <v>1770</v>
      </c>
      <c r="D2939" t="s">
        <v>1797</v>
      </c>
      <c r="E2939" t="s">
        <v>1798</v>
      </c>
      <c r="F2939" s="13">
        <v>44638.759143518517</v>
      </c>
      <c r="G2939" t="s">
        <v>641</v>
      </c>
      <c r="H2939" t="s">
        <v>642</v>
      </c>
      <c r="I2939" s="13">
        <v>44638.759143518517</v>
      </c>
      <c r="K2939" t="s">
        <v>412</v>
      </c>
      <c r="M2939" s="13">
        <v>44650</v>
      </c>
      <c r="R2939">
        <v>0</v>
      </c>
      <c r="S2939" t="s">
        <v>380</v>
      </c>
      <c r="T2939" t="s">
        <v>57</v>
      </c>
      <c r="V2939" t="s">
        <v>381</v>
      </c>
      <c r="W2939" t="s">
        <v>1765</v>
      </c>
      <c r="X2939" t="s">
        <v>1765</v>
      </c>
      <c r="AC2939" s="13">
        <v>44650</v>
      </c>
      <c r="AD2939" s="13">
        <v>44650</v>
      </c>
      <c r="AI2939">
        <v>12</v>
      </c>
      <c r="AN2939" t="s">
        <v>31</v>
      </c>
      <c r="AO2939">
        <v>0</v>
      </c>
      <c r="AS2939" t="s">
        <v>385</v>
      </c>
      <c r="AX2939" t="s">
        <v>57</v>
      </c>
      <c r="AY2939" t="s">
        <v>386</v>
      </c>
      <c r="BF2939">
        <v>0</v>
      </c>
      <c r="BK2939" t="s">
        <v>31</v>
      </c>
      <c r="BS2939" t="s">
        <v>412</v>
      </c>
      <c r="CI2939" t="s">
        <v>388</v>
      </c>
      <c r="CJ2939" s="14">
        <v>45016</v>
      </c>
      <c r="CK2939">
        <v>1</v>
      </c>
    </row>
    <row r="2940" spans="1:89">
      <c r="A2940" t="s">
        <v>1799</v>
      </c>
      <c r="B2940" t="s">
        <v>374</v>
      </c>
      <c r="C2940" t="s">
        <v>1800</v>
      </c>
      <c r="D2940" t="s">
        <v>1801</v>
      </c>
      <c r="E2940" t="s">
        <v>1802</v>
      </c>
      <c r="F2940" s="13">
        <v>44638.759131944447</v>
      </c>
      <c r="G2940" t="s">
        <v>641</v>
      </c>
      <c r="H2940" t="s">
        <v>642</v>
      </c>
      <c r="I2940" s="13">
        <v>44638.759131944447</v>
      </c>
      <c r="K2940" t="s">
        <v>412</v>
      </c>
      <c r="M2940" s="13">
        <v>44650</v>
      </c>
      <c r="R2940">
        <v>0</v>
      </c>
      <c r="S2940" t="s">
        <v>416</v>
      </c>
      <c r="T2940" t="s">
        <v>57</v>
      </c>
      <c r="V2940" t="s">
        <v>381</v>
      </c>
      <c r="W2940" t="s">
        <v>1803</v>
      </c>
      <c r="X2940" t="s">
        <v>1803</v>
      </c>
      <c r="AC2940" s="13">
        <v>44650</v>
      </c>
      <c r="AD2940" s="13">
        <v>44650</v>
      </c>
      <c r="AI2940">
        <v>12</v>
      </c>
      <c r="AN2940" t="s">
        <v>31</v>
      </c>
      <c r="AO2940">
        <v>0</v>
      </c>
      <c r="AS2940" t="s">
        <v>522</v>
      </c>
      <c r="AX2940" t="s">
        <v>57</v>
      </c>
      <c r="AY2940" t="s">
        <v>386</v>
      </c>
      <c r="BF2940">
        <v>0</v>
      </c>
      <c r="BK2940" t="s">
        <v>31</v>
      </c>
      <c r="BS2940" t="s">
        <v>412</v>
      </c>
      <c r="CI2940" t="s">
        <v>388</v>
      </c>
      <c r="CJ2940" s="14">
        <v>45016</v>
      </c>
      <c r="CK2940">
        <v>1</v>
      </c>
    </row>
    <row r="2941" spans="1:89">
      <c r="A2941" t="s">
        <v>1799</v>
      </c>
      <c r="B2941" t="s">
        <v>374</v>
      </c>
      <c r="C2941" t="s">
        <v>1800</v>
      </c>
      <c r="D2941" t="s">
        <v>1804</v>
      </c>
      <c r="E2941" t="s">
        <v>1805</v>
      </c>
      <c r="F2941" s="13">
        <v>44638.759131944447</v>
      </c>
      <c r="G2941" t="s">
        <v>641</v>
      </c>
      <c r="H2941" t="s">
        <v>642</v>
      </c>
      <c r="I2941" s="13">
        <v>44638.759131944447</v>
      </c>
      <c r="K2941" t="s">
        <v>412</v>
      </c>
      <c r="M2941" s="13">
        <v>44650</v>
      </c>
      <c r="R2941">
        <v>0</v>
      </c>
      <c r="S2941" t="s">
        <v>380</v>
      </c>
      <c r="T2941" t="s">
        <v>57</v>
      </c>
      <c r="V2941" t="s">
        <v>381</v>
      </c>
      <c r="W2941" t="s">
        <v>1806</v>
      </c>
      <c r="X2941" t="s">
        <v>1806</v>
      </c>
      <c r="AC2941" s="13">
        <v>44650</v>
      </c>
      <c r="AD2941" s="13">
        <v>44650</v>
      </c>
      <c r="AI2941">
        <v>12</v>
      </c>
      <c r="AN2941" t="s">
        <v>31</v>
      </c>
      <c r="AO2941">
        <v>0</v>
      </c>
      <c r="AS2941" t="s">
        <v>385</v>
      </c>
      <c r="AX2941" t="s">
        <v>57</v>
      </c>
      <c r="AY2941" t="s">
        <v>386</v>
      </c>
      <c r="BF2941">
        <v>0</v>
      </c>
      <c r="BK2941" t="s">
        <v>31</v>
      </c>
      <c r="BS2941" t="s">
        <v>412</v>
      </c>
      <c r="CI2941" t="s">
        <v>388</v>
      </c>
      <c r="CJ2941" s="14">
        <v>45016</v>
      </c>
      <c r="CK2941">
        <v>1</v>
      </c>
    </row>
    <row r="2942" spans="1:89">
      <c r="A2942" t="s">
        <v>1799</v>
      </c>
      <c r="B2942" t="s">
        <v>374</v>
      </c>
      <c r="C2942" t="s">
        <v>1800</v>
      </c>
      <c r="D2942" t="s">
        <v>1807</v>
      </c>
      <c r="E2942" t="s">
        <v>1808</v>
      </c>
      <c r="F2942" s="13">
        <v>44638.759120370371</v>
      </c>
      <c r="G2942" t="s">
        <v>641</v>
      </c>
      <c r="H2942" t="s">
        <v>642</v>
      </c>
      <c r="I2942" s="13">
        <v>44638.759120370371</v>
      </c>
      <c r="K2942" t="s">
        <v>412</v>
      </c>
      <c r="M2942" s="13">
        <v>44651</v>
      </c>
      <c r="R2942">
        <v>0</v>
      </c>
      <c r="S2942" t="s">
        <v>380</v>
      </c>
      <c r="T2942" t="s">
        <v>57</v>
      </c>
      <c r="V2942" t="s">
        <v>381</v>
      </c>
      <c r="W2942" t="s">
        <v>1809</v>
      </c>
      <c r="X2942" t="s">
        <v>1809</v>
      </c>
      <c r="AC2942" s="13">
        <v>44651</v>
      </c>
      <c r="AD2942" s="13">
        <v>44651</v>
      </c>
      <c r="AI2942">
        <v>13</v>
      </c>
      <c r="AN2942" t="s">
        <v>31</v>
      </c>
      <c r="AO2942">
        <v>0</v>
      </c>
      <c r="AS2942" t="s">
        <v>392</v>
      </c>
      <c r="AX2942" t="s">
        <v>57</v>
      </c>
      <c r="AY2942" t="s">
        <v>386</v>
      </c>
      <c r="BF2942">
        <v>0</v>
      </c>
      <c r="BK2942" t="s">
        <v>31</v>
      </c>
      <c r="BS2942" t="s">
        <v>412</v>
      </c>
      <c r="CI2942" t="s">
        <v>388</v>
      </c>
      <c r="CJ2942" s="14">
        <v>45016</v>
      </c>
      <c r="CK2942">
        <v>1</v>
      </c>
    </row>
    <row r="2943" spans="1:89">
      <c r="A2943" t="s">
        <v>1810</v>
      </c>
      <c r="B2943" t="s">
        <v>374</v>
      </c>
      <c r="C2943" t="s">
        <v>1811</v>
      </c>
      <c r="D2943" t="s">
        <v>1812</v>
      </c>
      <c r="E2943" t="s">
        <v>1813</v>
      </c>
      <c r="F2943" s="13">
        <v>44638.759120370371</v>
      </c>
      <c r="G2943" t="s">
        <v>641</v>
      </c>
      <c r="H2943" t="s">
        <v>642</v>
      </c>
      <c r="I2943" s="13">
        <v>44638.759120370371</v>
      </c>
      <c r="K2943" t="s">
        <v>412</v>
      </c>
      <c r="M2943" s="13">
        <v>44651</v>
      </c>
      <c r="R2943">
        <v>0</v>
      </c>
      <c r="S2943" t="s">
        <v>380</v>
      </c>
      <c r="T2943" t="s">
        <v>57</v>
      </c>
      <c r="V2943" t="s">
        <v>381</v>
      </c>
      <c r="W2943" t="s">
        <v>1814</v>
      </c>
      <c r="X2943" t="s">
        <v>1814</v>
      </c>
      <c r="AC2943" s="13">
        <v>44651</v>
      </c>
      <c r="AD2943" s="13">
        <v>44651</v>
      </c>
      <c r="AI2943">
        <v>13</v>
      </c>
      <c r="AN2943" t="s">
        <v>31</v>
      </c>
      <c r="AO2943">
        <v>0</v>
      </c>
      <c r="AS2943" t="s">
        <v>392</v>
      </c>
      <c r="AX2943" t="s">
        <v>57</v>
      </c>
      <c r="AY2943" t="s">
        <v>386</v>
      </c>
      <c r="BF2943">
        <v>0</v>
      </c>
      <c r="BK2943" t="s">
        <v>31</v>
      </c>
      <c r="BS2943" t="s">
        <v>412</v>
      </c>
      <c r="CI2943" t="s">
        <v>388</v>
      </c>
      <c r="CJ2943" s="14">
        <v>45016</v>
      </c>
      <c r="CK2943">
        <v>1</v>
      </c>
    </row>
    <row r="2944" spans="1:89">
      <c r="A2944" t="s">
        <v>1810</v>
      </c>
      <c r="B2944" t="s">
        <v>374</v>
      </c>
      <c r="C2944" t="s">
        <v>1811</v>
      </c>
      <c r="D2944" t="s">
        <v>1815</v>
      </c>
      <c r="E2944" t="s">
        <v>1816</v>
      </c>
      <c r="F2944" s="13">
        <v>44638.759120370371</v>
      </c>
      <c r="G2944" t="s">
        <v>641</v>
      </c>
      <c r="H2944" t="s">
        <v>642</v>
      </c>
      <c r="I2944" s="13">
        <v>44638.759120370371</v>
      </c>
      <c r="K2944" t="s">
        <v>412</v>
      </c>
      <c r="M2944" s="13">
        <v>44742</v>
      </c>
      <c r="R2944">
        <v>0</v>
      </c>
      <c r="S2944" t="s">
        <v>380</v>
      </c>
      <c r="T2944" t="s">
        <v>57</v>
      </c>
      <c r="V2944" t="s">
        <v>381</v>
      </c>
      <c r="W2944" t="s">
        <v>1806</v>
      </c>
      <c r="X2944" t="s">
        <v>1806</v>
      </c>
      <c r="AC2944" s="13">
        <v>44742</v>
      </c>
      <c r="AD2944" s="13">
        <v>44742</v>
      </c>
      <c r="AI2944">
        <v>104</v>
      </c>
      <c r="AN2944" t="s">
        <v>31</v>
      </c>
      <c r="AO2944">
        <v>0</v>
      </c>
      <c r="AS2944" t="s">
        <v>392</v>
      </c>
      <c r="AX2944" t="s">
        <v>57</v>
      </c>
      <c r="AY2944" t="s">
        <v>386</v>
      </c>
      <c r="BF2944">
        <v>0</v>
      </c>
      <c r="BK2944" t="s">
        <v>31</v>
      </c>
      <c r="BS2944" t="s">
        <v>412</v>
      </c>
      <c r="CI2944" t="s">
        <v>388</v>
      </c>
      <c r="CJ2944" s="14">
        <v>45016</v>
      </c>
      <c r="CK2944">
        <v>1</v>
      </c>
    </row>
    <row r="2945" spans="1:89">
      <c r="A2945" t="s">
        <v>1716</v>
      </c>
      <c r="B2945" t="s">
        <v>374</v>
      </c>
      <c r="C2945" t="s">
        <v>966</v>
      </c>
      <c r="D2945" t="s">
        <v>1817</v>
      </c>
      <c r="E2945" t="s">
        <v>1818</v>
      </c>
      <c r="F2945" s="13">
        <v>44638.759108796294</v>
      </c>
      <c r="G2945" t="s">
        <v>641</v>
      </c>
      <c r="H2945" t="s">
        <v>642</v>
      </c>
      <c r="I2945" s="13">
        <v>44638.759108796294</v>
      </c>
      <c r="K2945" t="s">
        <v>412</v>
      </c>
      <c r="M2945" s="13">
        <v>44651</v>
      </c>
      <c r="R2945">
        <v>0</v>
      </c>
      <c r="S2945" t="s">
        <v>380</v>
      </c>
      <c r="T2945" t="s">
        <v>57</v>
      </c>
      <c r="V2945" t="s">
        <v>381</v>
      </c>
      <c r="W2945" t="s">
        <v>1819</v>
      </c>
      <c r="X2945" t="s">
        <v>1819</v>
      </c>
      <c r="AC2945" s="13">
        <v>44651</v>
      </c>
      <c r="AD2945" s="13">
        <v>44651</v>
      </c>
      <c r="AI2945">
        <v>13</v>
      </c>
      <c r="AN2945" t="s">
        <v>31</v>
      </c>
      <c r="AO2945">
        <v>0</v>
      </c>
      <c r="AS2945" t="s">
        <v>392</v>
      </c>
      <c r="AX2945" t="s">
        <v>57</v>
      </c>
      <c r="AY2945" t="s">
        <v>442</v>
      </c>
      <c r="BF2945">
        <v>0</v>
      </c>
      <c r="BK2945" t="s">
        <v>31</v>
      </c>
      <c r="BS2945" t="s">
        <v>412</v>
      </c>
      <c r="CI2945" t="s">
        <v>388</v>
      </c>
      <c r="CJ2945" s="14">
        <v>45016</v>
      </c>
      <c r="CK2945">
        <v>1</v>
      </c>
    </row>
    <row r="2946" spans="1:89">
      <c r="A2946" t="s">
        <v>1710</v>
      </c>
      <c r="B2946" t="s">
        <v>374</v>
      </c>
      <c r="C2946" t="s">
        <v>392</v>
      </c>
      <c r="D2946" t="s">
        <v>1820</v>
      </c>
      <c r="E2946" t="s">
        <v>1821</v>
      </c>
      <c r="F2946" s="13">
        <v>44638.759108796294</v>
      </c>
      <c r="G2946" t="s">
        <v>641</v>
      </c>
      <c r="H2946" t="s">
        <v>642</v>
      </c>
      <c r="I2946" s="13">
        <v>44638.759108796294</v>
      </c>
      <c r="K2946" t="s">
        <v>412</v>
      </c>
      <c r="M2946" s="13">
        <v>44742</v>
      </c>
      <c r="R2946">
        <v>0</v>
      </c>
      <c r="S2946" t="s">
        <v>416</v>
      </c>
      <c r="T2946" t="s">
        <v>57</v>
      </c>
      <c r="V2946" t="s">
        <v>381</v>
      </c>
      <c r="W2946" t="s">
        <v>1803</v>
      </c>
      <c r="X2946" t="s">
        <v>1803</v>
      </c>
      <c r="AC2946" s="13">
        <v>44742</v>
      </c>
      <c r="AD2946" s="13">
        <v>44742</v>
      </c>
      <c r="AI2946">
        <v>104</v>
      </c>
      <c r="AN2946" t="s">
        <v>31</v>
      </c>
      <c r="AO2946">
        <v>0</v>
      </c>
      <c r="AS2946" t="s">
        <v>385</v>
      </c>
      <c r="AX2946" t="s">
        <v>57</v>
      </c>
      <c r="AY2946" t="s">
        <v>386</v>
      </c>
      <c r="BF2946">
        <v>0</v>
      </c>
      <c r="BK2946" t="s">
        <v>31</v>
      </c>
      <c r="BS2946" t="s">
        <v>412</v>
      </c>
      <c r="CI2946" t="s">
        <v>388</v>
      </c>
      <c r="CJ2946" s="14">
        <v>45016</v>
      </c>
      <c r="CK2946">
        <v>1</v>
      </c>
    </row>
    <row r="2947" spans="1:89">
      <c r="A2947" t="s">
        <v>1710</v>
      </c>
      <c r="B2947" t="s">
        <v>374</v>
      </c>
      <c r="C2947" t="s">
        <v>392</v>
      </c>
      <c r="D2947" t="s">
        <v>1822</v>
      </c>
      <c r="E2947" t="s">
        <v>1823</v>
      </c>
      <c r="F2947" s="13">
        <v>44638.759097222224</v>
      </c>
      <c r="G2947" t="s">
        <v>641</v>
      </c>
      <c r="H2947" t="s">
        <v>642</v>
      </c>
      <c r="I2947" s="13">
        <v>44638.759097222224</v>
      </c>
      <c r="K2947" t="s">
        <v>412</v>
      </c>
      <c r="M2947" s="13">
        <v>44650</v>
      </c>
      <c r="R2947">
        <v>0</v>
      </c>
      <c r="S2947" t="s">
        <v>380</v>
      </c>
      <c r="T2947" t="s">
        <v>57</v>
      </c>
      <c r="V2947" t="s">
        <v>381</v>
      </c>
      <c r="W2947" t="s">
        <v>1713</v>
      </c>
      <c r="X2947" t="s">
        <v>1713</v>
      </c>
      <c r="AC2947" s="13">
        <v>44650</v>
      </c>
      <c r="AD2947" s="13">
        <v>44650</v>
      </c>
      <c r="AI2947">
        <v>12</v>
      </c>
      <c r="AN2947" t="s">
        <v>31</v>
      </c>
      <c r="AO2947">
        <v>0</v>
      </c>
      <c r="AS2947" t="s">
        <v>392</v>
      </c>
      <c r="AX2947" t="s">
        <v>57</v>
      </c>
      <c r="AY2947" t="s">
        <v>386</v>
      </c>
      <c r="BF2947">
        <v>0</v>
      </c>
      <c r="BK2947" t="s">
        <v>31</v>
      </c>
      <c r="BS2947" t="s">
        <v>412</v>
      </c>
      <c r="CI2947" t="s">
        <v>388</v>
      </c>
      <c r="CJ2947" s="14">
        <v>45016</v>
      </c>
      <c r="CK2947">
        <v>1</v>
      </c>
    </row>
    <row r="2948" spans="1:89">
      <c r="A2948" t="s">
        <v>1710</v>
      </c>
      <c r="B2948" t="s">
        <v>374</v>
      </c>
      <c r="C2948" t="s">
        <v>392</v>
      </c>
      <c r="D2948" t="s">
        <v>1824</v>
      </c>
      <c r="E2948" t="s">
        <v>1825</v>
      </c>
      <c r="F2948" s="13">
        <v>44638.759097222224</v>
      </c>
      <c r="G2948" t="s">
        <v>641</v>
      </c>
      <c r="H2948" t="s">
        <v>642</v>
      </c>
      <c r="I2948" s="13">
        <v>44638.759097222224</v>
      </c>
      <c r="K2948" t="s">
        <v>412</v>
      </c>
      <c r="M2948" s="13">
        <v>44650</v>
      </c>
      <c r="R2948">
        <v>0</v>
      </c>
      <c r="S2948" t="s">
        <v>380</v>
      </c>
      <c r="T2948" t="s">
        <v>57</v>
      </c>
      <c r="V2948" t="s">
        <v>381</v>
      </c>
      <c r="W2948" t="s">
        <v>1826</v>
      </c>
      <c r="X2948" t="s">
        <v>1826</v>
      </c>
      <c r="AC2948" s="13">
        <v>44650</v>
      </c>
      <c r="AD2948" s="13">
        <v>44650</v>
      </c>
      <c r="AI2948">
        <v>12</v>
      </c>
      <c r="AN2948" t="s">
        <v>31</v>
      </c>
      <c r="AO2948">
        <v>0</v>
      </c>
      <c r="AS2948" t="s">
        <v>392</v>
      </c>
      <c r="AX2948" t="s">
        <v>57</v>
      </c>
      <c r="AY2948" t="s">
        <v>386</v>
      </c>
      <c r="BF2948">
        <v>0</v>
      </c>
      <c r="BK2948" t="s">
        <v>31</v>
      </c>
      <c r="BS2948" t="s">
        <v>412</v>
      </c>
      <c r="CI2948" t="s">
        <v>388</v>
      </c>
      <c r="CJ2948" s="14">
        <v>45016</v>
      </c>
      <c r="CK2948">
        <v>1</v>
      </c>
    </row>
    <row r="2949" spans="1:89">
      <c r="A2949" t="s">
        <v>1827</v>
      </c>
      <c r="B2949" t="s">
        <v>374</v>
      </c>
      <c r="C2949" t="s">
        <v>1536</v>
      </c>
      <c r="D2949" t="s">
        <v>1828</v>
      </c>
      <c r="E2949" t="s">
        <v>1829</v>
      </c>
      <c r="F2949" s="13">
        <v>44638.759085648147</v>
      </c>
      <c r="G2949" t="s">
        <v>641</v>
      </c>
      <c r="H2949" t="s">
        <v>642</v>
      </c>
      <c r="I2949" s="13">
        <v>44638.759085648147</v>
      </c>
      <c r="K2949" t="s">
        <v>412</v>
      </c>
      <c r="M2949" s="13">
        <v>44482</v>
      </c>
      <c r="R2949">
        <v>0</v>
      </c>
      <c r="S2949" t="s">
        <v>380</v>
      </c>
      <c r="T2949" t="s">
        <v>57</v>
      </c>
      <c r="V2949" t="s">
        <v>381</v>
      </c>
      <c r="W2949" t="s">
        <v>1830</v>
      </c>
      <c r="X2949" t="s">
        <v>1830</v>
      </c>
      <c r="AC2949" s="13">
        <v>44482</v>
      </c>
      <c r="AD2949" s="13">
        <v>44482</v>
      </c>
      <c r="AI2949">
        <v>-156</v>
      </c>
      <c r="AN2949" t="s">
        <v>31</v>
      </c>
      <c r="AO2949">
        <v>0</v>
      </c>
      <c r="AS2949" t="s">
        <v>881</v>
      </c>
      <c r="AX2949" t="s">
        <v>57</v>
      </c>
      <c r="AY2949" t="s">
        <v>386</v>
      </c>
      <c r="BF2949">
        <v>0</v>
      </c>
      <c r="BK2949" t="s">
        <v>31</v>
      </c>
      <c r="BS2949" t="s">
        <v>412</v>
      </c>
      <c r="CI2949" t="s">
        <v>388</v>
      </c>
      <c r="CJ2949" s="14">
        <v>45016</v>
      </c>
      <c r="CK2949">
        <v>1</v>
      </c>
    </row>
    <row r="2950" spans="1:89">
      <c r="A2950" t="s">
        <v>1831</v>
      </c>
      <c r="B2950" t="s">
        <v>374</v>
      </c>
      <c r="C2950" t="s">
        <v>1832</v>
      </c>
      <c r="D2950" t="s">
        <v>1833</v>
      </c>
      <c r="E2950" t="s">
        <v>1834</v>
      </c>
      <c r="F2950" s="13">
        <v>44638.759085648147</v>
      </c>
      <c r="G2950" t="s">
        <v>641</v>
      </c>
      <c r="H2950" t="s">
        <v>642</v>
      </c>
      <c r="I2950" s="13">
        <v>44638.759085648147</v>
      </c>
      <c r="K2950" t="s">
        <v>412</v>
      </c>
      <c r="M2950" s="13">
        <v>44591</v>
      </c>
      <c r="R2950">
        <v>0</v>
      </c>
      <c r="S2950" t="s">
        <v>380</v>
      </c>
      <c r="T2950" t="s">
        <v>57</v>
      </c>
      <c r="V2950" t="s">
        <v>381</v>
      </c>
      <c r="W2950" t="s">
        <v>1826</v>
      </c>
      <c r="X2950" t="s">
        <v>1826</v>
      </c>
      <c r="AC2950" s="13">
        <v>44591</v>
      </c>
      <c r="AD2950" s="13">
        <v>44591</v>
      </c>
      <c r="AI2950">
        <v>-47</v>
      </c>
      <c r="AN2950" t="s">
        <v>31</v>
      </c>
      <c r="AO2950">
        <v>0</v>
      </c>
      <c r="AS2950" t="s">
        <v>392</v>
      </c>
      <c r="AX2950" t="s">
        <v>57</v>
      </c>
      <c r="AY2950" t="s">
        <v>386</v>
      </c>
      <c r="BF2950">
        <v>0</v>
      </c>
      <c r="BK2950" t="s">
        <v>31</v>
      </c>
      <c r="BS2950" t="s">
        <v>412</v>
      </c>
      <c r="CI2950" t="s">
        <v>388</v>
      </c>
      <c r="CJ2950" s="14">
        <v>45016</v>
      </c>
      <c r="CK2950">
        <v>1</v>
      </c>
    </row>
    <row r="2951" spans="1:89">
      <c r="A2951" t="s">
        <v>1827</v>
      </c>
      <c r="B2951" t="s">
        <v>374</v>
      </c>
      <c r="C2951" t="s">
        <v>1536</v>
      </c>
      <c r="D2951" t="s">
        <v>1835</v>
      </c>
      <c r="E2951" t="s">
        <v>1836</v>
      </c>
      <c r="F2951" s="13">
        <v>44638.759074074071</v>
      </c>
      <c r="G2951" t="s">
        <v>641</v>
      </c>
      <c r="H2951" t="s">
        <v>642</v>
      </c>
      <c r="I2951" s="13">
        <v>44638.759074074071</v>
      </c>
      <c r="K2951" t="s">
        <v>412</v>
      </c>
      <c r="M2951" s="13">
        <v>44650</v>
      </c>
      <c r="R2951">
        <v>0</v>
      </c>
      <c r="S2951" t="s">
        <v>416</v>
      </c>
      <c r="T2951" t="s">
        <v>57</v>
      </c>
      <c r="V2951" t="s">
        <v>381</v>
      </c>
      <c r="W2951" t="s">
        <v>1837</v>
      </c>
      <c r="X2951" t="s">
        <v>1837</v>
      </c>
      <c r="AC2951" s="13">
        <v>44650</v>
      </c>
      <c r="AD2951" s="13">
        <v>44650</v>
      </c>
      <c r="AI2951">
        <v>12</v>
      </c>
      <c r="AN2951" t="s">
        <v>31</v>
      </c>
      <c r="AO2951">
        <v>0</v>
      </c>
      <c r="AS2951" t="s">
        <v>385</v>
      </c>
      <c r="AX2951" t="s">
        <v>57</v>
      </c>
      <c r="AY2951" t="s">
        <v>386</v>
      </c>
      <c r="BF2951">
        <v>0</v>
      </c>
      <c r="BK2951" t="s">
        <v>31</v>
      </c>
      <c r="BS2951" t="s">
        <v>412</v>
      </c>
      <c r="CI2951" t="s">
        <v>388</v>
      </c>
      <c r="CJ2951" s="14">
        <v>45016</v>
      </c>
      <c r="CK2951">
        <v>1</v>
      </c>
    </row>
    <row r="2952" spans="1:89">
      <c r="A2952" t="s">
        <v>1827</v>
      </c>
      <c r="B2952" t="s">
        <v>374</v>
      </c>
      <c r="C2952" t="s">
        <v>1536</v>
      </c>
      <c r="D2952" t="s">
        <v>1838</v>
      </c>
      <c r="E2952" t="s">
        <v>1839</v>
      </c>
      <c r="F2952" s="13">
        <v>44638.759074074071</v>
      </c>
      <c r="G2952" t="s">
        <v>641</v>
      </c>
      <c r="H2952" t="s">
        <v>642</v>
      </c>
      <c r="I2952" s="13">
        <v>44638.759074074071</v>
      </c>
      <c r="K2952" t="s">
        <v>412</v>
      </c>
      <c r="M2952" s="13">
        <v>44803</v>
      </c>
      <c r="R2952">
        <v>0</v>
      </c>
      <c r="S2952" t="s">
        <v>380</v>
      </c>
      <c r="T2952" t="s">
        <v>57</v>
      </c>
      <c r="V2952" t="s">
        <v>381</v>
      </c>
      <c r="W2952" t="s">
        <v>1837</v>
      </c>
      <c r="X2952" t="s">
        <v>1837</v>
      </c>
      <c r="AC2952" s="13">
        <v>44803</v>
      </c>
      <c r="AD2952" s="13">
        <v>44803</v>
      </c>
      <c r="AI2952">
        <v>165</v>
      </c>
      <c r="AN2952" t="s">
        <v>31</v>
      </c>
      <c r="AO2952">
        <v>0</v>
      </c>
      <c r="AS2952" t="s">
        <v>385</v>
      </c>
      <c r="AX2952" t="s">
        <v>57</v>
      </c>
      <c r="AY2952" t="s">
        <v>386</v>
      </c>
      <c r="BF2952">
        <v>0</v>
      </c>
      <c r="BK2952" t="s">
        <v>31</v>
      </c>
      <c r="BS2952" t="s">
        <v>412</v>
      </c>
      <c r="CI2952" t="s">
        <v>388</v>
      </c>
      <c r="CJ2952" s="14">
        <v>45016</v>
      </c>
      <c r="CK2952">
        <v>1</v>
      </c>
    </row>
    <row r="2953" spans="1:89">
      <c r="A2953" t="s">
        <v>1799</v>
      </c>
      <c r="B2953" t="s">
        <v>374</v>
      </c>
      <c r="C2953" t="s">
        <v>1800</v>
      </c>
      <c r="D2953" t="s">
        <v>1840</v>
      </c>
      <c r="E2953" t="s">
        <v>1841</v>
      </c>
      <c r="F2953" s="13">
        <v>44638.759062500001</v>
      </c>
      <c r="G2953" t="s">
        <v>641</v>
      </c>
      <c r="H2953" t="s">
        <v>642</v>
      </c>
      <c r="I2953" s="13">
        <v>44638.759062500001</v>
      </c>
      <c r="K2953" t="s">
        <v>412</v>
      </c>
      <c r="M2953" s="13">
        <v>44623</v>
      </c>
      <c r="R2953">
        <v>0</v>
      </c>
      <c r="S2953" t="s">
        <v>380</v>
      </c>
      <c r="T2953" t="s">
        <v>57</v>
      </c>
      <c r="V2953" t="s">
        <v>381</v>
      </c>
      <c r="W2953" t="s">
        <v>1826</v>
      </c>
      <c r="X2953" t="s">
        <v>1826</v>
      </c>
      <c r="AC2953" s="13">
        <v>44623</v>
      </c>
      <c r="AD2953" s="13">
        <v>44623</v>
      </c>
      <c r="AI2953">
        <v>-15</v>
      </c>
      <c r="AN2953" t="s">
        <v>31</v>
      </c>
      <c r="AO2953">
        <v>0</v>
      </c>
      <c r="AS2953" t="s">
        <v>385</v>
      </c>
      <c r="AX2953" t="s">
        <v>57</v>
      </c>
      <c r="AY2953" t="s">
        <v>386</v>
      </c>
      <c r="BF2953">
        <v>0</v>
      </c>
      <c r="BK2953" t="s">
        <v>31</v>
      </c>
      <c r="BS2953" t="s">
        <v>412</v>
      </c>
      <c r="CI2953" t="s">
        <v>388</v>
      </c>
      <c r="CJ2953" s="14">
        <v>45016</v>
      </c>
      <c r="CK2953">
        <v>1</v>
      </c>
    </row>
    <row r="2954" spans="1:89">
      <c r="A2954" t="s">
        <v>1799</v>
      </c>
      <c r="B2954" t="s">
        <v>374</v>
      </c>
      <c r="C2954" t="s">
        <v>1800</v>
      </c>
      <c r="D2954" t="s">
        <v>1842</v>
      </c>
      <c r="E2954" t="s">
        <v>1843</v>
      </c>
      <c r="F2954" s="13">
        <v>44638.759062500001</v>
      </c>
      <c r="G2954" t="s">
        <v>641</v>
      </c>
      <c r="H2954" t="s">
        <v>642</v>
      </c>
      <c r="I2954" s="13">
        <v>44638.759062500001</v>
      </c>
      <c r="K2954" t="s">
        <v>412</v>
      </c>
      <c r="M2954" s="13">
        <v>44650</v>
      </c>
      <c r="R2954">
        <v>0</v>
      </c>
      <c r="S2954" t="s">
        <v>380</v>
      </c>
      <c r="T2954" t="s">
        <v>57</v>
      </c>
      <c r="V2954" t="s">
        <v>381</v>
      </c>
      <c r="W2954" t="s">
        <v>1837</v>
      </c>
      <c r="X2954" t="s">
        <v>1837</v>
      </c>
      <c r="AC2954" s="13">
        <v>44650</v>
      </c>
      <c r="AD2954" s="13">
        <v>44650</v>
      </c>
      <c r="AI2954">
        <v>12</v>
      </c>
      <c r="AN2954" t="s">
        <v>31</v>
      </c>
      <c r="AO2954">
        <v>0</v>
      </c>
      <c r="AS2954" t="s">
        <v>385</v>
      </c>
      <c r="AX2954" t="s">
        <v>57</v>
      </c>
      <c r="AY2954" t="s">
        <v>386</v>
      </c>
      <c r="BF2954">
        <v>0</v>
      </c>
      <c r="BK2954" t="s">
        <v>31</v>
      </c>
      <c r="BS2954" t="s">
        <v>412</v>
      </c>
      <c r="CI2954" t="s">
        <v>388</v>
      </c>
      <c r="CJ2954" s="14">
        <v>45016</v>
      </c>
      <c r="CK2954">
        <v>1</v>
      </c>
    </row>
    <row r="2955" spans="1:89">
      <c r="A2955" t="s">
        <v>1844</v>
      </c>
      <c r="B2955" t="s">
        <v>374</v>
      </c>
      <c r="C2955" t="s">
        <v>1845</v>
      </c>
      <c r="D2955" t="s">
        <v>1846</v>
      </c>
      <c r="E2955" t="s">
        <v>1847</v>
      </c>
      <c r="F2955" s="13">
        <v>44638.759050925924</v>
      </c>
      <c r="G2955" t="s">
        <v>641</v>
      </c>
      <c r="H2955" t="s">
        <v>642</v>
      </c>
      <c r="I2955" s="13">
        <v>44638.759050925924</v>
      </c>
      <c r="K2955" t="s">
        <v>412</v>
      </c>
      <c r="M2955" s="13">
        <v>44526</v>
      </c>
      <c r="R2955">
        <v>0</v>
      </c>
      <c r="S2955" t="s">
        <v>380</v>
      </c>
      <c r="T2955" t="s">
        <v>57</v>
      </c>
      <c r="V2955" t="s">
        <v>381</v>
      </c>
      <c r="W2955" t="s">
        <v>1848</v>
      </c>
      <c r="X2955" t="s">
        <v>1848</v>
      </c>
      <c r="AC2955" s="13">
        <v>44526</v>
      </c>
      <c r="AD2955" s="13">
        <v>44526</v>
      </c>
      <c r="AI2955">
        <v>-112</v>
      </c>
      <c r="AN2955" t="s">
        <v>31</v>
      </c>
      <c r="AO2955">
        <v>0</v>
      </c>
      <c r="AS2955" t="s">
        <v>526</v>
      </c>
      <c r="AX2955" t="s">
        <v>57</v>
      </c>
      <c r="AY2955" t="s">
        <v>386</v>
      </c>
      <c r="BF2955">
        <v>0</v>
      </c>
      <c r="BK2955" t="s">
        <v>31</v>
      </c>
      <c r="BS2955" t="s">
        <v>412</v>
      </c>
      <c r="CI2955" t="s">
        <v>388</v>
      </c>
      <c r="CJ2955" s="14">
        <v>45016</v>
      </c>
      <c r="CK2955">
        <v>1</v>
      </c>
    </row>
    <row r="2956" spans="1:89">
      <c r="A2956" t="s">
        <v>1799</v>
      </c>
      <c r="B2956" t="s">
        <v>374</v>
      </c>
      <c r="C2956" t="s">
        <v>1800</v>
      </c>
      <c r="D2956" t="s">
        <v>1849</v>
      </c>
      <c r="E2956" t="s">
        <v>1850</v>
      </c>
      <c r="F2956" s="13">
        <v>44638.759050925924</v>
      </c>
      <c r="G2956" t="s">
        <v>641</v>
      </c>
      <c r="H2956" t="s">
        <v>642</v>
      </c>
      <c r="I2956" s="13">
        <v>44638.759050925924</v>
      </c>
      <c r="K2956" t="s">
        <v>412</v>
      </c>
      <c r="M2956" s="13">
        <v>44610</v>
      </c>
      <c r="R2956">
        <v>0</v>
      </c>
      <c r="S2956" t="s">
        <v>380</v>
      </c>
      <c r="T2956" t="s">
        <v>57</v>
      </c>
      <c r="V2956" t="s">
        <v>381</v>
      </c>
      <c r="W2956" t="s">
        <v>1851</v>
      </c>
      <c r="X2956" t="s">
        <v>1851</v>
      </c>
      <c r="AC2956" s="13">
        <v>44610</v>
      </c>
      <c r="AD2956" s="13">
        <v>44610</v>
      </c>
      <c r="AI2956">
        <v>-28</v>
      </c>
      <c r="AN2956" t="s">
        <v>31</v>
      </c>
      <c r="AO2956">
        <v>0</v>
      </c>
      <c r="AS2956" t="s">
        <v>385</v>
      </c>
      <c r="AX2956" t="s">
        <v>57</v>
      </c>
      <c r="AY2956" t="s">
        <v>386</v>
      </c>
      <c r="BF2956">
        <v>0</v>
      </c>
      <c r="BK2956" t="s">
        <v>31</v>
      </c>
      <c r="BS2956" t="s">
        <v>412</v>
      </c>
      <c r="CI2956" t="s">
        <v>388</v>
      </c>
      <c r="CJ2956" s="14">
        <v>45016</v>
      </c>
      <c r="CK2956">
        <v>1</v>
      </c>
    </row>
    <row r="2957" spans="1:89">
      <c r="A2957" t="s">
        <v>1705</v>
      </c>
      <c r="B2957" t="s">
        <v>374</v>
      </c>
      <c r="C2957" t="s">
        <v>1706</v>
      </c>
      <c r="D2957" t="s">
        <v>1852</v>
      </c>
      <c r="E2957" t="s">
        <v>1853</v>
      </c>
      <c r="F2957" s="13">
        <v>44638.759039351855</v>
      </c>
      <c r="G2957" t="s">
        <v>641</v>
      </c>
      <c r="H2957" t="s">
        <v>642</v>
      </c>
      <c r="I2957" s="13">
        <v>44638.759039351855</v>
      </c>
      <c r="K2957" t="s">
        <v>412</v>
      </c>
      <c r="M2957" s="13">
        <v>44530</v>
      </c>
      <c r="R2957">
        <v>0</v>
      </c>
      <c r="S2957" t="s">
        <v>380</v>
      </c>
      <c r="T2957" t="s">
        <v>57</v>
      </c>
      <c r="V2957" t="s">
        <v>381</v>
      </c>
      <c r="W2957" t="s">
        <v>1806</v>
      </c>
      <c r="X2957" t="s">
        <v>1806</v>
      </c>
      <c r="AC2957" s="13">
        <v>44530</v>
      </c>
      <c r="AD2957" s="13">
        <v>44530</v>
      </c>
      <c r="AI2957">
        <v>-108</v>
      </c>
      <c r="AN2957" t="s">
        <v>31</v>
      </c>
      <c r="AO2957">
        <v>0</v>
      </c>
      <c r="AS2957" t="s">
        <v>881</v>
      </c>
      <c r="AX2957" t="s">
        <v>57</v>
      </c>
      <c r="AY2957" t="s">
        <v>386</v>
      </c>
      <c r="BF2957">
        <v>0</v>
      </c>
      <c r="BK2957" t="s">
        <v>31</v>
      </c>
      <c r="BS2957" t="s">
        <v>412</v>
      </c>
      <c r="CI2957" t="s">
        <v>388</v>
      </c>
      <c r="CJ2957" s="14">
        <v>45016</v>
      </c>
      <c r="CK2957">
        <v>1</v>
      </c>
    </row>
    <row r="2958" spans="1:89">
      <c r="A2958" t="s">
        <v>1799</v>
      </c>
      <c r="B2958" t="s">
        <v>374</v>
      </c>
      <c r="C2958" t="s">
        <v>1800</v>
      </c>
      <c r="D2958" t="s">
        <v>1854</v>
      </c>
      <c r="E2958" t="s">
        <v>1855</v>
      </c>
      <c r="F2958" s="13">
        <v>44638.759039351855</v>
      </c>
      <c r="G2958" t="s">
        <v>641</v>
      </c>
      <c r="H2958" t="s">
        <v>642</v>
      </c>
      <c r="I2958" s="13">
        <v>44638.759039351855</v>
      </c>
      <c r="K2958" t="s">
        <v>412</v>
      </c>
      <c r="M2958" s="13">
        <v>44607</v>
      </c>
      <c r="R2958">
        <v>0</v>
      </c>
      <c r="S2958" t="s">
        <v>380</v>
      </c>
      <c r="T2958" t="s">
        <v>57</v>
      </c>
      <c r="V2958" t="s">
        <v>381</v>
      </c>
      <c r="W2958" t="s">
        <v>1709</v>
      </c>
      <c r="X2958" t="s">
        <v>1709</v>
      </c>
      <c r="AC2958" s="13">
        <v>44607</v>
      </c>
      <c r="AD2958" s="13">
        <v>44607</v>
      </c>
      <c r="AI2958">
        <v>-31</v>
      </c>
      <c r="AN2958" t="s">
        <v>31</v>
      </c>
      <c r="AO2958">
        <v>0</v>
      </c>
      <c r="AS2958" t="s">
        <v>385</v>
      </c>
      <c r="AX2958" t="s">
        <v>57</v>
      </c>
      <c r="AY2958" t="s">
        <v>386</v>
      </c>
      <c r="BF2958">
        <v>0</v>
      </c>
      <c r="BK2958" t="s">
        <v>31</v>
      </c>
      <c r="BS2958" t="s">
        <v>412</v>
      </c>
      <c r="CI2958" t="s">
        <v>388</v>
      </c>
      <c r="CJ2958" s="14">
        <v>45016</v>
      </c>
      <c r="CK2958">
        <v>1</v>
      </c>
    </row>
    <row r="2959" spans="1:89">
      <c r="A2959" t="s">
        <v>1710</v>
      </c>
      <c r="B2959" t="s">
        <v>374</v>
      </c>
      <c r="C2959" t="s">
        <v>392</v>
      </c>
      <c r="D2959" t="s">
        <v>1856</v>
      </c>
      <c r="E2959" t="s">
        <v>1857</v>
      </c>
      <c r="F2959" s="13">
        <v>44638.759027777778</v>
      </c>
      <c r="G2959" t="s">
        <v>641</v>
      </c>
      <c r="H2959" t="s">
        <v>642</v>
      </c>
      <c r="I2959" s="13">
        <v>44638.759027777778</v>
      </c>
      <c r="K2959" t="s">
        <v>412</v>
      </c>
      <c r="M2959" s="13">
        <v>44592</v>
      </c>
      <c r="R2959">
        <v>0</v>
      </c>
      <c r="S2959" t="s">
        <v>380</v>
      </c>
      <c r="T2959" t="s">
        <v>57</v>
      </c>
      <c r="V2959" t="s">
        <v>381</v>
      </c>
      <c r="W2959" t="s">
        <v>1806</v>
      </c>
      <c r="X2959" t="s">
        <v>1806</v>
      </c>
      <c r="AC2959" s="13">
        <v>44592</v>
      </c>
      <c r="AD2959" s="13">
        <v>44592</v>
      </c>
      <c r="AI2959">
        <v>-46</v>
      </c>
      <c r="AN2959" t="s">
        <v>31</v>
      </c>
      <c r="AO2959">
        <v>0</v>
      </c>
      <c r="AS2959" t="s">
        <v>538</v>
      </c>
      <c r="AX2959" t="s">
        <v>57</v>
      </c>
      <c r="AY2959" t="s">
        <v>442</v>
      </c>
      <c r="BF2959">
        <v>0</v>
      </c>
      <c r="BK2959" t="s">
        <v>31</v>
      </c>
      <c r="BS2959" t="s">
        <v>412</v>
      </c>
      <c r="CI2959" t="s">
        <v>388</v>
      </c>
      <c r="CJ2959" s="14">
        <v>45016</v>
      </c>
      <c r="CK2959">
        <v>1</v>
      </c>
    </row>
    <row r="2960" spans="1:89">
      <c r="A2960" t="s">
        <v>1858</v>
      </c>
      <c r="B2960" t="s">
        <v>374</v>
      </c>
      <c r="C2960" t="s">
        <v>1859</v>
      </c>
      <c r="D2960" t="s">
        <v>1860</v>
      </c>
      <c r="E2960" t="s">
        <v>1861</v>
      </c>
      <c r="F2960" s="13">
        <v>44638.759027777778</v>
      </c>
      <c r="G2960" t="s">
        <v>641</v>
      </c>
      <c r="H2960" t="s">
        <v>642</v>
      </c>
      <c r="I2960" s="13">
        <v>44638.759027777778</v>
      </c>
      <c r="K2960" t="s">
        <v>412</v>
      </c>
      <c r="M2960" s="13">
        <v>44592</v>
      </c>
      <c r="R2960">
        <v>0</v>
      </c>
      <c r="S2960" t="s">
        <v>416</v>
      </c>
      <c r="T2960" t="s">
        <v>57</v>
      </c>
      <c r="V2960" t="s">
        <v>381</v>
      </c>
      <c r="W2960" t="s">
        <v>1713</v>
      </c>
      <c r="X2960" t="s">
        <v>1713</v>
      </c>
      <c r="AC2960" s="13">
        <v>44592</v>
      </c>
      <c r="AD2960" s="13">
        <v>44592</v>
      </c>
      <c r="AI2960">
        <v>-46</v>
      </c>
      <c r="AN2960" t="s">
        <v>31</v>
      </c>
      <c r="AO2960">
        <v>0</v>
      </c>
      <c r="AS2960" t="s">
        <v>392</v>
      </c>
      <c r="AX2960" t="s">
        <v>57</v>
      </c>
      <c r="AY2960" t="s">
        <v>442</v>
      </c>
      <c r="BF2960">
        <v>0</v>
      </c>
      <c r="BK2960" t="s">
        <v>31</v>
      </c>
      <c r="BS2960" t="s">
        <v>412</v>
      </c>
      <c r="CI2960" t="s">
        <v>388</v>
      </c>
      <c r="CJ2960" s="14">
        <v>45016</v>
      </c>
      <c r="CK2960">
        <v>1</v>
      </c>
    </row>
    <row r="2961" spans="1:89">
      <c r="A2961" t="s">
        <v>1710</v>
      </c>
      <c r="B2961" t="s">
        <v>374</v>
      </c>
      <c r="C2961" t="s">
        <v>392</v>
      </c>
      <c r="D2961" t="s">
        <v>1862</v>
      </c>
      <c r="E2961" t="s">
        <v>1863</v>
      </c>
      <c r="F2961" s="13">
        <v>44638.759027777778</v>
      </c>
      <c r="G2961" t="s">
        <v>641</v>
      </c>
      <c r="H2961" t="s">
        <v>642</v>
      </c>
      <c r="I2961" s="13">
        <v>44638.759027777778</v>
      </c>
      <c r="K2961" t="s">
        <v>412</v>
      </c>
      <c r="M2961" s="13">
        <v>44530</v>
      </c>
      <c r="R2961">
        <v>0</v>
      </c>
      <c r="S2961" t="s">
        <v>380</v>
      </c>
      <c r="T2961" t="s">
        <v>57</v>
      </c>
      <c r="V2961" t="s">
        <v>381</v>
      </c>
      <c r="W2961" t="s">
        <v>1864</v>
      </c>
      <c r="X2961" t="s">
        <v>1864</v>
      </c>
      <c r="AC2961" s="13">
        <v>44530</v>
      </c>
      <c r="AD2961" s="13">
        <v>44530</v>
      </c>
      <c r="AI2961">
        <v>-108</v>
      </c>
      <c r="AN2961" t="s">
        <v>31</v>
      </c>
      <c r="AO2961">
        <v>0</v>
      </c>
      <c r="AS2961" t="s">
        <v>392</v>
      </c>
      <c r="AX2961" t="s">
        <v>57</v>
      </c>
      <c r="AY2961" t="s">
        <v>386</v>
      </c>
      <c r="BF2961">
        <v>0</v>
      </c>
      <c r="BK2961" t="s">
        <v>31</v>
      </c>
      <c r="BS2961" t="s">
        <v>412</v>
      </c>
      <c r="CI2961" t="s">
        <v>388</v>
      </c>
      <c r="CJ2961" s="14">
        <v>45016</v>
      </c>
      <c r="CK2961">
        <v>1</v>
      </c>
    </row>
    <row r="2962" spans="1:89">
      <c r="A2962" t="s">
        <v>1865</v>
      </c>
      <c r="B2962" t="s">
        <v>374</v>
      </c>
      <c r="C2962" t="s">
        <v>1866</v>
      </c>
      <c r="D2962" t="s">
        <v>1867</v>
      </c>
      <c r="E2962" t="s">
        <v>1868</v>
      </c>
      <c r="F2962" s="13">
        <v>44638.759016203701</v>
      </c>
      <c r="G2962" t="s">
        <v>641</v>
      </c>
      <c r="H2962" t="s">
        <v>642</v>
      </c>
      <c r="I2962" s="13">
        <v>44638.759016203701</v>
      </c>
      <c r="K2962" t="s">
        <v>412</v>
      </c>
      <c r="M2962" s="13">
        <v>44620</v>
      </c>
      <c r="R2962">
        <v>0</v>
      </c>
      <c r="S2962" t="s">
        <v>380</v>
      </c>
      <c r="T2962" t="s">
        <v>57</v>
      </c>
      <c r="V2962" t="s">
        <v>381</v>
      </c>
      <c r="W2962" t="s">
        <v>1762</v>
      </c>
      <c r="X2962" t="s">
        <v>1762</v>
      </c>
      <c r="AC2962" s="13">
        <v>44620</v>
      </c>
      <c r="AD2962" s="13">
        <v>44620</v>
      </c>
      <c r="AI2962">
        <v>-18</v>
      </c>
      <c r="AN2962" t="s">
        <v>31</v>
      </c>
      <c r="AO2962">
        <v>0</v>
      </c>
      <c r="AS2962" t="s">
        <v>702</v>
      </c>
      <c r="AX2962" t="s">
        <v>57</v>
      </c>
      <c r="AY2962" t="s">
        <v>386</v>
      </c>
      <c r="BF2962">
        <v>0</v>
      </c>
      <c r="BK2962" t="s">
        <v>31</v>
      </c>
      <c r="BS2962" t="s">
        <v>412</v>
      </c>
      <c r="CI2962" t="s">
        <v>388</v>
      </c>
      <c r="CJ2962" s="14">
        <v>45016</v>
      </c>
      <c r="CK2962">
        <v>1</v>
      </c>
    </row>
    <row r="2963" spans="1:89">
      <c r="A2963" t="s">
        <v>1865</v>
      </c>
      <c r="B2963" t="s">
        <v>374</v>
      </c>
      <c r="C2963" t="s">
        <v>1866</v>
      </c>
      <c r="D2963" t="s">
        <v>1869</v>
      </c>
      <c r="E2963" t="s">
        <v>1870</v>
      </c>
      <c r="F2963" s="13">
        <v>44638.759016203701</v>
      </c>
      <c r="G2963" t="s">
        <v>641</v>
      </c>
      <c r="H2963" t="s">
        <v>642</v>
      </c>
      <c r="I2963" s="13">
        <v>44638.759016203701</v>
      </c>
      <c r="K2963" t="s">
        <v>412</v>
      </c>
      <c r="M2963" s="13">
        <v>44742</v>
      </c>
      <c r="R2963">
        <v>0</v>
      </c>
      <c r="S2963" t="s">
        <v>380</v>
      </c>
      <c r="T2963" t="s">
        <v>57</v>
      </c>
      <c r="V2963" t="s">
        <v>381</v>
      </c>
      <c r="W2963" t="s">
        <v>1871</v>
      </c>
      <c r="X2963" t="s">
        <v>1871</v>
      </c>
      <c r="AC2963" s="13">
        <v>44742</v>
      </c>
      <c r="AD2963" s="13">
        <v>44742</v>
      </c>
      <c r="AI2963">
        <v>104</v>
      </c>
      <c r="AN2963" t="s">
        <v>31</v>
      </c>
      <c r="AO2963">
        <v>0</v>
      </c>
      <c r="AS2963" t="s">
        <v>702</v>
      </c>
      <c r="AX2963" t="s">
        <v>57</v>
      </c>
      <c r="AY2963" t="s">
        <v>386</v>
      </c>
      <c r="BF2963">
        <v>0</v>
      </c>
      <c r="BK2963" t="s">
        <v>31</v>
      </c>
      <c r="BS2963" t="s">
        <v>412</v>
      </c>
      <c r="CI2963" t="s">
        <v>388</v>
      </c>
      <c r="CJ2963" s="14">
        <v>45016</v>
      </c>
      <c r="CK2963">
        <v>1</v>
      </c>
    </row>
    <row r="2964" spans="1:89">
      <c r="A2964" t="s">
        <v>1872</v>
      </c>
      <c r="B2964" t="s">
        <v>374</v>
      </c>
      <c r="C2964" t="s">
        <v>1873</v>
      </c>
      <c r="D2964" t="s">
        <v>1874</v>
      </c>
      <c r="E2964" t="s">
        <v>1875</v>
      </c>
      <c r="F2964" s="13">
        <v>44638.759004629632</v>
      </c>
      <c r="G2964" t="s">
        <v>641</v>
      </c>
      <c r="H2964" t="s">
        <v>642</v>
      </c>
      <c r="I2964" s="13">
        <v>44638.759004629632</v>
      </c>
      <c r="K2964" t="s">
        <v>412</v>
      </c>
      <c r="M2964" s="13">
        <v>44635</v>
      </c>
      <c r="R2964">
        <v>0</v>
      </c>
      <c r="S2964" t="s">
        <v>380</v>
      </c>
      <c r="T2964" t="s">
        <v>57</v>
      </c>
      <c r="V2964" t="s">
        <v>381</v>
      </c>
      <c r="W2964" t="s">
        <v>1709</v>
      </c>
      <c r="X2964" t="s">
        <v>1709</v>
      </c>
      <c r="AC2964" s="13">
        <v>44635</v>
      </c>
      <c r="AD2964" s="13">
        <v>44635</v>
      </c>
      <c r="AI2964">
        <v>-3</v>
      </c>
      <c r="AN2964" t="s">
        <v>31</v>
      </c>
      <c r="AO2964">
        <v>0</v>
      </c>
      <c r="AS2964" t="s">
        <v>526</v>
      </c>
      <c r="AX2964" t="s">
        <v>57</v>
      </c>
      <c r="AY2964" t="s">
        <v>386</v>
      </c>
      <c r="BF2964">
        <v>0</v>
      </c>
      <c r="BK2964" t="s">
        <v>31</v>
      </c>
      <c r="BS2964" t="s">
        <v>412</v>
      </c>
      <c r="CI2964" t="s">
        <v>388</v>
      </c>
      <c r="CJ2964" s="14">
        <v>45016</v>
      </c>
      <c r="CK2964">
        <v>1</v>
      </c>
    </row>
    <row r="2965" spans="1:89">
      <c r="A2965" t="s">
        <v>1872</v>
      </c>
      <c r="B2965" t="s">
        <v>374</v>
      </c>
      <c r="C2965" t="s">
        <v>1873</v>
      </c>
      <c r="D2965" t="s">
        <v>1876</v>
      </c>
      <c r="E2965" t="s">
        <v>1877</v>
      </c>
      <c r="F2965" s="13">
        <v>44638.759004629632</v>
      </c>
      <c r="G2965" t="s">
        <v>641</v>
      </c>
      <c r="H2965" t="s">
        <v>642</v>
      </c>
      <c r="I2965" s="13">
        <v>44638.759004629632</v>
      </c>
      <c r="K2965" t="s">
        <v>412</v>
      </c>
      <c r="M2965" s="13">
        <v>44500</v>
      </c>
      <c r="R2965">
        <v>0</v>
      </c>
      <c r="S2965" t="s">
        <v>380</v>
      </c>
      <c r="T2965" t="s">
        <v>57</v>
      </c>
      <c r="V2965" t="s">
        <v>381</v>
      </c>
      <c r="W2965" t="s">
        <v>1762</v>
      </c>
      <c r="X2965" t="s">
        <v>1762</v>
      </c>
      <c r="AC2965" s="13">
        <v>44500</v>
      </c>
      <c r="AD2965" s="13">
        <v>44500</v>
      </c>
      <c r="AI2965">
        <v>-138</v>
      </c>
      <c r="AN2965" t="s">
        <v>31</v>
      </c>
      <c r="AO2965">
        <v>0</v>
      </c>
      <c r="AS2965" t="s">
        <v>392</v>
      </c>
      <c r="AX2965" t="s">
        <v>57</v>
      </c>
      <c r="AY2965" t="s">
        <v>386</v>
      </c>
      <c r="BF2965">
        <v>0</v>
      </c>
      <c r="BK2965" t="s">
        <v>31</v>
      </c>
      <c r="BS2965" t="s">
        <v>412</v>
      </c>
      <c r="CI2965" t="s">
        <v>388</v>
      </c>
      <c r="CJ2965" s="14">
        <v>45016</v>
      </c>
      <c r="CK2965">
        <v>1</v>
      </c>
    </row>
    <row r="2966" spans="1:89">
      <c r="A2966" t="s">
        <v>1872</v>
      </c>
      <c r="B2966" t="s">
        <v>374</v>
      </c>
      <c r="C2966" t="s">
        <v>1873</v>
      </c>
      <c r="D2966" t="s">
        <v>1878</v>
      </c>
      <c r="E2966" t="s">
        <v>1879</v>
      </c>
      <c r="F2966" s="13">
        <v>44638.758993055555</v>
      </c>
      <c r="G2966" t="s">
        <v>641</v>
      </c>
      <c r="H2966" t="s">
        <v>642</v>
      </c>
      <c r="I2966" s="13">
        <v>44638.758993055555</v>
      </c>
      <c r="K2966" t="s">
        <v>412</v>
      </c>
      <c r="M2966" s="13">
        <v>44635</v>
      </c>
      <c r="R2966">
        <v>0</v>
      </c>
      <c r="S2966" t="s">
        <v>380</v>
      </c>
      <c r="T2966" t="s">
        <v>57</v>
      </c>
      <c r="V2966" t="s">
        <v>381</v>
      </c>
      <c r="W2966" t="s">
        <v>1762</v>
      </c>
      <c r="X2966" t="s">
        <v>1762</v>
      </c>
      <c r="AC2966" s="13">
        <v>44635</v>
      </c>
      <c r="AD2966" s="13">
        <v>44635</v>
      </c>
      <c r="AI2966">
        <v>-3</v>
      </c>
      <c r="AN2966" t="s">
        <v>31</v>
      </c>
      <c r="AO2966">
        <v>0</v>
      </c>
      <c r="AS2966" t="s">
        <v>881</v>
      </c>
      <c r="AX2966" t="s">
        <v>57</v>
      </c>
      <c r="AY2966" t="s">
        <v>386</v>
      </c>
      <c r="BF2966">
        <v>0</v>
      </c>
      <c r="BK2966" t="s">
        <v>31</v>
      </c>
      <c r="BS2966" t="s">
        <v>412</v>
      </c>
      <c r="CI2966" t="s">
        <v>388</v>
      </c>
      <c r="CJ2966" s="14">
        <v>45016</v>
      </c>
      <c r="CK2966">
        <v>1</v>
      </c>
    </row>
    <row r="2967" spans="1:89">
      <c r="A2967" t="s">
        <v>1872</v>
      </c>
      <c r="B2967" t="s">
        <v>374</v>
      </c>
      <c r="C2967" t="s">
        <v>1873</v>
      </c>
      <c r="D2967" t="s">
        <v>1880</v>
      </c>
      <c r="E2967" t="s">
        <v>1881</v>
      </c>
      <c r="F2967" s="13">
        <v>44638.758993055555</v>
      </c>
      <c r="G2967" t="s">
        <v>641</v>
      </c>
      <c r="H2967" t="s">
        <v>642</v>
      </c>
      <c r="I2967" s="13">
        <v>44638.758993055555</v>
      </c>
      <c r="K2967" t="s">
        <v>412</v>
      </c>
      <c r="M2967" s="13">
        <v>44635</v>
      </c>
      <c r="R2967">
        <v>0</v>
      </c>
      <c r="S2967" t="s">
        <v>380</v>
      </c>
      <c r="T2967" t="s">
        <v>57</v>
      </c>
      <c r="V2967" t="s">
        <v>381</v>
      </c>
      <c r="W2967" t="s">
        <v>1709</v>
      </c>
      <c r="X2967" t="s">
        <v>1709</v>
      </c>
      <c r="AC2967" s="13">
        <v>44635</v>
      </c>
      <c r="AD2967" s="13">
        <v>44635</v>
      </c>
      <c r="AI2967">
        <v>-3</v>
      </c>
      <c r="AN2967" t="s">
        <v>31</v>
      </c>
      <c r="AO2967">
        <v>0</v>
      </c>
      <c r="AS2967" t="s">
        <v>744</v>
      </c>
      <c r="AX2967" t="s">
        <v>57</v>
      </c>
      <c r="AY2967" t="s">
        <v>386</v>
      </c>
      <c r="BF2967">
        <v>0</v>
      </c>
      <c r="BK2967" t="s">
        <v>31</v>
      </c>
      <c r="BS2967" t="s">
        <v>412</v>
      </c>
      <c r="CI2967" t="s">
        <v>388</v>
      </c>
      <c r="CJ2967" s="14">
        <v>45016</v>
      </c>
      <c r="CK2967">
        <v>1</v>
      </c>
    </row>
    <row r="2968" spans="1:89">
      <c r="A2968" t="s">
        <v>1858</v>
      </c>
      <c r="B2968" t="s">
        <v>374</v>
      </c>
      <c r="C2968" t="s">
        <v>1859</v>
      </c>
      <c r="D2968" t="s">
        <v>1882</v>
      </c>
      <c r="E2968" t="s">
        <v>1883</v>
      </c>
      <c r="F2968" s="13">
        <v>44638.758981481478</v>
      </c>
      <c r="G2968" t="s">
        <v>641</v>
      </c>
      <c r="H2968" t="s">
        <v>642</v>
      </c>
      <c r="I2968" s="13">
        <v>44638.758981481478</v>
      </c>
      <c r="K2968" t="s">
        <v>412</v>
      </c>
      <c r="M2968" s="13">
        <v>44635</v>
      </c>
      <c r="R2968">
        <v>0</v>
      </c>
      <c r="S2968" t="s">
        <v>380</v>
      </c>
      <c r="T2968" t="s">
        <v>57</v>
      </c>
      <c r="V2968" t="s">
        <v>381</v>
      </c>
      <c r="W2968" t="s">
        <v>1762</v>
      </c>
      <c r="X2968" t="s">
        <v>1762</v>
      </c>
      <c r="AC2968" s="13">
        <v>44635</v>
      </c>
      <c r="AD2968" s="13">
        <v>44635</v>
      </c>
      <c r="AI2968">
        <v>-3</v>
      </c>
      <c r="AN2968" t="s">
        <v>31</v>
      </c>
      <c r="AO2968">
        <v>0</v>
      </c>
      <c r="AS2968" t="s">
        <v>526</v>
      </c>
      <c r="AX2968" t="s">
        <v>57</v>
      </c>
      <c r="AY2968" t="s">
        <v>386</v>
      </c>
      <c r="BF2968">
        <v>0</v>
      </c>
      <c r="BK2968" t="s">
        <v>31</v>
      </c>
      <c r="BS2968" t="s">
        <v>412</v>
      </c>
      <c r="CI2968" t="s">
        <v>388</v>
      </c>
      <c r="CJ2968" s="14">
        <v>45016</v>
      </c>
      <c r="CK2968">
        <v>1</v>
      </c>
    </row>
    <row r="2969" spans="1:89">
      <c r="A2969" t="s">
        <v>1716</v>
      </c>
      <c r="B2969" t="s">
        <v>374</v>
      </c>
      <c r="C2969" t="s">
        <v>966</v>
      </c>
      <c r="D2969" t="s">
        <v>1884</v>
      </c>
      <c r="E2969" t="s">
        <v>1885</v>
      </c>
      <c r="F2969" s="13">
        <v>44638.758981481478</v>
      </c>
      <c r="G2969" t="s">
        <v>641</v>
      </c>
      <c r="H2969" t="s">
        <v>642</v>
      </c>
      <c r="I2969" s="13">
        <v>44638.758981481478</v>
      </c>
      <c r="K2969" t="s">
        <v>412</v>
      </c>
      <c r="M2969" s="13">
        <v>44602</v>
      </c>
      <c r="R2969">
        <v>0</v>
      </c>
      <c r="S2969" t="s">
        <v>380</v>
      </c>
      <c r="T2969" t="s">
        <v>57</v>
      </c>
      <c r="V2969" t="s">
        <v>381</v>
      </c>
      <c r="W2969" t="s">
        <v>1886</v>
      </c>
      <c r="X2969" t="s">
        <v>1886</v>
      </c>
      <c r="AC2969" s="13">
        <v>44602</v>
      </c>
      <c r="AD2969" s="13">
        <v>44602</v>
      </c>
      <c r="AI2969">
        <v>-36</v>
      </c>
      <c r="AN2969" t="s">
        <v>31</v>
      </c>
      <c r="AO2969">
        <v>0</v>
      </c>
      <c r="AS2969" t="s">
        <v>538</v>
      </c>
      <c r="AX2969" t="s">
        <v>57</v>
      </c>
      <c r="AY2969" t="s">
        <v>386</v>
      </c>
      <c r="BF2969">
        <v>0</v>
      </c>
      <c r="BK2969" t="s">
        <v>31</v>
      </c>
      <c r="BS2969" t="s">
        <v>412</v>
      </c>
      <c r="CI2969" t="s">
        <v>388</v>
      </c>
      <c r="CJ2969" s="14">
        <v>45016</v>
      </c>
      <c r="CK2969">
        <v>1</v>
      </c>
    </row>
    <row r="2970" spans="1:89">
      <c r="A2970" t="s">
        <v>1710</v>
      </c>
      <c r="B2970" t="s">
        <v>374</v>
      </c>
      <c r="C2970" t="s">
        <v>392</v>
      </c>
      <c r="D2970" t="s">
        <v>1887</v>
      </c>
      <c r="E2970" t="s">
        <v>1888</v>
      </c>
      <c r="F2970" s="13">
        <v>44638.758969907409</v>
      </c>
      <c r="G2970" t="s">
        <v>641</v>
      </c>
      <c r="H2970" t="s">
        <v>642</v>
      </c>
      <c r="I2970" s="13">
        <v>44638.758969907409</v>
      </c>
      <c r="K2970" t="s">
        <v>412</v>
      </c>
      <c r="M2970" s="13">
        <v>44574</v>
      </c>
      <c r="R2970">
        <v>0</v>
      </c>
      <c r="S2970" t="s">
        <v>380</v>
      </c>
      <c r="T2970" t="s">
        <v>57</v>
      </c>
      <c r="V2970" t="s">
        <v>381</v>
      </c>
      <c r="W2970" t="s">
        <v>1713</v>
      </c>
      <c r="X2970" t="s">
        <v>1713</v>
      </c>
      <c r="AC2970" s="13">
        <v>44574</v>
      </c>
      <c r="AD2970" s="13">
        <v>44574</v>
      </c>
      <c r="AI2970">
        <v>-64</v>
      </c>
      <c r="AN2970" t="s">
        <v>31</v>
      </c>
      <c r="AO2970">
        <v>0</v>
      </c>
      <c r="AS2970" t="s">
        <v>461</v>
      </c>
      <c r="AX2970" t="s">
        <v>57</v>
      </c>
      <c r="AY2970" t="s">
        <v>386</v>
      </c>
      <c r="BF2970">
        <v>0</v>
      </c>
      <c r="BK2970" t="s">
        <v>31</v>
      </c>
      <c r="BS2970" t="s">
        <v>412</v>
      </c>
      <c r="CI2970" t="s">
        <v>388</v>
      </c>
      <c r="CJ2970" s="14">
        <v>45016</v>
      </c>
      <c r="CK2970">
        <v>1</v>
      </c>
    </row>
    <row r="2971" spans="1:89">
      <c r="A2971" t="s">
        <v>1710</v>
      </c>
      <c r="B2971" t="s">
        <v>374</v>
      </c>
      <c r="C2971" t="s">
        <v>392</v>
      </c>
      <c r="D2971" t="s">
        <v>1889</v>
      </c>
      <c r="E2971" t="s">
        <v>1890</v>
      </c>
      <c r="F2971" s="13">
        <v>44638.758969907409</v>
      </c>
      <c r="G2971" t="s">
        <v>641</v>
      </c>
      <c r="H2971" t="s">
        <v>642</v>
      </c>
      <c r="I2971" s="13">
        <v>44638.758969907409</v>
      </c>
      <c r="K2971" t="s">
        <v>412</v>
      </c>
      <c r="M2971" s="13">
        <v>44574</v>
      </c>
      <c r="R2971">
        <v>0</v>
      </c>
      <c r="S2971" t="s">
        <v>380</v>
      </c>
      <c r="T2971" t="s">
        <v>57</v>
      </c>
      <c r="V2971" t="s">
        <v>381</v>
      </c>
      <c r="W2971" t="s">
        <v>1719</v>
      </c>
      <c r="X2971" t="s">
        <v>1719</v>
      </c>
      <c r="AC2971" s="13">
        <v>44574</v>
      </c>
      <c r="AD2971" s="13">
        <v>44574</v>
      </c>
      <c r="AI2971">
        <v>-64</v>
      </c>
      <c r="AN2971" t="s">
        <v>31</v>
      </c>
      <c r="AO2971">
        <v>0</v>
      </c>
      <c r="AS2971" t="s">
        <v>392</v>
      </c>
      <c r="AX2971" t="s">
        <v>57</v>
      </c>
      <c r="AY2971" t="s">
        <v>386</v>
      </c>
      <c r="BF2971">
        <v>0</v>
      </c>
      <c r="BK2971" t="s">
        <v>31</v>
      </c>
      <c r="BS2971" t="s">
        <v>412</v>
      </c>
      <c r="CI2971" t="s">
        <v>388</v>
      </c>
      <c r="CJ2971" s="14">
        <v>45016</v>
      </c>
      <c r="CK2971">
        <v>1</v>
      </c>
    </row>
    <row r="2972" spans="1:89">
      <c r="A2972" t="s">
        <v>1891</v>
      </c>
      <c r="B2972" t="s">
        <v>374</v>
      </c>
      <c r="C2972" t="s">
        <v>1892</v>
      </c>
      <c r="D2972" t="s">
        <v>1893</v>
      </c>
      <c r="E2972" t="s">
        <v>1894</v>
      </c>
      <c r="F2972" s="13">
        <v>44638.758958333332</v>
      </c>
      <c r="G2972" t="s">
        <v>641</v>
      </c>
      <c r="H2972" t="s">
        <v>642</v>
      </c>
      <c r="I2972" s="13">
        <v>44638.758958333332</v>
      </c>
      <c r="K2972" t="s">
        <v>412</v>
      </c>
      <c r="M2972" s="13">
        <v>44552</v>
      </c>
      <c r="R2972">
        <v>0</v>
      </c>
      <c r="S2972" t="s">
        <v>380</v>
      </c>
      <c r="T2972" t="s">
        <v>57</v>
      </c>
      <c r="V2972" t="s">
        <v>381</v>
      </c>
      <c r="W2972" t="s">
        <v>1895</v>
      </c>
      <c r="X2972" t="s">
        <v>1895</v>
      </c>
      <c r="AC2972" s="13">
        <v>44552</v>
      </c>
      <c r="AD2972" s="13">
        <v>44552</v>
      </c>
      <c r="AI2972">
        <v>-86</v>
      </c>
      <c r="AN2972" t="s">
        <v>31</v>
      </c>
      <c r="AO2972">
        <v>0</v>
      </c>
      <c r="AS2972" t="s">
        <v>392</v>
      </c>
      <c r="AX2972" t="s">
        <v>57</v>
      </c>
      <c r="AY2972" t="s">
        <v>386</v>
      </c>
      <c r="BF2972">
        <v>0</v>
      </c>
      <c r="BK2972" t="s">
        <v>31</v>
      </c>
      <c r="BS2972" t="s">
        <v>412</v>
      </c>
      <c r="CI2972" t="s">
        <v>388</v>
      </c>
      <c r="CJ2972" s="14">
        <v>45016</v>
      </c>
      <c r="CK2972">
        <v>1</v>
      </c>
    </row>
    <row r="2973" spans="1:89">
      <c r="A2973" t="s">
        <v>1891</v>
      </c>
      <c r="B2973" t="s">
        <v>374</v>
      </c>
      <c r="C2973" t="s">
        <v>1892</v>
      </c>
      <c r="D2973" t="s">
        <v>1896</v>
      </c>
      <c r="E2973" t="s">
        <v>1897</v>
      </c>
      <c r="F2973" s="13">
        <v>44638.758958333332</v>
      </c>
      <c r="G2973" t="s">
        <v>641</v>
      </c>
      <c r="H2973" t="s">
        <v>642</v>
      </c>
      <c r="I2973" s="13">
        <v>44638.758958333332</v>
      </c>
      <c r="K2973" t="s">
        <v>412</v>
      </c>
      <c r="M2973" s="13">
        <v>44568</v>
      </c>
      <c r="R2973">
        <v>0</v>
      </c>
      <c r="S2973" t="s">
        <v>380</v>
      </c>
      <c r="T2973" t="s">
        <v>57</v>
      </c>
      <c r="V2973" t="s">
        <v>381</v>
      </c>
      <c r="W2973" t="s">
        <v>1713</v>
      </c>
      <c r="X2973" t="s">
        <v>1713</v>
      </c>
      <c r="AC2973" s="13">
        <v>44568</v>
      </c>
      <c r="AD2973" s="13">
        <v>44568</v>
      </c>
      <c r="AI2973">
        <v>-70</v>
      </c>
      <c r="AN2973" t="s">
        <v>31</v>
      </c>
      <c r="AO2973">
        <v>0</v>
      </c>
      <c r="AS2973" t="s">
        <v>392</v>
      </c>
      <c r="AX2973" t="s">
        <v>57</v>
      </c>
      <c r="AY2973" t="s">
        <v>386</v>
      </c>
      <c r="BF2973">
        <v>0</v>
      </c>
      <c r="BK2973" t="s">
        <v>31</v>
      </c>
      <c r="BS2973" t="s">
        <v>412</v>
      </c>
      <c r="CI2973" t="s">
        <v>388</v>
      </c>
      <c r="CJ2973" s="14">
        <v>45016</v>
      </c>
      <c r="CK2973">
        <v>1</v>
      </c>
    </row>
    <row r="2974" spans="1:89">
      <c r="A2974" t="s">
        <v>1898</v>
      </c>
      <c r="B2974" t="s">
        <v>374</v>
      </c>
      <c r="C2974" t="s">
        <v>1236</v>
      </c>
      <c r="D2974" t="s">
        <v>1899</v>
      </c>
      <c r="E2974" t="s">
        <v>1900</v>
      </c>
      <c r="F2974" s="13">
        <v>44638.758958333332</v>
      </c>
      <c r="G2974" t="s">
        <v>641</v>
      </c>
      <c r="H2974" t="s">
        <v>642</v>
      </c>
      <c r="I2974" s="13">
        <v>44638.758958333332</v>
      </c>
      <c r="K2974" t="s">
        <v>412</v>
      </c>
      <c r="M2974" s="13">
        <v>44574</v>
      </c>
      <c r="R2974">
        <v>0</v>
      </c>
      <c r="S2974" t="s">
        <v>380</v>
      </c>
      <c r="T2974" t="s">
        <v>57</v>
      </c>
      <c r="V2974" t="s">
        <v>381</v>
      </c>
      <c r="W2974" t="s">
        <v>1713</v>
      </c>
      <c r="X2974" t="s">
        <v>1713</v>
      </c>
      <c r="AC2974" s="13">
        <v>44574</v>
      </c>
      <c r="AD2974" s="13">
        <v>44574</v>
      </c>
      <c r="AI2974">
        <v>-64</v>
      </c>
      <c r="AN2974" t="s">
        <v>31</v>
      </c>
      <c r="AO2974">
        <v>0</v>
      </c>
      <c r="AS2974" t="s">
        <v>392</v>
      </c>
      <c r="AX2974" t="s">
        <v>57</v>
      </c>
      <c r="AY2974" t="s">
        <v>386</v>
      </c>
      <c r="BF2974">
        <v>0</v>
      </c>
      <c r="BK2974" t="s">
        <v>31</v>
      </c>
      <c r="BS2974" t="s">
        <v>412</v>
      </c>
      <c r="CI2974" t="s">
        <v>388</v>
      </c>
      <c r="CJ2974" s="14">
        <v>45016</v>
      </c>
      <c r="CK2974">
        <v>1</v>
      </c>
    </row>
    <row r="2975" spans="1:89">
      <c r="A2975" t="s">
        <v>1710</v>
      </c>
      <c r="B2975" t="s">
        <v>374</v>
      </c>
      <c r="C2975" t="s">
        <v>392</v>
      </c>
      <c r="D2975" t="s">
        <v>1901</v>
      </c>
      <c r="E2975" t="s">
        <v>1902</v>
      </c>
      <c r="F2975" s="13">
        <v>44638.758946759262</v>
      </c>
      <c r="G2975" t="s">
        <v>641</v>
      </c>
      <c r="H2975" t="s">
        <v>642</v>
      </c>
      <c r="I2975" s="13">
        <v>44638.758946759262</v>
      </c>
      <c r="K2975" t="s">
        <v>412</v>
      </c>
      <c r="M2975" s="13">
        <v>44552</v>
      </c>
      <c r="R2975">
        <v>0</v>
      </c>
      <c r="S2975" t="s">
        <v>380</v>
      </c>
      <c r="T2975" t="s">
        <v>57</v>
      </c>
      <c r="V2975" t="s">
        <v>381</v>
      </c>
      <c r="W2975" t="s">
        <v>1762</v>
      </c>
      <c r="X2975" t="s">
        <v>1762</v>
      </c>
      <c r="AC2975" s="13">
        <v>44552</v>
      </c>
      <c r="AD2975" s="13">
        <v>44552</v>
      </c>
      <c r="AI2975">
        <v>-86</v>
      </c>
      <c r="AN2975" t="s">
        <v>31</v>
      </c>
      <c r="AO2975">
        <v>0</v>
      </c>
      <c r="AS2975" t="s">
        <v>702</v>
      </c>
      <c r="AX2975" t="s">
        <v>57</v>
      </c>
      <c r="AY2975" t="s">
        <v>386</v>
      </c>
      <c r="BF2975">
        <v>0</v>
      </c>
      <c r="BK2975" t="s">
        <v>31</v>
      </c>
      <c r="BS2975" t="s">
        <v>412</v>
      </c>
      <c r="CI2975" t="s">
        <v>388</v>
      </c>
      <c r="CJ2975" s="14">
        <v>45016</v>
      </c>
      <c r="CK2975">
        <v>1</v>
      </c>
    </row>
    <row r="2976" spans="1:89">
      <c r="A2976" t="s">
        <v>1710</v>
      </c>
      <c r="B2976" t="s">
        <v>374</v>
      </c>
      <c r="C2976" t="s">
        <v>392</v>
      </c>
      <c r="D2976" t="s">
        <v>1903</v>
      </c>
      <c r="E2976" t="s">
        <v>1904</v>
      </c>
      <c r="F2976" s="13">
        <v>44638.758946759262</v>
      </c>
      <c r="G2976" t="s">
        <v>641</v>
      </c>
      <c r="H2976" t="s">
        <v>642</v>
      </c>
      <c r="I2976" s="13">
        <v>44638.758946759262</v>
      </c>
      <c r="K2976" t="s">
        <v>412</v>
      </c>
      <c r="M2976" s="13">
        <v>44552</v>
      </c>
      <c r="R2976">
        <v>0</v>
      </c>
      <c r="S2976" t="s">
        <v>380</v>
      </c>
      <c r="T2976" t="s">
        <v>57</v>
      </c>
      <c r="V2976" t="s">
        <v>381</v>
      </c>
      <c r="W2976" t="s">
        <v>1762</v>
      </c>
      <c r="X2976" t="s">
        <v>1762</v>
      </c>
      <c r="AC2976" s="13">
        <v>44552</v>
      </c>
      <c r="AD2976" s="13">
        <v>44552</v>
      </c>
      <c r="AI2976">
        <v>-86</v>
      </c>
      <c r="AN2976" t="s">
        <v>31</v>
      </c>
      <c r="AO2976">
        <v>0</v>
      </c>
      <c r="AS2976" t="s">
        <v>648</v>
      </c>
      <c r="AX2976" t="s">
        <v>57</v>
      </c>
      <c r="AY2976" t="s">
        <v>386</v>
      </c>
      <c r="BF2976">
        <v>0</v>
      </c>
      <c r="BK2976" t="s">
        <v>31</v>
      </c>
      <c r="BS2976" t="s">
        <v>412</v>
      </c>
      <c r="CI2976" t="s">
        <v>388</v>
      </c>
      <c r="CJ2976" s="14">
        <v>45016</v>
      </c>
      <c r="CK2976">
        <v>1</v>
      </c>
    </row>
    <row r="2977" spans="1:89">
      <c r="A2977" t="s">
        <v>1831</v>
      </c>
      <c r="B2977" t="s">
        <v>374</v>
      </c>
      <c r="C2977" t="s">
        <v>1832</v>
      </c>
      <c r="D2977" t="s">
        <v>1905</v>
      </c>
      <c r="E2977" t="s">
        <v>1906</v>
      </c>
      <c r="F2977" s="13">
        <v>44638.758935185186</v>
      </c>
      <c r="G2977" t="s">
        <v>641</v>
      </c>
      <c r="H2977" t="s">
        <v>642</v>
      </c>
      <c r="I2977" s="13">
        <v>44638.758935185186</v>
      </c>
      <c r="K2977" t="s">
        <v>412</v>
      </c>
      <c r="M2977" s="13">
        <v>44545</v>
      </c>
      <c r="R2977">
        <v>0</v>
      </c>
      <c r="S2977" t="s">
        <v>380</v>
      </c>
      <c r="T2977" t="s">
        <v>57</v>
      </c>
      <c r="V2977" t="s">
        <v>381</v>
      </c>
      <c r="W2977" t="s">
        <v>1713</v>
      </c>
      <c r="X2977" t="s">
        <v>1713</v>
      </c>
      <c r="AC2977" s="13">
        <v>44545</v>
      </c>
      <c r="AD2977" s="13">
        <v>44545</v>
      </c>
      <c r="AI2977">
        <v>-93</v>
      </c>
      <c r="AN2977" t="s">
        <v>31</v>
      </c>
      <c r="AO2977">
        <v>0</v>
      </c>
      <c r="AS2977" t="s">
        <v>881</v>
      </c>
      <c r="AX2977" t="s">
        <v>57</v>
      </c>
      <c r="AY2977" t="s">
        <v>386</v>
      </c>
      <c r="BF2977">
        <v>0</v>
      </c>
      <c r="BK2977" t="s">
        <v>31</v>
      </c>
      <c r="BS2977" t="s">
        <v>412</v>
      </c>
      <c r="CI2977" t="s">
        <v>388</v>
      </c>
      <c r="CJ2977" s="14">
        <v>45016</v>
      </c>
      <c r="CK2977">
        <v>1</v>
      </c>
    </row>
    <row r="2978" spans="1:89">
      <c r="A2978" t="s">
        <v>1907</v>
      </c>
      <c r="B2978" t="s">
        <v>374</v>
      </c>
      <c r="C2978" t="s">
        <v>607</v>
      </c>
      <c r="D2978" t="s">
        <v>1908</v>
      </c>
      <c r="E2978" t="s">
        <v>1909</v>
      </c>
      <c r="F2978" s="13">
        <v>44638.758935185186</v>
      </c>
      <c r="G2978" t="s">
        <v>641</v>
      </c>
      <c r="H2978" t="s">
        <v>642</v>
      </c>
      <c r="I2978" s="13">
        <v>44638.758935185186</v>
      </c>
      <c r="K2978" t="s">
        <v>412</v>
      </c>
      <c r="M2978" s="13">
        <v>44591</v>
      </c>
      <c r="R2978">
        <v>0</v>
      </c>
      <c r="S2978" t="s">
        <v>380</v>
      </c>
      <c r="T2978" t="s">
        <v>57</v>
      </c>
      <c r="V2978" t="s">
        <v>381</v>
      </c>
      <c r="W2978" t="s">
        <v>1713</v>
      </c>
      <c r="X2978" t="s">
        <v>1713</v>
      </c>
      <c r="AC2978" s="13">
        <v>44591</v>
      </c>
      <c r="AD2978" s="13">
        <v>44591</v>
      </c>
      <c r="AI2978">
        <v>-47</v>
      </c>
      <c r="AN2978" t="s">
        <v>31</v>
      </c>
      <c r="AO2978">
        <v>0</v>
      </c>
      <c r="AS2978" t="s">
        <v>881</v>
      </c>
      <c r="AX2978" t="s">
        <v>57</v>
      </c>
      <c r="AY2978" t="s">
        <v>386</v>
      </c>
      <c r="BF2978">
        <v>0</v>
      </c>
      <c r="BK2978" t="s">
        <v>31</v>
      </c>
      <c r="BS2978" t="s">
        <v>412</v>
      </c>
      <c r="CI2978" t="s">
        <v>388</v>
      </c>
      <c r="CJ2978" s="14">
        <v>45016</v>
      </c>
      <c r="CK2978">
        <v>1</v>
      </c>
    </row>
    <row r="2979" spans="1:89">
      <c r="A2979" t="s">
        <v>1907</v>
      </c>
      <c r="B2979" t="s">
        <v>374</v>
      </c>
      <c r="C2979" t="s">
        <v>607</v>
      </c>
      <c r="D2979" t="s">
        <v>1910</v>
      </c>
      <c r="E2979" t="s">
        <v>1911</v>
      </c>
      <c r="F2979" s="13">
        <v>44638.758923611109</v>
      </c>
      <c r="G2979" t="s">
        <v>641</v>
      </c>
      <c r="H2979" t="s">
        <v>642</v>
      </c>
      <c r="I2979" s="13">
        <v>44638.758923611109</v>
      </c>
      <c r="K2979" t="s">
        <v>412</v>
      </c>
      <c r="M2979" s="13">
        <v>44538</v>
      </c>
      <c r="R2979">
        <v>0</v>
      </c>
      <c r="S2979" t="s">
        <v>380</v>
      </c>
      <c r="T2979" t="s">
        <v>57</v>
      </c>
      <c r="V2979" t="s">
        <v>381</v>
      </c>
      <c r="W2979" t="s">
        <v>1912</v>
      </c>
      <c r="X2979" t="s">
        <v>1912</v>
      </c>
      <c r="AC2979" s="13">
        <v>44538</v>
      </c>
      <c r="AD2979" s="13">
        <v>44538</v>
      </c>
      <c r="AI2979">
        <v>-100</v>
      </c>
      <c r="AN2979" t="s">
        <v>31</v>
      </c>
      <c r="AO2979">
        <v>0</v>
      </c>
      <c r="AS2979" t="s">
        <v>1720</v>
      </c>
      <c r="AX2979" t="s">
        <v>57</v>
      </c>
      <c r="AY2979" t="s">
        <v>386</v>
      </c>
      <c r="BF2979">
        <v>0</v>
      </c>
      <c r="BK2979" t="s">
        <v>31</v>
      </c>
      <c r="BS2979" t="s">
        <v>412</v>
      </c>
      <c r="CI2979" t="s">
        <v>388</v>
      </c>
      <c r="CJ2979" s="14">
        <v>45016</v>
      </c>
      <c r="CK2979">
        <v>1</v>
      </c>
    </row>
    <row r="2980" spans="1:89">
      <c r="A2980" t="s">
        <v>1907</v>
      </c>
      <c r="B2980" t="s">
        <v>374</v>
      </c>
      <c r="C2980" t="s">
        <v>607</v>
      </c>
      <c r="D2980" t="s">
        <v>1913</v>
      </c>
      <c r="E2980" t="s">
        <v>1914</v>
      </c>
      <c r="F2980" s="13">
        <v>44638.758923611109</v>
      </c>
      <c r="G2980" t="s">
        <v>641</v>
      </c>
      <c r="H2980" t="s">
        <v>642</v>
      </c>
      <c r="I2980" s="13">
        <v>44638.758923611109</v>
      </c>
      <c r="K2980" t="s">
        <v>412</v>
      </c>
      <c r="M2980" s="13">
        <v>44538</v>
      </c>
      <c r="R2980">
        <v>0</v>
      </c>
      <c r="S2980" t="s">
        <v>380</v>
      </c>
      <c r="T2980" t="s">
        <v>57</v>
      </c>
      <c r="V2980" t="s">
        <v>381</v>
      </c>
      <c r="W2980" t="s">
        <v>1915</v>
      </c>
      <c r="X2980" t="s">
        <v>1915</v>
      </c>
      <c r="AC2980" s="13">
        <v>44538</v>
      </c>
      <c r="AD2980" s="13">
        <v>44538</v>
      </c>
      <c r="AI2980">
        <v>-100</v>
      </c>
      <c r="AN2980" t="s">
        <v>31</v>
      </c>
      <c r="AO2980">
        <v>0</v>
      </c>
      <c r="AS2980" t="s">
        <v>385</v>
      </c>
      <c r="AX2980" t="s">
        <v>57</v>
      </c>
      <c r="AY2980" t="s">
        <v>386</v>
      </c>
      <c r="BF2980">
        <v>0</v>
      </c>
      <c r="BK2980" t="s">
        <v>31</v>
      </c>
      <c r="BS2980" t="s">
        <v>412</v>
      </c>
      <c r="CI2980" t="s">
        <v>388</v>
      </c>
      <c r="CJ2980" s="14">
        <v>45016</v>
      </c>
      <c r="CK2980">
        <v>1</v>
      </c>
    </row>
    <row r="2981" spans="1:89">
      <c r="A2981" t="s">
        <v>1769</v>
      </c>
      <c r="B2981" t="s">
        <v>374</v>
      </c>
      <c r="C2981" t="s">
        <v>1770</v>
      </c>
      <c r="D2981" t="s">
        <v>1916</v>
      </c>
      <c r="E2981" t="s">
        <v>1917</v>
      </c>
      <c r="F2981" s="13">
        <v>44638.758912037039</v>
      </c>
      <c r="G2981" t="s">
        <v>641</v>
      </c>
      <c r="H2981" t="s">
        <v>642</v>
      </c>
      <c r="I2981" s="13">
        <v>44638.758912037039</v>
      </c>
      <c r="K2981" t="s">
        <v>412</v>
      </c>
      <c r="M2981" s="13">
        <v>44538</v>
      </c>
      <c r="R2981">
        <v>0</v>
      </c>
      <c r="S2981" t="s">
        <v>380</v>
      </c>
      <c r="T2981" t="s">
        <v>57</v>
      </c>
      <c r="V2981" t="s">
        <v>381</v>
      </c>
      <c r="W2981" t="s">
        <v>1912</v>
      </c>
      <c r="X2981" t="s">
        <v>1912</v>
      </c>
      <c r="AC2981" s="13">
        <v>44538</v>
      </c>
      <c r="AD2981" s="13">
        <v>44538</v>
      </c>
      <c r="AI2981">
        <v>-100</v>
      </c>
      <c r="AN2981" t="s">
        <v>31</v>
      </c>
      <c r="AO2981">
        <v>0</v>
      </c>
      <c r="AS2981" t="s">
        <v>881</v>
      </c>
      <c r="AX2981" t="s">
        <v>57</v>
      </c>
      <c r="AY2981" t="s">
        <v>386</v>
      </c>
      <c r="BF2981">
        <v>0</v>
      </c>
      <c r="BK2981" t="s">
        <v>31</v>
      </c>
      <c r="BS2981" t="s">
        <v>412</v>
      </c>
      <c r="CI2981" t="s">
        <v>388</v>
      </c>
      <c r="CJ2981" s="14">
        <v>45016</v>
      </c>
      <c r="CK2981">
        <v>1</v>
      </c>
    </row>
    <row r="2982" spans="1:89">
      <c r="A2982" t="s">
        <v>1769</v>
      </c>
      <c r="B2982" t="s">
        <v>374</v>
      </c>
      <c r="C2982" t="s">
        <v>1770</v>
      </c>
      <c r="D2982" t="s">
        <v>1918</v>
      </c>
      <c r="E2982" t="s">
        <v>1919</v>
      </c>
      <c r="F2982" s="13">
        <v>44638.758912037039</v>
      </c>
      <c r="G2982" t="s">
        <v>641</v>
      </c>
      <c r="H2982" t="s">
        <v>642</v>
      </c>
      <c r="I2982" s="13">
        <v>44638.758912037039</v>
      </c>
      <c r="K2982" t="s">
        <v>412</v>
      </c>
      <c r="M2982" s="13">
        <v>44538</v>
      </c>
      <c r="R2982">
        <v>0</v>
      </c>
      <c r="S2982" t="s">
        <v>380</v>
      </c>
      <c r="T2982" t="s">
        <v>57</v>
      </c>
      <c r="V2982" t="s">
        <v>381</v>
      </c>
      <c r="W2982" t="s">
        <v>1775</v>
      </c>
      <c r="X2982" t="s">
        <v>1775</v>
      </c>
      <c r="AC2982" s="13">
        <v>44538</v>
      </c>
      <c r="AD2982" s="13">
        <v>44538</v>
      </c>
      <c r="AI2982">
        <v>-100</v>
      </c>
      <c r="AN2982" t="s">
        <v>31</v>
      </c>
      <c r="AO2982">
        <v>0</v>
      </c>
      <c r="AS2982" t="s">
        <v>707</v>
      </c>
      <c r="AX2982" t="s">
        <v>57</v>
      </c>
      <c r="AY2982" t="s">
        <v>386</v>
      </c>
      <c r="BF2982">
        <v>0</v>
      </c>
      <c r="BK2982" t="s">
        <v>31</v>
      </c>
      <c r="BS2982" t="s">
        <v>412</v>
      </c>
      <c r="CI2982" t="s">
        <v>388</v>
      </c>
      <c r="CJ2982" s="14">
        <v>45016</v>
      </c>
      <c r="CK2982">
        <v>1</v>
      </c>
    </row>
    <row r="2983" spans="1:89">
      <c r="A2983" t="s">
        <v>1810</v>
      </c>
      <c r="B2983" t="s">
        <v>374</v>
      </c>
      <c r="C2983" t="s">
        <v>1811</v>
      </c>
      <c r="D2983" t="s">
        <v>1920</v>
      </c>
      <c r="E2983" t="s">
        <v>1921</v>
      </c>
      <c r="F2983" s="13">
        <v>44638.758900462963</v>
      </c>
      <c r="G2983" t="s">
        <v>641</v>
      </c>
      <c r="H2983" t="s">
        <v>642</v>
      </c>
      <c r="I2983" s="13">
        <v>44638.758900462963</v>
      </c>
      <c r="K2983" t="s">
        <v>412</v>
      </c>
      <c r="M2983" s="13">
        <v>44538</v>
      </c>
      <c r="R2983">
        <v>0</v>
      </c>
      <c r="S2983" t="s">
        <v>380</v>
      </c>
      <c r="T2983" t="s">
        <v>57</v>
      </c>
      <c r="V2983" t="s">
        <v>381</v>
      </c>
      <c r="W2983" t="s">
        <v>1922</v>
      </c>
      <c r="X2983" t="s">
        <v>1922</v>
      </c>
      <c r="AC2983" s="13">
        <v>44538</v>
      </c>
      <c r="AD2983" s="13">
        <v>44538</v>
      </c>
      <c r="AI2983">
        <v>-100</v>
      </c>
      <c r="AN2983" t="s">
        <v>31</v>
      </c>
      <c r="AO2983">
        <v>0</v>
      </c>
      <c r="AS2983" t="s">
        <v>385</v>
      </c>
      <c r="AX2983" t="s">
        <v>57</v>
      </c>
      <c r="AY2983" t="s">
        <v>386</v>
      </c>
      <c r="BF2983">
        <v>0</v>
      </c>
      <c r="BK2983" t="s">
        <v>31</v>
      </c>
      <c r="BS2983" t="s">
        <v>412</v>
      </c>
      <c r="CI2983" t="s">
        <v>388</v>
      </c>
      <c r="CJ2983" s="14">
        <v>45016</v>
      </c>
      <c r="CK2983">
        <v>1</v>
      </c>
    </row>
    <row r="2984" spans="1:89">
      <c r="A2984" t="s">
        <v>1710</v>
      </c>
      <c r="B2984" t="s">
        <v>374</v>
      </c>
      <c r="C2984" t="s">
        <v>392</v>
      </c>
      <c r="D2984" t="s">
        <v>1923</v>
      </c>
      <c r="E2984" t="s">
        <v>1924</v>
      </c>
      <c r="F2984" s="13">
        <v>44638.758900462963</v>
      </c>
      <c r="G2984" t="s">
        <v>641</v>
      </c>
      <c r="H2984" t="s">
        <v>642</v>
      </c>
      <c r="I2984" s="13">
        <v>44638.758900462963</v>
      </c>
      <c r="K2984" t="s">
        <v>412</v>
      </c>
      <c r="M2984" s="13">
        <v>44538</v>
      </c>
      <c r="R2984">
        <v>0</v>
      </c>
      <c r="S2984" t="s">
        <v>380</v>
      </c>
      <c r="T2984" t="s">
        <v>57</v>
      </c>
      <c r="V2984" t="s">
        <v>381</v>
      </c>
      <c r="W2984" t="s">
        <v>1775</v>
      </c>
      <c r="X2984" t="s">
        <v>1775</v>
      </c>
      <c r="AC2984" s="13">
        <v>44538</v>
      </c>
      <c r="AD2984" s="13">
        <v>44538</v>
      </c>
      <c r="AI2984">
        <v>-100</v>
      </c>
      <c r="AN2984" t="s">
        <v>31</v>
      </c>
      <c r="AO2984">
        <v>0</v>
      </c>
      <c r="AS2984" t="s">
        <v>648</v>
      </c>
      <c r="AX2984" t="s">
        <v>57</v>
      </c>
      <c r="AY2984" t="s">
        <v>386</v>
      </c>
      <c r="BF2984">
        <v>0</v>
      </c>
      <c r="BK2984" t="s">
        <v>31</v>
      </c>
      <c r="BS2984" t="s">
        <v>412</v>
      </c>
      <c r="CI2984" t="s">
        <v>388</v>
      </c>
      <c r="CJ2984" s="14">
        <v>45016</v>
      </c>
      <c r="CK2984">
        <v>1</v>
      </c>
    </row>
    <row r="2985" spans="1:89">
      <c r="A2985" t="s">
        <v>1831</v>
      </c>
      <c r="B2985" t="s">
        <v>374</v>
      </c>
      <c r="C2985" t="s">
        <v>1832</v>
      </c>
      <c r="D2985" t="s">
        <v>1925</v>
      </c>
      <c r="E2985" t="s">
        <v>1926</v>
      </c>
      <c r="F2985" s="13">
        <v>44638.758888888886</v>
      </c>
      <c r="G2985" t="s">
        <v>641</v>
      </c>
      <c r="H2985" t="s">
        <v>642</v>
      </c>
      <c r="I2985" s="13">
        <v>44638.758888888886</v>
      </c>
      <c r="K2985" t="s">
        <v>412</v>
      </c>
      <c r="M2985" s="13">
        <v>44505</v>
      </c>
      <c r="R2985">
        <v>0</v>
      </c>
      <c r="S2985" t="s">
        <v>380</v>
      </c>
      <c r="T2985" t="s">
        <v>57</v>
      </c>
      <c r="V2985" t="s">
        <v>381</v>
      </c>
      <c r="W2985" t="s">
        <v>1927</v>
      </c>
      <c r="X2985" t="s">
        <v>1927</v>
      </c>
      <c r="AC2985" s="13">
        <v>44505</v>
      </c>
      <c r="AD2985" s="13">
        <v>44505</v>
      </c>
      <c r="AI2985">
        <v>-133</v>
      </c>
      <c r="AN2985" t="s">
        <v>31</v>
      </c>
      <c r="AO2985">
        <v>0</v>
      </c>
      <c r="AS2985" t="s">
        <v>538</v>
      </c>
      <c r="AX2985" t="s">
        <v>57</v>
      </c>
      <c r="AY2985" t="s">
        <v>386</v>
      </c>
      <c r="BF2985">
        <v>0</v>
      </c>
      <c r="BK2985" t="s">
        <v>31</v>
      </c>
      <c r="BS2985" t="s">
        <v>412</v>
      </c>
      <c r="CI2985" t="s">
        <v>388</v>
      </c>
      <c r="CJ2985" s="14">
        <v>45016</v>
      </c>
      <c r="CK2985">
        <v>1</v>
      </c>
    </row>
    <row r="2986" spans="1:89">
      <c r="A2986" t="s">
        <v>1928</v>
      </c>
      <c r="B2986" t="s">
        <v>374</v>
      </c>
      <c r="C2986" t="s">
        <v>1929</v>
      </c>
      <c r="D2986" t="s">
        <v>1930</v>
      </c>
      <c r="E2986" t="s">
        <v>1931</v>
      </c>
      <c r="F2986" s="13">
        <v>44638.758888888886</v>
      </c>
      <c r="G2986" t="s">
        <v>641</v>
      </c>
      <c r="H2986" t="s">
        <v>642</v>
      </c>
      <c r="I2986" s="13">
        <v>44638.758888888886</v>
      </c>
      <c r="K2986" t="s">
        <v>412</v>
      </c>
      <c r="M2986" s="13">
        <v>44525</v>
      </c>
      <c r="R2986">
        <v>0</v>
      </c>
      <c r="S2986" t="s">
        <v>380</v>
      </c>
      <c r="T2986" t="s">
        <v>57</v>
      </c>
      <c r="V2986" t="s">
        <v>381</v>
      </c>
      <c r="W2986" t="s">
        <v>1932</v>
      </c>
      <c r="X2986" t="s">
        <v>1932</v>
      </c>
      <c r="AC2986" s="13">
        <v>44525</v>
      </c>
      <c r="AD2986" s="13">
        <v>44525</v>
      </c>
      <c r="AI2986">
        <v>-113</v>
      </c>
      <c r="AN2986" t="s">
        <v>31</v>
      </c>
      <c r="AO2986">
        <v>0</v>
      </c>
      <c r="AS2986" t="s">
        <v>385</v>
      </c>
      <c r="AX2986" t="s">
        <v>57</v>
      </c>
      <c r="AY2986" t="s">
        <v>386</v>
      </c>
      <c r="BF2986">
        <v>0</v>
      </c>
      <c r="BK2986" t="s">
        <v>31</v>
      </c>
      <c r="BS2986" t="s">
        <v>412</v>
      </c>
      <c r="CI2986" t="s">
        <v>388</v>
      </c>
      <c r="CJ2986" s="14">
        <v>45016</v>
      </c>
      <c r="CK2986">
        <v>1</v>
      </c>
    </row>
    <row r="2987" spans="1:89">
      <c r="A2987" t="s">
        <v>1831</v>
      </c>
      <c r="B2987" t="s">
        <v>374</v>
      </c>
      <c r="C2987" t="s">
        <v>1832</v>
      </c>
      <c r="D2987" t="s">
        <v>1933</v>
      </c>
      <c r="E2987" t="s">
        <v>1934</v>
      </c>
      <c r="F2987" s="13">
        <v>44638.758888888886</v>
      </c>
      <c r="G2987" t="s">
        <v>641</v>
      </c>
      <c r="H2987" t="s">
        <v>642</v>
      </c>
      <c r="I2987" s="13">
        <v>44638.758888888886</v>
      </c>
      <c r="K2987" t="s">
        <v>412</v>
      </c>
      <c r="M2987" s="13">
        <v>44591</v>
      </c>
      <c r="R2987">
        <v>0</v>
      </c>
      <c r="S2987" t="s">
        <v>380</v>
      </c>
      <c r="T2987" t="s">
        <v>57</v>
      </c>
      <c r="V2987" t="s">
        <v>381</v>
      </c>
      <c r="W2987" t="s">
        <v>1713</v>
      </c>
      <c r="X2987" t="s">
        <v>1713</v>
      </c>
      <c r="AC2987" s="13">
        <v>44591</v>
      </c>
      <c r="AD2987" s="13">
        <v>44591</v>
      </c>
      <c r="AI2987">
        <v>-47</v>
      </c>
      <c r="AN2987" t="s">
        <v>31</v>
      </c>
      <c r="AO2987">
        <v>0</v>
      </c>
      <c r="AS2987" t="s">
        <v>385</v>
      </c>
      <c r="AX2987" t="s">
        <v>57</v>
      </c>
      <c r="AY2987" t="s">
        <v>386</v>
      </c>
      <c r="BF2987">
        <v>0</v>
      </c>
      <c r="BK2987" t="s">
        <v>31</v>
      </c>
      <c r="BS2987" t="s">
        <v>412</v>
      </c>
      <c r="CI2987" t="s">
        <v>388</v>
      </c>
      <c r="CJ2987" s="14">
        <v>45016</v>
      </c>
      <c r="CK2987">
        <v>1</v>
      </c>
    </row>
    <row r="2988" spans="1:89">
      <c r="A2988" t="s">
        <v>1907</v>
      </c>
      <c r="B2988" t="s">
        <v>374</v>
      </c>
      <c r="C2988" t="s">
        <v>607</v>
      </c>
      <c r="D2988" t="s">
        <v>1935</v>
      </c>
      <c r="E2988" t="s">
        <v>1936</v>
      </c>
      <c r="F2988" s="13">
        <v>44638.758877314816</v>
      </c>
      <c r="G2988" t="s">
        <v>641</v>
      </c>
      <c r="H2988" t="s">
        <v>642</v>
      </c>
      <c r="I2988" s="13">
        <v>44638.758877314816</v>
      </c>
      <c r="K2988" t="s">
        <v>412</v>
      </c>
      <c r="M2988" s="13">
        <v>44497</v>
      </c>
      <c r="R2988">
        <v>0</v>
      </c>
      <c r="S2988" t="s">
        <v>380</v>
      </c>
      <c r="T2988" t="s">
        <v>57</v>
      </c>
      <c r="V2988" t="s">
        <v>381</v>
      </c>
      <c r="W2988" t="s">
        <v>1937</v>
      </c>
      <c r="X2988" t="s">
        <v>1937</v>
      </c>
      <c r="AC2988" s="13">
        <v>44497</v>
      </c>
      <c r="AD2988" s="13">
        <v>44497</v>
      </c>
      <c r="AI2988">
        <v>-141</v>
      </c>
      <c r="AN2988" t="s">
        <v>31</v>
      </c>
      <c r="AO2988">
        <v>0</v>
      </c>
      <c r="AS2988" t="s">
        <v>522</v>
      </c>
      <c r="AX2988" t="s">
        <v>57</v>
      </c>
      <c r="AY2988" t="s">
        <v>386</v>
      </c>
      <c r="BF2988">
        <v>0</v>
      </c>
      <c r="BK2988" t="s">
        <v>31</v>
      </c>
      <c r="BS2988" t="s">
        <v>412</v>
      </c>
      <c r="CI2988" t="s">
        <v>388</v>
      </c>
      <c r="CJ2988" s="14">
        <v>45016</v>
      </c>
      <c r="CK2988">
        <v>1</v>
      </c>
    </row>
    <row r="2989" spans="1:89">
      <c r="A2989" t="s">
        <v>1858</v>
      </c>
      <c r="B2989" t="s">
        <v>374</v>
      </c>
      <c r="C2989" t="s">
        <v>1859</v>
      </c>
      <c r="D2989" t="s">
        <v>1938</v>
      </c>
      <c r="E2989" t="s">
        <v>1939</v>
      </c>
      <c r="F2989" s="13">
        <v>44638.758877314816</v>
      </c>
      <c r="G2989" t="s">
        <v>641</v>
      </c>
      <c r="H2989" t="s">
        <v>642</v>
      </c>
      <c r="I2989" s="13">
        <v>44638.758877314816</v>
      </c>
      <c r="K2989" t="s">
        <v>412</v>
      </c>
      <c r="M2989" s="13">
        <v>44482</v>
      </c>
      <c r="R2989">
        <v>0</v>
      </c>
      <c r="S2989" t="s">
        <v>380</v>
      </c>
      <c r="T2989" t="s">
        <v>57</v>
      </c>
      <c r="V2989" t="s">
        <v>381</v>
      </c>
      <c r="W2989" t="s">
        <v>1940</v>
      </c>
      <c r="X2989" t="s">
        <v>1940</v>
      </c>
      <c r="AC2989" s="13">
        <v>44482</v>
      </c>
      <c r="AD2989" s="13">
        <v>44482</v>
      </c>
      <c r="AI2989">
        <v>-156</v>
      </c>
      <c r="AN2989" t="s">
        <v>31</v>
      </c>
      <c r="AO2989">
        <v>0</v>
      </c>
      <c r="AS2989" t="s">
        <v>385</v>
      </c>
      <c r="AX2989" t="s">
        <v>57</v>
      </c>
      <c r="AY2989" t="s">
        <v>386</v>
      </c>
      <c r="BF2989">
        <v>0</v>
      </c>
      <c r="BK2989" t="s">
        <v>31</v>
      </c>
      <c r="BS2989" t="s">
        <v>412</v>
      </c>
      <c r="CI2989" t="s">
        <v>388</v>
      </c>
      <c r="CJ2989" s="14">
        <v>45016</v>
      </c>
      <c r="CK2989">
        <v>1</v>
      </c>
    </row>
    <row r="2990" spans="1:89">
      <c r="A2990" t="s">
        <v>1721</v>
      </c>
      <c r="B2990" t="s">
        <v>374</v>
      </c>
      <c r="C2990" t="s">
        <v>1722</v>
      </c>
      <c r="D2990" t="s">
        <v>1941</v>
      </c>
      <c r="E2990" t="s">
        <v>1942</v>
      </c>
      <c r="F2990" s="13">
        <v>44638.75886574074</v>
      </c>
      <c r="G2990" t="s">
        <v>641</v>
      </c>
      <c r="H2990" t="s">
        <v>642</v>
      </c>
      <c r="I2990" s="13">
        <v>44638.75886574074</v>
      </c>
      <c r="K2990" t="s">
        <v>412</v>
      </c>
      <c r="M2990" s="13">
        <v>44468</v>
      </c>
      <c r="R2990">
        <v>0</v>
      </c>
      <c r="S2990" t="s">
        <v>380</v>
      </c>
      <c r="T2990" t="s">
        <v>57</v>
      </c>
      <c r="V2990" t="s">
        <v>381</v>
      </c>
      <c r="W2990" t="s">
        <v>1886</v>
      </c>
      <c r="X2990" t="s">
        <v>1886</v>
      </c>
      <c r="AC2990" s="13">
        <v>44468</v>
      </c>
      <c r="AD2990" s="13">
        <v>44468</v>
      </c>
      <c r="AI2990">
        <v>-170</v>
      </c>
      <c r="AN2990" t="s">
        <v>31</v>
      </c>
      <c r="AO2990">
        <v>0</v>
      </c>
      <c r="AS2990" t="s">
        <v>707</v>
      </c>
      <c r="AX2990" t="s">
        <v>57</v>
      </c>
      <c r="AY2990" t="s">
        <v>386</v>
      </c>
      <c r="BF2990">
        <v>0</v>
      </c>
      <c r="BK2990" t="s">
        <v>31</v>
      </c>
      <c r="BS2990" t="s">
        <v>412</v>
      </c>
      <c r="CI2990" t="s">
        <v>388</v>
      </c>
      <c r="CJ2990" s="14">
        <v>45016</v>
      </c>
      <c r="CK2990">
        <v>1</v>
      </c>
    </row>
    <row r="2991" spans="1:89">
      <c r="A2991" t="s">
        <v>1721</v>
      </c>
      <c r="B2991" t="s">
        <v>374</v>
      </c>
      <c r="C2991" t="s">
        <v>1722</v>
      </c>
      <c r="D2991" t="s">
        <v>1943</v>
      </c>
      <c r="E2991" t="s">
        <v>1944</v>
      </c>
      <c r="F2991" s="13">
        <v>44638.75886574074</v>
      </c>
      <c r="G2991" t="s">
        <v>641</v>
      </c>
      <c r="H2991" t="s">
        <v>642</v>
      </c>
      <c r="I2991" s="13">
        <v>44638.75886574074</v>
      </c>
      <c r="K2991" t="s">
        <v>412</v>
      </c>
      <c r="M2991" s="13">
        <v>44476</v>
      </c>
      <c r="R2991">
        <v>0</v>
      </c>
      <c r="S2991" t="s">
        <v>380</v>
      </c>
      <c r="T2991" t="s">
        <v>57</v>
      </c>
      <c r="V2991" t="s">
        <v>381</v>
      </c>
      <c r="W2991" t="s">
        <v>1945</v>
      </c>
      <c r="X2991" t="s">
        <v>1945</v>
      </c>
      <c r="AC2991" s="13">
        <v>44476</v>
      </c>
      <c r="AD2991" s="13">
        <v>44476</v>
      </c>
      <c r="AI2991">
        <v>-162</v>
      </c>
      <c r="AN2991" t="s">
        <v>31</v>
      </c>
      <c r="AO2991">
        <v>0</v>
      </c>
      <c r="AS2991" t="s">
        <v>385</v>
      </c>
      <c r="AX2991" t="s">
        <v>57</v>
      </c>
      <c r="AY2991" t="s">
        <v>386</v>
      </c>
      <c r="BF2991">
        <v>0</v>
      </c>
      <c r="BK2991" t="s">
        <v>31</v>
      </c>
      <c r="BS2991" t="s">
        <v>412</v>
      </c>
      <c r="CI2991" t="s">
        <v>388</v>
      </c>
      <c r="CJ2991" s="14">
        <v>45016</v>
      </c>
      <c r="CK2991">
        <v>1</v>
      </c>
    </row>
    <row r="2992" spans="1:89">
      <c r="A2992" t="s">
        <v>1946</v>
      </c>
      <c r="B2992" t="s">
        <v>374</v>
      </c>
      <c r="C2992" t="s">
        <v>1947</v>
      </c>
      <c r="D2992" t="s">
        <v>1948</v>
      </c>
      <c r="E2992" t="s">
        <v>1949</v>
      </c>
      <c r="F2992" s="13">
        <v>44638.75885416667</v>
      </c>
      <c r="G2992" t="s">
        <v>641</v>
      </c>
      <c r="H2992" t="s">
        <v>642</v>
      </c>
      <c r="I2992" s="13">
        <v>44638.75885416667</v>
      </c>
      <c r="K2992" t="s">
        <v>412</v>
      </c>
      <c r="M2992" s="13">
        <v>44466</v>
      </c>
      <c r="R2992">
        <v>0</v>
      </c>
      <c r="S2992" t="s">
        <v>380</v>
      </c>
      <c r="T2992" t="s">
        <v>57</v>
      </c>
      <c r="V2992" t="s">
        <v>381</v>
      </c>
      <c r="W2992" t="s">
        <v>1725</v>
      </c>
      <c r="X2992" t="s">
        <v>1725</v>
      </c>
      <c r="AC2992" s="13">
        <v>44466</v>
      </c>
      <c r="AD2992" s="13">
        <v>44466</v>
      </c>
      <c r="AI2992">
        <v>-172</v>
      </c>
      <c r="AN2992" t="s">
        <v>31</v>
      </c>
      <c r="AO2992">
        <v>0</v>
      </c>
      <c r="AS2992" t="s">
        <v>526</v>
      </c>
      <c r="AX2992" t="s">
        <v>57</v>
      </c>
      <c r="AY2992" t="s">
        <v>386</v>
      </c>
      <c r="BF2992">
        <v>0</v>
      </c>
      <c r="BK2992" t="s">
        <v>31</v>
      </c>
      <c r="BS2992" t="s">
        <v>412</v>
      </c>
      <c r="CI2992" t="s">
        <v>388</v>
      </c>
      <c r="CJ2992" s="14">
        <v>45016</v>
      </c>
      <c r="CK2992">
        <v>1</v>
      </c>
    </row>
    <row r="2993" spans="1:89">
      <c r="A2993" t="s">
        <v>1721</v>
      </c>
      <c r="B2993" t="s">
        <v>374</v>
      </c>
      <c r="C2993" t="s">
        <v>1722</v>
      </c>
      <c r="D2993" t="s">
        <v>1950</v>
      </c>
      <c r="E2993" t="s">
        <v>1951</v>
      </c>
      <c r="F2993" s="13">
        <v>44638.75885416667</v>
      </c>
      <c r="G2993" t="s">
        <v>641</v>
      </c>
      <c r="H2993" t="s">
        <v>642</v>
      </c>
      <c r="I2993" s="13">
        <v>44638.75885416667</v>
      </c>
      <c r="K2993" t="s">
        <v>412</v>
      </c>
      <c r="M2993" s="13">
        <v>44466</v>
      </c>
      <c r="R2993">
        <v>0</v>
      </c>
      <c r="S2993" t="s">
        <v>380</v>
      </c>
      <c r="T2993" t="s">
        <v>57</v>
      </c>
      <c r="V2993" t="s">
        <v>381</v>
      </c>
      <c r="W2993" t="s">
        <v>1762</v>
      </c>
      <c r="X2993" t="s">
        <v>1762</v>
      </c>
      <c r="AC2993" s="13">
        <v>44466</v>
      </c>
      <c r="AD2993" s="13">
        <v>44466</v>
      </c>
      <c r="AI2993">
        <v>-172</v>
      </c>
      <c r="AN2993" t="s">
        <v>31</v>
      </c>
      <c r="AO2993">
        <v>0</v>
      </c>
      <c r="AS2993" t="s">
        <v>385</v>
      </c>
      <c r="AX2993" t="s">
        <v>57</v>
      </c>
      <c r="AY2993" t="s">
        <v>386</v>
      </c>
      <c r="BF2993">
        <v>0</v>
      </c>
      <c r="BK2993" t="s">
        <v>31</v>
      </c>
      <c r="BS2993" t="s">
        <v>412</v>
      </c>
      <c r="CI2993" t="s">
        <v>388</v>
      </c>
      <c r="CJ2993" s="14">
        <v>45016</v>
      </c>
      <c r="CK2993">
        <v>1</v>
      </c>
    </row>
    <row r="2994" spans="1:89">
      <c r="A2994" t="s">
        <v>1946</v>
      </c>
      <c r="B2994" t="s">
        <v>374</v>
      </c>
      <c r="C2994" t="s">
        <v>1947</v>
      </c>
      <c r="D2994" t="s">
        <v>1952</v>
      </c>
      <c r="E2994" t="s">
        <v>1953</v>
      </c>
      <c r="F2994" s="13">
        <v>44638.75885416667</v>
      </c>
      <c r="G2994" t="s">
        <v>641</v>
      </c>
      <c r="H2994" t="s">
        <v>642</v>
      </c>
      <c r="I2994" s="13">
        <v>44638.75885416667</v>
      </c>
      <c r="K2994" t="s">
        <v>412</v>
      </c>
      <c r="M2994" s="13">
        <v>44466</v>
      </c>
      <c r="R2994">
        <v>0</v>
      </c>
      <c r="S2994" t="s">
        <v>380</v>
      </c>
      <c r="T2994" t="s">
        <v>57</v>
      </c>
      <c r="V2994" t="s">
        <v>381</v>
      </c>
      <c r="W2994" t="s">
        <v>1725</v>
      </c>
      <c r="X2994" t="s">
        <v>1725</v>
      </c>
      <c r="AC2994" s="13">
        <v>44466</v>
      </c>
      <c r="AD2994" s="13">
        <v>44466</v>
      </c>
      <c r="AI2994">
        <v>-172</v>
      </c>
      <c r="AN2994" t="s">
        <v>31</v>
      </c>
      <c r="AO2994">
        <v>0</v>
      </c>
      <c r="AS2994" t="s">
        <v>385</v>
      </c>
      <c r="AX2994" t="s">
        <v>57</v>
      </c>
      <c r="AY2994" t="s">
        <v>386</v>
      </c>
      <c r="BF2994">
        <v>0</v>
      </c>
      <c r="BK2994" t="s">
        <v>31</v>
      </c>
      <c r="BS2994" t="s">
        <v>412</v>
      </c>
      <c r="CI2994" t="s">
        <v>388</v>
      </c>
      <c r="CJ2994" s="14">
        <v>45016</v>
      </c>
      <c r="CK2994">
        <v>1</v>
      </c>
    </row>
    <row r="2995" spans="1:89">
      <c r="A2995" t="s">
        <v>1954</v>
      </c>
      <c r="B2995" t="s">
        <v>374</v>
      </c>
      <c r="C2995" t="s">
        <v>1955</v>
      </c>
      <c r="D2995" t="s">
        <v>1956</v>
      </c>
      <c r="E2995" t="s">
        <v>1957</v>
      </c>
      <c r="F2995" s="13">
        <v>44638.758842592593</v>
      </c>
      <c r="G2995" t="s">
        <v>641</v>
      </c>
      <c r="H2995" t="s">
        <v>642</v>
      </c>
      <c r="I2995" s="13">
        <v>44638.758842592593</v>
      </c>
      <c r="K2995" t="s">
        <v>412</v>
      </c>
      <c r="M2995" s="13">
        <v>44461</v>
      </c>
      <c r="R2995">
        <v>0</v>
      </c>
      <c r="S2995" t="s">
        <v>380</v>
      </c>
      <c r="T2995" t="s">
        <v>57</v>
      </c>
      <c r="V2995" t="s">
        <v>381</v>
      </c>
      <c r="W2995" t="s">
        <v>1762</v>
      </c>
      <c r="X2995" t="s">
        <v>1762</v>
      </c>
      <c r="AC2995" s="13">
        <v>44461</v>
      </c>
      <c r="AD2995" s="13">
        <v>44461</v>
      </c>
      <c r="AI2995">
        <v>-177</v>
      </c>
      <c r="AN2995" t="s">
        <v>31</v>
      </c>
      <c r="AO2995">
        <v>0</v>
      </c>
      <c r="AS2995" t="s">
        <v>881</v>
      </c>
      <c r="AX2995" t="s">
        <v>57</v>
      </c>
      <c r="AY2995" t="s">
        <v>386</v>
      </c>
      <c r="BF2995">
        <v>0</v>
      </c>
      <c r="BK2995" t="s">
        <v>31</v>
      </c>
      <c r="BS2995" t="s">
        <v>412</v>
      </c>
      <c r="CI2995" t="s">
        <v>388</v>
      </c>
      <c r="CJ2995" s="14">
        <v>45016</v>
      </c>
      <c r="CK2995">
        <v>1</v>
      </c>
    </row>
    <row r="2996" spans="1:89">
      <c r="A2996" t="s">
        <v>1954</v>
      </c>
      <c r="B2996" t="s">
        <v>374</v>
      </c>
      <c r="C2996" t="s">
        <v>1955</v>
      </c>
      <c r="D2996" t="s">
        <v>1958</v>
      </c>
      <c r="E2996" t="s">
        <v>1959</v>
      </c>
      <c r="F2996" s="13">
        <v>44638.758842592593</v>
      </c>
      <c r="G2996" t="s">
        <v>641</v>
      </c>
      <c r="H2996" t="s">
        <v>642</v>
      </c>
      <c r="I2996" s="13">
        <v>44638.758842592593</v>
      </c>
      <c r="K2996" t="s">
        <v>412</v>
      </c>
      <c r="M2996" s="13">
        <v>44461</v>
      </c>
      <c r="R2996">
        <v>0</v>
      </c>
      <c r="S2996" t="s">
        <v>380</v>
      </c>
      <c r="T2996" t="s">
        <v>57</v>
      </c>
      <c r="V2996" t="s">
        <v>381</v>
      </c>
      <c r="W2996" t="s">
        <v>1762</v>
      </c>
      <c r="X2996" t="s">
        <v>1762</v>
      </c>
      <c r="AC2996" s="13">
        <v>44461</v>
      </c>
      <c r="AD2996" s="13">
        <v>44461</v>
      </c>
      <c r="AI2996">
        <v>-177</v>
      </c>
      <c r="AN2996" t="s">
        <v>31</v>
      </c>
      <c r="AO2996">
        <v>0</v>
      </c>
      <c r="AS2996" t="s">
        <v>648</v>
      </c>
      <c r="AX2996" t="s">
        <v>57</v>
      </c>
      <c r="AY2996" t="s">
        <v>386</v>
      </c>
      <c r="BF2996">
        <v>0</v>
      </c>
      <c r="BK2996" t="s">
        <v>31</v>
      </c>
      <c r="BS2996" t="s">
        <v>412</v>
      </c>
      <c r="CI2996" t="s">
        <v>388</v>
      </c>
      <c r="CJ2996" s="14">
        <v>45016</v>
      </c>
      <c r="CK2996">
        <v>1</v>
      </c>
    </row>
    <row r="2997" spans="1:89">
      <c r="A2997" t="s">
        <v>1827</v>
      </c>
      <c r="B2997" t="s">
        <v>374</v>
      </c>
      <c r="C2997" t="s">
        <v>1536</v>
      </c>
      <c r="D2997" t="s">
        <v>1960</v>
      </c>
      <c r="E2997" t="s">
        <v>1961</v>
      </c>
      <c r="F2997" s="13">
        <v>44638.758831018517</v>
      </c>
      <c r="G2997" t="s">
        <v>641</v>
      </c>
      <c r="H2997" t="s">
        <v>642</v>
      </c>
      <c r="I2997" s="13">
        <v>44638.758831018517</v>
      </c>
      <c r="K2997" t="s">
        <v>412</v>
      </c>
      <c r="M2997" s="13">
        <v>44461</v>
      </c>
      <c r="R2997">
        <v>0</v>
      </c>
      <c r="S2997" t="s">
        <v>380</v>
      </c>
      <c r="T2997" t="s">
        <v>57</v>
      </c>
      <c r="V2997" t="s">
        <v>381</v>
      </c>
      <c r="W2997" t="s">
        <v>1713</v>
      </c>
      <c r="X2997" t="s">
        <v>1713</v>
      </c>
      <c r="AC2997" s="13">
        <v>44461</v>
      </c>
      <c r="AD2997" s="13">
        <v>44461</v>
      </c>
      <c r="AI2997">
        <v>-177</v>
      </c>
      <c r="AN2997" t="s">
        <v>31</v>
      </c>
      <c r="AO2997">
        <v>0</v>
      </c>
      <c r="AS2997" t="s">
        <v>881</v>
      </c>
      <c r="AX2997" t="s">
        <v>57</v>
      </c>
      <c r="AY2997" t="s">
        <v>386</v>
      </c>
      <c r="BF2997">
        <v>0</v>
      </c>
      <c r="BK2997" t="s">
        <v>31</v>
      </c>
      <c r="BS2997" t="s">
        <v>412</v>
      </c>
      <c r="CI2997" t="s">
        <v>388</v>
      </c>
      <c r="CJ2997" s="14">
        <v>45016</v>
      </c>
      <c r="CK2997">
        <v>1</v>
      </c>
    </row>
    <row r="2998" spans="1:89">
      <c r="A2998" t="s">
        <v>1831</v>
      </c>
      <c r="B2998" t="s">
        <v>374</v>
      </c>
      <c r="C2998" t="s">
        <v>1832</v>
      </c>
      <c r="D2998" t="s">
        <v>1962</v>
      </c>
      <c r="E2998" t="s">
        <v>1963</v>
      </c>
      <c r="F2998" s="13">
        <v>44638.758831018517</v>
      </c>
      <c r="G2998" t="s">
        <v>641</v>
      </c>
      <c r="H2998" t="s">
        <v>642</v>
      </c>
      <c r="I2998" s="13">
        <v>44638.758831018517</v>
      </c>
      <c r="K2998" t="s">
        <v>412</v>
      </c>
      <c r="M2998" s="13">
        <v>44454</v>
      </c>
      <c r="R2998">
        <v>0</v>
      </c>
      <c r="S2998" t="s">
        <v>380</v>
      </c>
      <c r="T2998" t="s">
        <v>57</v>
      </c>
      <c r="V2998" t="s">
        <v>381</v>
      </c>
      <c r="W2998" t="s">
        <v>1713</v>
      </c>
      <c r="X2998" t="s">
        <v>1713</v>
      </c>
      <c r="AC2998" s="13">
        <v>44454</v>
      </c>
      <c r="AD2998" s="13">
        <v>44454</v>
      </c>
      <c r="AI2998">
        <v>-184</v>
      </c>
      <c r="AN2998" t="s">
        <v>31</v>
      </c>
      <c r="AO2998">
        <v>0</v>
      </c>
      <c r="AS2998" t="s">
        <v>385</v>
      </c>
      <c r="AX2998" t="s">
        <v>57</v>
      </c>
      <c r="AY2998" t="s">
        <v>386</v>
      </c>
      <c r="BF2998">
        <v>0</v>
      </c>
      <c r="BK2998" t="s">
        <v>31</v>
      </c>
      <c r="BS2998" t="s">
        <v>412</v>
      </c>
      <c r="CI2998" t="s">
        <v>388</v>
      </c>
      <c r="CJ2998" s="14">
        <v>45016</v>
      </c>
      <c r="CK2998">
        <v>1</v>
      </c>
    </row>
    <row r="2999" spans="1:89">
      <c r="A2999" t="s">
        <v>1831</v>
      </c>
      <c r="B2999" t="s">
        <v>374</v>
      </c>
      <c r="C2999" t="s">
        <v>1832</v>
      </c>
      <c r="D2999" t="s">
        <v>1964</v>
      </c>
      <c r="E2999" t="s">
        <v>1965</v>
      </c>
      <c r="F2999" s="13">
        <v>44638.758819444447</v>
      </c>
      <c r="G2999" t="s">
        <v>641</v>
      </c>
      <c r="H2999" t="s">
        <v>642</v>
      </c>
      <c r="I2999" s="13">
        <v>44638.758819444447</v>
      </c>
      <c r="K2999" t="s">
        <v>412</v>
      </c>
      <c r="M2999" s="13">
        <v>44447</v>
      </c>
      <c r="R2999">
        <v>0</v>
      </c>
      <c r="S2999" t="s">
        <v>380</v>
      </c>
      <c r="T2999" t="s">
        <v>57</v>
      </c>
      <c r="V2999" t="s">
        <v>381</v>
      </c>
      <c r="W2999" t="s">
        <v>1762</v>
      </c>
      <c r="X2999" t="s">
        <v>1762</v>
      </c>
      <c r="AC2999" s="13">
        <v>44447</v>
      </c>
      <c r="AD2999" s="13">
        <v>44447</v>
      </c>
      <c r="AI2999">
        <v>-191</v>
      </c>
      <c r="AN2999" t="s">
        <v>31</v>
      </c>
      <c r="AO2999">
        <v>0</v>
      </c>
      <c r="AS2999" t="s">
        <v>744</v>
      </c>
      <c r="AX2999" t="s">
        <v>57</v>
      </c>
      <c r="AY2999" t="s">
        <v>386</v>
      </c>
      <c r="BF2999">
        <v>0</v>
      </c>
      <c r="BK2999" t="s">
        <v>31</v>
      </c>
      <c r="BS2999" t="s">
        <v>412</v>
      </c>
      <c r="CI2999" t="s">
        <v>388</v>
      </c>
      <c r="CJ2999" s="14">
        <v>45016</v>
      </c>
      <c r="CK2999">
        <v>1</v>
      </c>
    </row>
    <row r="3000" spans="1:89">
      <c r="A3000" t="s">
        <v>1831</v>
      </c>
      <c r="B3000" t="s">
        <v>374</v>
      </c>
      <c r="C3000" t="s">
        <v>1832</v>
      </c>
      <c r="D3000" t="s">
        <v>1966</v>
      </c>
      <c r="E3000" t="s">
        <v>1967</v>
      </c>
      <c r="F3000" s="13">
        <v>44638.758819444447</v>
      </c>
      <c r="G3000" t="s">
        <v>641</v>
      </c>
      <c r="H3000" t="s">
        <v>642</v>
      </c>
      <c r="I3000" s="13">
        <v>44638.758819444447</v>
      </c>
      <c r="K3000" t="s">
        <v>412</v>
      </c>
      <c r="M3000" s="13">
        <v>44454</v>
      </c>
      <c r="R3000">
        <v>0</v>
      </c>
      <c r="S3000" t="s">
        <v>380</v>
      </c>
      <c r="T3000" t="s">
        <v>57</v>
      </c>
      <c r="V3000" t="s">
        <v>381</v>
      </c>
      <c r="W3000" t="s">
        <v>1937</v>
      </c>
      <c r="X3000" t="s">
        <v>1937</v>
      </c>
      <c r="AC3000" s="13">
        <v>44454</v>
      </c>
      <c r="AD3000" s="13">
        <v>44454</v>
      </c>
      <c r="AI3000">
        <v>-184</v>
      </c>
      <c r="AN3000" t="s">
        <v>31</v>
      </c>
      <c r="AO3000">
        <v>0</v>
      </c>
      <c r="AS3000" t="s">
        <v>522</v>
      </c>
      <c r="AX3000" t="s">
        <v>57</v>
      </c>
      <c r="AY3000" t="s">
        <v>386</v>
      </c>
      <c r="BF3000">
        <v>0</v>
      </c>
      <c r="BK3000" t="s">
        <v>31</v>
      </c>
      <c r="BS3000" t="s">
        <v>412</v>
      </c>
      <c r="CI3000" t="s">
        <v>388</v>
      </c>
      <c r="CJ3000" s="14">
        <v>45016</v>
      </c>
      <c r="CK3000">
        <v>1</v>
      </c>
    </row>
    <row r="3001" spans="1:89">
      <c r="A3001" t="s">
        <v>1907</v>
      </c>
      <c r="B3001" t="s">
        <v>374</v>
      </c>
      <c r="C3001" t="s">
        <v>607</v>
      </c>
      <c r="D3001" t="s">
        <v>1968</v>
      </c>
      <c r="E3001" t="s">
        <v>1969</v>
      </c>
      <c r="F3001" s="13">
        <v>44638.75880787037</v>
      </c>
      <c r="G3001" t="s">
        <v>641</v>
      </c>
      <c r="H3001" t="s">
        <v>642</v>
      </c>
      <c r="I3001" s="13">
        <v>44638.75880787037</v>
      </c>
      <c r="K3001" t="s">
        <v>412</v>
      </c>
      <c r="M3001" s="13">
        <v>44447</v>
      </c>
      <c r="R3001">
        <v>0</v>
      </c>
      <c r="S3001" t="s">
        <v>380</v>
      </c>
      <c r="T3001" t="s">
        <v>57</v>
      </c>
      <c r="V3001" t="s">
        <v>381</v>
      </c>
      <c r="W3001" t="s">
        <v>1940</v>
      </c>
      <c r="X3001" t="s">
        <v>1940</v>
      </c>
      <c r="AC3001" s="13">
        <v>44447</v>
      </c>
      <c r="AD3001" s="13">
        <v>44447</v>
      </c>
      <c r="AI3001">
        <v>-191</v>
      </c>
      <c r="AN3001" t="s">
        <v>31</v>
      </c>
      <c r="AO3001">
        <v>0</v>
      </c>
      <c r="AS3001" t="s">
        <v>744</v>
      </c>
      <c r="AX3001" t="s">
        <v>57</v>
      </c>
      <c r="AY3001" t="s">
        <v>386</v>
      </c>
      <c r="BF3001">
        <v>0</v>
      </c>
      <c r="BK3001" t="s">
        <v>31</v>
      </c>
      <c r="BS3001" t="s">
        <v>412</v>
      </c>
      <c r="CI3001" t="s">
        <v>388</v>
      </c>
      <c r="CJ3001" s="14">
        <v>45016</v>
      </c>
      <c r="CK3001">
        <v>1</v>
      </c>
    </row>
    <row r="3002" spans="1:89">
      <c r="A3002" t="s">
        <v>1907</v>
      </c>
      <c r="B3002" t="s">
        <v>374</v>
      </c>
      <c r="C3002" t="s">
        <v>607</v>
      </c>
      <c r="D3002" t="s">
        <v>1970</v>
      </c>
      <c r="E3002" t="s">
        <v>1971</v>
      </c>
      <c r="F3002" s="13">
        <v>44638.75880787037</v>
      </c>
      <c r="G3002" t="s">
        <v>641</v>
      </c>
      <c r="H3002" t="s">
        <v>642</v>
      </c>
      <c r="I3002" s="13">
        <v>44638.75880787037</v>
      </c>
      <c r="K3002" t="s">
        <v>412</v>
      </c>
      <c r="M3002" s="13">
        <v>44447</v>
      </c>
      <c r="R3002">
        <v>0</v>
      </c>
      <c r="S3002" t="s">
        <v>380</v>
      </c>
      <c r="T3002" t="s">
        <v>57</v>
      </c>
      <c r="V3002" t="s">
        <v>381</v>
      </c>
      <c r="W3002" t="s">
        <v>1940</v>
      </c>
      <c r="X3002" t="s">
        <v>1940</v>
      </c>
      <c r="AC3002" s="13">
        <v>44447</v>
      </c>
      <c r="AD3002" s="13">
        <v>44447</v>
      </c>
      <c r="AI3002">
        <v>-191</v>
      </c>
      <c r="AN3002" t="s">
        <v>31</v>
      </c>
      <c r="AO3002">
        <v>0</v>
      </c>
      <c r="AS3002" t="s">
        <v>385</v>
      </c>
      <c r="AX3002" t="s">
        <v>57</v>
      </c>
      <c r="AY3002" t="s">
        <v>386</v>
      </c>
      <c r="BF3002">
        <v>0</v>
      </c>
      <c r="BK3002" t="s">
        <v>31</v>
      </c>
      <c r="BS3002" t="s">
        <v>412</v>
      </c>
      <c r="CI3002" t="s">
        <v>388</v>
      </c>
      <c r="CJ3002" s="14">
        <v>45016</v>
      </c>
      <c r="CK3002">
        <v>1</v>
      </c>
    </row>
    <row r="3003" spans="1:89">
      <c r="A3003" t="s">
        <v>1907</v>
      </c>
      <c r="B3003" t="s">
        <v>374</v>
      </c>
      <c r="C3003" t="s">
        <v>607</v>
      </c>
      <c r="D3003" t="s">
        <v>1972</v>
      </c>
      <c r="E3003" t="s">
        <v>1973</v>
      </c>
      <c r="F3003" s="13">
        <v>44638.75880787037</v>
      </c>
      <c r="G3003" t="s">
        <v>641</v>
      </c>
      <c r="H3003" t="s">
        <v>642</v>
      </c>
      <c r="I3003" s="13">
        <v>44638.75880787037</v>
      </c>
      <c r="K3003" t="s">
        <v>412</v>
      </c>
      <c r="M3003" s="13">
        <v>44427</v>
      </c>
      <c r="R3003">
        <v>0</v>
      </c>
      <c r="S3003" t="s">
        <v>380</v>
      </c>
      <c r="T3003" t="s">
        <v>57</v>
      </c>
      <c r="V3003" t="s">
        <v>381</v>
      </c>
      <c r="W3003" t="s">
        <v>1974</v>
      </c>
      <c r="X3003" t="s">
        <v>1974</v>
      </c>
      <c r="AC3003" s="13">
        <v>44427</v>
      </c>
      <c r="AD3003" s="13">
        <v>44427</v>
      </c>
      <c r="AI3003">
        <v>-211</v>
      </c>
      <c r="AN3003" t="s">
        <v>31</v>
      </c>
      <c r="AO3003">
        <v>0</v>
      </c>
      <c r="AX3003" t="s">
        <v>57</v>
      </c>
      <c r="AY3003" t="s">
        <v>386</v>
      </c>
      <c r="BF3003">
        <v>0</v>
      </c>
      <c r="BK3003" t="s">
        <v>31</v>
      </c>
      <c r="BS3003" t="s">
        <v>412</v>
      </c>
      <c r="CI3003" t="s">
        <v>388</v>
      </c>
      <c r="CJ3003" s="14">
        <v>45016</v>
      </c>
      <c r="CK3003">
        <v>1</v>
      </c>
    </row>
    <row r="3004" spans="1:89">
      <c r="A3004" t="s">
        <v>1907</v>
      </c>
      <c r="B3004" t="s">
        <v>374</v>
      </c>
      <c r="C3004" t="s">
        <v>607</v>
      </c>
      <c r="D3004" t="s">
        <v>1975</v>
      </c>
      <c r="E3004" t="s">
        <v>1976</v>
      </c>
      <c r="F3004" s="13">
        <v>44638.758796296293</v>
      </c>
      <c r="G3004" t="s">
        <v>641</v>
      </c>
      <c r="H3004" t="s">
        <v>642</v>
      </c>
      <c r="I3004" s="13">
        <v>44638.758796296293</v>
      </c>
      <c r="K3004" t="s">
        <v>412</v>
      </c>
      <c r="M3004" s="13">
        <v>44413</v>
      </c>
      <c r="R3004">
        <v>0</v>
      </c>
      <c r="S3004" t="s">
        <v>380</v>
      </c>
      <c r="T3004" t="s">
        <v>57</v>
      </c>
      <c r="V3004" t="s">
        <v>381</v>
      </c>
      <c r="W3004" t="s">
        <v>1977</v>
      </c>
      <c r="X3004" t="s">
        <v>1977</v>
      </c>
      <c r="AC3004" s="13">
        <v>44413</v>
      </c>
      <c r="AD3004" s="13">
        <v>44413</v>
      </c>
      <c r="AI3004">
        <v>-225</v>
      </c>
      <c r="AN3004" t="s">
        <v>31</v>
      </c>
      <c r="AO3004">
        <v>0</v>
      </c>
      <c r="AS3004" t="s">
        <v>385</v>
      </c>
      <c r="AX3004" t="s">
        <v>57</v>
      </c>
      <c r="AY3004" t="s">
        <v>386</v>
      </c>
      <c r="BF3004">
        <v>0</v>
      </c>
      <c r="BK3004" t="s">
        <v>31</v>
      </c>
      <c r="BS3004" t="s">
        <v>412</v>
      </c>
      <c r="CI3004" t="s">
        <v>388</v>
      </c>
      <c r="CJ3004" s="14">
        <v>45016</v>
      </c>
      <c r="CK3004">
        <v>1</v>
      </c>
    </row>
    <row r="3005" spans="1:89">
      <c r="A3005" t="s">
        <v>1907</v>
      </c>
      <c r="B3005" t="s">
        <v>374</v>
      </c>
      <c r="C3005" t="s">
        <v>607</v>
      </c>
      <c r="D3005" t="s">
        <v>1978</v>
      </c>
      <c r="E3005" t="s">
        <v>1979</v>
      </c>
      <c r="F3005" s="13">
        <v>44638.758796296293</v>
      </c>
      <c r="G3005" t="s">
        <v>641</v>
      </c>
      <c r="H3005" t="s">
        <v>642</v>
      </c>
      <c r="I3005" s="13">
        <v>44638.758796296293</v>
      </c>
      <c r="K3005" t="s">
        <v>412</v>
      </c>
      <c r="M3005" s="13">
        <v>44413</v>
      </c>
      <c r="R3005">
        <v>0</v>
      </c>
      <c r="S3005" t="s">
        <v>380</v>
      </c>
      <c r="T3005" t="s">
        <v>57</v>
      </c>
      <c r="V3005" t="s">
        <v>381</v>
      </c>
      <c r="W3005" t="s">
        <v>1775</v>
      </c>
      <c r="X3005" t="s">
        <v>1775</v>
      </c>
      <c r="AC3005" s="13">
        <v>44413</v>
      </c>
      <c r="AD3005" s="13">
        <v>44413</v>
      </c>
      <c r="AI3005">
        <v>-225</v>
      </c>
      <c r="AN3005" t="s">
        <v>31</v>
      </c>
      <c r="AO3005">
        <v>0</v>
      </c>
      <c r="AS3005" t="s">
        <v>385</v>
      </c>
      <c r="AX3005" t="s">
        <v>57</v>
      </c>
      <c r="AY3005" t="s">
        <v>386</v>
      </c>
      <c r="BF3005">
        <v>0</v>
      </c>
      <c r="BK3005" t="s">
        <v>31</v>
      </c>
      <c r="BS3005" t="s">
        <v>412</v>
      </c>
      <c r="CI3005" t="s">
        <v>388</v>
      </c>
      <c r="CJ3005" s="14">
        <v>45016</v>
      </c>
      <c r="CK3005">
        <v>1</v>
      </c>
    </row>
    <row r="3006" spans="1:89">
      <c r="A3006" t="s">
        <v>1907</v>
      </c>
      <c r="B3006" t="s">
        <v>374</v>
      </c>
      <c r="C3006" t="s">
        <v>607</v>
      </c>
      <c r="D3006" t="s">
        <v>1980</v>
      </c>
      <c r="E3006" t="s">
        <v>1981</v>
      </c>
      <c r="F3006" s="13">
        <v>44638.758784722224</v>
      </c>
      <c r="G3006" t="s">
        <v>641</v>
      </c>
      <c r="H3006" t="s">
        <v>642</v>
      </c>
      <c r="I3006" s="13">
        <v>44638.758784722224</v>
      </c>
      <c r="K3006" t="s">
        <v>412</v>
      </c>
      <c r="M3006" s="13">
        <v>44420</v>
      </c>
      <c r="R3006">
        <v>0</v>
      </c>
      <c r="S3006" t="s">
        <v>380</v>
      </c>
      <c r="T3006" t="s">
        <v>57</v>
      </c>
      <c r="V3006" t="s">
        <v>381</v>
      </c>
      <c r="W3006" t="s">
        <v>1775</v>
      </c>
      <c r="X3006" t="s">
        <v>1775</v>
      </c>
      <c r="AC3006" s="13">
        <v>44420</v>
      </c>
      <c r="AD3006" s="13">
        <v>44420</v>
      </c>
      <c r="AI3006">
        <v>-218</v>
      </c>
      <c r="AN3006" t="s">
        <v>31</v>
      </c>
      <c r="AO3006">
        <v>0</v>
      </c>
      <c r="AS3006" t="s">
        <v>385</v>
      </c>
      <c r="AX3006" t="s">
        <v>57</v>
      </c>
      <c r="AY3006" t="s">
        <v>386</v>
      </c>
      <c r="BF3006">
        <v>0</v>
      </c>
      <c r="BK3006" t="s">
        <v>31</v>
      </c>
      <c r="BS3006" t="s">
        <v>412</v>
      </c>
      <c r="CI3006" t="s">
        <v>388</v>
      </c>
      <c r="CJ3006" s="14">
        <v>45016</v>
      </c>
      <c r="CK3006">
        <v>1</v>
      </c>
    </row>
    <row r="3007" spans="1:89">
      <c r="A3007" t="s">
        <v>1907</v>
      </c>
      <c r="B3007" t="s">
        <v>374</v>
      </c>
      <c r="C3007" t="s">
        <v>607</v>
      </c>
      <c r="D3007" t="s">
        <v>1982</v>
      </c>
      <c r="E3007" t="s">
        <v>1983</v>
      </c>
      <c r="F3007" s="13">
        <v>44638.758784722224</v>
      </c>
      <c r="G3007" t="s">
        <v>641</v>
      </c>
      <c r="H3007" t="s">
        <v>642</v>
      </c>
      <c r="I3007" s="13">
        <v>44638.758784722224</v>
      </c>
      <c r="K3007" t="s">
        <v>412</v>
      </c>
      <c r="M3007" s="13">
        <v>44413</v>
      </c>
      <c r="R3007">
        <v>0</v>
      </c>
      <c r="S3007" t="s">
        <v>380</v>
      </c>
      <c r="T3007" t="s">
        <v>57</v>
      </c>
      <c r="V3007" t="s">
        <v>381</v>
      </c>
      <c r="W3007" t="s">
        <v>1775</v>
      </c>
      <c r="X3007" t="s">
        <v>1775</v>
      </c>
      <c r="AC3007" s="13">
        <v>44413</v>
      </c>
      <c r="AD3007" s="13">
        <v>44413</v>
      </c>
      <c r="AI3007">
        <v>-225</v>
      </c>
      <c r="AN3007" t="s">
        <v>31</v>
      </c>
      <c r="AO3007">
        <v>0</v>
      </c>
      <c r="AX3007" t="s">
        <v>57</v>
      </c>
      <c r="AY3007" t="s">
        <v>386</v>
      </c>
      <c r="BF3007">
        <v>0</v>
      </c>
      <c r="BK3007" t="s">
        <v>31</v>
      </c>
      <c r="BS3007" t="s">
        <v>412</v>
      </c>
      <c r="CI3007" t="s">
        <v>388</v>
      </c>
      <c r="CJ3007" s="14">
        <v>45016</v>
      </c>
      <c r="CK3007">
        <v>1</v>
      </c>
    </row>
    <row r="3008" spans="1:89">
      <c r="A3008" t="s">
        <v>1928</v>
      </c>
      <c r="B3008" t="s">
        <v>374</v>
      </c>
      <c r="C3008" t="s">
        <v>1929</v>
      </c>
      <c r="D3008" t="s">
        <v>1984</v>
      </c>
      <c r="E3008" t="s">
        <v>1985</v>
      </c>
      <c r="F3008" s="13">
        <v>44638.758773148147</v>
      </c>
      <c r="G3008" t="s">
        <v>641</v>
      </c>
      <c r="H3008" t="s">
        <v>642</v>
      </c>
      <c r="I3008" s="13">
        <v>44638.758773148147</v>
      </c>
      <c r="K3008" t="s">
        <v>412</v>
      </c>
      <c r="M3008" s="13">
        <v>44399</v>
      </c>
      <c r="R3008">
        <v>0</v>
      </c>
      <c r="S3008" t="s">
        <v>380</v>
      </c>
      <c r="T3008" t="s">
        <v>57</v>
      </c>
      <c r="V3008" t="s">
        <v>381</v>
      </c>
      <c r="W3008" t="s">
        <v>1986</v>
      </c>
      <c r="X3008" t="s">
        <v>1986</v>
      </c>
      <c r="AC3008" s="13">
        <v>44399</v>
      </c>
      <c r="AD3008" s="13">
        <v>44399</v>
      </c>
      <c r="AI3008">
        <v>-239</v>
      </c>
      <c r="AN3008" t="s">
        <v>31</v>
      </c>
      <c r="AO3008">
        <v>0</v>
      </c>
      <c r="AS3008" t="s">
        <v>707</v>
      </c>
      <c r="AX3008" t="s">
        <v>57</v>
      </c>
      <c r="AY3008" t="s">
        <v>386</v>
      </c>
      <c r="BF3008">
        <v>0</v>
      </c>
      <c r="BK3008" t="s">
        <v>31</v>
      </c>
      <c r="BS3008" t="s">
        <v>412</v>
      </c>
      <c r="CI3008" t="s">
        <v>388</v>
      </c>
      <c r="CJ3008" s="14">
        <v>45016</v>
      </c>
      <c r="CK3008">
        <v>1</v>
      </c>
    </row>
    <row r="3009" spans="1:89">
      <c r="A3009" t="s">
        <v>1928</v>
      </c>
      <c r="B3009" t="s">
        <v>374</v>
      </c>
      <c r="C3009" t="s">
        <v>1929</v>
      </c>
      <c r="D3009" t="s">
        <v>1987</v>
      </c>
      <c r="E3009" t="s">
        <v>1988</v>
      </c>
      <c r="F3009" s="13">
        <v>44638.758773148147</v>
      </c>
      <c r="G3009" t="s">
        <v>641</v>
      </c>
      <c r="H3009" t="s">
        <v>642</v>
      </c>
      <c r="I3009" s="13">
        <v>44638.758773148147</v>
      </c>
      <c r="K3009" t="s">
        <v>412</v>
      </c>
      <c r="M3009" s="13">
        <v>44420</v>
      </c>
      <c r="R3009">
        <v>0</v>
      </c>
      <c r="S3009" t="s">
        <v>380</v>
      </c>
      <c r="T3009" t="s">
        <v>57</v>
      </c>
      <c r="V3009" t="s">
        <v>381</v>
      </c>
      <c r="W3009" t="s">
        <v>1775</v>
      </c>
      <c r="X3009" t="s">
        <v>1775</v>
      </c>
      <c r="AC3009" s="13">
        <v>44420</v>
      </c>
      <c r="AD3009" s="13">
        <v>44420</v>
      </c>
      <c r="AI3009">
        <v>-218</v>
      </c>
      <c r="AN3009" t="s">
        <v>31</v>
      </c>
      <c r="AO3009">
        <v>0</v>
      </c>
      <c r="AS3009" t="s">
        <v>538</v>
      </c>
      <c r="AX3009" t="s">
        <v>57</v>
      </c>
      <c r="AY3009" t="s">
        <v>386</v>
      </c>
      <c r="BF3009">
        <v>0</v>
      </c>
      <c r="BK3009" t="s">
        <v>31</v>
      </c>
      <c r="BS3009" t="s">
        <v>412</v>
      </c>
      <c r="CI3009" t="s">
        <v>388</v>
      </c>
      <c r="CJ3009" s="14">
        <v>45016</v>
      </c>
      <c r="CK3009">
        <v>1</v>
      </c>
    </row>
    <row r="3010" spans="1:89">
      <c r="A3010" t="s">
        <v>1989</v>
      </c>
      <c r="B3010" t="s">
        <v>374</v>
      </c>
      <c r="C3010" t="s">
        <v>1990</v>
      </c>
      <c r="D3010" t="s">
        <v>1991</v>
      </c>
      <c r="E3010" t="s">
        <v>1992</v>
      </c>
      <c r="F3010" s="13">
        <v>44638.758773148147</v>
      </c>
      <c r="G3010" t="s">
        <v>641</v>
      </c>
      <c r="H3010" t="s">
        <v>642</v>
      </c>
      <c r="I3010" s="13">
        <v>44638.758773148147</v>
      </c>
      <c r="K3010" t="s">
        <v>412</v>
      </c>
      <c r="M3010" s="13">
        <v>44420</v>
      </c>
      <c r="R3010">
        <v>0</v>
      </c>
      <c r="S3010" t="s">
        <v>380</v>
      </c>
      <c r="T3010" t="s">
        <v>57</v>
      </c>
      <c r="V3010" t="s">
        <v>381</v>
      </c>
      <c r="W3010" t="s">
        <v>1775</v>
      </c>
      <c r="X3010" t="s">
        <v>1775</v>
      </c>
      <c r="AC3010" s="13">
        <v>44420</v>
      </c>
      <c r="AD3010" s="13">
        <v>44420</v>
      </c>
      <c r="AI3010">
        <v>-218</v>
      </c>
      <c r="AN3010" t="s">
        <v>31</v>
      </c>
      <c r="AO3010">
        <v>0</v>
      </c>
      <c r="AS3010" t="s">
        <v>385</v>
      </c>
      <c r="AX3010" t="s">
        <v>57</v>
      </c>
      <c r="AY3010" t="s">
        <v>386</v>
      </c>
      <c r="BF3010">
        <v>0</v>
      </c>
      <c r="BK3010" t="s">
        <v>31</v>
      </c>
      <c r="BS3010" t="s">
        <v>412</v>
      </c>
      <c r="CI3010" t="s">
        <v>388</v>
      </c>
      <c r="CJ3010" s="14">
        <v>45016</v>
      </c>
      <c r="CK3010">
        <v>1</v>
      </c>
    </row>
    <row r="3011" spans="1:89">
      <c r="A3011" t="s">
        <v>1928</v>
      </c>
      <c r="B3011" t="s">
        <v>374</v>
      </c>
      <c r="C3011" t="s">
        <v>1929</v>
      </c>
      <c r="D3011" t="s">
        <v>1993</v>
      </c>
      <c r="E3011" t="s">
        <v>1994</v>
      </c>
      <c r="F3011" s="13">
        <v>44638.758761574078</v>
      </c>
      <c r="G3011" t="s">
        <v>641</v>
      </c>
      <c r="H3011" t="s">
        <v>642</v>
      </c>
      <c r="I3011" s="13">
        <v>44638.758761574078</v>
      </c>
      <c r="K3011" t="s">
        <v>412</v>
      </c>
      <c r="M3011" s="13">
        <v>44404</v>
      </c>
      <c r="R3011">
        <v>0</v>
      </c>
      <c r="S3011" t="s">
        <v>380</v>
      </c>
      <c r="T3011" t="s">
        <v>57</v>
      </c>
      <c r="V3011" t="s">
        <v>381</v>
      </c>
      <c r="W3011" t="s">
        <v>1995</v>
      </c>
      <c r="X3011" t="s">
        <v>1995</v>
      </c>
      <c r="AC3011" s="13">
        <v>44404</v>
      </c>
      <c r="AD3011" s="13">
        <v>44404</v>
      </c>
      <c r="AI3011">
        <v>-234</v>
      </c>
      <c r="AN3011" t="s">
        <v>31</v>
      </c>
      <c r="AO3011">
        <v>0</v>
      </c>
      <c r="AS3011" t="s">
        <v>385</v>
      </c>
      <c r="AX3011" t="s">
        <v>57</v>
      </c>
      <c r="AY3011" t="s">
        <v>386</v>
      </c>
      <c r="BF3011">
        <v>0</v>
      </c>
      <c r="BK3011" t="s">
        <v>31</v>
      </c>
      <c r="BS3011" t="s">
        <v>412</v>
      </c>
      <c r="CI3011" t="s">
        <v>388</v>
      </c>
      <c r="CJ3011" s="14">
        <v>45016</v>
      </c>
      <c r="CK3011">
        <v>1</v>
      </c>
    </row>
    <row r="3012" spans="1:89">
      <c r="A3012" t="s">
        <v>1907</v>
      </c>
      <c r="B3012" t="s">
        <v>374</v>
      </c>
      <c r="C3012" t="s">
        <v>607</v>
      </c>
      <c r="D3012" t="s">
        <v>1996</v>
      </c>
      <c r="E3012" t="s">
        <v>1997</v>
      </c>
      <c r="F3012" s="13">
        <v>44638.758761574078</v>
      </c>
      <c r="G3012" t="s">
        <v>641</v>
      </c>
      <c r="H3012" t="s">
        <v>642</v>
      </c>
      <c r="I3012" s="13">
        <v>44638.758761574078</v>
      </c>
      <c r="K3012" t="s">
        <v>412</v>
      </c>
      <c r="M3012" s="13">
        <v>44404</v>
      </c>
      <c r="R3012">
        <v>0</v>
      </c>
      <c r="S3012" t="s">
        <v>380</v>
      </c>
      <c r="T3012" t="s">
        <v>57</v>
      </c>
      <c r="V3012" t="s">
        <v>381</v>
      </c>
      <c r="W3012" t="s">
        <v>1995</v>
      </c>
      <c r="X3012" t="s">
        <v>1995</v>
      </c>
      <c r="AC3012" s="13">
        <v>44404</v>
      </c>
      <c r="AD3012" s="13">
        <v>44404</v>
      </c>
      <c r="AI3012">
        <v>-234</v>
      </c>
      <c r="AN3012" t="s">
        <v>31</v>
      </c>
      <c r="AO3012">
        <v>0</v>
      </c>
      <c r="AS3012" t="s">
        <v>385</v>
      </c>
      <c r="AX3012" t="s">
        <v>57</v>
      </c>
      <c r="AY3012" t="s">
        <v>386</v>
      </c>
      <c r="BF3012">
        <v>0</v>
      </c>
      <c r="BK3012" t="s">
        <v>31</v>
      </c>
      <c r="BS3012" t="s">
        <v>412</v>
      </c>
      <c r="CI3012" t="s">
        <v>388</v>
      </c>
      <c r="CJ3012" s="14">
        <v>45016</v>
      </c>
      <c r="CK3012">
        <v>1</v>
      </c>
    </row>
    <row r="3013" spans="1:89">
      <c r="A3013" t="s">
        <v>1907</v>
      </c>
      <c r="B3013" t="s">
        <v>374</v>
      </c>
      <c r="C3013" t="s">
        <v>607</v>
      </c>
      <c r="D3013" t="s">
        <v>1998</v>
      </c>
      <c r="E3013" t="s">
        <v>1999</v>
      </c>
      <c r="F3013" s="13">
        <v>44638.758750000001</v>
      </c>
      <c r="G3013" t="s">
        <v>641</v>
      </c>
      <c r="H3013" t="s">
        <v>642</v>
      </c>
      <c r="I3013" s="13">
        <v>44638.758750000001</v>
      </c>
      <c r="K3013" t="s">
        <v>412</v>
      </c>
      <c r="M3013" s="13">
        <v>44404</v>
      </c>
      <c r="R3013">
        <v>0</v>
      </c>
      <c r="S3013" t="s">
        <v>380</v>
      </c>
      <c r="T3013" t="s">
        <v>57</v>
      </c>
      <c r="V3013" t="s">
        <v>381</v>
      </c>
      <c r="W3013" t="s">
        <v>1995</v>
      </c>
      <c r="X3013" t="s">
        <v>1995</v>
      </c>
      <c r="AC3013" s="13">
        <v>44404</v>
      </c>
      <c r="AD3013" s="13">
        <v>44404</v>
      </c>
      <c r="AI3013">
        <v>-234</v>
      </c>
      <c r="AN3013" t="s">
        <v>31</v>
      </c>
      <c r="AO3013">
        <v>0</v>
      </c>
      <c r="AS3013" t="s">
        <v>385</v>
      </c>
      <c r="AX3013" t="s">
        <v>57</v>
      </c>
      <c r="AY3013" t="s">
        <v>386</v>
      </c>
      <c r="BF3013">
        <v>0</v>
      </c>
      <c r="BK3013" t="s">
        <v>31</v>
      </c>
      <c r="BS3013" t="s">
        <v>412</v>
      </c>
      <c r="CI3013" t="s">
        <v>388</v>
      </c>
      <c r="CJ3013" s="14">
        <v>45016</v>
      </c>
      <c r="CK3013">
        <v>1</v>
      </c>
    </row>
    <row r="3014" spans="1:89">
      <c r="A3014" t="s">
        <v>1907</v>
      </c>
      <c r="B3014" t="s">
        <v>374</v>
      </c>
      <c r="C3014" t="s">
        <v>607</v>
      </c>
      <c r="D3014" t="s">
        <v>2000</v>
      </c>
      <c r="E3014" t="s">
        <v>2001</v>
      </c>
      <c r="F3014" s="13">
        <v>44638.758750000001</v>
      </c>
      <c r="G3014" t="s">
        <v>641</v>
      </c>
      <c r="H3014" t="s">
        <v>642</v>
      </c>
      <c r="I3014" s="13">
        <v>44638.758750000001</v>
      </c>
      <c r="K3014" t="s">
        <v>412</v>
      </c>
      <c r="M3014" s="13">
        <v>44392</v>
      </c>
      <c r="R3014">
        <v>0</v>
      </c>
      <c r="S3014" t="s">
        <v>380</v>
      </c>
      <c r="T3014" t="s">
        <v>57</v>
      </c>
      <c r="V3014" t="s">
        <v>381</v>
      </c>
      <c r="W3014" t="s">
        <v>2002</v>
      </c>
      <c r="X3014" t="s">
        <v>2002</v>
      </c>
      <c r="AC3014" s="13">
        <v>44392</v>
      </c>
      <c r="AD3014" s="13">
        <v>44392</v>
      </c>
      <c r="AI3014">
        <v>-246</v>
      </c>
      <c r="AN3014" t="s">
        <v>31</v>
      </c>
      <c r="AO3014">
        <v>0</v>
      </c>
      <c r="AX3014" t="s">
        <v>57</v>
      </c>
      <c r="AY3014" t="s">
        <v>386</v>
      </c>
      <c r="BF3014">
        <v>0</v>
      </c>
      <c r="BK3014" t="s">
        <v>31</v>
      </c>
      <c r="BS3014" t="s">
        <v>412</v>
      </c>
      <c r="CI3014" t="s">
        <v>388</v>
      </c>
      <c r="CJ3014" s="14">
        <v>45016</v>
      </c>
      <c r="CK3014">
        <v>1</v>
      </c>
    </row>
    <row r="3015" spans="1:89">
      <c r="A3015" t="s">
        <v>1907</v>
      </c>
      <c r="B3015" t="s">
        <v>374</v>
      </c>
      <c r="C3015" t="s">
        <v>607</v>
      </c>
      <c r="D3015" t="s">
        <v>2003</v>
      </c>
      <c r="E3015" t="s">
        <v>2004</v>
      </c>
      <c r="F3015" s="13">
        <v>44638.758738425924</v>
      </c>
      <c r="G3015" t="s">
        <v>641</v>
      </c>
      <c r="H3015" t="s">
        <v>642</v>
      </c>
      <c r="I3015" s="13">
        <v>44638.758738425924</v>
      </c>
      <c r="K3015" t="s">
        <v>412</v>
      </c>
      <c r="M3015" s="13">
        <v>44369</v>
      </c>
      <c r="R3015">
        <v>0</v>
      </c>
      <c r="S3015" t="s">
        <v>380</v>
      </c>
      <c r="T3015" t="s">
        <v>57</v>
      </c>
      <c r="V3015" t="s">
        <v>381</v>
      </c>
      <c r="W3015" t="s">
        <v>2005</v>
      </c>
      <c r="X3015" t="s">
        <v>2005</v>
      </c>
      <c r="AC3015" s="13">
        <v>44369</v>
      </c>
      <c r="AD3015" s="13">
        <v>44369</v>
      </c>
      <c r="AI3015">
        <v>-269</v>
      </c>
      <c r="AN3015" t="s">
        <v>31</v>
      </c>
      <c r="AO3015">
        <v>0</v>
      </c>
      <c r="AS3015" t="s">
        <v>526</v>
      </c>
      <c r="AX3015" t="s">
        <v>57</v>
      </c>
      <c r="AY3015" t="s">
        <v>386</v>
      </c>
      <c r="BF3015">
        <v>0</v>
      </c>
      <c r="BK3015" t="s">
        <v>31</v>
      </c>
      <c r="BS3015" t="s">
        <v>412</v>
      </c>
      <c r="CI3015" t="s">
        <v>388</v>
      </c>
      <c r="CJ3015" s="14">
        <v>45016</v>
      </c>
      <c r="CK3015">
        <v>1</v>
      </c>
    </row>
    <row r="3016" spans="1:89">
      <c r="A3016" t="s">
        <v>1858</v>
      </c>
      <c r="B3016" t="s">
        <v>374</v>
      </c>
      <c r="C3016" t="s">
        <v>1859</v>
      </c>
      <c r="D3016" t="s">
        <v>2006</v>
      </c>
      <c r="E3016" t="s">
        <v>2007</v>
      </c>
      <c r="F3016" s="13">
        <v>44638.758738425924</v>
      </c>
      <c r="G3016" t="s">
        <v>641</v>
      </c>
      <c r="H3016" t="s">
        <v>642</v>
      </c>
      <c r="I3016" s="13">
        <v>44638.758738425924</v>
      </c>
      <c r="K3016" t="s">
        <v>412</v>
      </c>
      <c r="M3016" s="13">
        <v>44386</v>
      </c>
      <c r="R3016">
        <v>0</v>
      </c>
      <c r="S3016" t="s">
        <v>380</v>
      </c>
      <c r="T3016" t="s">
        <v>57</v>
      </c>
      <c r="V3016" t="s">
        <v>381</v>
      </c>
      <c r="W3016" t="s">
        <v>1775</v>
      </c>
      <c r="X3016" t="s">
        <v>1775</v>
      </c>
      <c r="AC3016" s="13">
        <v>44386</v>
      </c>
      <c r="AD3016" s="13">
        <v>44386</v>
      </c>
      <c r="AI3016">
        <v>-252</v>
      </c>
      <c r="AN3016" t="s">
        <v>31</v>
      </c>
      <c r="AO3016">
        <v>0</v>
      </c>
      <c r="AS3016" t="s">
        <v>385</v>
      </c>
      <c r="AX3016" t="s">
        <v>57</v>
      </c>
      <c r="AY3016" t="s">
        <v>386</v>
      </c>
      <c r="BF3016">
        <v>0</v>
      </c>
      <c r="BK3016" t="s">
        <v>31</v>
      </c>
      <c r="BS3016" t="s">
        <v>412</v>
      </c>
      <c r="CI3016" t="s">
        <v>388</v>
      </c>
      <c r="CJ3016" s="14">
        <v>45016</v>
      </c>
      <c r="CK3016">
        <v>1</v>
      </c>
    </row>
    <row r="3017" spans="1:89">
      <c r="A3017" t="s">
        <v>1907</v>
      </c>
      <c r="B3017" t="s">
        <v>374</v>
      </c>
      <c r="C3017" t="s">
        <v>607</v>
      </c>
      <c r="D3017" t="s">
        <v>2008</v>
      </c>
      <c r="E3017" t="s">
        <v>2009</v>
      </c>
      <c r="F3017" s="13">
        <v>44638.758726851855</v>
      </c>
      <c r="G3017" t="s">
        <v>641</v>
      </c>
      <c r="H3017" t="s">
        <v>642</v>
      </c>
      <c r="I3017" s="13">
        <v>44638.758726851855</v>
      </c>
      <c r="K3017" t="s">
        <v>412</v>
      </c>
      <c r="M3017" s="13">
        <v>44371</v>
      </c>
      <c r="R3017">
        <v>0</v>
      </c>
      <c r="S3017" t="s">
        <v>380</v>
      </c>
      <c r="T3017" t="s">
        <v>57</v>
      </c>
      <c r="V3017" t="s">
        <v>381</v>
      </c>
      <c r="W3017" t="s">
        <v>1762</v>
      </c>
      <c r="X3017" t="s">
        <v>1762</v>
      </c>
      <c r="AC3017" s="13">
        <v>44371</v>
      </c>
      <c r="AD3017" s="13">
        <v>44371</v>
      </c>
      <c r="AI3017">
        <v>-267</v>
      </c>
      <c r="AN3017" t="s">
        <v>31</v>
      </c>
      <c r="AO3017">
        <v>0</v>
      </c>
      <c r="AS3017" t="s">
        <v>526</v>
      </c>
      <c r="AX3017" t="s">
        <v>57</v>
      </c>
      <c r="AY3017" t="s">
        <v>386</v>
      </c>
      <c r="BF3017">
        <v>0</v>
      </c>
      <c r="BK3017" t="s">
        <v>31</v>
      </c>
      <c r="BS3017" t="s">
        <v>412</v>
      </c>
      <c r="CI3017" t="s">
        <v>388</v>
      </c>
      <c r="CJ3017" s="14">
        <v>45016</v>
      </c>
      <c r="CK3017">
        <v>1</v>
      </c>
    </row>
    <row r="3018" spans="1:89">
      <c r="A3018" t="s">
        <v>1946</v>
      </c>
      <c r="B3018" t="s">
        <v>374</v>
      </c>
      <c r="C3018" t="s">
        <v>1947</v>
      </c>
      <c r="D3018" t="s">
        <v>2010</v>
      </c>
      <c r="E3018" t="s">
        <v>2011</v>
      </c>
      <c r="F3018" s="13">
        <v>44638.758726851855</v>
      </c>
      <c r="G3018" t="s">
        <v>641</v>
      </c>
      <c r="H3018" t="s">
        <v>642</v>
      </c>
      <c r="I3018" s="13">
        <v>44638.758726851855</v>
      </c>
      <c r="K3018" t="s">
        <v>412</v>
      </c>
      <c r="M3018" s="13">
        <v>44635</v>
      </c>
      <c r="R3018">
        <v>0</v>
      </c>
      <c r="S3018" t="s">
        <v>380</v>
      </c>
      <c r="T3018" t="s">
        <v>57</v>
      </c>
      <c r="V3018" t="s">
        <v>381</v>
      </c>
      <c r="W3018" t="s">
        <v>1709</v>
      </c>
      <c r="X3018" t="s">
        <v>1709</v>
      </c>
      <c r="AC3018" s="13">
        <v>44635</v>
      </c>
      <c r="AD3018" s="13">
        <v>44635</v>
      </c>
      <c r="AI3018">
        <v>-3</v>
      </c>
      <c r="AN3018" t="s">
        <v>31</v>
      </c>
      <c r="AO3018">
        <v>0</v>
      </c>
      <c r="AS3018" t="s">
        <v>385</v>
      </c>
      <c r="AX3018" t="s">
        <v>57</v>
      </c>
      <c r="AY3018" t="s">
        <v>386</v>
      </c>
      <c r="BF3018">
        <v>0</v>
      </c>
      <c r="BK3018" t="s">
        <v>31</v>
      </c>
      <c r="BS3018" t="s">
        <v>412</v>
      </c>
      <c r="CI3018" t="s">
        <v>388</v>
      </c>
      <c r="CJ3018" s="14">
        <v>45016</v>
      </c>
      <c r="CK3018">
        <v>1</v>
      </c>
    </row>
    <row r="3019" spans="1:89">
      <c r="A3019" t="s">
        <v>1946</v>
      </c>
      <c r="B3019" t="s">
        <v>374</v>
      </c>
      <c r="C3019" t="s">
        <v>1947</v>
      </c>
      <c r="D3019" t="s">
        <v>2012</v>
      </c>
      <c r="E3019" t="s">
        <v>2013</v>
      </c>
      <c r="F3019" s="13">
        <v>44638.758726851855</v>
      </c>
      <c r="G3019" t="s">
        <v>641</v>
      </c>
      <c r="H3019" t="s">
        <v>642</v>
      </c>
      <c r="I3019" s="13">
        <v>44638.758726851855</v>
      </c>
      <c r="K3019" t="s">
        <v>412</v>
      </c>
      <c r="M3019" s="13">
        <v>44380</v>
      </c>
      <c r="R3019">
        <v>0</v>
      </c>
      <c r="S3019" t="s">
        <v>380</v>
      </c>
      <c r="T3019" t="s">
        <v>57</v>
      </c>
      <c r="V3019" t="s">
        <v>381</v>
      </c>
      <c r="W3019" t="s">
        <v>1775</v>
      </c>
      <c r="X3019" t="s">
        <v>1775</v>
      </c>
      <c r="AC3019" s="13">
        <v>44380</v>
      </c>
      <c r="AD3019" s="13">
        <v>44380</v>
      </c>
      <c r="AI3019">
        <v>-258</v>
      </c>
      <c r="AN3019" t="s">
        <v>31</v>
      </c>
      <c r="AO3019">
        <v>0</v>
      </c>
      <c r="AX3019" t="s">
        <v>57</v>
      </c>
      <c r="AY3019" t="s">
        <v>386</v>
      </c>
      <c r="BF3019">
        <v>0</v>
      </c>
      <c r="BK3019" t="s">
        <v>31</v>
      </c>
      <c r="BS3019" t="s">
        <v>412</v>
      </c>
      <c r="CI3019" t="s">
        <v>388</v>
      </c>
      <c r="CJ3019" s="14">
        <v>45016</v>
      </c>
      <c r="CK3019">
        <v>1</v>
      </c>
    </row>
    <row r="3020" spans="1:89">
      <c r="A3020" t="s">
        <v>1946</v>
      </c>
      <c r="B3020" t="s">
        <v>374</v>
      </c>
      <c r="C3020" t="s">
        <v>1947</v>
      </c>
      <c r="D3020" t="s">
        <v>2014</v>
      </c>
      <c r="E3020" t="s">
        <v>2015</v>
      </c>
      <c r="F3020" s="13">
        <v>44638.758715277778</v>
      </c>
      <c r="G3020" t="s">
        <v>641</v>
      </c>
      <c r="H3020" t="s">
        <v>642</v>
      </c>
      <c r="I3020" s="13">
        <v>44638.758715277778</v>
      </c>
      <c r="K3020" t="s">
        <v>412</v>
      </c>
      <c r="M3020" s="13">
        <v>44635</v>
      </c>
      <c r="R3020">
        <v>0</v>
      </c>
      <c r="S3020" t="s">
        <v>380</v>
      </c>
      <c r="T3020" t="s">
        <v>57</v>
      </c>
      <c r="V3020" t="s">
        <v>381</v>
      </c>
      <c r="W3020" t="s">
        <v>1762</v>
      </c>
      <c r="X3020" t="s">
        <v>1762</v>
      </c>
      <c r="AC3020" s="13">
        <v>44635</v>
      </c>
      <c r="AD3020" s="13">
        <v>44635</v>
      </c>
      <c r="AI3020">
        <v>-3</v>
      </c>
      <c r="AN3020" t="s">
        <v>31</v>
      </c>
      <c r="AO3020">
        <v>0</v>
      </c>
      <c r="AS3020" t="s">
        <v>385</v>
      </c>
      <c r="AX3020" t="s">
        <v>57</v>
      </c>
      <c r="AY3020" t="s">
        <v>386</v>
      </c>
      <c r="BF3020">
        <v>0</v>
      </c>
      <c r="BK3020" t="s">
        <v>31</v>
      </c>
      <c r="BS3020" t="s">
        <v>412</v>
      </c>
      <c r="CI3020" t="s">
        <v>388</v>
      </c>
      <c r="CJ3020" s="14">
        <v>45016</v>
      </c>
      <c r="CK3020">
        <v>1</v>
      </c>
    </row>
    <row r="3021" spans="1:89">
      <c r="A3021" t="s">
        <v>1946</v>
      </c>
      <c r="B3021" t="s">
        <v>374</v>
      </c>
      <c r="C3021" t="s">
        <v>1947</v>
      </c>
      <c r="D3021" t="s">
        <v>2016</v>
      </c>
      <c r="E3021" t="s">
        <v>2017</v>
      </c>
      <c r="F3021" s="13">
        <v>44638.758715277778</v>
      </c>
      <c r="G3021" t="s">
        <v>641</v>
      </c>
      <c r="H3021" t="s">
        <v>642</v>
      </c>
      <c r="I3021" s="13">
        <v>44638.758715277778</v>
      </c>
      <c r="K3021" t="s">
        <v>412</v>
      </c>
      <c r="M3021" s="13">
        <v>44635</v>
      </c>
      <c r="R3021">
        <v>0</v>
      </c>
      <c r="S3021" t="s">
        <v>380</v>
      </c>
      <c r="T3021" t="s">
        <v>57</v>
      </c>
      <c r="V3021" t="s">
        <v>381</v>
      </c>
      <c r="W3021" t="s">
        <v>1762</v>
      </c>
      <c r="X3021" t="s">
        <v>1762</v>
      </c>
      <c r="AC3021" s="13">
        <v>44635</v>
      </c>
      <c r="AD3021" s="13">
        <v>44635</v>
      </c>
      <c r="AI3021">
        <v>-3</v>
      </c>
      <c r="AN3021" t="s">
        <v>31</v>
      </c>
      <c r="AO3021">
        <v>0</v>
      </c>
      <c r="AS3021" t="s">
        <v>385</v>
      </c>
      <c r="AX3021" t="s">
        <v>57</v>
      </c>
      <c r="AY3021" t="s">
        <v>386</v>
      </c>
      <c r="BF3021">
        <v>0</v>
      </c>
      <c r="BK3021" t="s">
        <v>31</v>
      </c>
      <c r="BS3021" t="s">
        <v>412</v>
      </c>
      <c r="CI3021" t="s">
        <v>388</v>
      </c>
      <c r="CJ3021" s="14">
        <v>45016</v>
      </c>
      <c r="CK3021">
        <v>1</v>
      </c>
    </row>
    <row r="3022" spans="1:89">
      <c r="A3022" t="s">
        <v>2018</v>
      </c>
      <c r="B3022" t="s">
        <v>374</v>
      </c>
      <c r="C3022" t="s">
        <v>2019</v>
      </c>
      <c r="D3022" t="s">
        <v>2020</v>
      </c>
      <c r="E3022" t="s">
        <v>2021</v>
      </c>
      <c r="F3022" s="13">
        <v>44638.758703703701</v>
      </c>
      <c r="G3022" t="s">
        <v>641</v>
      </c>
      <c r="H3022" t="s">
        <v>642</v>
      </c>
      <c r="I3022" s="13">
        <v>44638.758703703701</v>
      </c>
      <c r="K3022" t="s">
        <v>412</v>
      </c>
      <c r="M3022" s="13">
        <v>44650</v>
      </c>
      <c r="R3022">
        <v>0</v>
      </c>
      <c r="S3022" t="s">
        <v>380</v>
      </c>
      <c r="T3022" t="s">
        <v>57</v>
      </c>
      <c r="V3022" t="s">
        <v>381</v>
      </c>
      <c r="W3022" t="s">
        <v>1932</v>
      </c>
      <c r="X3022" t="s">
        <v>1932</v>
      </c>
      <c r="AC3022" s="13">
        <v>44650</v>
      </c>
      <c r="AD3022" s="13">
        <v>44650</v>
      </c>
      <c r="AI3022">
        <v>12</v>
      </c>
      <c r="AN3022" t="s">
        <v>31</v>
      </c>
      <c r="AO3022">
        <v>0</v>
      </c>
      <c r="AS3022" t="s">
        <v>385</v>
      </c>
      <c r="AX3022" t="s">
        <v>57</v>
      </c>
      <c r="AY3022" t="s">
        <v>386</v>
      </c>
      <c r="BF3022">
        <v>0</v>
      </c>
      <c r="BK3022" t="s">
        <v>31</v>
      </c>
      <c r="BS3022" t="s">
        <v>412</v>
      </c>
      <c r="CI3022" t="s">
        <v>388</v>
      </c>
      <c r="CJ3022" s="14">
        <v>45016</v>
      </c>
      <c r="CK3022">
        <v>1</v>
      </c>
    </row>
    <row r="3023" spans="1:89">
      <c r="A3023" t="s">
        <v>2022</v>
      </c>
      <c r="B3023" t="s">
        <v>374</v>
      </c>
      <c r="C3023" t="s">
        <v>1182</v>
      </c>
      <c r="D3023" t="s">
        <v>2023</v>
      </c>
      <c r="E3023" t="s">
        <v>2024</v>
      </c>
      <c r="F3023" s="13">
        <v>44638.758703703701</v>
      </c>
      <c r="G3023" t="s">
        <v>641</v>
      </c>
      <c r="H3023" t="s">
        <v>642</v>
      </c>
      <c r="I3023" s="13">
        <v>44638.758703703701</v>
      </c>
      <c r="K3023" t="s">
        <v>412</v>
      </c>
      <c r="M3023" s="13">
        <v>44427</v>
      </c>
      <c r="R3023">
        <v>0</v>
      </c>
      <c r="S3023" t="s">
        <v>380</v>
      </c>
      <c r="T3023" t="s">
        <v>57</v>
      </c>
      <c r="V3023" t="s">
        <v>381</v>
      </c>
      <c r="W3023" t="s">
        <v>1974</v>
      </c>
      <c r="X3023" t="s">
        <v>1974</v>
      </c>
      <c r="AC3023" s="13">
        <v>44427</v>
      </c>
      <c r="AD3023" s="13">
        <v>44427</v>
      </c>
      <c r="AI3023">
        <v>-211</v>
      </c>
      <c r="AN3023" t="s">
        <v>31</v>
      </c>
      <c r="AO3023">
        <v>0</v>
      </c>
      <c r="AS3023" t="s">
        <v>648</v>
      </c>
      <c r="AX3023" t="s">
        <v>57</v>
      </c>
      <c r="AY3023" t="s">
        <v>386</v>
      </c>
      <c r="BF3023">
        <v>0</v>
      </c>
      <c r="BK3023" t="s">
        <v>31</v>
      </c>
      <c r="BS3023" t="s">
        <v>412</v>
      </c>
      <c r="CI3023" t="s">
        <v>388</v>
      </c>
      <c r="CJ3023" s="14">
        <v>45016</v>
      </c>
      <c r="CK3023">
        <v>1</v>
      </c>
    </row>
    <row r="3024" spans="1:89">
      <c r="A3024" t="s">
        <v>2022</v>
      </c>
      <c r="B3024" t="s">
        <v>374</v>
      </c>
      <c r="C3024" t="s">
        <v>1182</v>
      </c>
      <c r="D3024" t="s">
        <v>2025</v>
      </c>
      <c r="E3024" t="s">
        <v>2026</v>
      </c>
      <c r="F3024" s="13">
        <v>44638.758692129632</v>
      </c>
      <c r="G3024" t="s">
        <v>641</v>
      </c>
      <c r="H3024" t="s">
        <v>642</v>
      </c>
      <c r="I3024" s="13">
        <v>44638.758692129632</v>
      </c>
      <c r="K3024" t="s">
        <v>412</v>
      </c>
      <c r="M3024" s="13">
        <v>44399</v>
      </c>
      <c r="R3024">
        <v>0</v>
      </c>
      <c r="S3024" t="s">
        <v>380</v>
      </c>
      <c r="T3024" t="s">
        <v>57</v>
      </c>
      <c r="V3024" t="s">
        <v>381</v>
      </c>
      <c r="W3024" t="s">
        <v>2027</v>
      </c>
      <c r="X3024" t="s">
        <v>2027</v>
      </c>
      <c r="AC3024" s="13">
        <v>44399</v>
      </c>
      <c r="AD3024" s="13">
        <v>44399</v>
      </c>
      <c r="AI3024">
        <v>-239</v>
      </c>
      <c r="AN3024" t="s">
        <v>31</v>
      </c>
      <c r="AO3024">
        <v>0</v>
      </c>
      <c r="AS3024" t="s">
        <v>385</v>
      </c>
      <c r="AX3024" t="s">
        <v>57</v>
      </c>
      <c r="AY3024" t="s">
        <v>386</v>
      </c>
      <c r="BF3024">
        <v>0</v>
      </c>
      <c r="BK3024" t="s">
        <v>31</v>
      </c>
      <c r="BS3024" t="s">
        <v>412</v>
      </c>
      <c r="CI3024" t="s">
        <v>388</v>
      </c>
      <c r="CJ3024" s="14">
        <v>45016</v>
      </c>
      <c r="CK3024">
        <v>1</v>
      </c>
    </row>
    <row r="3025" spans="1:89">
      <c r="A3025" t="s">
        <v>2028</v>
      </c>
      <c r="B3025" t="s">
        <v>374</v>
      </c>
      <c r="C3025" t="s">
        <v>20</v>
      </c>
      <c r="D3025" t="s">
        <v>2029</v>
      </c>
      <c r="E3025" t="s">
        <v>2030</v>
      </c>
      <c r="F3025" s="13">
        <v>44638.758692129632</v>
      </c>
      <c r="G3025" t="s">
        <v>641</v>
      </c>
      <c r="H3025" t="s">
        <v>642</v>
      </c>
      <c r="I3025" s="13">
        <v>44638.758692129632</v>
      </c>
      <c r="K3025" t="s">
        <v>412</v>
      </c>
      <c r="M3025" s="13">
        <v>44552</v>
      </c>
      <c r="R3025">
        <v>0</v>
      </c>
      <c r="S3025" t="s">
        <v>380</v>
      </c>
      <c r="T3025" t="s">
        <v>57</v>
      </c>
      <c r="V3025" t="s">
        <v>381</v>
      </c>
      <c r="W3025" t="s">
        <v>2031</v>
      </c>
      <c r="X3025" t="s">
        <v>2031</v>
      </c>
      <c r="AC3025" s="13">
        <v>44552</v>
      </c>
      <c r="AD3025" s="13">
        <v>44552</v>
      </c>
      <c r="AI3025">
        <v>-86</v>
      </c>
      <c r="AN3025" t="s">
        <v>31</v>
      </c>
      <c r="AO3025">
        <v>0</v>
      </c>
      <c r="AS3025" t="s">
        <v>648</v>
      </c>
      <c r="AX3025" t="s">
        <v>57</v>
      </c>
      <c r="AY3025" t="s">
        <v>386</v>
      </c>
      <c r="BF3025">
        <v>0</v>
      </c>
      <c r="BK3025" t="s">
        <v>31</v>
      </c>
      <c r="BS3025" t="s">
        <v>412</v>
      </c>
      <c r="CI3025" t="s">
        <v>388</v>
      </c>
      <c r="CJ3025" s="14">
        <v>45016</v>
      </c>
      <c r="CK3025">
        <v>1</v>
      </c>
    </row>
    <row r="3026" spans="1:89">
      <c r="A3026" t="s">
        <v>1858</v>
      </c>
      <c r="B3026" t="s">
        <v>374</v>
      </c>
      <c r="C3026" t="s">
        <v>1859</v>
      </c>
      <c r="D3026" t="s">
        <v>2032</v>
      </c>
      <c r="E3026" t="s">
        <v>2033</v>
      </c>
      <c r="F3026" s="13">
        <v>44638.758680555555</v>
      </c>
      <c r="G3026" t="s">
        <v>641</v>
      </c>
      <c r="H3026" t="s">
        <v>642</v>
      </c>
      <c r="I3026" s="13">
        <v>44638.758680555555</v>
      </c>
      <c r="K3026" t="s">
        <v>412</v>
      </c>
      <c r="M3026" s="13">
        <v>41578</v>
      </c>
      <c r="R3026">
        <v>0</v>
      </c>
      <c r="S3026" t="s">
        <v>380</v>
      </c>
      <c r="T3026" t="s">
        <v>57</v>
      </c>
      <c r="V3026" t="s">
        <v>381</v>
      </c>
      <c r="W3026" t="s">
        <v>1932</v>
      </c>
      <c r="X3026" t="s">
        <v>1932</v>
      </c>
      <c r="AC3026" s="13">
        <v>41578</v>
      </c>
      <c r="AD3026" s="13">
        <v>41578</v>
      </c>
      <c r="AI3026">
        <v>-3060</v>
      </c>
      <c r="AN3026" t="s">
        <v>31</v>
      </c>
      <c r="AO3026">
        <v>0</v>
      </c>
      <c r="AS3026" t="s">
        <v>385</v>
      </c>
      <c r="AX3026" t="s">
        <v>57</v>
      </c>
      <c r="AY3026" t="s">
        <v>386</v>
      </c>
      <c r="BF3026">
        <v>0</v>
      </c>
      <c r="BK3026" t="s">
        <v>31</v>
      </c>
      <c r="BS3026" t="s">
        <v>412</v>
      </c>
      <c r="CI3026" t="s">
        <v>388</v>
      </c>
      <c r="CJ3026" s="14">
        <v>45016</v>
      </c>
      <c r="CK3026">
        <v>1</v>
      </c>
    </row>
    <row r="3027" spans="1:89">
      <c r="A3027" t="s">
        <v>2028</v>
      </c>
      <c r="B3027" t="s">
        <v>374</v>
      </c>
      <c r="C3027" t="s">
        <v>20</v>
      </c>
      <c r="D3027" t="s">
        <v>2034</v>
      </c>
      <c r="E3027" t="s">
        <v>2035</v>
      </c>
      <c r="F3027" s="13">
        <v>44638.758680555555</v>
      </c>
      <c r="G3027" t="s">
        <v>641</v>
      </c>
      <c r="H3027" t="s">
        <v>642</v>
      </c>
      <c r="I3027" s="13">
        <v>44638.758680555555</v>
      </c>
      <c r="K3027" t="s">
        <v>412</v>
      </c>
      <c r="M3027" s="13">
        <v>44552</v>
      </c>
      <c r="R3027">
        <v>0</v>
      </c>
      <c r="S3027" t="s">
        <v>380</v>
      </c>
      <c r="T3027" t="s">
        <v>57</v>
      </c>
      <c r="V3027" t="s">
        <v>381</v>
      </c>
      <c r="W3027" t="s">
        <v>2031</v>
      </c>
      <c r="X3027" t="s">
        <v>2031</v>
      </c>
      <c r="AC3027" s="13">
        <v>44552</v>
      </c>
      <c r="AD3027" s="13">
        <v>44552</v>
      </c>
      <c r="AI3027">
        <v>-86</v>
      </c>
      <c r="AN3027" t="s">
        <v>31</v>
      </c>
      <c r="AO3027">
        <v>0</v>
      </c>
      <c r="AS3027" t="s">
        <v>385</v>
      </c>
      <c r="AX3027" t="s">
        <v>57</v>
      </c>
      <c r="AY3027" t="s">
        <v>386</v>
      </c>
      <c r="BF3027">
        <v>0</v>
      </c>
      <c r="BK3027" t="s">
        <v>31</v>
      </c>
      <c r="BS3027" t="s">
        <v>412</v>
      </c>
      <c r="CI3027" t="s">
        <v>388</v>
      </c>
      <c r="CJ3027" s="14">
        <v>45016</v>
      </c>
      <c r="CK3027">
        <v>1</v>
      </c>
    </row>
    <row r="3028" spans="1:89">
      <c r="A3028" t="s">
        <v>1810</v>
      </c>
      <c r="B3028" t="s">
        <v>374</v>
      </c>
      <c r="C3028" t="s">
        <v>1811</v>
      </c>
      <c r="D3028" t="s">
        <v>2036</v>
      </c>
      <c r="E3028" t="s">
        <v>2037</v>
      </c>
      <c r="F3028" s="13">
        <v>44638.758668981478</v>
      </c>
      <c r="G3028" t="s">
        <v>641</v>
      </c>
      <c r="H3028" t="s">
        <v>642</v>
      </c>
      <c r="I3028" s="13">
        <v>44638.758668981478</v>
      </c>
      <c r="K3028" t="s">
        <v>412</v>
      </c>
      <c r="M3028" s="13">
        <v>44560</v>
      </c>
      <c r="R3028">
        <v>0</v>
      </c>
      <c r="S3028" t="s">
        <v>380</v>
      </c>
      <c r="T3028" t="s">
        <v>57</v>
      </c>
      <c r="V3028" t="s">
        <v>381</v>
      </c>
      <c r="W3028" t="s">
        <v>2038</v>
      </c>
      <c r="X3028" t="s">
        <v>2038</v>
      </c>
      <c r="AC3028" s="13">
        <v>44560</v>
      </c>
      <c r="AD3028" s="13">
        <v>44560</v>
      </c>
      <c r="AI3028">
        <v>-78</v>
      </c>
      <c r="AN3028" t="s">
        <v>31</v>
      </c>
      <c r="AO3028">
        <v>0</v>
      </c>
      <c r="AS3028" t="s">
        <v>526</v>
      </c>
      <c r="AX3028" t="s">
        <v>57</v>
      </c>
      <c r="AY3028" t="s">
        <v>386</v>
      </c>
      <c r="BF3028">
        <v>0</v>
      </c>
      <c r="BK3028" t="s">
        <v>31</v>
      </c>
      <c r="BS3028" t="s">
        <v>412</v>
      </c>
      <c r="CI3028" t="s">
        <v>388</v>
      </c>
      <c r="CJ3028" s="14">
        <v>45016</v>
      </c>
      <c r="CK3028">
        <v>1</v>
      </c>
    </row>
    <row r="3029" spans="1:89">
      <c r="A3029" t="s">
        <v>1872</v>
      </c>
      <c r="B3029" t="s">
        <v>374</v>
      </c>
      <c r="C3029" t="s">
        <v>1873</v>
      </c>
      <c r="D3029" t="s">
        <v>2039</v>
      </c>
      <c r="E3029" t="s">
        <v>2040</v>
      </c>
      <c r="F3029" s="13">
        <v>44638.758668981478</v>
      </c>
      <c r="G3029" t="s">
        <v>641</v>
      </c>
      <c r="H3029" t="s">
        <v>642</v>
      </c>
      <c r="I3029" s="13">
        <v>44638.758668981478</v>
      </c>
      <c r="K3029" t="s">
        <v>412</v>
      </c>
      <c r="M3029" s="13">
        <v>44612</v>
      </c>
      <c r="R3029">
        <v>0</v>
      </c>
      <c r="S3029" t="s">
        <v>380</v>
      </c>
      <c r="T3029" t="s">
        <v>57</v>
      </c>
      <c r="V3029" t="s">
        <v>381</v>
      </c>
      <c r="W3029" t="s">
        <v>2041</v>
      </c>
      <c r="X3029" t="s">
        <v>2041</v>
      </c>
      <c r="AC3029" s="13">
        <v>44612</v>
      </c>
      <c r="AD3029" s="13">
        <v>44612</v>
      </c>
      <c r="AI3029">
        <v>-26</v>
      </c>
      <c r="AN3029" t="s">
        <v>31</v>
      </c>
      <c r="AO3029">
        <v>0</v>
      </c>
      <c r="AS3029" t="s">
        <v>385</v>
      </c>
      <c r="AX3029" t="s">
        <v>57</v>
      </c>
      <c r="AY3029" t="s">
        <v>386</v>
      </c>
      <c r="BF3029">
        <v>0</v>
      </c>
      <c r="BK3029" t="s">
        <v>31</v>
      </c>
      <c r="BS3029" t="s">
        <v>412</v>
      </c>
      <c r="CI3029" t="s">
        <v>388</v>
      </c>
      <c r="CJ3029" s="14">
        <v>45016</v>
      </c>
      <c r="CK3029">
        <v>1</v>
      </c>
    </row>
    <row r="3030" spans="1:89">
      <c r="A3030" t="s">
        <v>1831</v>
      </c>
      <c r="B3030" t="s">
        <v>374</v>
      </c>
      <c r="C3030" t="s">
        <v>1832</v>
      </c>
      <c r="D3030" t="s">
        <v>2042</v>
      </c>
      <c r="E3030" t="s">
        <v>2043</v>
      </c>
      <c r="F3030" s="13">
        <v>44638.758657407408</v>
      </c>
      <c r="G3030" t="s">
        <v>641</v>
      </c>
      <c r="H3030" t="s">
        <v>642</v>
      </c>
      <c r="I3030" s="13">
        <v>44638.758657407408</v>
      </c>
      <c r="K3030" t="s">
        <v>412</v>
      </c>
      <c r="M3030" s="13">
        <v>44616</v>
      </c>
      <c r="R3030">
        <v>0</v>
      </c>
      <c r="S3030" t="s">
        <v>380</v>
      </c>
      <c r="T3030" t="s">
        <v>57</v>
      </c>
      <c r="V3030" t="s">
        <v>381</v>
      </c>
      <c r="W3030" t="s">
        <v>2044</v>
      </c>
      <c r="X3030" t="s">
        <v>2044</v>
      </c>
      <c r="AC3030" s="13">
        <v>44616</v>
      </c>
      <c r="AD3030" s="13">
        <v>44616</v>
      </c>
      <c r="AI3030">
        <v>-22</v>
      </c>
      <c r="AN3030" t="s">
        <v>31</v>
      </c>
      <c r="AO3030">
        <v>0</v>
      </c>
      <c r="AS3030" t="s">
        <v>385</v>
      </c>
      <c r="AX3030" t="s">
        <v>57</v>
      </c>
      <c r="AY3030" t="s">
        <v>386</v>
      </c>
      <c r="BF3030">
        <v>0</v>
      </c>
      <c r="BK3030" t="s">
        <v>31</v>
      </c>
      <c r="BS3030" t="s">
        <v>412</v>
      </c>
      <c r="CI3030" t="s">
        <v>388</v>
      </c>
      <c r="CJ3030" s="14">
        <v>45016</v>
      </c>
      <c r="CK3030">
        <v>1</v>
      </c>
    </row>
    <row r="3031" spans="1:89">
      <c r="A3031" t="s">
        <v>1769</v>
      </c>
      <c r="B3031" t="s">
        <v>374</v>
      </c>
      <c r="C3031" t="s">
        <v>1770</v>
      </c>
      <c r="D3031" t="s">
        <v>2045</v>
      </c>
      <c r="E3031" t="s">
        <v>2046</v>
      </c>
      <c r="F3031" s="13">
        <v>44638.758657407408</v>
      </c>
      <c r="G3031" t="s">
        <v>641</v>
      </c>
      <c r="H3031" t="s">
        <v>642</v>
      </c>
      <c r="I3031" s="13">
        <v>44638.758657407408</v>
      </c>
      <c r="K3031" t="s">
        <v>412</v>
      </c>
      <c r="M3031" s="13">
        <v>44651</v>
      </c>
      <c r="R3031">
        <v>0</v>
      </c>
      <c r="S3031" t="s">
        <v>380</v>
      </c>
      <c r="T3031" t="s">
        <v>57</v>
      </c>
      <c r="V3031" t="s">
        <v>381</v>
      </c>
      <c r="W3031" t="s">
        <v>1713</v>
      </c>
      <c r="X3031" t="s">
        <v>1713</v>
      </c>
      <c r="AC3031" s="13">
        <v>44651</v>
      </c>
      <c r="AD3031" s="13">
        <v>44651</v>
      </c>
      <c r="AI3031">
        <v>13</v>
      </c>
      <c r="AN3031" t="s">
        <v>31</v>
      </c>
      <c r="AO3031">
        <v>0</v>
      </c>
      <c r="AS3031" t="s">
        <v>385</v>
      </c>
      <c r="AX3031" t="s">
        <v>57</v>
      </c>
      <c r="AY3031" t="s">
        <v>386</v>
      </c>
      <c r="BF3031">
        <v>0</v>
      </c>
      <c r="BK3031" t="s">
        <v>31</v>
      </c>
      <c r="BS3031" t="s">
        <v>412</v>
      </c>
      <c r="CI3031" t="s">
        <v>388</v>
      </c>
      <c r="CJ3031" s="14">
        <v>45016</v>
      </c>
      <c r="CK3031">
        <v>1</v>
      </c>
    </row>
    <row r="3032" spans="1:89">
      <c r="A3032" t="s">
        <v>2047</v>
      </c>
      <c r="B3032" t="s">
        <v>374</v>
      </c>
      <c r="C3032" t="s">
        <v>2048</v>
      </c>
      <c r="D3032" t="s">
        <v>2049</v>
      </c>
      <c r="E3032" t="s">
        <v>2050</v>
      </c>
      <c r="F3032" s="13">
        <v>44638.758645833332</v>
      </c>
      <c r="G3032" t="s">
        <v>641</v>
      </c>
      <c r="H3032" t="s">
        <v>642</v>
      </c>
      <c r="I3032" s="13">
        <v>44638.758645833332</v>
      </c>
      <c r="K3032" t="s">
        <v>412</v>
      </c>
      <c r="M3032" s="13">
        <v>44591</v>
      </c>
      <c r="R3032">
        <v>0</v>
      </c>
      <c r="S3032" t="s">
        <v>380</v>
      </c>
      <c r="T3032" t="s">
        <v>57</v>
      </c>
      <c r="V3032" t="s">
        <v>381</v>
      </c>
      <c r="W3032" t="s">
        <v>2051</v>
      </c>
      <c r="X3032" t="s">
        <v>2051</v>
      </c>
      <c r="AC3032" s="13">
        <v>44591</v>
      </c>
      <c r="AD3032" s="13">
        <v>44591</v>
      </c>
      <c r="AI3032">
        <v>-47</v>
      </c>
      <c r="AN3032" t="s">
        <v>31</v>
      </c>
      <c r="AO3032">
        <v>0</v>
      </c>
      <c r="AS3032" t="s">
        <v>392</v>
      </c>
      <c r="AX3032" t="s">
        <v>57</v>
      </c>
      <c r="AY3032" t="s">
        <v>386</v>
      </c>
      <c r="BF3032">
        <v>0</v>
      </c>
      <c r="BK3032" t="s">
        <v>31</v>
      </c>
      <c r="BS3032" t="s">
        <v>412</v>
      </c>
      <c r="CI3032" t="s">
        <v>388</v>
      </c>
      <c r="CJ3032" s="14">
        <v>45016</v>
      </c>
      <c r="CK3032">
        <v>1</v>
      </c>
    </row>
    <row r="3033" spans="1:89">
      <c r="A3033" t="s">
        <v>2047</v>
      </c>
      <c r="B3033" t="s">
        <v>374</v>
      </c>
      <c r="C3033" t="s">
        <v>2048</v>
      </c>
      <c r="D3033" t="s">
        <v>2052</v>
      </c>
      <c r="E3033" t="s">
        <v>2053</v>
      </c>
      <c r="F3033" s="13">
        <v>44638.758645833332</v>
      </c>
      <c r="G3033" t="s">
        <v>641</v>
      </c>
      <c r="H3033" t="s">
        <v>642</v>
      </c>
      <c r="I3033" s="13">
        <v>44638.758645833332</v>
      </c>
      <c r="K3033" t="s">
        <v>412</v>
      </c>
      <c r="M3033" s="13">
        <v>44681</v>
      </c>
      <c r="R3033">
        <v>0</v>
      </c>
      <c r="S3033" t="s">
        <v>380</v>
      </c>
      <c r="T3033" t="s">
        <v>57</v>
      </c>
      <c r="V3033" t="s">
        <v>381</v>
      </c>
      <c r="W3033" t="s">
        <v>2051</v>
      </c>
      <c r="X3033" t="s">
        <v>2051</v>
      </c>
      <c r="AC3033" s="13">
        <v>44681</v>
      </c>
      <c r="AD3033" s="13">
        <v>44681</v>
      </c>
      <c r="AI3033">
        <v>43</v>
      </c>
      <c r="AN3033" t="s">
        <v>31</v>
      </c>
      <c r="AO3033">
        <v>0</v>
      </c>
      <c r="AS3033" t="s">
        <v>392</v>
      </c>
      <c r="AX3033" t="s">
        <v>57</v>
      </c>
      <c r="AY3033" t="s">
        <v>386</v>
      </c>
      <c r="BF3033">
        <v>0</v>
      </c>
      <c r="BK3033" t="s">
        <v>31</v>
      </c>
      <c r="BS3033" t="s">
        <v>412</v>
      </c>
      <c r="CI3033" t="s">
        <v>388</v>
      </c>
      <c r="CJ3033" s="14">
        <v>45016</v>
      </c>
      <c r="CK3033">
        <v>1</v>
      </c>
    </row>
    <row r="3034" spans="1:89">
      <c r="A3034" t="s">
        <v>2047</v>
      </c>
      <c r="B3034" t="s">
        <v>374</v>
      </c>
      <c r="C3034" t="s">
        <v>2048</v>
      </c>
      <c r="D3034" t="s">
        <v>2054</v>
      </c>
      <c r="E3034" t="s">
        <v>2055</v>
      </c>
      <c r="F3034" s="13">
        <v>44638.758634259262</v>
      </c>
      <c r="G3034" t="s">
        <v>641</v>
      </c>
      <c r="H3034" t="s">
        <v>642</v>
      </c>
      <c r="I3034" s="13">
        <v>44638.758634259262</v>
      </c>
      <c r="K3034" t="s">
        <v>412</v>
      </c>
      <c r="M3034" s="13">
        <v>44650</v>
      </c>
      <c r="R3034">
        <v>0</v>
      </c>
      <c r="S3034" t="s">
        <v>380</v>
      </c>
      <c r="T3034" t="s">
        <v>57</v>
      </c>
      <c r="V3034" t="s">
        <v>381</v>
      </c>
      <c r="W3034" t="s">
        <v>2051</v>
      </c>
      <c r="X3034" t="s">
        <v>2051</v>
      </c>
      <c r="AC3034" s="13">
        <v>44650</v>
      </c>
      <c r="AD3034" s="13">
        <v>44650</v>
      </c>
      <c r="AI3034">
        <v>12</v>
      </c>
      <c r="AN3034" t="s">
        <v>31</v>
      </c>
      <c r="AO3034">
        <v>0</v>
      </c>
      <c r="AS3034" t="s">
        <v>392</v>
      </c>
      <c r="AX3034" t="s">
        <v>57</v>
      </c>
      <c r="AY3034" t="s">
        <v>386</v>
      </c>
      <c r="BF3034">
        <v>0</v>
      </c>
      <c r="BK3034" t="s">
        <v>31</v>
      </c>
      <c r="BS3034" t="s">
        <v>412</v>
      </c>
      <c r="CI3034" t="s">
        <v>388</v>
      </c>
      <c r="CJ3034" s="14">
        <v>45016</v>
      </c>
      <c r="CK3034">
        <v>1</v>
      </c>
    </row>
    <row r="3035" spans="1:89">
      <c r="A3035" t="s">
        <v>637</v>
      </c>
      <c r="B3035" t="s">
        <v>374</v>
      </c>
      <c r="C3035" t="s">
        <v>638</v>
      </c>
      <c r="D3035" t="s">
        <v>2056</v>
      </c>
      <c r="E3035" t="s">
        <v>640</v>
      </c>
      <c r="F3035" s="13">
        <v>44638.751273148147</v>
      </c>
      <c r="G3035" t="s">
        <v>641</v>
      </c>
      <c r="H3035" t="s">
        <v>642</v>
      </c>
      <c r="I3035" s="13">
        <v>44833.703101851854</v>
      </c>
      <c r="K3035" t="s">
        <v>412</v>
      </c>
      <c r="M3035" s="13">
        <v>44742</v>
      </c>
      <c r="R3035">
        <v>0</v>
      </c>
      <c r="S3035" t="s">
        <v>380</v>
      </c>
      <c r="T3035" t="s">
        <v>57</v>
      </c>
      <c r="V3035" t="s">
        <v>381</v>
      </c>
      <c r="W3035" t="s">
        <v>643</v>
      </c>
      <c r="X3035" t="s">
        <v>643</v>
      </c>
      <c r="AC3035" s="13">
        <v>44834</v>
      </c>
      <c r="AD3035" s="13">
        <v>44834</v>
      </c>
      <c r="AI3035">
        <v>104</v>
      </c>
      <c r="AN3035" t="s">
        <v>31</v>
      </c>
      <c r="AO3035">
        <v>0</v>
      </c>
      <c r="AS3035" t="s">
        <v>538</v>
      </c>
      <c r="AX3035" t="s">
        <v>57</v>
      </c>
      <c r="AY3035" t="s">
        <v>442</v>
      </c>
      <c r="AZ3035" t="s">
        <v>644</v>
      </c>
      <c r="BF3035">
        <v>0</v>
      </c>
      <c r="BK3035" t="s">
        <v>31</v>
      </c>
      <c r="BS3035" t="s">
        <v>412</v>
      </c>
      <c r="CI3035" t="s">
        <v>388</v>
      </c>
      <c r="CJ3035" s="14">
        <v>45016</v>
      </c>
      <c r="CK3035">
        <v>1</v>
      </c>
    </row>
    <row r="3036" spans="1:89">
      <c r="A3036" t="s">
        <v>637</v>
      </c>
      <c r="B3036" t="s">
        <v>374</v>
      </c>
      <c r="C3036" t="s">
        <v>638</v>
      </c>
      <c r="D3036" t="s">
        <v>2057</v>
      </c>
      <c r="E3036" t="s">
        <v>646</v>
      </c>
      <c r="F3036" s="13">
        <v>44638.751261574071</v>
      </c>
      <c r="G3036" t="s">
        <v>641</v>
      </c>
      <c r="H3036" t="s">
        <v>642</v>
      </c>
      <c r="I3036" s="13">
        <v>44833.703101851854</v>
      </c>
      <c r="K3036" t="s">
        <v>412</v>
      </c>
      <c r="M3036" s="13">
        <v>44620</v>
      </c>
      <c r="R3036">
        <v>0</v>
      </c>
      <c r="S3036" t="s">
        <v>416</v>
      </c>
      <c r="T3036" t="s">
        <v>57</v>
      </c>
      <c r="V3036" t="s">
        <v>381</v>
      </c>
      <c r="W3036" t="s">
        <v>647</v>
      </c>
      <c r="X3036" t="s">
        <v>647</v>
      </c>
      <c r="AC3036" s="13">
        <v>44711</v>
      </c>
      <c r="AD3036" s="13">
        <v>44711</v>
      </c>
      <c r="AI3036">
        <v>-18</v>
      </c>
      <c r="AN3036" t="s">
        <v>31</v>
      </c>
      <c r="AO3036">
        <v>0</v>
      </c>
      <c r="AS3036" t="s">
        <v>648</v>
      </c>
      <c r="AX3036" t="s">
        <v>31</v>
      </c>
      <c r="AY3036" t="s">
        <v>386</v>
      </c>
      <c r="AZ3036" t="s">
        <v>649</v>
      </c>
      <c r="BF3036">
        <v>0</v>
      </c>
      <c r="BK3036" t="s">
        <v>31</v>
      </c>
      <c r="BS3036" t="s">
        <v>412</v>
      </c>
      <c r="CI3036" t="s">
        <v>388</v>
      </c>
      <c r="CJ3036" s="14">
        <v>45016</v>
      </c>
      <c r="CK3036">
        <v>1</v>
      </c>
    </row>
    <row r="3037" spans="1:89">
      <c r="A3037" t="s">
        <v>637</v>
      </c>
      <c r="B3037" t="s">
        <v>374</v>
      </c>
      <c r="C3037" t="s">
        <v>638</v>
      </c>
      <c r="D3037" t="s">
        <v>2058</v>
      </c>
      <c r="E3037" t="s">
        <v>651</v>
      </c>
      <c r="F3037" s="13">
        <v>44638.751261574071</v>
      </c>
      <c r="G3037" t="s">
        <v>641</v>
      </c>
      <c r="H3037" t="s">
        <v>642</v>
      </c>
      <c r="I3037" s="13">
        <v>44833.703101851854</v>
      </c>
      <c r="K3037" t="s">
        <v>412</v>
      </c>
      <c r="M3037" s="13">
        <v>44620</v>
      </c>
      <c r="R3037">
        <v>0</v>
      </c>
      <c r="S3037" t="s">
        <v>416</v>
      </c>
      <c r="T3037" t="s">
        <v>57</v>
      </c>
      <c r="V3037" t="s">
        <v>381</v>
      </c>
      <c r="W3037" t="s">
        <v>647</v>
      </c>
      <c r="X3037" t="s">
        <v>647</v>
      </c>
      <c r="AC3037" s="13">
        <v>44711</v>
      </c>
      <c r="AD3037" s="13">
        <v>44711</v>
      </c>
      <c r="AI3037">
        <v>-18</v>
      </c>
      <c r="AN3037" t="s">
        <v>31</v>
      </c>
      <c r="AO3037">
        <v>0</v>
      </c>
      <c r="AS3037" t="s">
        <v>392</v>
      </c>
      <c r="AX3037" t="s">
        <v>31</v>
      </c>
      <c r="AY3037" t="s">
        <v>386</v>
      </c>
      <c r="AZ3037" t="s">
        <v>652</v>
      </c>
      <c r="BF3037">
        <v>0</v>
      </c>
      <c r="BK3037" t="s">
        <v>31</v>
      </c>
      <c r="BS3037" t="s">
        <v>412</v>
      </c>
      <c r="CI3037" t="s">
        <v>388</v>
      </c>
      <c r="CJ3037" s="14">
        <v>45016</v>
      </c>
      <c r="CK3037">
        <v>1</v>
      </c>
    </row>
    <row r="3038" spans="1:89">
      <c r="A3038" t="s">
        <v>637</v>
      </c>
      <c r="B3038" t="s">
        <v>374</v>
      </c>
      <c r="C3038" t="s">
        <v>638</v>
      </c>
      <c r="D3038" t="s">
        <v>2059</v>
      </c>
      <c r="E3038" t="s">
        <v>654</v>
      </c>
      <c r="F3038" s="13">
        <v>44638.751250000001</v>
      </c>
      <c r="G3038" t="s">
        <v>641</v>
      </c>
      <c r="H3038" t="s">
        <v>642</v>
      </c>
      <c r="I3038" s="13">
        <v>44833.703101851854</v>
      </c>
      <c r="K3038" t="s">
        <v>412</v>
      </c>
      <c r="M3038" s="13">
        <v>44620</v>
      </c>
      <c r="R3038">
        <v>0</v>
      </c>
      <c r="S3038" t="s">
        <v>380</v>
      </c>
      <c r="T3038" t="s">
        <v>57</v>
      </c>
      <c r="V3038" t="s">
        <v>381</v>
      </c>
      <c r="W3038" t="s">
        <v>647</v>
      </c>
      <c r="X3038" t="s">
        <v>647</v>
      </c>
      <c r="AC3038" s="13">
        <v>44711</v>
      </c>
      <c r="AD3038" s="13">
        <v>44711</v>
      </c>
      <c r="AI3038">
        <v>-18</v>
      </c>
      <c r="AN3038" t="s">
        <v>31</v>
      </c>
      <c r="AO3038">
        <v>0</v>
      </c>
      <c r="AS3038" t="s">
        <v>385</v>
      </c>
      <c r="AX3038" t="s">
        <v>31</v>
      </c>
      <c r="AY3038" t="s">
        <v>442</v>
      </c>
      <c r="AZ3038" t="s">
        <v>655</v>
      </c>
      <c r="BF3038">
        <v>0</v>
      </c>
      <c r="BK3038" t="s">
        <v>31</v>
      </c>
      <c r="BS3038" t="s">
        <v>412</v>
      </c>
      <c r="CI3038" t="s">
        <v>388</v>
      </c>
      <c r="CJ3038" s="14">
        <v>45016</v>
      </c>
      <c r="CK3038">
        <v>1</v>
      </c>
    </row>
    <row r="3039" spans="1:89">
      <c r="A3039" t="s">
        <v>637</v>
      </c>
      <c r="B3039" t="s">
        <v>374</v>
      </c>
      <c r="C3039" t="s">
        <v>638</v>
      </c>
      <c r="D3039" t="s">
        <v>2060</v>
      </c>
      <c r="E3039" t="s">
        <v>657</v>
      </c>
      <c r="F3039" s="13">
        <v>44638.751250000001</v>
      </c>
      <c r="G3039" t="s">
        <v>641</v>
      </c>
      <c r="H3039" t="s">
        <v>642</v>
      </c>
      <c r="I3039" s="13">
        <v>44833.703101851854</v>
      </c>
      <c r="K3039" t="s">
        <v>412</v>
      </c>
      <c r="M3039" s="13">
        <v>44620</v>
      </c>
      <c r="R3039">
        <v>0</v>
      </c>
      <c r="S3039" t="s">
        <v>380</v>
      </c>
      <c r="T3039" t="s">
        <v>57</v>
      </c>
      <c r="V3039" t="s">
        <v>381</v>
      </c>
      <c r="W3039" t="s">
        <v>647</v>
      </c>
      <c r="X3039" t="s">
        <v>647</v>
      </c>
      <c r="AC3039" s="13">
        <v>44711</v>
      </c>
      <c r="AD3039" s="13">
        <v>44711</v>
      </c>
      <c r="AI3039">
        <v>-18</v>
      </c>
      <c r="AN3039" t="s">
        <v>31</v>
      </c>
      <c r="AO3039">
        <v>0</v>
      </c>
      <c r="AS3039" t="s">
        <v>385</v>
      </c>
      <c r="AX3039" t="s">
        <v>31</v>
      </c>
      <c r="AY3039" t="s">
        <v>442</v>
      </c>
      <c r="AZ3039" t="s">
        <v>658</v>
      </c>
      <c r="BF3039">
        <v>0</v>
      </c>
      <c r="BK3039" t="s">
        <v>31</v>
      </c>
      <c r="BS3039" t="s">
        <v>412</v>
      </c>
      <c r="CI3039" t="s">
        <v>388</v>
      </c>
      <c r="CJ3039" s="14">
        <v>45016</v>
      </c>
      <c r="CK3039">
        <v>1</v>
      </c>
    </row>
    <row r="3040" spans="1:89">
      <c r="A3040" t="s">
        <v>637</v>
      </c>
      <c r="B3040" t="s">
        <v>374</v>
      </c>
      <c r="C3040" t="s">
        <v>638</v>
      </c>
      <c r="D3040" t="s">
        <v>2061</v>
      </c>
      <c r="E3040" t="s">
        <v>660</v>
      </c>
      <c r="F3040" s="13">
        <v>44638.751238425924</v>
      </c>
      <c r="G3040" t="s">
        <v>641</v>
      </c>
      <c r="H3040" t="s">
        <v>642</v>
      </c>
      <c r="I3040" s="13">
        <v>44833.703101851854</v>
      </c>
      <c r="K3040" t="s">
        <v>412</v>
      </c>
      <c r="M3040" s="13">
        <v>44620</v>
      </c>
      <c r="R3040">
        <v>0</v>
      </c>
      <c r="S3040" t="s">
        <v>380</v>
      </c>
      <c r="T3040" t="s">
        <v>57</v>
      </c>
      <c r="V3040" t="s">
        <v>381</v>
      </c>
      <c r="W3040" t="s">
        <v>647</v>
      </c>
      <c r="X3040" t="s">
        <v>647</v>
      </c>
      <c r="AC3040" s="13">
        <v>44711</v>
      </c>
      <c r="AD3040" s="13">
        <v>44711</v>
      </c>
      <c r="AI3040">
        <v>-18</v>
      </c>
      <c r="AN3040" t="s">
        <v>31</v>
      </c>
      <c r="AO3040">
        <v>0</v>
      </c>
      <c r="AS3040" t="s">
        <v>526</v>
      </c>
      <c r="AX3040" t="s">
        <v>31</v>
      </c>
      <c r="AY3040" t="s">
        <v>442</v>
      </c>
      <c r="AZ3040" t="s">
        <v>661</v>
      </c>
      <c r="BF3040">
        <v>0</v>
      </c>
      <c r="BK3040" t="s">
        <v>31</v>
      </c>
      <c r="BS3040" t="s">
        <v>412</v>
      </c>
      <c r="CI3040" t="s">
        <v>388</v>
      </c>
      <c r="CJ3040" s="14">
        <v>45016</v>
      </c>
      <c r="CK3040">
        <v>1</v>
      </c>
    </row>
    <row r="3041" spans="1:89">
      <c r="A3041" t="s">
        <v>637</v>
      </c>
      <c r="B3041" t="s">
        <v>374</v>
      </c>
      <c r="C3041" t="s">
        <v>638</v>
      </c>
      <c r="D3041" t="s">
        <v>2062</v>
      </c>
      <c r="E3041" t="s">
        <v>663</v>
      </c>
      <c r="F3041" s="13">
        <v>44638.751238425924</v>
      </c>
      <c r="G3041" t="s">
        <v>641</v>
      </c>
      <c r="H3041" t="s">
        <v>642</v>
      </c>
      <c r="I3041" s="13">
        <v>44833.703101851854</v>
      </c>
      <c r="K3041" t="s">
        <v>412</v>
      </c>
      <c r="M3041" s="13">
        <v>44620</v>
      </c>
      <c r="R3041">
        <v>0</v>
      </c>
      <c r="S3041" t="s">
        <v>380</v>
      </c>
      <c r="T3041" t="s">
        <v>57</v>
      </c>
      <c r="V3041" t="s">
        <v>381</v>
      </c>
      <c r="W3041" t="s">
        <v>647</v>
      </c>
      <c r="X3041" t="s">
        <v>647</v>
      </c>
      <c r="AC3041" s="13">
        <v>44711</v>
      </c>
      <c r="AD3041" s="13">
        <v>44711</v>
      </c>
      <c r="AI3041">
        <v>-18</v>
      </c>
      <c r="AN3041" t="s">
        <v>31</v>
      </c>
      <c r="AO3041">
        <v>0</v>
      </c>
      <c r="AS3041" t="s">
        <v>648</v>
      </c>
      <c r="AX3041" t="s">
        <v>31</v>
      </c>
      <c r="AY3041" t="s">
        <v>442</v>
      </c>
      <c r="AZ3041" t="s">
        <v>648</v>
      </c>
      <c r="BF3041">
        <v>0</v>
      </c>
      <c r="BK3041" t="s">
        <v>31</v>
      </c>
      <c r="BS3041" t="s">
        <v>412</v>
      </c>
      <c r="CI3041" t="s">
        <v>388</v>
      </c>
      <c r="CJ3041" s="14">
        <v>45016</v>
      </c>
      <c r="CK3041">
        <v>1</v>
      </c>
    </row>
    <row r="3042" spans="1:89">
      <c r="A3042" t="s">
        <v>637</v>
      </c>
      <c r="B3042" t="s">
        <v>374</v>
      </c>
      <c r="C3042" t="s">
        <v>638</v>
      </c>
      <c r="D3042" t="s">
        <v>2063</v>
      </c>
      <c r="E3042" t="s">
        <v>665</v>
      </c>
      <c r="F3042" s="13">
        <v>44638.751238425924</v>
      </c>
      <c r="G3042" t="s">
        <v>641</v>
      </c>
      <c r="H3042" t="s">
        <v>642</v>
      </c>
      <c r="I3042" s="13">
        <v>44833.703101851854</v>
      </c>
      <c r="K3042" t="s">
        <v>412</v>
      </c>
      <c r="M3042" s="13">
        <v>44620</v>
      </c>
      <c r="R3042">
        <v>0</v>
      </c>
      <c r="S3042" t="s">
        <v>380</v>
      </c>
      <c r="T3042" t="s">
        <v>57</v>
      </c>
      <c r="V3042" t="s">
        <v>381</v>
      </c>
      <c r="W3042" t="s">
        <v>647</v>
      </c>
      <c r="X3042" t="s">
        <v>647</v>
      </c>
      <c r="AC3042" s="13">
        <v>44711</v>
      </c>
      <c r="AD3042" s="13">
        <v>44711</v>
      </c>
      <c r="AI3042">
        <v>-18</v>
      </c>
      <c r="AN3042" t="s">
        <v>31</v>
      </c>
      <c r="AO3042">
        <v>0</v>
      </c>
      <c r="AS3042" t="s">
        <v>385</v>
      </c>
      <c r="AX3042" t="s">
        <v>31</v>
      </c>
      <c r="AY3042" t="s">
        <v>442</v>
      </c>
      <c r="AZ3042" t="s">
        <v>666</v>
      </c>
      <c r="BF3042">
        <v>0</v>
      </c>
      <c r="BK3042" t="s">
        <v>31</v>
      </c>
      <c r="BS3042" t="s">
        <v>412</v>
      </c>
      <c r="CI3042" t="s">
        <v>388</v>
      </c>
      <c r="CJ3042" s="14">
        <v>45016</v>
      </c>
      <c r="CK3042">
        <v>1</v>
      </c>
    </row>
    <row r="3043" spans="1:89">
      <c r="A3043" t="s">
        <v>1181</v>
      </c>
      <c r="B3043" t="s">
        <v>374</v>
      </c>
      <c r="C3043" t="s">
        <v>1182</v>
      </c>
      <c r="D3043" t="s">
        <v>2064</v>
      </c>
      <c r="E3043" t="s">
        <v>671</v>
      </c>
      <c r="F3043" s="13">
        <v>44638.751226851855</v>
      </c>
      <c r="G3043" t="s">
        <v>641</v>
      </c>
      <c r="H3043" t="s">
        <v>642</v>
      </c>
      <c r="I3043" s="13">
        <v>44833.703101851854</v>
      </c>
      <c r="K3043" t="s">
        <v>412</v>
      </c>
      <c r="M3043" s="13">
        <v>44620</v>
      </c>
      <c r="R3043">
        <v>0</v>
      </c>
      <c r="S3043" t="s">
        <v>380</v>
      </c>
      <c r="T3043" t="s">
        <v>57</v>
      </c>
      <c r="V3043" t="s">
        <v>381</v>
      </c>
      <c r="W3043" t="s">
        <v>647</v>
      </c>
      <c r="X3043" t="s">
        <v>647</v>
      </c>
      <c r="AC3043" s="13">
        <v>44711</v>
      </c>
      <c r="AD3043" s="13">
        <v>44711</v>
      </c>
      <c r="AI3043">
        <v>-18</v>
      </c>
      <c r="AN3043" t="s">
        <v>31</v>
      </c>
      <c r="AO3043">
        <v>0</v>
      </c>
      <c r="AS3043" t="s">
        <v>538</v>
      </c>
      <c r="AX3043" t="s">
        <v>31</v>
      </c>
      <c r="AY3043" t="s">
        <v>442</v>
      </c>
      <c r="AZ3043" t="s">
        <v>672</v>
      </c>
      <c r="BF3043">
        <v>0</v>
      </c>
      <c r="BK3043" t="s">
        <v>31</v>
      </c>
      <c r="BS3043" t="s">
        <v>412</v>
      </c>
      <c r="CI3043" t="s">
        <v>388</v>
      </c>
      <c r="CJ3043" s="14">
        <v>45016</v>
      </c>
      <c r="CK3043">
        <v>1</v>
      </c>
    </row>
    <row r="3044" spans="1:89">
      <c r="A3044" t="s">
        <v>1181</v>
      </c>
      <c r="B3044" t="s">
        <v>374</v>
      </c>
      <c r="C3044" t="s">
        <v>1182</v>
      </c>
      <c r="D3044" t="s">
        <v>2065</v>
      </c>
      <c r="E3044" t="s">
        <v>668</v>
      </c>
      <c r="F3044" s="13">
        <v>44638.751226851855</v>
      </c>
      <c r="G3044" t="s">
        <v>641</v>
      </c>
      <c r="H3044" t="s">
        <v>642</v>
      </c>
      <c r="I3044" s="13">
        <v>44833.703101851854</v>
      </c>
      <c r="K3044" t="s">
        <v>412</v>
      </c>
      <c r="M3044" s="13">
        <v>44620</v>
      </c>
      <c r="R3044">
        <v>0</v>
      </c>
      <c r="S3044" t="s">
        <v>380</v>
      </c>
      <c r="T3044" t="s">
        <v>57</v>
      </c>
      <c r="V3044" t="s">
        <v>381</v>
      </c>
      <c r="W3044" t="s">
        <v>647</v>
      </c>
      <c r="X3044" t="s">
        <v>647</v>
      </c>
      <c r="AC3044" s="13">
        <v>44711</v>
      </c>
      <c r="AD3044" s="13">
        <v>44711</v>
      </c>
      <c r="AI3044">
        <v>-18</v>
      </c>
      <c r="AN3044" t="s">
        <v>31</v>
      </c>
      <c r="AO3044">
        <v>0</v>
      </c>
      <c r="AS3044" t="s">
        <v>648</v>
      </c>
      <c r="AX3044" t="s">
        <v>31</v>
      </c>
      <c r="AY3044" t="s">
        <v>442</v>
      </c>
      <c r="AZ3044" t="s">
        <v>669</v>
      </c>
      <c r="BF3044">
        <v>0</v>
      </c>
      <c r="BK3044" t="s">
        <v>31</v>
      </c>
      <c r="BS3044" t="s">
        <v>412</v>
      </c>
      <c r="CI3044" t="s">
        <v>388</v>
      </c>
      <c r="CJ3044" s="14">
        <v>45016</v>
      </c>
      <c r="CK3044">
        <v>1</v>
      </c>
    </row>
    <row r="3045" spans="1:89">
      <c r="A3045" t="s">
        <v>2066</v>
      </c>
      <c r="B3045" t="s">
        <v>374</v>
      </c>
      <c r="C3045" t="s">
        <v>2067</v>
      </c>
      <c r="D3045" t="s">
        <v>2068</v>
      </c>
      <c r="E3045" t="s">
        <v>2069</v>
      </c>
      <c r="F3045" s="13">
        <v>44638.441678240742</v>
      </c>
      <c r="G3045" t="s">
        <v>2070</v>
      </c>
      <c r="H3045" t="s">
        <v>2071</v>
      </c>
      <c r="I3045" s="13">
        <v>45012.044259259259</v>
      </c>
      <c r="K3045" t="s">
        <v>415</v>
      </c>
      <c r="M3045" s="13">
        <v>44651</v>
      </c>
      <c r="R3045">
        <v>0</v>
      </c>
      <c r="S3045" t="s">
        <v>380</v>
      </c>
      <c r="T3045" t="s">
        <v>57</v>
      </c>
      <c r="V3045" t="s">
        <v>478</v>
      </c>
      <c r="W3045" t="s">
        <v>2072</v>
      </c>
      <c r="X3045" t="s">
        <v>2072</v>
      </c>
      <c r="AC3045" s="13">
        <v>44742</v>
      </c>
      <c r="AD3045" s="13">
        <v>44651</v>
      </c>
      <c r="AF3045" t="s">
        <v>451</v>
      </c>
      <c r="AI3045">
        <v>-361</v>
      </c>
      <c r="AL3045" t="s">
        <v>2073</v>
      </c>
      <c r="AN3045" t="s">
        <v>31</v>
      </c>
      <c r="AO3045">
        <v>0</v>
      </c>
      <c r="AS3045" t="s">
        <v>385</v>
      </c>
      <c r="AX3045" t="s">
        <v>57</v>
      </c>
      <c r="AY3045" t="s">
        <v>442</v>
      </c>
      <c r="AZ3045" t="s">
        <v>2074</v>
      </c>
      <c r="BF3045">
        <v>0</v>
      </c>
      <c r="BK3045" t="s">
        <v>31</v>
      </c>
      <c r="BS3045" t="s">
        <v>419</v>
      </c>
      <c r="BT3045" t="s">
        <v>419</v>
      </c>
      <c r="CI3045" t="s">
        <v>388</v>
      </c>
      <c r="CJ3045" s="14">
        <v>45016</v>
      </c>
      <c r="CK3045">
        <v>1</v>
      </c>
    </row>
    <row r="3046" spans="1:89">
      <c r="A3046" t="s">
        <v>2075</v>
      </c>
      <c r="B3046" t="s">
        <v>374</v>
      </c>
      <c r="C3046" t="s">
        <v>2076</v>
      </c>
      <c r="D3046" t="s">
        <v>2077</v>
      </c>
      <c r="E3046" t="s">
        <v>2078</v>
      </c>
      <c r="F3046" s="13">
        <v>44637.628877314812</v>
      </c>
      <c r="G3046" t="s">
        <v>2079</v>
      </c>
      <c r="H3046" t="s">
        <v>2080</v>
      </c>
      <c r="I3046" s="13">
        <v>45012.044247685182</v>
      </c>
      <c r="K3046" t="s">
        <v>415</v>
      </c>
      <c r="M3046" s="13">
        <v>44673</v>
      </c>
      <c r="R3046">
        <v>0</v>
      </c>
      <c r="S3046" t="s">
        <v>380</v>
      </c>
      <c r="T3046" t="s">
        <v>57</v>
      </c>
      <c r="V3046" t="s">
        <v>478</v>
      </c>
      <c r="W3046" t="s">
        <v>2081</v>
      </c>
      <c r="X3046" t="s">
        <v>2081</v>
      </c>
      <c r="AF3046" t="s">
        <v>451</v>
      </c>
      <c r="AI3046">
        <v>-339</v>
      </c>
      <c r="AL3046" t="s">
        <v>2082</v>
      </c>
      <c r="AN3046" t="s">
        <v>31</v>
      </c>
      <c r="AO3046">
        <v>0</v>
      </c>
      <c r="AS3046" t="s">
        <v>385</v>
      </c>
      <c r="AX3046" t="s">
        <v>57</v>
      </c>
      <c r="AY3046" t="s">
        <v>386</v>
      </c>
      <c r="AZ3046" t="s">
        <v>2083</v>
      </c>
      <c r="BF3046">
        <v>0</v>
      </c>
      <c r="BK3046" t="s">
        <v>31</v>
      </c>
      <c r="BS3046" t="s">
        <v>419</v>
      </c>
      <c r="BT3046" t="s">
        <v>419</v>
      </c>
      <c r="CI3046" t="s">
        <v>388</v>
      </c>
      <c r="CJ3046" s="14">
        <v>45016</v>
      </c>
      <c r="CK3046">
        <v>1</v>
      </c>
    </row>
    <row r="3047" spans="1:89">
      <c r="A3047" t="s">
        <v>1655</v>
      </c>
      <c r="B3047" t="s">
        <v>374</v>
      </c>
      <c r="C3047" t="s">
        <v>1656</v>
      </c>
      <c r="D3047" t="s">
        <v>2084</v>
      </c>
      <c r="E3047" t="s">
        <v>2085</v>
      </c>
      <c r="F3047" s="13">
        <v>44637.545694444445</v>
      </c>
      <c r="G3047" t="s">
        <v>1659</v>
      </c>
      <c r="H3047" t="s">
        <v>1660</v>
      </c>
      <c r="I3047" s="13">
        <v>45012.044247685182</v>
      </c>
      <c r="K3047" t="s">
        <v>415</v>
      </c>
      <c r="M3047" s="13">
        <v>44742</v>
      </c>
      <c r="R3047">
        <v>0</v>
      </c>
      <c r="S3047" t="s">
        <v>380</v>
      </c>
      <c r="T3047" t="s">
        <v>57</v>
      </c>
      <c r="V3047" t="s">
        <v>478</v>
      </c>
      <c r="W3047" t="s">
        <v>2086</v>
      </c>
      <c r="X3047" t="s">
        <v>2086</v>
      </c>
      <c r="AF3047" t="s">
        <v>451</v>
      </c>
      <c r="AI3047">
        <v>-270</v>
      </c>
      <c r="AL3047" t="s">
        <v>2087</v>
      </c>
      <c r="AN3047" t="s">
        <v>31</v>
      </c>
      <c r="AO3047">
        <v>0</v>
      </c>
      <c r="AS3047" t="s">
        <v>385</v>
      </c>
      <c r="AX3047" t="s">
        <v>31</v>
      </c>
      <c r="AY3047" t="s">
        <v>442</v>
      </c>
      <c r="AZ3047" t="s">
        <v>2088</v>
      </c>
      <c r="BE3047" t="s">
        <v>1364</v>
      </c>
      <c r="BF3047">
        <v>0</v>
      </c>
      <c r="BK3047" t="s">
        <v>31</v>
      </c>
      <c r="BS3047" t="s">
        <v>419</v>
      </c>
      <c r="BT3047" t="s">
        <v>419</v>
      </c>
      <c r="CI3047" t="s">
        <v>388</v>
      </c>
      <c r="CJ3047" s="14">
        <v>45016</v>
      </c>
      <c r="CK3047">
        <v>1</v>
      </c>
    </row>
    <row r="3048" spans="1:89">
      <c r="A3048" t="s">
        <v>2089</v>
      </c>
      <c r="B3048" t="s">
        <v>374</v>
      </c>
      <c r="C3048" t="s">
        <v>2090</v>
      </c>
      <c r="D3048" t="s">
        <v>2091</v>
      </c>
      <c r="E3048" t="s">
        <v>2092</v>
      </c>
      <c r="F3048" s="13">
        <v>44637.512175925927</v>
      </c>
      <c r="G3048" t="s">
        <v>2079</v>
      </c>
      <c r="H3048" t="s">
        <v>2080</v>
      </c>
      <c r="I3048" s="13">
        <v>45012.044247685182</v>
      </c>
      <c r="K3048" t="s">
        <v>415</v>
      </c>
      <c r="M3048" s="13">
        <v>44666</v>
      </c>
      <c r="R3048">
        <v>0</v>
      </c>
      <c r="S3048" t="s">
        <v>380</v>
      </c>
      <c r="T3048" t="s">
        <v>57</v>
      </c>
      <c r="V3048" t="s">
        <v>478</v>
      </c>
      <c r="W3048" t="s">
        <v>2093</v>
      </c>
      <c r="X3048" t="s">
        <v>2093</v>
      </c>
      <c r="AF3048" t="s">
        <v>451</v>
      </c>
      <c r="AI3048">
        <v>-346</v>
      </c>
      <c r="AL3048" t="s">
        <v>2094</v>
      </c>
      <c r="AN3048" t="s">
        <v>31</v>
      </c>
      <c r="AO3048">
        <v>0</v>
      </c>
      <c r="AS3048" t="s">
        <v>702</v>
      </c>
      <c r="AX3048" t="s">
        <v>57</v>
      </c>
      <c r="AY3048" t="s">
        <v>386</v>
      </c>
      <c r="AZ3048" t="s">
        <v>2095</v>
      </c>
      <c r="BF3048">
        <v>0</v>
      </c>
      <c r="BK3048" t="s">
        <v>31</v>
      </c>
      <c r="BS3048" t="s">
        <v>419</v>
      </c>
      <c r="BT3048" t="s">
        <v>419</v>
      </c>
      <c r="CI3048" t="s">
        <v>388</v>
      </c>
      <c r="CJ3048" s="14">
        <v>45016</v>
      </c>
      <c r="CK3048">
        <v>1</v>
      </c>
    </row>
    <row r="3049" spans="1:89">
      <c r="A3049" t="s">
        <v>2096</v>
      </c>
      <c r="B3049" t="s">
        <v>374</v>
      </c>
      <c r="C3049" t="s">
        <v>2097</v>
      </c>
      <c r="D3049" t="s">
        <v>2098</v>
      </c>
      <c r="E3049" t="s">
        <v>2099</v>
      </c>
      <c r="F3049" s="13">
        <v>44637.236168981479</v>
      </c>
      <c r="G3049" t="s">
        <v>2100</v>
      </c>
      <c r="H3049" t="s">
        <v>2101</v>
      </c>
      <c r="I3049" s="13">
        <v>45012.044236111113</v>
      </c>
      <c r="K3049" t="s">
        <v>415</v>
      </c>
      <c r="M3049" s="13">
        <v>44681</v>
      </c>
      <c r="R3049">
        <v>0</v>
      </c>
      <c r="S3049" t="s">
        <v>380</v>
      </c>
      <c r="T3049" t="s">
        <v>57</v>
      </c>
      <c r="V3049" t="s">
        <v>478</v>
      </c>
      <c r="W3049" t="s">
        <v>2102</v>
      </c>
      <c r="X3049" t="s">
        <v>2102</v>
      </c>
      <c r="AC3049" s="13">
        <v>44681</v>
      </c>
      <c r="AD3049" s="13">
        <v>44681</v>
      </c>
      <c r="AF3049" t="s">
        <v>451</v>
      </c>
      <c r="AI3049">
        <v>-331</v>
      </c>
      <c r="AL3049" t="s">
        <v>2103</v>
      </c>
      <c r="AN3049" t="s">
        <v>31</v>
      </c>
      <c r="AO3049">
        <v>0</v>
      </c>
      <c r="AS3049" t="s">
        <v>385</v>
      </c>
      <c r="AX3049" t="s">
        <v>57</v>
      </c>
      <c r="AY3049" t="s">
        <v>442</v>
      </c>
      <c r="AZ3049" t="s">
        <v>2104</v>
      </c>
      <c r="BF3049">
        <v>0</v>
      </c>
      <c r="BK3049" t="s">
        <v>31</v>
      </c>
      <c r="BS3049" t="s">
        <v>419</v>
      </c>
      <c r="BT3049" t="s">
        <v>419</v>
      </c>
      <c r="CI3049" t="s">
        <v>388</v>
      </c>
      <c r="CJ3049" s="14">
        <v>45016</v>
      </c>
      <c r="CK3049">
        <v>1</v>
      </c>
    </row>
    <row r="3050" spans="1:89">
      <c r="A3050" t="s">
        <v>2105</v>
      </c>
      <c r="B3050" t="s">
        <v>374</v>
      </c>
      <c r="C3050" t="s">
        <v>1990</v>
      </c>
      <c r="D3050" t="s">
        <v>2106</v>
      </c>
      <c r="E3050" t="s">
        <v>2107</v>
      </c>
      <c r="F3050" s="13">
        <v>44636.812071759261</v>
      </c>
      <c r="G3050" t="s">
        <v>2108</v>
      </c>
      <c r="H3050" t="s">
        <v>2109</v>
      </c>
      <c r="I3050" s="13">
        <v>45012.044236111113</v>
      </c>
      <c r="K3050" t="s">
        <v>415</v>
      </c>
      <c r="M3050" s="13">
        <v>45107</v>
      </c>
      <c r="R3050">
        <v>0</v>
      </c>
      <c r="S3050" t="s">
        <v>380</v>
      </c>
      <c r="T3050" t="s">
        <v>57</v>
      </c>
      <c r="V3050" t="s">
        <v>381</v>
      </c>
      <c r="W3050" t="s">
        <v>2110</v>
      </c>
      <c r="X3050" t="s">
        <v>2110</v>
      </c>
      <c r="AF3050" t="s">
        <v>451</v>
      </c>
      <c r="AI3050">
        <v>95</v>
      </c>
      <c r="AL3050" t="s">
        <v>2111</v>
      </c>
      <c r="AN3050" t="s">
        <v>31</v>
      </c>
      <c r="AO3050">
        <v>0</v>
      </c>
      <c r="AS3050" t="s">
        <v>385</v>
      </c>
      <c r="AX3050" t="s">
        <v>31</v>
      </c>
      <c r="AY3050" t="s">
        <v>442</v>
      </c>
      <c r="AZ3050" t="s">
        <v>2112</v>
      </c>
      <c r="BF3050">
        <v>0</v>
      </c>
      <c r="BK3050" t="s">
        <v>31</v>
      </c>
      <c r="BS3050" t="s">
        <v>419</v>
      </c>
      <c r="BT3050" t="s">
        <v>419</v>
      </c>
      <c r="CI3050" t="s">
        <v>388</v>
      </c>
      <c r="CJ3050" s="14">
        <v>45016</v>
      </c>
      <c r="CK3050">
        <v>1</v>
      </c>
    </row>
    <row r="3051" spans="1:89">
      <c r="A3051" t="s">
        <v>2113</v>
      </c>
      <c r="B3051" t="s">
        <v>374</v>
      </c>
      <c r="C3051" t="s">
        <v>2114</v>
      </c>
      <c r="D3051" t="s">
        <v>2115</v>
      </c>
      <c r="E3051" t="s">
        <v>2116</v>
      </c>
      <c r="F3051" s="13">
        <v>44636.791597222225</v>
      </c>
      <c r="G3051" t="s">
        <v>2108</v>
      </c>
      <c r="H3051" t="s">
        <v>2109</v>
      </c>
      <c r="I3051" s="13">
        <v>44655.415659722225</v>
      </c>
      <c r="K3051" t="s">
        <v>379</v>
      </c>
      <c r="M3051" s="13">
        <v>44651</v>
      </c>
      <c r="R3051">
        <v>100</v>
      </c>
      <c r="S3051" t="s">
        <v>380</v>
      </c>
      <c r="T3051" t="s">
        <v>57</v>
      </c>
      <c r="V3051" t="s">
        <v>478</v>
      </c>
      <c r="W3051" t="s">
        <v>2117</v>
      </c>
      <c r="X3051" t="s">
        <v>2117</v>
      </c>
      <c r="AF3051" t="s">
        <v>382</v>
      </c>
      <c r="AG3051" t="s">
        <v>2118</v>
      </c>
      <c r="AI3051">
        <v>-4</v>
      </c>
      <c r="AJ3051" s="13">
        <v>44655</v>
      </c>
      <c r="AL3051" t="s">
        <v>2119</v>
      </c>
      <c r="AN3051" t="s">
        <v>31</v>
      </c>
      <c r="AO3051">
        <v>0</v>
      </c>
      <c r="AR3051" t="s">
        <v>2118</v>
      </c>
      <c r="AS3051" t="s">
        <v>648</v>
      </c>
      <c r="AX3051" t="s">
        <v>31</v>
      </c>
      <c r="AY3051" t="s">
        <v>386</v>
      </c>
      <c r="AZ3051" t="s">
        <v>2120</v>
      </c>
      <c r="BF3051">
        <v>0</v>
      </c>
      <c r="BK3051" t="s">
        <v>31</v>
      </c>
      <c r="BS3051" t="s">
        <v>379</v>
      </c>
      <c r="BT3051" t="s">
        <v>379</v>
      </c>
      <c r="CI3051" t="s">
        <v>388</v>
      </c>
      <c r="CJ3051" s="14">
        <v>45016</v>
      </c>
      <c r="CK3051">
        <v>1</v>
      </c>
    </row>
    <row r="3052" spans="1:89">
      <c r="A3052" t="s">
        <v>2121</v>
      </c>
      <c r="B3052" t="s">
        <v>374</v>
      </c>
      <c r="C3052" t="s">
        <v>2122</v>
      </c>
      <c r="D3052" t="s">
        <v>2123</v>
      </c>
      <c r="E3052" t="s">
        <v>2124</v>
      </c>
      <c r="F3052" s="13">
        <v>44636.787615740737</v>
      </c>
      <c r="G3052" t="s">
        <v>2125</v>
      </c>
      <c r="H3052" t="s">
        <v>2126</v>
      </c>
      <c r="I3052" s="13">
        <v>45012.044236111113</v>
      </c>
      <c r="K3052" t="s">
        <v>415</v>
      </c>
      <c r="M3052" s="13">
        <v>44719</v>
      </c>
      <c r="R3052">
        <v>0</v>
      </c>
      <c r="S3052" t="s">
        <v>416</v>
      </c>
      <c r="T3052" t="s">
        <v>57</v>
      </c>
      <c r="V3052" t="s">
        <v>478</v>
      </c>
      <c r="W3052" t="s">
        <v>2127</v>
      </c>
      <c r="X3052" t="s">
        <v>2127</v>
      </c>
      <c r="AF3052" t="s">
        <v>451</v>
      </c>
      <c r="AI3052">
        <v>-293</v>
      </c>
      <c r="AL3052" t="s">
        <v>2128</v>
      </c>
      <c r="AN3052" t="s">
        <v>31</v>
      </c>
      <c r="AO3052">
        <v>0</v>
      </c>
      <c r="AS3052" t="s">
        <v>392</v>
      </c>
      <c r="AX3052" t="s">
        <v>31</v>
      </c>
      <c r="AY3052" t="s">
        <v>386</v>
      </c>
      <c r="AZ3052" t="s">
        <v>2129</v>
      </c>
      <c r="BF3052">
        <v>0</v>
      </c>
      <c r="BK3052" t="s">
        <v>31</v>
      </c>
      <c r="BS3052" t="s">
        <v>419</v>
      </c>
      <c r="BT3052" t="s">
        <v>419</v>
      </c>
      <c r="CI3052" t="s">
        <v>388</v>
      </c>
      <c r="CJ3052" s="14">
        <v>45016</v>
      </c>
      <c r="CK3052">
        <v>1</v>
      </c>
    </row>
    <row r="3053" spans="1:89">
      <c r="A3053" t="s">
        <v>2121</v>
      </c>
      <c r="B3053" t="s">
        <v>374</v>
      </c>
      <c r="C3053" t="s">
        <v>2122</v>
      </c>
      <c r="D3053" t="s">
        <v>2130</v>
      </c>
      <c r="E3053" t="s">
        <v>2131</v>
      </c>
      <c r="F3053" s="13">
        <v>44636.767118055555</v>
      </c>
      <c r="G3053" t="s">
        <v>2125</v>
      </c>
      <c r="H3053" t="s">
        <v>2126</v>
      </c>
      <c r="I3053" s="13">
        <v>44636.776921296296</v>
      </c>
      <c r="K3053" t="s">
        <v>412</v>
      </c>
      <c r="R3053">
        <v>0</v>
      </c>
      <c r="S3053" t="s">
        <v>416</v>
      </c>
      <c r="T3053" t="s">
        <v>57</v>
      </c>
      <c r="V3053" t="s">
        <v>381</v>
      </c>
      <c r="W3053" t="s">
        <v>2132</v>
      </c>
      <c r="X3053" t="s">
        <v>2132</v>
      </c>
      <c r="AI3053">
        <v>14</v>
      </c>
      <c r="AL3053" t="s">
        <v>2133</v>
      </c>
      <c r="AN3053" t="s">
        <v>31</v>
      </c>
      <c r="AO3053">
        <v>0</v>
      </c>
      <c r="AS3053" t="s">
        <v>385</v>
      </c>
      <c r="AX3053" t="s">
        <v>57</v>
      </c>
      <c r="AY3053" t="s">
        <v>442</v>
      </c>
      <c r="AZ3053" t="s">
        <v>2134</v>
      </c>
      <c r="BF3053">
        <v>0</v>
      </c>
      <c r="BK3053" t="s">
        <v>31</v>
      </c>
      <c r="BS3053" t="s">
        <v>412</v>
      </c>
      <c r="BT3053" t="s">
        <v>412</v>
      </c>
      <c r="CI3053" t="s">
        <v>388</v>
      </c>
      <c r="CJ3053" s="14">
        <v>45016</v>
      </c>
      <c r="CK3053">
        <v>1</v>
      </c>
    </row>
    <row r="3054" spans="1:89">
      <c r="A3054" t="s">
        <v>2121</v>
      </c>
      <c r="B3054" t="s">
        <v>374</v>
      </c>
      <c r="C3054" t="s">
        <v>2122</v>
      </c>
      <c r="D3054" t="s">
        <v>2135</v>
      </c>
      <c r="E3054" t="s">
        <v>2136</v>
      </c>
      <c r="F3054" s="13">
        <v>44636.741377314815</v>
      </c>
      <c r="G3054" t="s">
        <v>2125</v>
      </c>
      <c r="H3054" t="s">
        <v>2126</v>
      </c>
      <c r="I3054" s="13">
        <v>45012.044224537036</v>
      </c>
      <c r="K3054" t="s">
        <v>415</v>
      </c>
      <c r="M3054" s="13">
        <v>44957</v>
      </c>
      <c r="R3054">
        <v>0</v>
      </c>
      <c r="S3054" t="s">
        <v>380</v>
      </c>
      <c r="T3054" t="s">
        <v>57</v>
      </c>
      <c r="V3054" t="s">
        <v>478</v>
      </c>
      <c r="W3054" t="s">
        <v>2137</v>
      </c>
      <c r="X3054" t="s">
        <v>2137</v>
      </c>
      <c r="AF3054" t="s">
        <v>451</v>
      </c>
      <c r="AI3054">
        <v>-55</v>
      </c>
      <c r="AL3054" t="s">
        <v>2138</v>
      </c>
      <c r="AN3054" t="s">
        <v>57</v>
      </c>
      <c r="AO3054">
        <v>0</v>
      </c>
      <c r="AS3054" t="s">
        <v>392</v>
      </c>
      <c r="AX3054" t="s">
        <v>57</v>
      </c>
      <c r="AY3054" t="s">
        <v>442</v>
      </c>
      <c r="AZ3054" t="s">
        <v>2139</v>
      </c>
      <c r="BF3054">
        <v>0</v>
      </c>
      <c r="BK3054" t="s">
        <v>31</v>
      </c>
      <c r="BS3054" t="s">
        <v>419</v>
      </c>
      <c r="BT3054" t="s">
        <v>419</v>
      </c>
      <c r="CI3054" t="s">
        <v>388</v>
      </c>
      <c r="CJ3054" s="14">
        <v>45016</v>
      </c>
      <c r="CK3054">
        <v>1</v>
      </c>
    </row>
    <row r="3055" spans="1:89">
      <c r="A3055" t="s">
        <v>2121</v>
      </c>
      <c r="B3055" t="s">
        <v>374</v>
      </c>
      <c r="C3055" t="s">
        <v>2122</v>
      </c>
      <c r="D3055" t="s">
        <v>2140</v>
      </c>
      <c r="E3055" t="s">
        <v>2141</v>
      </c>
      <c r="F3055" s="13">
        <v>44636.739247685182</v>
      </c>
      <c r="G3055" t="s">
        <v>2125</v>
      </c>
      <c r="H3055" t="s">
        <v>2126</v>
      </c>
      <c r="I3055" s="13">
        <v>45012.044224537036</v>
      </c>
      <c r="K3055" t="s">
        <v>415</v>
      </c>
      <c r="M3055" s="13">
        <v>44957</v>
      </c>
      <c r="R3055">
        <v>0</v>
      </c>
      <c r="S3055" t="s">
        <v>380</v>
      </c>
      <c r="T3055" t="s">
        <v>57</v>
      </c>
      <c r="V3055" t="s">
        <v>478</v>
      </c>
      <c r="W3055" t="s">
        <v>2137</v>
      </c>
      <c r="X3055" t="s">
        <v>2137</v>
      </c>
      <c r="AF3055" t="s">
        <v>451</v>
      </c>
      <c r="AI3055">
        <v>-55</v>
      </c>
      <c r="AL3055" t="s">
        <v>2138</v>
      </c>
      <c r="AN3055" t="s">
        <v>57</v>
      </c>
      <c r="AO3055">
        <v>0</v>
      </c>
      <c r="AS3055" t="s">
        <v>392</v>
      </c>
      <c r="AX3055" t="s">
        <v>57</v>
      </c>
      <c r="AY3055" t="s">
        <v>442</v>
      </c>
      <c r="AZ3055" t="s">
        <v>2142</v>
      </c>
      <c r="BF3055">
        <v>0</v>
      </c>
      <c r="BK3055" t="s">
        <v>31</v>
      </c>
      <c r="BS3055" t="s">
        <v>419</v>
      </c>
      <c r="BT3055" t="s">
        <v>419</v>
      </c>
      <c r="CI3055" t="s">
        <v>388</v>
      </c>
      <c r="CJ3055" s="14">
        <v>45016</v>
      </c>
      <c r="CK3055">
        <v>1</v>
      </c>
    </row>
    <row r="3056" spans="1:89">
      <c r="A3056" t="s">
        <v>2121</v>
      </c>
      <c r="B3056" t="s">
        <v>374</v>
      </c>
      <c r="C3056" t="s">
        <v>2122</v>
      </c>
      <c r="D3056" t="s">
        <v>2143</v>
      </c>
      <c r="E3056" t="s">
        <v>2144</v>
      </c>
      <c r="F3056" s="13">
        <v>44636.736446759256</v>
      </c>
      <c r="G3056" t="s">
        <v>2125</v>
      </c>
      <c r="H3056" t="s">
        <v>2126</v>
      </c>
      <c r="I3056" s="13">
        <v>45012.044224537036</v>
      </c>
      <c r="K3056" t="s">
        <v>415</v>
      </c>
      <c r="M3056" s="13">
        <v>44957</v>
      </c>
      <c r="R3056">
        <v>0</v>
      </c>
      <c r="S3056" t="s">
        <v>380</v>
      </c>
      <c r="T3056" t="s">
        <v>57</v>
      </c>
      <c r="V3056" t="s">
        <v>478</v>
      </c>
      <c r="W3056" t="s">
        <v>2137</v>
      </c>
      <c r="X3056" t="s">
        <v>2137</v>
      </c>
      <c r="AF3056" t="s">
        <v>451</v>
      </c>
      <c r="AI3056">
        <v>-55</v>
      </c>
      <c r="AL3056" t="s">
        <v>2138</v>
      </c>
      <c r="AN3056" t="s">
        <v>57</v>
      </c>
      <c r="AO3056">
        <v>0</v>
      </c>
      <c r="AS3056" t="s">
        <v>392</v>
      </c>
      <c r="AX3056" t="s">
        <v>57</v>
      </c>
      <c r="AY3056" t="s">
        <v>442</v>
      </c>
      <c r="AZ3056" t="s">
        <v>2145</v>
      </c>
      <c r="BF3056">
        <v>0</v>
      </c>
      <c r="BK3056" t="s">
        <v>31</v>
      </c>
      <c r="BS3056" t="s">
        <v>419</v>
      </c>
      <c r="BT3056" t="s">
        <v>419</v>
      </c>
      <c r="CI3056" t="s">
        <v>388</v>
      </c>
      <c r="CJ3056" s="14">
        <v>45016</v>
      </c>
      <c r="CK3056">
        <v>1</v>
      </c>
    </row>
    <row r="3057" spans="1:89">
      <c r="A3057" t="s">
        <v>2146</v>
      </c>
      <c r="B3057" t="s">
        <v>374</v>
      </c>
      <c r="C3057" t="s">
        <v>698</v>
      </c>
      <c r="D3057" t="s">
        <v>2147</v>
      </c>
      <c r="E3057" t="s">
        <v>2148</v>
      </c>
      <c r="F3057" s="13">
        <v>44636.628229166665</v>
      </c>
      <c r="G3057" t="s">
        <v>2149</v>
      </c>
      <c r="H3057" t="s">
        <v>2150</v>
      </c>
      <c r="I3057" s="13">
        <v>45012.044212962966</v>
      </c>
      <c r="K3057" t="s">
        <v>415</v>
      </c>
      <c r="M3057" s="13">
        <v>44880</v>
      </c>
      <c r="R3057">
        <v>0</v>
      </c>
      <c r="S3057" t="s">
        <v>380</v>
      </c>
      <c r="T3057" t="s">
        <v>57</v>
      </c>
      <c r="V3057" t="s">
        <v>478</v>
      </c>
      <c r="W3057" t="s">
        <v>2151</v>
      </c>
      <c r="X3057" t="s">
        <v>2151</v>
      </c>
      <c r="AF3057" t="s">
        <v>451</v>
      </c>
      <c r="AI3057">
        <v>-132</v>
      </c>
      <c r="AL3057" t="s">
        <v>2152</v>
      </c>
      <c r="AN3057" t="s">
        <v>31</v>
      </c>
      <c r="AO3057">
        <v>0</v>
      </c>
      <c r="AS3057" t="s">
        <v>385</v>
      </c>
      <c r="AX3057" t="s">
        <v>31</v>
      </c>
      <c r="AY3057" t="s">
        <v>442</v>
      </c>
      <c r="AZ3057" t="s">
        <v>2153</v>
      </c>
      <c r="BE3057" t="s">
        <v>2154</v>
      </c>
      <c r="BF3057">
        <v>0</v>
      </c>
      <c r="BK3057" t="s">
        <v>31</v>
      </c>
      <c r="BS3057" t="s">
        <v>419</v>
      </c>
      <c r="BT3057" t="s">
        <v>419</v>
      </c>
      <c r="CI3057" t="s">
        <v>388</v>
      </c>
      <c r="CJ3057" s="14">
        <v>45016</v>
      </c>
      <c r="CK3057">
        <v>1</v>
      </c>
    </row>
    <row r="3058" spans="1:89">
      <c r="A3058" t="s">
        <v>2155</v>
      </c>
      <c r="B3058" t="s">
        <v>374</v>
      </c>
      <c r="C3058" t="s">
        <v>2156</v>
      </c>
      <c r="D3058" t="s">
        <v>2157</v>
      </c>
      <c r="E3058" t="s">
        <v>2158</v>
      </c>
      <c r="F3058" s="13">
        <v>44636.498240740744</v>
      </c>
      <c r="G3058" t="s">
        <v>2159</v>
      </c>
      <c r="H3058" t="s">
        <v>2160</v>
      </c>
      <c r="I3058" s="13">
        <v>45012.044212962966</v>
      </c>
      <c r="K3058" t="s">
        <v>415</v>
      </c>
      <c r="M3058" s="13">
        <v>44718</v>
      </c>
      <c r="R3058">
        <v>0</v>
      </c>
      <c r="S3058" t="s">
        <v>416</v>
      </c>
      <c r="T3058" t="s">
        <v>57</v>
      </c>
      <c r="V3058" t="s">
        <v>478</v>
      </c>
      <c r="W3058" t="s">
        <v>2161</v>
      </c>
      <c r="X3058" t="s">
        <v>2161</v>
      </c>
      <c r="AC3058" s="13">
        <v>44718</v>
      </c>
      <c r="AD3058" s="13">
        <v>44718</v>
      </c>
      <c r="AF3058" t="s">
        <v>451</v>
      </c>
      <c r="AI3058">
        <v>-294</v>
      </c>
      <c r="AL3058" t="s">
        <v>2162</v>
      </c>
      <c r="AN3058" t="s">
        <v>31</v>
      </c>
      <c r="AO3058">
        <v>0</v>
      </c>
      <c r="AS3058" t="s">
        <v>385</v>
      </c>
      <c r="AX3058" t="s">
        <v>57</v>
      </c>
      <c r="AY3058" t="s">
        <v>386</v>
      </c>
      <c r="AZ3058" t="s">
        <v>2163</v>
      </c>
      <c r="BF3058">
        <v>0</v>
      </c>
      <c r="BK3058" t="s">
        <v>31</v>
      </c>
      <c r="BS3058" t="s">
        <v>419</v>
      </c>
      <c r="BT3058" t="s">
        <v>419</v>
      </c>
      <c r="CI3058" t="s">
        <v>388</v>
      </c>
      <c r="CJ3058" s="14">
        <v>45016</v>
      </c>
      <c r="CK3058">
        <v>1</v>
      </c>
    </row>
    <row r="3059" spans="1:89">
      <c r="A3059" t="s">
        <v>2164</v>
      </c>
      <c r="B3059" t="s">
        <v>374</v>
      </c>
      <c r="C3059" t="s">
        <v>2165</v>
      </c>
      <c r="D3059" t="s">
        <v>2166</v>
      </c>
      <c r="E3059" t="s">
        <v>2167</v>
      </c>
      <c r="F3059" s="13">
        <v>44636.479328703703</v>
      </c>
      <c r="G3059" t="s">
        <v>2168</v>
      </c>
      <c r="H3059" t="s">
        <v>2169</v>
      </c>
      <c r="I3059" s="13">
        <v>45012.044212962966</v>
      </c>
      <c r="K3059" t="s">
        <v>415</v>
      </c>
      <c r="M3059" s="13">
        <v>44742</v>
      </c>
      <c r="R3059">
        <v>0</v>
      </c>
      <c r="S3059" t="s">
        <v>380</v>
      </c>
      <c r="T3059" t="s">
        <v>57</v>
      </c>
      <c r="V3059" t="s">
        <v>478</v>
      </c>
      <c r="W3059" t="s">
        <v>2170</v>
      </c>
      <c r="X3059" t="s">
        <v>2170</v>
      </c>
      <c r="AC3059" s="13">
        <v>44834</v>
      </c>
      <c r="AD3059" s="13">
        <v>44742</v>
      </c>
      <c r="AF3059" t="s">
        <v>451</v>
      </c>
      <c r="AI3059">
        <v>-270</v>
      </c>
      <c r="AL3059" t="s">
        <v>2171</v>
      </c>
      <c r="AN3059" t="s">
        <v>57</v>
      </c>
      <c r="AO3059">
        <v>0</v>
      </c>
      <c r="AS3059" t="s">
        <v>1720</v>
      </c>
      <c r="AX3059" t="s">
        <v>57</v>
      </c>
      <c r="AY3059" t="s">
        <v>386</v>
      </c>
      <c r="AZ3059" t="s">
        <v>2172</v>
      </c>
      <c r="BF3059">
        <v>0</v>
      </c>
      <c r="BK3059" t="s">
        <v>31</v>
      </c>
      <c r="BS3059" t="s">
        <v>419</v>
      </c>
      <c r="BT3059" t="s">
        <v>419</v>
      </c>
      <c r="CI3059" t="s">
        <v>388</v>
      </c>
      <c r="CJ3059" s="14">
        <v>45016</v>
      </c>
      <c r="CK3059">
        <v>1</v>
      </c>
    </row>
    <row r="3060" spans="1:89">
      <c r="A3060" t="s">
        <v>2173</v>
      </c>
      <c r="B3060" t="s">
        <v>374</v>
      </c>
      <c r="C3060" t="s">
        <v>2174</v>
      </c>
      <c r="D3060" t="s">
        <v>2175</v>
      </c>
      <c r="E3060" t="s">
        <v>2176</v>
      </c>
      <c r="F3060" s="13">
        <v>44636.415092592593</v>
      </c>
      <c r="G3060" t="s">
        <v>1483</v>
      </c>
      <c r="H3060" t="s">
        <v>1484</v>
      </c>
      <c r="I3060" s="13">
        <v>45012.04420138889</v>
      </c>
      <c r="K3060" t="s">
        <v>415</v>
      </c>
      <c r="M3060" s="13">
        <v>44684</v>
      </c>
      <c r="R3060">
        <v>0</v>
      </c>
      <c r="S3060" t="s">
        <v>380</v>
      </c>
      <c r="T3060" t="s">
        <v>57</v>
      </c>
      <c r="V3060" t="s">
        <v>478</v>
      </c>
      <c r="W3060" t="s">
        <v>2177</v>
      </c>
      <c r="X3060" t="s">
        <v>2177</v>
      </c>
      <c r="AC3060" s="13">
        <v>44676</v>
      </c>
      <c r="AD3060" s="13">
        <v>44624</v>
      </c>
      <c r="AF3060" t="s">
        <v>451</v>
      </c>
      <c r="AI3060">
        <v>-328</v>
      </c>
      <c r="AL3060" t="s">
        <v>2178</v>
      </c>
      <c r="AN3060" t="s">
        <v>31</v>
      </c>
      <c r="AO3060">
        <v>0</v>
      </c>
      <c r="AS3060" t="s">
        <v>648</v>
      </c>
      <c r="AX3060" t="s">
        <v>31</v>
      </c>
      <c r="AY3060" t="s">
        <v>386</v>
      </c>
      <c r="AZ3060" t="s">
        <v>2179</v>
      </c>
      <c r="BF3060">
        <v>0</v>
      </c>
      <c r="BK3060" t="s">
        <v>31</v>
      </c>
      <c r="BS3060" t="s">
        <v>419</v>
      </c>
      <c r="BT3060" t="s">
        <v>419</v>
      </c>
      <c r="CI3060" t="s">
        <v>388</v>
      </c>
      <c r="CJ3060" s="14">
        <v>45016</v>
      </c>
      <c r="CK3060">
        <v>1</v>
      </c>
    </row>
    <row r="3061" spans="1:89">
      <c r="A3061" t="s">
        <v>1415</v>
      </c>
      <c r="B3061" t="s">
        <v>374</v>
      </c>
      <c r="C3061" t="s">
        <v>1416</v>
      </c>
      <c r="D3061" t="s">
        <v>2180</v>
      </c>
      <c r="E3061" t="s">
        <v>2181</v>
      </c>
      <c r="F3061" s="13">
        <v>44636.357164351852</v>
      </c>
      <c r="G3061" t="s">
        <v>1418</v>
      </c>
      <c r="H3061" t="s">
        <v>1419</v>
      </c>
      <c r="I3061" s="13">
        <v>45012.04420138889</v>
      </c>
      <c r="K3061" t="s">
        <v>415</v>
      </c>
      <c r="M3061" s="13">
        <v>44834</v>
      </c>
      <c r="R3061">
        <v>0</v>
      </c>
      <c r="S3061" t="s">
        <v>380</v>
      </c>
      <c r="T3061" t="s">
        <v>57</v>
      </c>
      <c r="V3061" t="s">
        <v>478</v>
      </c>
      <c r="W3061" t="s">
        <v>2182</v>
      </c>
      <c r="X3061" t="s">
        <v>2182</v>
      </c>
      <c r="AF3061" t="s">
        <v>451</v>
      </c>
      <c r="AI3061">
        <v>-178</v>
      </c>
      <c r="AL3061" t="s">
        <v>2183</v>
      </c>
      <c r="AN3061" t="s">
        <v>31</v>
      </c>
      <c r="AO3061">
        <v>0</v>
      </c>
      <c r="AS3061" t="s">
        <v>385</v>
      </c>
      <c r="AX3061" t="s">
        <v>31</v>
      </c>
      <c r="AY3061" t="s">
        <v>442</v>
      </c>
      <c r="AZ3061" t="s">
        <v>2184</v>
      </c>
      <c r="BF3061">
        <v>0</v>
      </c>
      <c r="BK3061" t="s">
        <v>31</v>
      </c>
      <c r="BS3061" t="s">
        <v>419</v>
      </c>
      <c r="BT3061" t="s">
        <v>419</v>
      </c>
      <c r="CI3061" t="s">
        <v>388</v>
      </c>
      <c r="CJ3061" s="14">
        <v>45016</v>
      </c>
      <c r="CK3061">
        <v>1</v>
      </c>
    </row>
    <row r="3062" spans="1:89">
      <c r="A3062" t="s">
        <v>2096</v>
      </c>
      <c r="B3062" t="s">
        <v>374</v>
      </c>
      <c r="C3062" t="s">
        <v>2097</v>
      </c>
      <c r="D3062" t="s">
        <v>2185</v>
      </c>
      <c r="E3062" t="s">
        <v>2186</v>
      </c>
      <c r="F3062" s="13">
        <v>44636.264421296299</v>
      </c>
      <c r="G3062" t="s">
        <v>2100</v>
      </c>
      <c r="H3062" t="s">
        <v>2101</v>
      </c>
      <c r="I3062" s="13">
        <v>45012.04420138889</v>
      </c>
      <c r="K3062" t="s">
        <v>415</v>
      </c>
      <c r="M3062" s="13">
        <v>44742</v>
      </c>
      <c r="R3062">
        <v>0</v>
      </c>
      <c r="S3062" t="s">
        <v>380</v>
      </c>
      <c r="T3062" t="s">
        <v>57</v>
      </c>
      <c r="V3062" t="s">
        <v>478</v>
      </c>
      <c r="W3062" t="s">
        <v>2187</v>
      </c>
      <c r="X3062" t="s">
        <v>2187</v>
      </c>
      <c r="AC3062" s="13">
        <v>44742</v>
      </c>
      <c r="AD3062" s="13">
        <v>44742</v>
      </c>
      <c r="AF3062" t="s">
        <v>451</v>
      </c>
      <c r="AI3062">
        <v>-270</v>
      </c>
      <c r="AL3062" t="s">
        <v>2188</v>
      </c>
      <c r="AN3062" t="s">
        <v>31</v>
      </c>
      <c r="AO3062">
        <v>0</v>
      </c>
      <c r="AS3062" t="s">
        <v>702</v>
      </c>
      <c r="AX3062" t="s">
        <v>57</v>
      </c>
      <c r="AY3062" t="s">
        <v>442</v>
      </c>
      <c r="AZ3062" t="s">
        <v>2189</v>
      </c>
      <c r="BF3062">
        <v>0</v>
      </c>
      <c r="BK3062" t="s">
        <v>31</v>
      </c>
      <c r="BS3062" t="s">
        <v>419</v>
      </c>
      <c r="BT3062" t="s">
        <v>419</v>
      </c>
      <c r="CI3062" t="s">
        <v>388</v>
      </c>
      <c r="CJ3062" s="14">
        <v>45016</v>
      </c>
      <c r="CK3062">
        <v>1</v>
      </c>
    </row>
    <row r="3063" spans="1:89">
      <c r="A3063" t="s">
        <v>2190</v>
      </c>
      <c r="B3063" t="s">
        <v>374</v>
      </c>
      <c r="C3063" t="s">
        <v>2191</v>
      </c>
      <c r="D3063" t="s">
        <v>2192</v>
      </c>
      <c r="E3063" t="s">
        <v>2193</v>
      </c>
      <c r="F3063" s="13">
        <v>44635.547256944446</v>
      </c>
      <c r="G3063" t="s">
        <v>2100</v>
      </c>
      <c r="H3063" t="s">
        <v>2101</v>
      </c>
      <c r="I3063" s="13">
        <v>45012.044189814813</v>
      </c>
      <c r="K3063" t="s">
        <v>415</v>
      </c>
      <c r="M3063" s="13">
        <v>44742</v>
      </c>
      <c r="R3063">
        <v>0</v>
      </c>
      <c r="S3063" t="s">
        <v>380</v>
      </c>
      <c r="T3063" t="s">
        <v>57</v>
      </c>
      <c r="V3063" t="s">
        <v>478</v>
      </c>
      <c r="W3063" t="s">
        <v>2187</v>
      </c>
      <c r="X3063" t="s">
        <v>2187</v>
      </c>
      <c r="AC3063" s="13">
        <v>44742</v>
      </c>
      <c r="AD3063" s="13">
        <v>44742</v>
      </c>
      <c r="AF3063" t="s">
        <v>451</v>
      </c>
      <c r="AI3063">
        <v>-270</v>
      </c>
      <c r="AL3063" t="s">
        <v>2194</v>
      </c>
      <c r="AN3063" t="s">
        <v>31</v>
      </c>
      <c r="AO3063">
        <v>0</v>
      </c>
      <c r="AS3063" t="s">
        <v>385</v>
      </c>
      <c r="AX3063" t="s">
        <v>57</v>
      </c>
      <c r="AY3063" t="s">
        <v>442</v>
      </c>
      <c r="AZ3063" t="s">
        <v>2195</v>
      </c>
      <c r="BF3063">
        <v>0</v>
      </c>
      <c r="BK3063" t="s">
        <v>31</v>
      </c>
      <c r="BS3063" t="s">
        <v>419</v>
      </c>
      <c r="BT3063" t="s">
        <v>419</v>
      </c>
      <c r="CI3063" t="s">
        <v>388</v>
      </c>
      <c r="CJ3063" s="14">
        <v>45016</v>
      </c>
      <c r="CK3063">
        <v>1</v>
      </c>
    </row>
    <row r="3064" spans="1:89">
      <c r="A3064" t="s">
        <v>2196</v>
      </c>
      <c r="B3064" t="s">
        <v>374</v>
      </c>
      <c r="C3064" t="s">
        <v>2197</v>
      </c>
      <c r="D3064" t="s">
        <v>2198</v>
      </c>
      <c r="E3064" t="s">
        <v>2199</v>
      </c>
      <c r="F3064" s="13">
        <v>44635.432662037034</v>
      </c>
      <c r="G3064" t="s">
        <v>2200</v>
      </c>
      <c r="H3064" t="s">
        <v>2201</v>
      </c>
      <c r="I3064" s="13">
        <v>44635.432662037034</v>
      </c>
      <c r="K3064" t="s">
        <v>412</v>
      </c>
      <c r="R3064">
        <v>0</v>
      </c>
      <c r="S3064" t="s">
        <v>416</v>
      </c>
      <c r="V3064" t="s">
        <v>381</v>
      </c>
      <c r="W3064" t="s">
        <v>2202</v>
      </c>
      <c r="X3064" t="s">
        <v>2202</v>
      </c>
      <c r="AI3064">
        <v>45</v>
      </c>
      <c r="AL3064" t="s">
        <v>2203</v>
      </c>
      <c r="AN3064" t="s">
        <v>31</v>
      </c>
      <c r="AO3064">
        <v>0</v>
      </c>
      <c r="AZ3064" t="s">
        <v>2204</v>
      </c>
      <c r="BF3064">
        <v>0</v>
      </c>
      <c r="BK3064" t="s">
        <v>31</v>
      </c>
      <c r="BS3064" t="s">
        <v>412</v>
      </c>
      <c r="BT3064" t="s">
        <v>412</v>
      </c>
      <c r="CI3064" t="s">
        <v>388</v>
      </c>
      <c r="CJ3064" s="14">
        <v>45016</v>
      </c>
      <c r="CK3064">
        <v>1</v>
      </c>
    </row>
    <row r="3065" spans="1:89">
      <c r="A3065" t="s">
        <v>2196</v>
      </c>
      <c r="B3065" t="s">
        <v>374</v>
      </c>
      <c r="C3065" t="s">
        <v>2197</v>
      </c>
      <c r="D3065" t="s">
        <v>2205</v>
      </c>
      <c r="E3065" t="s">
        <v>2206</v>
      </c>
      <c r="F3065" s="13">
        <v>44635.431562500002</v>
      </c>
      <c r="G3065" t="s">
        <v>2200</v>
      </c>
      <c r="H3065" t="s">
        <v>2201</v>
      </c>
      <c r="I3065" s="13">
        <v>44635.431562500002</v>
      </c>
      <c r="K3065" t="s">
        <v>412</v>
      </c>
      <c r="R3065">
        <v>0</v>
      </c>
      <c r="S3065" t="s">
        <v>416</v>
      </c>
      <c r="V3065" t="s">
        <v>381</v>
      </c>
      <c r="W3065" t="s">
        <v>2202</v>
      </c>
      <c r="X3065" t="s">
        <v>2202</v>
      </c>
      <c r="AI3065">
        <v>45</v>
      </c>
      <c r="AL3065" t="s">
        <v>2203</v>
      </c>
      <c r="AN3065" t="s">
        <v>31</v>
      </c>
      <c r="AO3065">
        <v>0</v>
      </c>
      <c r="AZ3065" t="s">
        <v>2207</v>
      </c>
      <c r="BF3065">
        <v>0</v>
      </c>
      <c r="BK3065" t="s">
        <v>31</v>
      </c>
      <c r="BS3065" t="s">
        <v>412</v>
      </c>
      <c r="BT3065" t="s">
        <v>412</v>
      </c>
      <c r="CI3065" t="s">
        <v>388</v>
      </c>
      <c r="CJ3065" s="14">
        <v>45016</v>
      </c>
      <c r="CK3065">
        <v>1</v>
      </c>
    </row>
    <row r="3066" spans="1:89">
      <c r="A3066" t="s">
        <v>2196</v>
      </c>
      <c r="B3066" t="s">
        <v>374</v>
      </c>
      <c r="C3066" t="s">
        <v>2197</v>
      </c>
      <c r="D3066" t="s">
        <v>2208</v>
      </c>
      <c r="E3066" t="s">
        <v>2209</v>
      </c>
      <c r="F3066" s="13">
        <v>44635.415914351855</v>
      </c>
      <c r="G3066" t="s">
        <v>2200</v>
      </c>
      <c r="H3066" t="s">
        <v>2201</v>
      </c>
      <c r="I3066" s="13">
        <v>44635.415925925925</v>
      </c>
      <c r="K3066" t="s">
        <v>412</v>
      </c>
      <c r="R3066">
        <v>0</v>
      </c>
      <c r="S3066" t="s">
        <v>416</v>
      </c>
      <c r="V3066" t="s">
        <v>381</v>
      </c>
      <c r="W3066" t="s">
        <v>2202</v>
      </c>
      <c r="X3066" t="s">
        <v>2202</v>
      </c>
      <c r="AI3066">
        <v>45</v>
      </c>
      <c r="AL3066" t="s">
        <v>2203</v>
      </c>
      <c r="AN3066" t="s">
        <v>31</v>
      </c>
      <c r="AO3066">
        <v>0</v>
      </c>
      <c r="AZ3066" t="s">
        <v>2210</v>
      </c>
      <c r="BF3066">
        <v>0</v>
      </c>
      <c r="BK3066" t="s">
        <v>31</v>
      </c>
      <c r="BS3066" t="s">
        <v>412</v>
      </c>
      <c r="BT3066" t="s">
        <v>412</v>
      </c>
      <c r="CI3066" t="s">
        <v>388</v>
      </c>
      <c r="CJ3066" s="14">
        <v>45016</v>
      </c>
      <c r="CK3066">
        <v>1</v>
      </c>
    </row>
    <row r="3067" spans="1:89">
      <c r="A3067" t="s">
        <v>435</v>
      </c>
      <c r="B3067" t="s">
        <v>374</v>
      </c>
      <c r="C3067" t="s">
        <v>436</v>
      </c>
      <c r="D3067" t="s">
        <v>2211</v>
      </c>
      <c r="E3067" t="s">
        <v>2212</v>
      </c>
      <c r="F3067" s="13">
        <v>44630.701249999998</v>
      </c>
      <c r="G3067" t="s">
        <v>439</v>
      </c>
      <c r="H3067" t="s">
        <v>440</v>
      </c>
      <c r="I3067" s="13">
        <v>45012.044189814813</v>
      </c>
      <c r="K3067" t="s">
        <v>415</v>
      </c>
      <c r="M3067" s="13">
        <v>44719</v>
      </c>
      <c r="R3067">
        <v>0</v>
      </c>
      <c r="S3067" t="s">
        <v>416</v>
      </c>
      <c r="T3067" t="s">
        <v>57</v>
      </c>
      <c r="V3067" t="s">
        <v>478</v>
      </c>
      <c r="W3067" t="s">
        <v>440</v>
      </c>
      <c r="X3067" t="s">
        <v>440</v>
      </c>
      <c r="AF3067" t="s">
        <v>451</v>
      </c>
      <c r="AI3067">
        <v>-293</v>
      </c>
      <c r="AL3067" t="s">
        <v>2213</v>
      </c>
      <c r="AN3067" t="s">
        <v>31</v>
      </c>
      <c r="AO3067">
        <v>0</v>
      </c>
      <c r="AS3067" t="s">
        <v>392</v>
      </c>
      <c r="AX3067" t="s">
        <v>57</v>
      </c>
      <c r="AY3067" t="s">
        <v>442</v>
      </c>
      <c r="AZ3067" t="s">
        <v>2214</v>
      </c>
      <c r="BF3067">
        <v>0</v>
      </c>
      <c r="BK3067" t="s">
        <v>31</v>
      </c>
      <c r="BS3067" t="s">
        <v>419</v>
      </c>
      <c r="BT3067" t="s">
        <v>419</v>
      </c>
      <c r="CI3067" t="s">
        <v>388</v>
      </c>
      <c r="CJ3067" s="14">
        <v>45016</v>
      </c>
      <c r="CK3067">
        <v>1</v>
      </c>
    </row>
    <row r="3068" spans="1:89">
      <c r="A3068" t="s">
        <v>435</v>
      </c>
      <c r="B3068" t="s">
        <v>374</v>
      </c>
      <c r="C3068" t="s">
        <v>436</v>
      </c>
      <c r="D3068" t="s">
        <v>2215</v>
      </c>
      <c r="E3068" t="s">
        <v>2216</v>
      </c>
      <c r="F3068" s="13">
        <v>44630.676840277774</v>
      </c>
      <c r="G3068" t="s">
        <v>439</v>
      </c>
      <c r="H3068" t="s">
        <v>440</v>
      </c>
      <c r="I3068" s="13">
        <v>45012.044189814813</v>
      </c>
      <c r="K3068" t="s">
        <v>415</v>
      </c>
      <c r="M3068" s="13">
        <v>44719</v>
      </c>
      <c r="R3068">
        <v>0</v>
      </c>
      <c r="S3068" t="s">
        <v>416</v>
      </c>
      <c r="T3068" t="s">
        <v>57</v>
      </c>
      <c r="V3068" t="s">
        <v>478</v>
      </c>
      <c r="W3068" t="s">
        <v>440</v>
      </c>
      <c r="X3068" t="s">
        <v>440</v>
      </c>
      <c r="AF3068" t="s">
        <v>451</v>
      </c>
      <c r="AI3068">
        <v>-293</v>
      </c>
      <c r="AL3068" t="s">
        <v>2217</v>
      </c>
      <c r="AN3068" t="s">
        <v>31</v>
      </c>
      <c r="AO3068">
        <v>0</v>
      </c>
      <c r="AS3068" t="s">
        <v>392</v>
      </c>
      <c r="AX3068" t="s">
        <v>57</v>
      </c>
      <c r="AY3068" t="s">
        <v>442</v>
      </c>
      <c r="AZ3068" t="s">
        <v>2218</v>
      </c>
      <c r="BF3068">
        <v>0</v>
      </c>
      <c r="BK3068" t="s">
        <v>31</v>
      </c>
      <c r="BS3068" t="s">
        <v>419</v>
      </c>
      <c r="BT3068" t="s">
        <v>419</v>
      </c>
      <c r="CI3068" t="s">
        <v>388</v>
      </c>
      <c r="CJ3068" s="14">
        <v>45016</v>
      </c>
      <c r="CK3068">
        <v>1</v>
      </c>
    </row>
    <row r="3069" spans="1:89">
      <c r="A3069" t="s">
        <v>435</v>
      </c>
      <c r="B3069" t="s">
        <v>374</v>
      </c>
      <c r="C3069" t="s">
        <v>436</v>
      </c>
      <c r="D3069" t="s">
        <v>2219</v>
      </c>
      <c r="E3069" t="s">
        <v>2220</v>
      </c>
      <c r="F3069" s="13">
        <v>44630.61996527778</v>
      </c>
      <c r="G3069" t="s">
        <v>439</v>
      </c>
      <c r="H3069" t="s">
        <v>440</v>
      </c>
      <c r="I3069" s="13">
        <v>45012.044178240743</v>
      </c>
      <c r="K3069" t="s">
        <v>415</v>
      </c>
      <c r="M3069" s="13">
        <v>44720</v>
      </c>
      <c r="R3069">
        <v>0</v>
      </c>
      <c r="S3069" t="s">
        <v>416</v>
      </c>
      <c r="T3069" t="s">
        <v>57</v>
      </c>
      <c r="V3069" t="s">
        <v>478</v>
      </c>
      <c r="W3069" t="s">
        <v>440</v>
      </c>
      <c r="X3069" t="s">
        <v>440</v>
      </c>
      <c r="AF3069" t="s">
        <v>451</v>
      </c>
      <c r="AI3069">
        <v>-292</v>
      </c>
      <c r="AL3069" t="s">
        <v>2221</v>
      </c>
      <c r="AN3069" t="s">
        <v>31</v>
      </c>
      <c r="AO3069">
        <v>0</v>
      </c>
      <c r="AS3069" t="s">
        <v>392</v>
      </c>
      <c r="AX3069" t="s">
        <v>57</v>
      </c>
      <c r="AY3069" t="s">
        <v>442</v>
      </c>
      <c r="AZ3069" t="s">
        <v>2222</v>
      </c>
      <c r="BF3069">
        <v>0</v>
      </c>
      <c r="BK3069" t="s">
        <v>31</v>
      </c>
      <c r="BS3069" t="s">
        <v>419</v>
      </c>
      <c r="BT3069" t="s">
        <v>419</v>
      </c>
      <c r="CI3069" t="s">
        <v>388</v>
      </c>
      <c r="CJ3069" s="14">
        <v>45016</v>
      </c>
      <c r="CK3069">
        <v>1</v>
      </c>
    </row>
    <row r="3070" spans="1:89">
      <c r="A3070" t="s">
        <v>435</v>
      </c>
      <c r="B3070" t="s">
        <v>374</v>
      </c>
      <c r="C3070" t="s">
        <v>436</v>
      </c>
      <c r="D3070" t="s">
        <v>2223</v>
      </c>
      <c r="E3070" t="s">
        <v>2224</v>
      </c>
      <c r="F3070" s="13">
        <v>44630.518460648149</v>
      </c>
      <c r="G3070" t="s">
        <v>439</v>
      </c>
      <c r="H3070" t="s">
        <v>440</v>
      </c>
      <c r="I3070" s="13">
        <v>45012.044178240743</v>
      </c>
      <c r="K3070" t="s">
        <v>415</v>
      </c>
      <c r="M3070" s="13">
        <v>44708</v>
      </c>
      <c r="R3070">
        <v>0</v>
      </c>
      <c r="S3070" t="s">
        <v>416</v>
      </c>
      <c r="T3070" t="s">
        <v>57</v>
      </c>
      <c r="V3070" t="s">
        <v>478</v>
      </c>
      <c r="W3070" t="s">
        <v>440</v>
      </c>
      <c r="X3070" t="s">
        <v>440</v>
      </c>
      <c r="AF3070" t="s">
        <v>451</v>
      </c>
      <c r="AI3070">
        <v>-304</v>
      </c>
      <c r="AL3070" t="s">
        <v>2225</v>
      </c>
      <c r="AN3070" t="s">
        <v>31</v>
      </c>
      <c r="AO3070">
        <v>0</v>
      </c>
      <c r="AS3070" t="s">
        <v>392</v>
      </c>
      <c r="AX3070" t="s">
        <v>57</v>
      </c>
      <c r="AY3070" t="s">
        <v>442</v>
      </c>
      <c r="AZ3070" t="s">
        <v>2226</v>
      </c>
      <c r="BF3070">
        <v>0</v>
      </c>
      <c r="BK3070" t="s">
        <v>31</v>
      </c>
      <c r="BS3070" t="s">
        <v>419</v>
      </c>
      <c r="BT3070" t="s">
        <v>419</v>
      </c>
      <c r="CI3070" t="s">
        <v>388</v>
      </c>
      <c r="CJ3070" s="14">
        <v>45016</v>
      </c>
      <c r="CK3070">
        <v>1</v>
      </c>
    </row>
    <row r="3071" spans="1:89">
      <c r="A3071" t="s">
        <v>2227</v>
      </c>
      <c r="B3071" t="s">
        <v>374</v>
      </c>
      <c r="C3071" t="s">
        <v>2228</v>
      </c>
      <c r="D3071" t="s">
        <v>2229</v>
      </c>
      <c r="E3071" t="s">
        <v>2230</v>
      </c>
      <c r="F3071" s="13">
        <v>44630.5075</v>
      </c>
      <c r="G3071" t="s">
        <v>2231</v>
      </c>
      <c r="H3071" t="s">
        <v>2232</v>
      </c>
      <c r="I3071" s="13">
        <v>45012.044178240743</v>
      </c>
      <c r="K3071" t="s">
        <v>415</v>
      </c>
      <c r="M3071" s="13">
        <v>44848</v>
      </c>
      <c r="R3071">
        <v>0</v>
      </c>
      <c r="S3071" t="s">
        <v>380</v>
      </c>
      <c r="T3071" t="s">
        <v>57</v>
      </c>
      <c r="V3071" t="s">
        <v>478</v>
      </c>
      <c r="W3071" t="s">
        <v>2233</v>
      </c>
      <c r="X3071" t="s">
        <v>2233</v>
      </c>
      <c r="AF3071" t="s">
        <v>451</v>
      </c>
      <c r="AI3071">
        <v>-164</v>
      </c>
      <c r="AL3071" t="s">
        <v>2234</v>
      </c>
      <c r="AN3071" t="s">
        <v>31</v>
      </c>
      <c r="AO3071">
        <v>0</v>
      </c>
      <c r="AS3071" t="s">
        <v>385</v>
      </c>
      <c r="AX3071" t="s">
        <v>31</v>
      </c>
      <c r="AY3071" t="s">
        <v>386</v>
      </c>
      <c r="AZ3071" t="s">
        <v>2235</v>
      </c>
      <c r="BF3071">
        <v>0</v>
      </c>
      <c r="BK3071" t="s">
        <v>31</v>
      </c>
      <c r="BS3071" t="s">
        <v>419</v>
      </c>
      <c r="BT3071" t="s">
        <v>419</v>
      </c>
      <c r="CI3071" t="s">
        <v>388</v>
      </c>
      <c r="CJ3071" s="14">
        <v>45016</v>
      </c>
      <c r="CK3071">
        <v>1</v>
      </c>
    </row>
    <row r="3072" spans="1:89">
      <c r="A3072" t="s">
        <v>435</v>
      </c>
      <c r="B3072" t="s">
        <v>374</v>
      </c>
      <c r="C3072" t="s">
        <v>436</v>
      </c>
      <c r="D3072" t="s">
        <v>2236</v>
      </c>
      <c r="E3072" t="s">
        <v>2237</v>
      </c>
      <c r="F3072" s="13">
        <v>44630.470138888886</v>
      </c>
      <c r="G3072" t="s">
        <v>439</v>
      </c>
      <c r="H3072" t="s">
        <v>440</v>
      </c>
      <c r="I3072" s="13">
        <v>45012.044166666667</v>
      </c>
      <c r="K3072" t="s">
        <v>415</v>
      </c>
      <c r="M3072" s="13">
        <v>44742</v>
      </c>
      <c r="R3072">
        <v>0</v>
      </c>
      <c r="S3072" t="s">
        <v>416</v>
      </c>
      <c r="T3072" t="s">
        <v>57</v>
      </c>
      <c r="V3072" t="s">
        <v>478</v>
      </c>
      <c r="W3072" t="s">
        <v>440</v>
      </c>
      <c r="X3072" t="s">
        <v>440</v>
      </c>
      <c r="AF3072" t="s">
        <v>451</v>
      </c>
      <c r="AI3072">
        <v>-270</v>
      </c>
      <c r="AL3072" t="s">
        <v>2238</v>
      </c>
      <c r="AN3072" t="s">
        <v>31</v>
      </c>
      <c r="AO3072">
        <v>0</v>
      </c>
      <c r="AS3072" t="s">
        <v>392</v>
      </c>
      <c r="AX3072" t="s">
        <v>57</v>
      </c>
      <c r="AY3072" t="s">
        <v>442</v>
      </c>
      <c r="AZ3072" t="s">
        <v>2239</v>
      </c>
      <c r="BF3072">
        <v>0</v>
      </c>
      <c r="BK3072" t="s">
        <v>31</v>
      </c>
      <c r="BS3072" t="s">
        <v>419</v>
      </c>
      <c r="BT3072" t="s">
        <v>419</v>
      </c>
      <c r="CI3072" t="s">
        <v>388</v>
      </c>
      <c r="CJ3072" s="14">
        <v>45016</v>
      </c>
      <c r="CK3072">
        <v>1</v>
      </c>
    </row>
    <row r="3073" spans="1:89">
      <c r="A3073" t="s">
        <v>2121</v>
      </c>
      <c r="B3073" t="s">
        <v>374</v>
      </c>
      <c r="C3073" t="s">
        <v>2122</v>
      </c>
      <c r="D3073" t="s">
        <v>2240</v>
      </c>
      <c r="E3073" t="s">
        <v>2241</v>
      </c>
      <c r="F3073" s="13">
        <v>44630.440706018519</v>
      </c>
      <c r="G3073" t="s">
        <v>2125</v>
      </c>
      <c r="H3073" t="s">
        <v>2126</v>
      </c>
      <c r="I3073" s="13">
        <v>45012.044166666667</v>
      </c>
      <c r="K3073" t="s">
        <v>415</v>
      </c>
      <c r="M3073" s="13">
        <v>44712</v>
      </c>
      <c r="R3073">
        <v>0</v>
      </c>
      <c r="S3073" t="s">
        <v>416</v>
      </c>
      <c r="T3073" t="s">
        <v>57</v>
      </c>
      <c r="V3073" t="s">
        <v>478</v>
      </c>
      <c r="W3073" t="s">
        <v>2127</v>
      </c>
      <c r="X3073" t="s">
        <v>2127</v>
      </c>
      <c r="AC3073" s="13">
        <v>45777</v>
      </c>
      <c r="AD3073" s="13">
        <v>45657</v>
      </c>
      <c r="AF3073" t="s">
        <v>451</v>
      </c>
      <c r="AI3073">
        <v>-300</v>
      </c>
      <c r="AL3073" t="s">
        <v>2242</v>
      </c>
      <c r="AN3073" t="s">
        <v>31</v>
      </c>
      <c r="AO3073">
        <v>0</v>
      </c>
      <c r="AS3073" t="s">
        <v>392</v>
      </c>
      <c r="AX3073" t="s">
        <v>57</v>
      </c>
      <c r="AY3073" t="s">
        <v>442</v>
      </c>
      <c r="AZ3073" t="s">
        <v>2243</v>
      </c>
      <c r="BF3073">
        <v>0</v>
      </c>
      <c r="BK3073" t="s">
        <v>31</v>
      </c>
      <c r="BS3073" t="s">
        <v>419</v>
      </c>
      <c r="BT3073" t="s">
        <v>419</v>
      </c>
      <c r="CI3073" t="s">
        <v>388</v>
      </c>
      <c r="CJ3073" s="14">
        <v>45016</v>
      </c>
      <c r="CK3073">
        <v>1</v>
      </c>
    </row>
    <row r="3074" spans="1:89">
      <c r="A3074" t="s">
        <v>2244</v>
      </c>
      <c r="B3074" t="s">
        <v>374</v>
      </c>
      <c r="C3074" t="s">
        <v>2245</v>
      </c>
      <c r="D3074" t="s">
        <v>2246</v>
      </c>
      <c r="E3074" t="s">
        <v>2247</v>
      </c>
      <c r="F3074" s="13">
        <v>44629.441805555558</v>
      </c>
      <c r="G3074" t="s">
        <v>2248</v>
      </c>
      <c r="H3074" t="s">
        <v>2249</v>
      </c>
      <c r="I3074" s="13">
        <v>45012.044166666667</v>
      </c>
      <c r="K3074" t="s">
        <v>415</v>
      </c>
      <c r="M3074" s="13">
        <v>44681</v>
      </c>
      <c r="R3074">
        <v>0</v>
      </c>
      <c r="S3074" t="s">
        <v>416</v>
      </c>
      <c r="T3074" t="s">
        <v>57</v>
      </c>
      <c r="V3074" t="s">
        <v>478</v>
      </c>
      <c r="W3074" t="s">
        <v>2250</v>
      </c>
      <c r="X3074" t="s">
        <v>2250</v>
      </c>
      <c r="AF3074" t="s">
        <v>451</v>
      </c>
      <c r="AI3074">
        <v>-331</v>
      </c>
      <c r="AL3074" t="s">
        <v>2251</v>
      </c>
      <c r="AN3074" t="s">
        <v>31</v>
      </c>
      <c r="AO3074">
        <v>0</v>
      </c>
      <c r="AS3074" t="s">
        <v>385</v>
      </c>
      <c r="AX3074" t="s">
        <v>31</v>
      </c>
      <c r="AY3074" t="s">
        <v>442</v>
      </c>
      <c r="AZ3074" t="s">
        <v>2252</v>
      </c>
      <c r="BF3074">
        <v>0</v>
      </c>
      <c r="BK3074" t="s">
        <v>31</v>
      </c>
      <c r="BS3074" t="s">
        <v>419</v>
      </c>
      <c r="BT3074" t="s">
        <v>419</v>
      </c>
      <c r="CI3074" t="s">
        <v>388</v>
      </c>
      <c r="CJ3074" s="14">
        <v>45016</v>
      </c>
      <c r="CK3074">
        <v>1</v>
      </c>
    </row>
    <row r="3075" spans="1:89">
      <c r="A3075" t="s">
        <v>2253</v>
      </c>
      <c r="B3075" t="s">
        <v>374</v>
      </c>
      <c r="C3075" t="s">
        <v>2254</v>
      </c>
      <c r="D3075" t="s">
        <v>2255</v>
      </c>
      <c r="E3075" t="s">
        <v>2256</v>
      </c>
      <c r="F3075" s="13">
        <v>44629.439085648148</v>
      </c>
      <c r="G3075" t="s">
        <v>2257</v>
      </c>
      <c r="H3075" t="s">
        <v>2258</v>
      </c>
      <c r="I3075" s="13">
        <v>44629.439791666664</v>
      </c>
      <c r="K3075" t="s">
        <v>412</v>
      </c>
      <c r="R3075">
        <v>0</v>
      </c>
      <c r="S3075" t="s">
        <v>380</v>
      </c>
      <c r="T3075" t="s">
        <v>57</v>
      </c>
      <c r="V3075" t="s">
        <v>381</v>
      </c>
      <c r="W3075" t="s">
        <v>2259</v>
      </c>
      <c r="X3075" t="s">
        <v>2259</v>
      </c>
      <c r="AI3075">
        <v>113</v>
      </c>
      <c r="AL3075" t="s">
        <v>2260</v>
      </c>
      <c r="AN3075" t="s">
        <v>31</v>
      </c>
      <c r="AO3075">
        <v>0</v>
      </c>
      <c r="AS3075" t="s">
        <v>385</v>
      </c>
      <c r="AX3075" t="s">
        <v>57</v>
      </c>
      <c r="AY3075" t="s">
        <v>386</v>
      </c>
      <c r="AZ3075" t="s">
        <v>2261</v>
      </c>
      <c r="BF3075">
        <v>0</v>
      </c>
      <c r="BK3075" t="s">
        <v>31</v>
      </c>
      <c r="BS3075" t="s">
        <v>412</v>
      </c>
      <c r="BT3075" t="s">
        <v>412</v>
      </c>
      <c r="CI3075" t="s">
        <v>388</v>
      </c>
      <c r="CJ3075" s="14">
        <v>45016</v>
      </c>
      <c r="CK3075">
        <v>1</v>
      </c>
    </row>
    <row r="3076" spans="1:89">
      <c r="A3076" t="s">
        <v>1479</v>
      </c>
      <c r="B3076" t="s">
        <v>374</v>
      </c>
      <c r="C3076" t="s">
        <v>1480</v>
      </c>
      <c r="D3076" t="s">
        <v>2262</v>
      </c>
      <c r="E3076" t="s">
        <v>2263</v>
      </c>
      <c r="F3076" s="13">
        <v>44629.43886574074</v>
      </c>
      <c r="G3076" t="s">
        <v>1483</v>
      </c>
      <c r="H3076" t="s">
        <v>1484</v>
      </c>
      <c r="I3076" s="13">
        <v>45012.044166666667</v>
      </c>
      <c r="K3076" t="s">
        <v>415</v>
      </c>
      <c r="M3076" s="13">
        <v>44669</v>
      </c>
      <c r="R3076">
        <v>0</v>
      </c>
      <c r="S3076" t="s">
        <v>380</v>
      </c>
      <c r="T3076" t="s">
        <v>57</v>
      </c>
      <c r="V3076" t="s">
        <v>478</v>
      </c>
      <c r="W3076" t="s">
        <v>2264</v>
      </c>
      <c r="X3076" t="s">
        <v>2264</v>
      </c>
      <c r="AC3076" s="13">
        <v>44669</v>
      </c>
      <c r="AD3076" s="13">
        <v>44593</v>
      </c>
      <c r="AF3076" t="s">
        <v>451</v>
      </c>
      <c r="AI3076">
        <v>-343</v>
      </c>
      <c r="AL3076" t="s">
        <v>2265</v>
      </c>
      <c r="AN3076" t="s">
        <v>31</v>
      </c>
      <c r="AO3076">
        <v>0</v>
      </c>
      <c r="AS3076" t="s">
        <v>648</v>
      </c>
      <c r="AX3076" t="s">
        <v>31</v>
      </c>
      <c r="AY3076" t="s">
        <v>386</v>
      </c>
      <c r="AZ3076" t="s">
        <v>2266</v>
      </c>
      <c r="BF3076">
        <v>0</v>
      </c>
      <c r="BK3076" t="s">
        <v>31</v>
      </c>
      <c r="BS3076" t="s">
        <v>419</v>
      </c>
      <c r="BT3076" t="s">
        <v>419</v>
      </c>
      <c r="CI3076" t="s">
        <v>388</v>
      </c>
      <c r="CJ3076" s="14">
        <v>45016</v>
      </c>
      <c r="CK3076">
        <v>1</v>
      </c>
    </row>
    <row r="3077" spans="1:89">
      <c r="A3077" t="s">
        <v>2267</v>
      </c>
      <c r="B3077" t="s">
        <v>374</v>
      </c>
      <c r="C3077" t="s">
        <v>2268</v>
      </c>
      <c r="D3077" t="s">
        <v>2269</v>
      </c>
      <c r="E3077" t="s">
        <v>2270</v>
      </c>
      <c r="F3077" s="13">
        <v>44629.380740740744</v>
      </c>
      <c r="G3077" t="s">
        <v>2271</v>
      </c>
      <c r="H3077" t="s">
        <v>2272</v>
      </c>
      <c r="I3077" s="13">
        <v>45012.04415509259</v>
      </c>
      <c r="K3077" t="s">
        <v>415</v>
      </c>
      <c r="M3077" s="13">
        <v>44711</v>
      </c>
      <c r="R3077">
        <v>0</v>
      </c>
      <c r="S3077" t="s">
        <v>380</v>
      </c>
      <c r="T3077" t="s">
        <v>57</v>
      </c>
      <c r="V3077" t="s">
        <v>478</v>
      </c>
      <c r="W3077" t="s">
        <v>2273</v>
      </c>
      <c r="X3077" t="s">
        <v>2273</v>
      </c>
      <c r="AF3077" t="s">
        <v>451</v>
      </c>
      <c r="AI3077">
        <v>-301</v>
      </c>
      <c r="AL3077" t="s">
        <v>2274</v>
      </c>
      <c r="AN3077" t="s">
        <v>31</v>
      </c>
      <c r="AO3077">
        <v>0</v>
      </c>
      <c r="AS3077" t="s">
        <v>392</v>
      </c>
      <c r="AX3077" t="s">
        <v>31</v>
      </c>
      <c r="AY3077" t="s">
        <v>386</v>
      </c>
      <c r="AZ3077" t="s">
        <v>2275</v>
      </c>
      <c r="BF3077">
        <v>0</v>
      </c>
      <c r="BK3077" t="s">
        <v>31</v>
      </c>
      <c r="BS3077" t="s">
        <v>419</v>
      </c>
      <c r="BT3077" t="s">
        <v>419</v>
      </c>
      <c r="CI3077" t="s">
        <v>388</v>
      </c>
      <c r="CJ3077" s="14">
        <v>45016</v>
      </c>
      <c r="CK3077">
        <v>1</v>
      </c>
    </row>
    <row r="3078" spans="1:89">
      <c r="A3078" t="s">
        <v>454</v>
      </c>
      <c r="B3078" t="s">
        <v>374</v>
      </c>
      <c r="C3078" t="s">
        <v>455</v>
      </c>
      <c r="D3078" t="s">
        <v>2276</v>
      </c>
      <c r="E3078" t="s">
        <v>1623</v>
      </c>
      <c r="F3078" s="13">
        <v>44628.468206018515</v>
      </c>
      <c r="G3078" t="s">
        <v>1591</v>
      </c>
      <c r="H3078" t="s">
        <v>1592</v>
      </c>
      <c r="I3078" s="13">
        <v>44628.469918981478</v>
      </c>
      <c r="K3078" t="s">
        <v>412</v>
      </c>
      <c r="R3078">
        <v>0</v>
      </c>
      <c r="S3078" t="s">
        <v>380</v>
      </c>
      <c r="T3078" t="s">
        <v>57</v>
      </c>
      <c r="V3078" t="s">
        <v>381</v>
      </c>
      <c r="W3078" t="s">
        <v>2277</v>
      </c>
      <c r="X3078" t="s">
        <v>2277</v>
      </c>
      <c r="AI3078">
        <v>68</v>
      </c>
      <c r="AL3078" t="s">
        <v>1624</v>
      </c>
      <c r="AN3078" t="s">
        <v>31</v>
      </c>
      <c r="AO3078">
        <v>0</v>
      </c>
      <c r="AS3078" t="s">
        <v>702</v>
      </c>
      <c r="AX3078" t="s">
        <v>31</v>
      </c>
      <c r="AY3078" t="s">
        <v>442</v>
      </c>
      <c r="AZ3078" t="s">
        <v>2278</v>
      </c>
      <c r="BF3078">
        <v>0</v>
      </c>
      <c r="BK3078" t="s">
        <v>31</v>
      </c>
      <c r="BS3078" t="s">
        <v>412</v>
      </c>
      <c r="BT3078" t="s">
        <v>412</v>
      </c>
      <c r="CI3078" t="s">
        <v>388</v>
      </c>
      <c r="CJ3078" s="14">
        <v>45016</v>
      </c>
      <c r="CK3078">
        <v>1</v>
      </c>
    </row>
    <row r="3079" spans="1:89">
      <c r="A3079" t="s">
        <v>2155</v>
      </c>
      <c r="B3079" t="s">
        <v>374</v>
      </c>
      <c r="C3079" t="s">
        <v>2156</v>
      </c>
      <c r="D3079" t="s">
        <v>2279</v>
      </c>
      <c r="E3079" t="s">
        <v>2158</v>
      </c>
      <c r="F3079" s="13">
        <v>44628.446759259263</v>
      </c>
      <c r="G3079" t="s">
        <v>2159</v>
      </c>
      <c r="H3079" t="s">
        <v>2160</v>
      </c>
      <c r="I3079" s="13">
        <v>44636.508414351854</v>
      </c>
      <c r="K3079" t="s">
        <v>409</v>
      </c>
      <c r="R3079">
        <v>0</v>
      </c>
      <c r="S3079" t="s">
        <v>416</v>
      </c>
      <c r="V3079" t="s">
        <v>381</v>
      </c>
      <c r="W3079" t="s">
        <v>2280</v>
      </c>
      <c r="X3079" t="s">
        <v>2280</v>
      </c>
      <c r="AI3079">
        <v>87</v>
      </c>
      <c r="AL3079" t="s">
        <v>2162</v>
      </c>
      <c r="AN3079" t="s">
        <v>31</v>
      </c>
      <c r="AO3079">
        <v>0</v>
      </c>
      <c r="AZ3079" t="s">
        <v>2281</v>
      </c>
      <c r="BF3079">
        <v>0</v>
      </c>
      <c r="BK3079" t="s">
        <v>31</v>
      </c>
      <c r="BS3079" t="s">
        <v>409</v>
      </c>
      <c r="BT3079" t="s">
        <v>409</v>
      </c>
      <c r="CI3079" t="s">
        <v>388</v>
      </c>
      <c r="CJ3079" s="14">
        <v>45016</v>
      </c>
      <c r="CK3079">
        <v>1</v>
      </c>
    </row>
    <row r="3080" spans="1:89">
      <c r="A3080" t="s">
        <v>711</v>
      </c>
      <c r="B3080" t="s">
        <v>374</v>
      </c>
      <c r="C3080" t="s">
        <v>712</v>
      </c>
      <c r="D3080" t="s">
        <v>2282</v>
      </c>
      <c r="E3080" t="s">
        <v>2283</v>
      </c>
      <c r="F3080" s="13">
        <v>44628.356747685182</v>
      </c>
      <c r="G3080" t="s">
        <v>2284</v>
      </c>
      <c r="H3080" t="s">
        <v>845</v>
      </c>
      <c r="I3080" s="13">
        <v>44628.358229166668</v>
      </c>
      <c r="R3080">
        <v>0</v>
      </c>
      <c r="S3080" t="s">
        <v>416</v>
      </c>
      <c r="T3080" t="s">
        <v>57</v>
      </c>
      <c r="V3080" t="s">
        <v>381</v>
      </c>
      <c r="W3080" t="s">
        <v>2285</v>
      </c>
      <c r="X3080" t="s">
        <v>2285</v>
      </c>
      <c r="AC3080" s="13">
        <v>44631</v>
      </c>
      <c r="AD3080" s="13">
        <v>44631</v>
      </c>
      <c r="AI3080">
        <v>3</v>
      </c>
      <c r="AN3080" t="s">
        <v>31</v>
      </c>
      <c r="AO3080">
        <v>0</v>
      </c>
      <c r="AS3080" t="s">
        <v>385</v>
      </c>
      <c r="AX3080" t="s">
        <v>57</v>
      </c>
      <c r="AY3080" t="s">
        <v>386</v>
      </c>
      <c r="AZ3080" t="s">
        <v>2286</v>
      </c>
      <c r="BF3080">
        <v>0</v>
      </c>
      <c r="BK3080" t="s">
        <v>31</v>
      </c>
      <c r="BS3080" t="s">
        <v>412</v>
      </c>
      <c r="CI3080" t="s">
        <v>388</v>
      </c>
      <c r="CJ3080" s="14">
        <v>45016</v>
      </c>
      <c r="CK3080">
        <v>1</v>
      </c>
    </row>
    <row r="3081" spans="1:89">
      <c r="A3081" t="s">
        <v>1497</v>
      </c>
      <c r="B3081" t="s">
        <v>374</v>
      </c>
      <c r="C3081" t="s">
        <v>1498</v>
      </c>
      <c r="D3081" t="s">
        <v>2287</v>
      </c>
      <c r="E3081" t="s">
        <v>2288</v>
      </c>
      <c r="F3081" s="13">
        <v>44627.594305555554</v>
      </c>
      <c r="G3081" t="s">
        <v>1501</v>
      </c>
      <c r="H3081" t="s">
        <v>1502</v>
      </c>
      <c r="I3081" s="13">
        <v>45012.04415509259</v>
      </c>
      <c r="K3081" t="s">
        <v>415</v>
      </c>
      <c r="M3081" s="13">
        <v>44680</v>
      </c>
      <c r="R3081">
        <v>0</v>
      </c>
      <c r="S3081" t="s">
        <v>416</v>
      </c>
      <c r="T3081" t="s">
        <v>57</v>
      </c>
      <c r="V3081" t="s">
        <v>478</v>
      </c>
      <c r="W3081" t="s">
        <v>2289</v>
      </c>
      <c r="X3081" t="s">
        <v>2289</v>
      </c>
      <c r="AF3081" t="s">
        <v>451</v>
      </c>
      <c r="AI3081">
        <v>-332</v>
      </c>
      <c r="AL3081" t="s">
        <v>2290</v>
      </c>
      <c r="AN3081" t="s">
        <v>31</v>
      </c>
      <c r="AO3081">
        <v>0</v>
      </c>
      <c r="AS3081" t="s">
        <v>392</v>
      </c>
      <c r="AX3081" t="s">
        <v>57</v>
      </c>
      <c r="AY3081" t="s">
        <v>442</v>
      </c>
      <c r="AZ3081" t="s">
        <v>2291</v>
      </c>
      <c r="BF3081">
        <v>0</v>
      </c>
      <c r="BK3081" t="s">
        <v>31</v>
      </c>
      <c r="BS3081" t="s">
        <v>419</v>
      </c>
      <c r="BT3081" t="s">
        <v>419</v>
      </c>
      <c r="CI3081" t="s">
        <v>388</v>
      </c>
      <c r="CJ3081" s="14">
        <v>45016</v>
      </c>
      <c r="CK3081">
        <v>1</v>
      </c>
    </row>
    <row r="3082" spans="1:89">
      <c r="A3082" t="s">
        <v>2292</v>
      </c>
      <c r="B3082" t="s">
        <v>374</v>
      </c>
      <c r="C3082" t="s">
        <v>2293</v>
      </c>
      <c r="D3082" t="s">
        <v>2294</v>
      </c>
      <c r="E3082" t="s">
        <v>2295</v>
      </c>
      <c r="F3082" s="13">
        <v>44622.540555555555</v>
      </c>
      <c r="G3082" t="s">
        <v>2296</v>
      </c>
      <c r="H3082" t="s">
        <v>2297</v>
      </c>
      <c r="I3082" s="13">
        <v>44622.541168981479</v>
      </c>
      <c r="K3082" t="s">
        <v>412</v>
      </c>
      <c r="R3082">
        <v>0</v>
      </c>
      <c r="S3082" t="s">
        <v>380</v>
      </c>
      <c r="T3082" t="s">
        <v>57</v>
      </c>
      <c r="V3082" t="s">
        <v>381</v>
      </c>
      <c r="W3082" t="s">
        <v>2298</v>
      </c>
      <c r="X3082" t="s">
        <v>2298</v>
      </c>
      <c r="AI3082">
        <v>58</v>
      </c>
      <c r="AL3082" t="s">
        <v>2299</v>
      </c>
      <c r="AN3082" t="s">
        <v>31</v>
      </c>
      <c r="AO3082">
        <v>0</v>
      </c>
      <c r="AS3082" t="s">
        <v>707</v>
      </c>
      <c r="AX3082" t="s">
        <v>57</v>
      </c>
      <c r="AY3082" t="s">
        <v>386</v>
      </c>
      <c r="AZ3082" t="s">
        <v>2300</v>
      </c>
      <c r="BE3082">
        <v>3.2</v>
      </c>
      <c r="BF3082">
        <v>0</v>
      </c>
      <c r="BK3082" t="s">
        <v>31</v>
      </c>
      <c r="BS3082" t="s">
        <v>412</v>
      </c>
      <c r="BT3082" t="s">
        <v>412</v>
      </c>
      <c r="CI3082" t="s">
        <v>388</v>
      </c>
      <c r="CJ3082" s="14">
        <v>45016</v>
      </c>
      <c r="CK3082">
        <v>1</v>
      </c>
    </row>
    <row r="3083" spans="1:89">
      <c r="A3083" t="s">
        <v>2292</v>
      </c>
      <c r="B3083" t="s">
        <v>374</v>
      </c>
      <c r="C3083" t="s">
        <v>2293</v>
      </c>
      <c r="D3083" t="s">
        <v>2301</v>
      </c>
      <c r="E3083" t="s">
        <v>2302</v>
      </c>
      <c r="F3083" s="13">
        <v>44622.537002314813</v>
      </c>
      <c r="G3083" t="s">
        <v>2296</v>
      </c>
      <c r="H3083" t="s">
        <v>2297</v>
      </c>
      <c r="I3083" s="13">
        <v>44622.538414351853</v>
      </c>
      <c r="K3083" t="s">
        <v>412</v>
      </c>
      <c r="R3083">
        <v>0</v>
      </c>
      <c r="S3083" t="s">
        <v>380</v>
      </c>
      <c r="T3083" t="s">
        <v>57</v>
      </c>
      <c r="V3083" t="s">
        <v>381</v>
      </c>
      <c r="W3083" t="s">
        <v>2298</v>
      </c>
      <c r="X3083" t="s">
        <v>2298</v>
      </c>
      <c r="AI3083">
        <v>29</v>
      </c>
      <c r="AL3083" t="s">
        <v>2299</v>
      </c>
      <c r="AN3083" t="s">
        <v>31</v>
      </c>
      <c r="AO3083">
        <v>0</v>
      </c>
      <c r="AS3083" t="s">
        <v>385</v>
      </c>
      <c r="AX3083" t="s">
        <v>57</v>
      </c>
      <c r="AY3083" t="s">
        <v>386</v>
      </c>
      <c r="AZ3083" t="s">
        <v>2303</v>
      </c>
      <c r="BE3083">
        <v>3.2</v>
      </c>
      <c r="BF3083">
        <v>0</v>
      </c>
      <c r="BK3083" t="s">
        <v>31</v>
      </c>
      <c r="BS3083" t="s">
        <v>412</v>
      </c>
      <c r="BT3083" t="s">
        <v>412</v>
      </c>
      <c r="CI3083" t="s">
        <v>388</v>
      </c>
      <c r="CJ3083" s="14">
        <v>45016</v>
      </c>
      <c r="CK3083">
        <v>1</v>
      </c>
    </row>
    <row r="3084" spans="1:89">
      <c r="A3084" t="s">
        <v>454</v>
      </c>
      <c r="B3084" t="s">
        <v>374</v>
      </c>
      <c r="C3084" t="s">
        <v>455</v>
      </c>
      <c r="D3084" t="s">
        <v>2304</v>
      </c>
      <c r="E3084" t="s">
        <v>2305</v>
      </c>
      <c r="F3084" s="13">
        <v>44622.000636574077</v>
      </c>
      <c r="G3084" t="s">
        <v>1264</v>
      </c>
      <c r="H3084" t="s">
        <v>1265</v>
      </c>
      <c r="I3084" s="13">
        <v>45012.04415509259</v>
      </c>
      <c r="K3084" t="s">
        <v>415</v>
      </c>
      <c r="M3084" s="13">
        <v>44819</v>
      </c>
      <c r="R3084">
        <v>0</v>
      </c>
      <c r="S3084" t="s">
        <v>380</v>
      </c>
      <c r="T3084" t="s">
        <v>57</v>
      </c>
      <c r="V3084" t="s">
        <v>478</v>
      </c>
      <c r="W3084" t="s">
        <v>2306</v>
      </c>
      <c r="X3084" t="s">
        <v>2306</v>
      </c>
      <c r="AF3084" t="s">
        <v>451</v>
      </c>
      <c r="AI3084">
        <v>-193</v>
      </c>
      <c r="AL3084" t="s">
        <v>2307</v>
      </c>
      <c r="AN3084" t="s">
        <v>31</v>
      </c>
      <c r="AO3084">
        <v>0</v>
      </c>
      <c r="AS3084" t="s">
        <v>392</v>
      </c>
      <c r="AX3084" t="s">
        <v>57</v>
      </c>
      <c r="AY3084" t="s">
        <v>442</v>
      </c>
      <c r="AZ3084" t="s">
        <v>2308</v>
      </c>
      <c r="BE3084" t="s">
        <v>2309</v>
      </c>
      <c r="BF3084">
        <v>0</v>
      </c>
      <c r="BK3084" t="s">
        <v>31</v>
      </c>
      <c r="BS3084" t="s">
        <v>419</v>
      </c>
      <c r="BT3084" t="s">
        <v>419</v>
      </c>
      <c r="CI3084" t="s">
        <v>388</v>
      </c>
      <c r="CJ3084" s="14">
        <v>45016</v>
      </c>
      <c r="CK3084">
        <v>1</v>
      </c>
    </row>
    <row r="3085" spans="1:89">
      <c r="A3085" t="s">
        <v>2310</v>
      </c>
      <c r="B3085" t="s">
        <v>374</v>
      </c>
      <c r="C3085" t="s">
        <v>607</v>
      </c>
      <c r="D3085" t="s">
        <v>2311</v>
      </c>
      <c r="E3085" t="s">
        <v>2312</v>
      </c>
      <c r="F3085" s="13">
        <v>44621.807881944442</v>
      </c>
      <c r="G3085" t="s">
        <v>2313</v>
      </c>
      <c r="H3085" t="s">
        <v>2314</v>
      </c>
      <c r="I3085" s="13">
        <v>44621.812430555554</v>
      </c>
      <c r="K3085" t="s">
        <v>412</v>
      </c>
      <c r="R3085">
        <v>0</v>
      </c>
      <c r="S3085" t="s">
        <v>380</v>
      </c>
      <c r="T3085" t="s">
        <v>57</v>
      </c>
      <c r="V3085" t="s">
        <v>381</v>
      </c>
      <c r="W3085" t="s">
        <v>2315</v>
      </c>
      <c r="X3085" t="s">
        <v>2315</v>
      </c>
      <c r="AC3085" s="13">
        <v>44742</v>
      </c>
      <c r="AD3085" s="13">
        <v>44742</v>
      </c>
      <c r="AI3085">
        <v>121</v>
      </c>
      <c r="AL3085" t="s">
        <v>2316</v>
      </c>
      <c r="AN3085" t="s">
        <v>31</v>
      </c>
      <c r="AO3085">
        <v>0</v>
      </c>
      <c r="AS3085" t="s">
        <v>744</v>
      </c>
      <c r="AX3085" t="s">
        <v>31</v>
      </c>
      <c r="AY3085" t="s">
        <v>442</v>
      </c>
      <c r="AZ3085" t="s">
        <v>2317</v>
      </c>
      <c r="BF3085">
        <v>0</v>
      </c>
      <c r="BK3085" t="s">
        <v>31</v>
      </c>
      <c r="BS3085" t="s">
        <v>412</v>
      </c>
      <c r="BT3085" t="s">
        <v>412</v>
      </c>
      <c r="CI3085" t="s">
        <v>388</v>
      </c>
      <c r="CJ3085" s="14">
        <v>45016</v>
      </c>
      <c r="CK3085">
        <v>1</v>
      </c>
    </row>
    <row r="3086" spans="1:89">
      <c r="A3086" t="s">
        <v>1655</v>
      </c>
      <c r="B3086" t="s">
        <v>374</v>
      </c>
      <c r="C3086" t="s">
        <v>1656</v>
      </c>
      <c r="D3086" t="s">
        <v>2318</v>
      </c>
      <c r="E3086" t="s">
        <v>2319</v>
      </c>
      <c r="F3086" s="13">
        <v>44621.80537037037</v>
      </c>
      <c r="G3086" t="s">
        <v>1659</v>
      </c>
      <c r="H3086" t="s">
        <v>1660</v>
      </c>
      <c r="I3086" s="13">
        <v>45012.04414351852</v>
      </c>
      <c r="K3086" t="s">
        <v>415</v>
      </c>
      <c r="M3086" s="13">
        <v>44650</v>
      </c>
      <c r="R3086">
        <v>100</v>
      </c>
      <c r="S3086" t="s">
        <v>380</v>
      </c>
      <c r="T3086" t="s">
        <v>57</v>
      </c>
      <c r="V3086" t="s">
        <v>478</v>
      </c>
      <c r="W3086" t="s">
        <v>1661</v>
      </c>
      <c r="X3086" t="s">
        <v>1661</v>
      </c>
      <c r="AB3086" t="s">
        <v>57</v>
      </c>
      <c r="AC3086" s="13">
        <v>44650</v>
      </c>
      <c r="AD3086" s="13">
        <v>44620</v>
      </c>
      <c r="AF3086" t="s">
        <v>382</v>
      </c>
      <c r="AG3086" t="s">
        <v>2320</v>
      </c>
      <c r="AI3086">
        <v>-362</v>
      </c>
      <c r="AJ3086" s="13">
        <v>44651</v>
      </c>
      <c r="AL3086" t="s">
        <v>1670</v>
      </c>
      <c r="AN3086" t="s">
        <v>31</v>
      </c>
      <c r="AO3086">
        <v>0</v>
      </c>
      <c r="AR3086" t="s">
        <v>2320</v>
      </c>
      <c r="AS3086" t="s">
        <v>385</v>
      </c>
      <c r="AX3086" t="s">
        <v>31</v>
      </c>
      <c r="AY3086" t="s">
        <v>442</v>
      </c>
      <c r="AZ3086" t="s">
        <v>2321</v>
      </c>
      <c r="BF3086">
        <v>0</v>
      </c>
      <c r="BK3086" t="s">
        <v>31</v>
      </c>
      <c r="BS3086" t="s">
        <v>1201</v>
      </c>
      <c r="BT3086" t="s">
        <v>1202</v>
      </c>
      <c r="CI3086" t="s">
        <v>388</v>
      </c>
      <c r="CJ3086" s="14">
        <v>45016</v>
      </c>
      <c r="CK3086">
        <v>1</v>
      </c>
    </row>
    <row r="3087" spans="1:89">
      <c r="A3087" t="s">
        <v>673</v>
      </c>
      <c r="B3087" t="s">
        <v>374</v>
      </c>
      <c r="C3087" t="s">
        <v>674</v>
      </c>
      <c r="D3087" t="s">
        <v>2322</v>
      </c>
      <c r="E3087" t="s">
        <v>2323</v>
      </c>
      <c r="F3087" s="13">
        <v>44621.722754629627</v>
      </c>
      <c r="G3087" t="s">
        <v>2324</v>
      </c>
      <c r="H3087" t="s">
        <v>2325</v>
      </c>
      <c r="I3087" s="13">
        <v>45012.04414351852</v>
      </c>
      <c r="K3087" t="s">
        <v>415</v>
      </c>
      <c r="M3087" s="13">
        <v>44895</v>
      </c>
      <c r="R3087">
        <v>0</v>
      </c>
      <c r="S3087" t="s">
        <v>380</v>
      </c>
      <c r="T3087" t="s">
        <v>57</v>
      </c>
      <c r="V3087" t="s">
        <v>478</v>
      </c>
      <c r="W3087" t="s">
        <v>2326</v>
      </c>
      <c r="X3087" t="s">
        <v>2326</v>
      </c>
      <c r="AF3087" t="s">
        <v>451</v>
      </c>
      <c r="AI3087">
        <v>-117</v>
      </c>
      <c r="AL3087" t="s">
        <v>2327</v>
      </c>
      <c r="AN3087" t="s">
        <v>31</v>
      </c>
      <c r="AO3087">
        <v>0</v>
      </c>
      <c r="AS3087" t="s">
        <v>385</v>
      </c>
      <c r="AX3087" t="s">
        <v>31</v>
      </c>
      <c r="AY3087" t="s">
        <v>442</v>
      </c>
      <c r="AZ3087" t="s">
        <v>2328</v>
      </c>
      <c r="BF3087">
        <v>0</v>
      </c>
      <c r="BK3087" t="s">
        <v>31</v>
      </c>
      <c r="BS3087" t="s">
        <v>419</v>
      </c>
      <c r="BT3087" t="s">
        <v>419</v>
      </c>
      <c r="CI3087" t="s">
        <v>388</v>
      </c>
      <c r="CJ3087" s="14">
        <v>45016</v>
      </c>
      <c r="CK3087">
        <v>1</v>
      </c>
    </row>
    <row r="3088" spans="1:89">
      <c r="A3088" t="s">
        <v>673</v>
      </c>
      <c r="B3088" t="s">
        <v>374</v>
      </c>
      <c r="C3088" t="s">
        <v>674</v>
      </c>
      <c r="D3088" t="s">
        <v>2329</v>
      </c>
      <c r="E3088" t="s">
        <v>2330</v>
      </c>
      <c r="F3088" s="13">
        <v>44621.721030092594</v>
      </c>
      <c r="G3088" t="s">
        <v>2324</v>
      </c>
      <c r="H3088" t="s">
        <v>2325</v>
      </c>
      <c r="I3088" s="13">
        <v>45012.044131944444</v>
      </c>
      <c r="K3088" t="s">
        <v>415</v>
      </c>
      <c r="M3088" s="13">
        <v>44651</v>
      </c>
      <c r="R3088">
        <v>0</v>
      </c>
      <c r="S3088" t="s">
        <v>380</v>
      </c>
      <c r="T3088" t="s">
        <v>57</v>
      </c>
      <c r="V3088" t="s">
        <v>478</v>
      </c>
      <c r="W3088" t="s">
        <v>2326</v>
      </c>
      <c r="X3088" t="s">
        <v>2326</v>
      </c>
      <c r="AF3088" t="s">
        <v>451</v>
      </c>
      <c r="AI3088">
        <v>-361</v>
      </c>
      <c r="AL3088" t="s">
        <v>2327</v>
      </c>
      <c r="AN3088" t="s">
        <v>31</v>
      </c>
      <c r="AO3088">
        <v>0</v>
      </c>
      <c r="AS3088" t="s">
        <v>385</v>
      </c>
      <c r="AX3088" t="s">
        <v>31</v>
      </c>
      <c r="AY3088" t="s">
        <v>386</v>
      </c>
      <c r="AZ3088" t="s">
        <v>2331</v>
      </c>
      <c r="BF3088">
        <v>0</v>
      </c>
      <c r="BK3088" t="s">
        <v>31</v>
      </c>
      <c r="BS3088" t="s">
        <v>419</v>
      </c>
      <c r="BT3088" t="s">
        <v>419</v>
      </c>
      <c r="CI3088" t="s">
        <v>388</v>
      </c>
      <c r="CJ3088" s="14">
        <v>45016</v>
      </c>
      <c r="CK3088">
        <v>1</v>
      </c>
    </row>
    <row r="3089" spans="1:89">
      <c r="A3089" t="s">
        <v>2332</v>
      </c>
      <c r="B3089" t="s">
        <v>374</v>
      </c>
      <c r="C3089" t="s">
        <v>2333</v>
      </c>
      <c r="D3089" t="s">
        <v>2334</v>
      </c>
      <c r="E3089" t="s">
        <v>2335</v>
      </c>
      <c r="F3089" s="13">
        <v>44621.682743055557</v>
      </c>
      <c r="G3089" t="s">
        <v>2336</v>
      </c>
      <c r="H3089" t="s">
        <v>2337</v>
      </c>
      <c r="I3089" s="13">
        <v>45012.044131944444</v>
      </c>
      <c r="K3089" t="s">
        <v>415</v>
      </c>
      <c r="M3089" s="13">
        <v>44742</v>
      </c>
      <c r="R3089">
        <v>0</v>
      </c>
      <c r="S3089" t="s">
        <v>380</v>
      </c>
      <c r="T3089" t="s">
        <v>57</v>
      </c>
      <c r="V3089" t="s">
        <v>478</v>
      </c>
      <c r="W3089" t="s">
        <v>2338</v>
      </c>
      <c r="X3089" t="s">
        <v>2338</v>
      </c>
      <c r="AF3089" t="s">
        <v>451</v>
      </c>
      <c r="AI3089">
        <v>-270</v>
      </c>
      <c r="AL3089" t="s">
        <v>2339</v>
      </c>
      <c r="AN3089" t="s">
        <v>31</v>
      </c>
      <c r="AO3089">
        <v>0</v>
      </c>
      <c r="AS3089" t="s">
        <v>526</v>
      </c>
      <c r="AX3089" t="s">
        <v>31</v>
      </c>
      <c r="AY3089" t="s">
        <v>442</v>
      </c>
      <c r="AZ3089" t="s">
        <v>2340</v>
      </c>
      <c r="BE3089" t="s">
        <v>2341</v>
      </c>
      <c r="BF3089">
        <v>0</v>
      </c>
      <c r="BK3089" t="s">
        <v>31</v>
      </c>
      <c r="BS3089" t="s">
        <v>419</v>
      </c>
      <c r="BT3089" t="s">
        <v>419</v>
      </c>
      <c r="CI3089" t="s">
        <v>388</v>
      </c>
      <c r="CJ3089" s="14">
        <v>45016</v>
      </c>
      <c r="CK3089">
        <v>1</v>
      </c>
    </row>
    <row r="3090" spans="1:89">
      <c r="A3090" t="s">
        <v>2342</v>
      </c>
      <c r="B3090" t="s">
        <v>374</v>
      </c>
      <c r="C3090" t="s">
        <v>2343</v>
      </c>
      <c r="D3090" t="s">
        <v>2344</v>
      </c>
      <c r="E3090" t="s">
        <v>2345</v>
      </c>
      <c r="F3090" s="13">
        <v>44621.635231481479</v>
      </c>
      <c r="G3090" t="s">
        <v>2346</v>
      </c>
      <c r="H3090" t="s">
        <v>2347</v>
      </c>
      <c r="I3090" s="13">
        <v>45012.044131944444</v>
      </c>
      <c r="K3090" t="s">
        <v>415</v>
      </c>
      <c r="M3090" s="13">
        <v>44712</v>
      </c>
      <c r="R3090">
        <v>0</v>
      </c>
      <c r="S3090" t="s">
        <v>380</v>
      </c>
      <c r="T3090" t="s">
        <v>57</v>
      </c>
      <c r="V3090" t="s">
        <v>478</v>
      </c>
      <c r="W3090" t="s">
        <v>2348</v>
      </c>
      <c r="X3090" t="s">
        <v>2348</v>
      </c>
      <c r="AF3090" t="s">
        <v>451</v>
      </c>
      <c r="AI3090">
        <v>-300</v>
      </c>
      <c r="AL3090" t="s">
        <v>2349</v>
      </c>
      <c r="AN3090" t="s">
        <v>31</v>
      </c>
      <c r="AO3090">
        <v>0</v>
      </c>
      <c r="AS3090" t="s">
        <v>385</v>
      </c>
      <c r="AX3090" t="s">
        <v>57</v>
      </c>
      <c r="AY3090" t="s">
        <v>442</v>
      </c>
      <c r="AZ3090" t="s">
        <v>2350</v>
      </c>
      <c r="BF3090">
        <v>0</v>
      </c>
      <c r="BK3090" t="s">
        <v>31</v>
      </c>
      <c r="BS3090" t="s">
        <v>419</v>
      </c>
      <c r="BT3090" t="s">
        <v>419</v>
      </c>
      <c r="CI3090" t="s">
        <v>388</v>
      </c>
      <c r="CJ3090" s="14">
        <v>45016</v>
      </c>
      <c r="CK3090">
        <v>1</v>
      </c>
    </row>
    <row r="3091" spans="1:89">
      <c r="A3091" t="s">
        <v>1655</v>
      </c>
      <c r="B3091" t="s">
        <v>374</v>
      </c>
      <c r="C3091" t="s">
        <v>1656</v>
      </c>
      <c r="D3091" t="s">
        <v>2351</v>
      </c>
      <c r="E3091" t="s">
        <v>2352</v>
      </c>
      <c r="F3091" s="13">
        <v>44621.624803240738</v>
      </c>
      <c r="G3091" t="s">
        <v>1659</v>
      </c>
      <c r="H3091" t="s">
        <v>1660</v>
      </c>
      <c r="I3091" s="13">
        <v>45012.044120370374</v>
      </c>
      <c r="K3091" t="s">
        <v>415</v>
      </c>
      <c r="M3091" s="13">
        <v>44681</v>
      </c>
      <c r="R3091">
        <v>0</v>
      </c>
      <c r="S3091" t="s">
        <v>380</v>
      </c>
      <c r="T3091" t="s">
        <v>57</v>
      </c>
      <c r="V3091" t="s">
        <v>478</v>
      </c>
      <c r="W3091" t="s">
        <v>2353</v>
      </c>
      <c r="X3091" t="s">
        <v>2353</v>
      </c>
      <c r="AC3091" s="13">
        <v>44681</v>
      </c>
      <c r="AD3091" s="13">
        <v>44681</v>
      </c>
      <c r="AF3091" t="s">
        <v>451</v>
      </c>
      <c r="AI3091">
        <v>-331</v>
      </c>
      <c r="AL3091" t="s">
        <v>2354</v>
      </c>
      <c r="AN3091" t="s">
        <v>31</v>
      </c>
      <c r="AO3091">
        <v>0</v>
      </c>
      <c r="AS3091" t="s">
        <v>385</v>
      </c>
      <c r="AX3091" t="s">
        <v>31</v>
      </c>
      <c r="AY3091" t="s">
        <v>386</v>
      </c>
      <c r="AZ3091" t="s">
        <v>2355</v>
      </c>
      <c r="BE3091" t="s">
        <v>1364</v>
      </c>
      <c r="BF3091">
        <v>0</v>
      </c>
      <c r="BK3091" t="s">
        <v>31</v>
      </c>
      <c r="BS3091" t="s">
        <v>419</v>
      </c>
      <c r="BT3091" t="s">
        <v>419</v>
      </c>
      <c r="CI3091" t="s">
        <v>388</v>
      </c>
      <c r="CJ3091" s="14">
        <v>45016</v>
      </c>
      <c r="CK3091">
        <v>1</v>
      </c>
    </row>
    <row r="3092" spans="1:89">
      <c r="A3092" t="s">
        <v>673</v>
      </c>
      <c r="B3092" t="s">
        <v>374</v>
      </c>
      <c r="C3092" t="s">
        <v>674</v>
      </c>
      <c r="D3092" t="s">
        <v>2356</v>
      </c>
      <c r="E3092" t="s">
        <v>2357</v>
      </c>
      <c r="F3092" s="13">
        <v>44621.426631944443</v>
      </c>
      <c r="G3092" t="s">
        <v>2358</v>
      </c>
      <c r="H3092" t="s">
        <v>2359</v>
      </c>
      <c r="I3092" s="13">
        <v>45012.044120370374</v>
      </c>
      <c r="K3092" t="s">
        <v>415</v>
      </c>
      <c r="M3092" s="13">
        <v>44651</v>
      </c>
      <c r="R3092">
        <v>0</v>
      </c>
      <c r="S3092" t="s">
        <v>380</v>
      </c>
      <c r="T3092" t="s">
        <v>57</v>
      </c>
      <c r="V3092" t="s">
        <v>478</v>
      </c>
      <c r="W3092" t="s">
        <v>2360</v>
      </c>
      <c r="X3092" t="s">
        <v>2360</v>
      </c>
      <c r="AF3092" t="s">
        <v>451</v>
      </c>
      <c r="AI3092">
        <v>-361</v>
      </c>
      <c r="AL3092" t="s">
        <v>2361</v>
      </c>
      <c r="AN3092" t="s">
        <v>31</v>
      </c>
      <c r="AO3092">
        <v>0</v>
      </c>
      <c r="AS3092" t="s">
        <v>538</v>
      </c>
      <c r="AX3092" t="s">
        <v>31</v>
      </c>
      <c r="AY3092" t="s">
        <v>442</v>
      </c>
      <c r="AZ3092" t="s">
        <v>2362</v>
      </c>
      <c r="BE3092" t="s">
        <v>2363</v>
      </c>
      <c r="BF3092">
        <v>0</v>
      </c>
      <c r="BK3092" t="s">
        <v>31</v>
      </c>
      <c r="BS3092" t="s">
        <v>419</v>
      </c>
      <c r="BT3092" t="s">
        <v>419</v>
      </c>
      <c r="CI3092" t="s">
        <v>388</v>
      </c>
      <c r="CJ3092" s="14">
        <v>45016</v>
      </c>
      <c r="CK3092">
        <v>1</v>
      </c>
    </row>
    <row r="3093" spans="1:89">
      <c r="A3093" t="s">
        <v>673</v>
      </c>
      <c r="B3093" t="s">
        <v>374</v>
      </c>
      <c r="C3093" t="s">
        <v>674</v>
      </c>
      <c r="D3093" t="s">
        <v>2364</v>
      </c>
      <c r="E3093" t="s">
        <v>2365</v>
      </c>
      <c r="F3093" s="13">
        <v>44621.405949074076</v>
      </c>
      <c r="G3093" t="s">
        <v>2358</v>
      </c>
      <c r="H3093" t="s">
        <v>2359</v>
      </c>
      <c r="I3093" s="13">
        <v>44621.406793981485</v>
      </c>
      <c r="K3093" t="s">
        <v>412</v>
      </c>
      <c r="R3093">
        <v>0</v>
      </c>
      <c r="S3093" t="s">
        <v>380</v>
      </c>
      <c r="T3093" t="s">
        <v>57</v>
      </c>
      <c r="V3093" t="s">
        <v>381</v>
      </c>
      <c r="W3093" t="s">
        <v>2359</v>
      </c>
      <c r="X3093" t="s">
        <v>2359</v>
      </c>
      <c r="AI3093">
        <v>60</v>
      </c>
      <c r="AL3093" t="s">
        <v>2366</v>
      </c>
      <c r="AN3093" t="s">
        <v>31</v>
      </c>
      <c r="AO3093">
        <v>0</v>
      </c>
      <c r="AS3093" t="s">
        <v>385</v>
      </c>
      <c r="AX3093" t="s">
        <v>31</v>
      </c>
      <c r="AY3093" t="s">
        <v>442</v>
      </c>
      <c r="AZ3093" t="s">
        <v>2367</v>
      </c>
      <c r="BF3093">
        <v>0</v>
      </c>
      <c r="BK3093" t="s">
        <v>31</v>
      </c>
      <c r="BS3093" t="s">
        <v>412</v>
      </c>
      <c r="BT3093" t="s">
        <v>412</v>
      </c>
      <c r="CI3093" t="s">
        <v>388</v>
      </c>
      <c r="CJ3093" s="14">
        <v>45016</v>
      </c>
      <c r="CK3093">
        <v>1</v>
      </c>
    </row>
    <row r="3094" spans="1:89">
      <c r="A3094" t="s">
        <v>2368</v>
      </c>
      <c r="B3094" t="s">
        <v>374</v>
      </c>
      <c r="C3094" t="s">
        <v>2369</v>
      </c>
      <c r="D3094" t="s">
        <v>2370</v>
      </c>
      <c r="E3094" t="s">
        <v>2371</v>
      </c>
      <c r="F3094" s="13">
        <v>44621.400127314817</v>
      </c>
      <c r="G3094" t="s">
        <v>2372</v>
      </c>
      <c r="H3094" t="s">
        <v>2373</v>
      </c>
      <c r="I3094" s="13">
        <v>44643.409305555557</v>
      </c>
      <c r="K3094" t="s">
        <v>379</v>
      </c>
      <c r="M3094" s="13">
        <v>44621</v>
      </c>
      <c r="R3094">
        <v>100</v>
      </c>
      <c r="S3094" t="s">
        <v>380</v>
      </c>
      <c r="T3094" t="s">
        <v>57</v>
      </c>
      <c r="V3094" t="s">
        <v>478</v>
      </c>
      <c r="W3094" t="s">
        <v>2374</v>
      </c>
      <c r="X3094" t="s">
        <v>2374</v>
      </c>
      <c r="AB3094" t="s">
        <v>57</v>
      </c>
      <c r="AF3094" t="s">
        <v>382</v>
      </c>
      <c r="AG3094" t="s">
        <v>2375</v>
      </c>
      <c r="AI3094">
        <v>-22</v>
      </c>
      <c r="AJ3094" s="13">
        <v>44628</v>
      </c>
      <c r="AL3094" t="s">
        <v>2376</v>
      </c>
      <c r="AN3094" t="s">
        <v>31</v>
      </c>
      <c r="AO3094">
        <v>0</v>
      </c>
      <c r="AR3094" t="s">
        <v>2375</v>
      </c>
      <c r="AS3094" t="s">
        <v>385</v>
      </c>
      <c r="AX3094" t="s">
        <v>57</v>
      </c>
      <c r="AY3094" t="s">
        <v>442</v>
      </c>
      <c r="AZ3094" t="s">
        <v>2377</v>
      </c>
      <c r="BC3094" t="s">
        <v>480</v>
      </c>
      <c r="BD3094" t="s">
        <v>2378</v>
      </c>
      <c r="BF3094">
        <v>0</v>
      </c>
      <c r="BK3094" t="s">
        <v>31</v>
      </c>
      <c r="BS3094" t="s">
        <v>379</v>
      </c>
      <c r="BT3094" t="s">
        <v>379</v>
      </c>
      <c r="CC3094" t="s">
        <v>2379</v>
      </c>
      <c r="CI3094" t="s">
        <v>388</v>
      </c>
      <c r="CJ3094" s="14">
        <v>45016</v>
      </c>
      <c r="CK3094">
        <v>1</v>
      </c>
    </row>
    <row r="3095" spans="1:89">
      <c r="A3095" t="s">
        <v>1535</v>
      </c>
      <c r="B3095" t="s">
        <v>374</v>
      </c>
      <c r="C3095" t="s">
        <v>1536</v>
      </c>
      <c r="D3095" t="s">
        <v>2380</v>
      </c>
      <c r="E3095" t="s">
        <v>2381</v>
      </c>
      <c r="F3095" s="13">
        <v>44621.380810185183</v>
      </c>
      <c r="G3095" t="s">
        <v>1539</v>
      </c>
      <c r="H3095" t="s">
        <v>1540</v>
      </c>
      <c r="I3095" s="13">
        <v>45012.044120370374</v>
      </c>
      <c r="K3095" t="s">
        <v>415</v>
      </c>
      <c r="M3095" s="13">
        <v>44640</v>
      </c>
      <c r="R3095">
        <v>0</v>
      </c>
      <c r="S3095" t="s">
        <v>380</v>
      </c>
      <c r="T3095" t="s">
        <v>57</v>
      </c>
      <c r="V3095" t="s">
        <v>478</v>
      </c>
      <c r="W3095" t="s">
        <v>1540</v>
      </c>
      <c r="X3095" t="s">
        <v>1540</v>
      </c>
      <c r="AC3095" s="13">
        <v>44652</v>
      </c>
      <c r="AD3095" s="13">
        <v>44651</v>
      </c>
      <c r="AF3095" t="s">
        <v>451</v>
      </c>
      <c r="AG3095" t="s">
        <v>2382</v>
      </c>
      <c r="AI3095">
        <v>-372</v>
      </c>
      <c r="AL3095" t="s">
        <v>2383</v>
      </c>
      <c r="AN3095" t="s">
        <v>31</v>
      </c>
      <c r="AO3095">
        <v>0</v>
      </c>
      <c r="AS3095" t="s">
        <v>392</v>
      </c>
      <c r="AX3095" t="s">
        <v>57</v>
      </c>
      <c r="AY3095" t="s">
        <v>386</v>
      </c>
      <c r="AZ3095" t="s">
        <v>2384</v>
      </c>
      <c r="BF3095">
        <v>0</v>
      </c>
      <c r="BK3095" t="s">
        <v>31</v>
      </c>
      <c r="BS3095" t="s">
        <v>419</v>
      </c>
      <c r="BT3095" t="s">
        <v>419</v>
      </c>
      <c r="CI3095" t="s">
        <v>388</v>
      </c>
      <c r="CJ3095" s="14">
        <v>45016</v>
      </c>
      <c r="CK3095">
        <v>1</v>
      </c>
    </row>
    <row r="3096" spans="1:89">
      <c r="A3096" t="s">
        <v>454</v>
      </c>
      <c r="B3096" t="s">
        <v>374</v>
      </c>
      <c r="C3096" t="s">
        <v>455</v>
      </c>
      <c r="D3096" t="s">
        <v>2385</v>
      </c>
      <c r="E3096" t="s">
        <v>2386</v>
      </c>
      <c r="F3096" s="13">
        <v>44620.996203703704</v>
      </c>
      <c r="G3096" t="s">
        <v>2387</v>
      </c>
      <c r="H3096" t="s">
        <v>2388</v>
      </c>
      <c r="I3096" s="13">
        <v>45015.395868055559</v>
      </c>
      <c r="K3096" t="s">
        <v>415</v>
      </c>
      <c r="M3096" s="13">
        <v>45169</v>
      </c>
      <c r="R3096">
        <v>0</v>
      </c>
      <c r="S3096" t="s">
        <v>380</v>
      </c>
      <c r="T3096" t="s">
        <v>57</v>
      </c>
      <c r="V3096" t="s">
        <v>381</v>
      </c>
      <c r="W3096" t="s">
        <v>2306</v>
      </c>
      <c r="X3096" t="s">
        <v>2306</v>
      </c>
      <c r="Y3096" t="s">
        <v>480</v>
      </c>
      <c r="AF3096" t="s">
        <v>451</v>
      </c>
      <c r="AI3096">
        <v>154</v>
      </c>
      <c r="AL3096" t="s">
        <v>2389</v>
      </c>
      <c r="AN3096" t="s">
        <v>31</v>
      </c>
      <c r="AO3096">
        <v>0</v>
      </c>
      <c r="AS3096" t="s">
        <v>392</v>
      </c>
      <c r="AT3096" t="s">
        <v>31</v>
      </c>
      <c r="AX3096" t="s">
        <v>57</v>
      </c>
      <c r="AY3096" t="s">
        <v>442</v>
      </c>
      <c r="AZ3096" t="s">
        <v>2390</v>
      </c>
      <c r="BE3096" t="s">
        <v>2391</v>
      </c>
      <c r="BF3096">
        <v>0</v>
      </c>
      <c r="BK3096" t="s">
        <v>31</v>
      </c>
      <c r="BS3096" t="s">
        <v>484</v>
      </c>
      <c r="BT3096" t="s">
        <v>484</v>
      </c>
      <c r="CI3096" t="s">
        <v>388</v>
      </c>
      <c r="CJ3096" s="14">
        <v>45016</v>
      </c>
      <c r="CK3096">
        <v>1</v>
      </c>
    </row>
    <row r="3097" spans="1:89">
      <c r="A3097" t="s">
        <v>454</v>
      </c>
      <c r="B3097" t="s">
        <v>374</v>
      </c>
      <c r="C3097" t="s">
        <v>455</v>
      </c>
      <c r="D3097" t="s">
        <v>2392</v>
      </c>
      <c r="E3097" t="s">
        <v>2393</v>
      </c>
      <c r="F3097" s="13">
        <v>44620.937708333331</v>
      </c>
      <c r="G3097" t="s">
        <v>2387</v>
      </c>
      <c r="H3097" t="s">
        <v>2388</v>
      </c>
      <c r="I3097" s="13">
        <v>45012.044108796297</v>
      </c>
      <c r="K3097" t="s">
        <v>415</v>
      </c>
      <c r="M3097" s="13">
        <v>44803</v>
      </c>
      <c r="R3097">
        <v>0</v>
      </c>
      <c r="S3097" t="s">
        <v>380</v>
      </c>
      <c r="T3097" t="s">
        <v>57</v>
      </c>
      <c r="V3097" t="s">
        <v>478</v>
      </c>
      <c r="W3097" t="s">
        <v>2306</v>
      </c>
      <c r="X3097" t="s">
        <v>2306</v>
      </c>
      <c r="AF3097" t="s">
        <v>451</v>
      </c>
      <c r="AI3097">
        <v>-209</v>
      </c>
      <c r="AL3097" t="s">
        <v>2394</v>
      </c>
      <c r="AN3097" t="s">
        <v>57</v>
      </c>
      <c r="AO3097">
        <v>0</v>
      </c>
      <c r="AS3097" t="s">
        <v>392</v>
      </c>
      <c r="AX3097" t="s">
        <v>57</v>
      </c>
      <c r="AY3097" t="s">
        <v>442</v>
      </c>
      <c r="AZ3097" t="s">
        <v>2395</v>
      </c>
      <c r="BE3097" t="s">
        <v>2396</v>
      </c>
      <c r="BF3097">
        <v>0</v>
      </c>
      <c r="BK3097" t="s">
        <v>31</v>
      </c>
      <c r="BS3097" t="s">
        <v>419</v>
      </c>
      <c r="BT3097" t="s">
        <v>419</v>
      </c>
      <c r="CI3097" t="s">
        <v>388</v>
      </c>
      <c r="CJ3097" s="14">
        <v>45016</v>
      </c>
      <c r="CK3097">
        <v>1</v>
      </c>
    </row>
    <row r="3098" spans="1:89">
      <c r="A3098" t="s">
        <v>454</v>
      </c>
      <c r="B3098" t="s">
        <v>374</v>
      </c>
      <c r="C3098" t="s">
        <v>455</v>
      </c>
      <c r="D3098" t="s">
        <v>2397</v>
      </c>
      <c r="E3098" t="s">
        <v>2398</v>
      </c>
      <c r="F3098" s="13">
        <v>44620.903287037036</v>
      </c>
      <c r="G3098" t="s">
        <v>2399</v>
      </c>
      <c r="H3098" t="s">
        <v>2400</v>
      </c>
      <c r="I3098" s="13">
        <v>45012.044108796297</v>
      </c>
      <c r="K3098" t="s">
        <v>415</v>
      </c>
      <c r="M3098" s="13">
        <v>44882</v>
      </c>
      <c r="R3098">
        <v>0</v>
      </c>
      <c r="S3098" t="s">
        <v>380</v>
      </c>
      <c r="T3098" t="s">
        <v>57</v>
      </c>
      <c r="V3098" t="s">
        <v>478</v>
      </c>
      <c r="W3098" t="s">
        <v>2401</v>
      </c>
      <c r="X3098" t="s">
        <v>2401</v>
      </c>
      <c r="AF3098" t="s">
        <v>451</v>
      </c>
      <c r="AI3098">
        <v>-130</v>
      </c>
      <c r="AL3098" t="s">
        <v>2402</v>
      </c>
      <c r="AN3098" t="s">
        <v>31</v>
      </c>
      <c r="AO3098">
        <v>0</v>
      </c>
      <c r="AS3098" t="s">
        <v>385</v>
      </c>
      <c r="AX3098" t="s">
        <v>57</v>
      </c>
      <c r="AY3098" t="s">
        <v>386</v>
      </c>
      <c r="AZ3098" t="s">
        <v>2403</v>
      </c>
      <c r="BE3098" t="s">
        <v>2404</v>
      </c>
      <c r="BF3098">
        <v>0</v>
      </c>
      <c r="BK3098" t="s">
        <v>31</v>
      </c>
      <c r="BS3098" t="s">
        <v>419</v>
      </c>
      <c r="BT3098" t="s">
        <v>419</v>
      </c>
      <c r="CI3098" t="s">
        <v>388</v>
      </c>
      <c r="CJ3098" s="14">
        <v>45016</v>
      </c>
      <c r="CK3098">
        <v>1</v>
      </c>
    </row>
    <row r="3099" spans="1:89">
      <c r="A3099" t="s">
        <v>454</v>
      </c>
      <c r="B3099" t="s">
        <v>374</v>
      </c>
      <c r="C3099" t="s">
        <v>455</v>
      </c>
      <c r="D3099" t="s">
        <v>2405</v>
      </c>
      <c r="E3099" t="s">
        <v>2406</v>
      </c>
      <c r="F3099" s="13">
        <v>44620.887777777774</v>
      </c>
      <c r="G3099" t="s">
        <v>2399</v>
      </c>
      <c r="H3099" t="s">
        <v>2400</v>
      </c>
      <c r="I3099" s="13">
        <v>45012.04409722222</v>
      </c>
      <c r="K3099" t="s">
        <v>415</v>
      </c>
      <c r="M3099" s="13">
        <v>44881</v>
      </c>
      <c r="R3099">
        <v>0</v>
      </c>
      <c r="S3099" t="s">
        <v>380</v>
      </c>
      <c r="T3099" t="s">
        <v>57</v>
      </c>
      <c r="V3099" t="s">
        <v>478</v>
      </c>
      <c r="W3099" t="s">
        <v>2401</v>
      </c>
      <c r="X3099" t="s">
        <v>2401</v>
      </c>
      <c r="AF3099" t="s">
        <v>451</v>
      </c>
      <c r="AI3099">
        <v>-131</v>
      </c>
      <c r="AL3099" t="s">
        <v>2407</v>
      </c>
      <c r="AN3099" t="s">
        <v>31</v>
      </c>
      <c r="AO3099">
        <v>0</v>
      </c>
      <c r="AS3099" t="s">
        <v>385</v>
      </c>
      <c r="AX3099" t="s">
        <v>57</v>
      </c>
      <c r="AY3099" t="s">
        <v>386</v>
      </c>
      <c r="AZ3099" t="s">
        <v>2408</v>
      </c>
      <c r="BE3099" t="s">
        <v>2409</v>
      </c>
      <c r="BF3099">
        <v>0</v>
      </c>
      <c r="BK3099" t="s">
        <v>31</v>
      </c>
      <c r="BS3099" t="s">
        <v>419</v>
      </c>
      <c r="BT3099" t="s">
        <v>419</v>
      </c>
      <c r="CI3099" t="s">
        <v>388</v>
      </c>
      <c r="CJ3099" s="14">
        <v>45016</v>
      </c>
      <c r="CK3099">
        <v>1</v>
      </c>
    </row>
    <row r="3100" spans="1:89">
      <c r="A3100" t="s">
        <v>454</v>
      </c>
      <c r="B3100" t="s">
        <v>374</v>
      </c>
      <c r="C3100" t="s">
        <v>455</v>
      </c>
      <c r="D3100" t="s">
        <v>2410</v>
      </c>
      <c r="E3100" t="s">
        <v>2411</v>
      </c>
      <c r="F3100" s="13">
        <v>44620.855370370373</v>
      </c>
      <c r="G3100" t="s">
        <v>2399</v>
      </c>
      <c r="H3100" t="s">
        <v>2400</v>
      </c>
      <c r="I3100" s="13">
        <v>45012.04409722222</v>
      </c>
      <c r="K3100" t="s">
        <v>415</v>
      </c>
      <c r="M3100" s="13">
        <v>44882</v>
      </c>
      <c r="R3100">
        <v>0</v>
      </c>
      <c r="S3100" t="s">
        <v>380</v>
      </c>
      <c r="T3100" t="s">
        <v>57</v>
      </c>
      <c r="V3100" t="s">
        <v>478</v>
      </c>
      <c r="W3100" t="s">
        <v>2401</v>
      </c>
      <c r="X3100" t="s">
        <v>2401</v>
      </c>
      <c r="AF3100" t="s">
        <v>451</v>
      </c>
      <c r="AI3100">
        <v>-130</v>
      </c>
      <c r="AL3100" t="s">
        <v>2412</v>
      </c>
      <c r="AN3100" t="s">
        <v>31</v>
      </c>
      <c r="AO3100">
        <v>0</v>
      </c>
      <c r="AS3100" t="s">
        <v>385</v>
      </c>
      <c r="AX3100" t="s">
        <v>57</v>
      </c>
      <c r="AY3100" t="s">
        <v>386</v>
      </c>
      <c r="AZ3100" t="s">
        <v>2413</v>
      </c>
      <c r="BE3100" t="s">
        <v>2414</v>
      </c>
      <c r="BF3100">
        <v>0</v>
      </c>
      <c r="BK3100" t="s">
        <v>31</v>
      </c>
      <c r="BS3100" t="s">
        <v>419</v>
      </c>
      <c r="BT3100" t="s">
        <v>419</v>
      </c>
      <c r="CI3100" t="s">
        <v>388</v>
      </c>
      <c r="CJ3100" s="14">
        <v>45016</v>
      </c>
      <c r="CK3100">
        <v>1</v>
      </c>
    </row>
    <row r="3101" spans="1:89">
      <c r="A3101" t="s">
        <v>454</v>
      </c>
      <c r="B3101" t="s">
        <v>374</v>
      </c>
      <c r="C3101" t="s">
        <v>455</v>
      </c>
      <c r="D3101" t="s">
        <v>2415</v>
      </c>
      <c r="E3101" t="s">
        <v>2416</v>
      </c>
      <c r="F3101" s="13">
        <v>44620.822314814817</v>
      </c>
      <c r="G3101" t="s">
        <v>2399</v>
      </c>
      <c r="H3101" t="s">
        <v>2400</v>
      </c>
      <c r="I3101" s="13">
        <v>45012.04409722222</v>
      </c>
      <c r="K3101" t="s">
        <v>415</v>
      </c>
      <c r="M3101" s="13">
        <v>44769</v>
      </c>
      <c r="R3101">
        <v>0</v>
      </c>
      <c r="S3101" t="s">
        <v>380</v>
      </c>
      <c r="T3101" t="s">
        <v>57</v>
      </c>
      <c r="V3101" t="s">
        <v>478</v>
      </c>
      <c r="W3101" t="s">
        <v>2417</v>
      </c>
      <c r="X3101" t="s">
        <v>2417</v>
      </c>
      <c r="AF3101" t="s">
        <v>451</v>
      </c>
      <c r="AI3101">
        <v>-243</v>
      </c>
      <c r="AL3101" t="s">
        <v>2418</v>
      </c>
      <c r="AN3101" t="s">
        <v>31</v>
      </c>
      <c r="AO3101">
        <v>0</v>
      </c>
      <c r="AS3101" t="s">
        <v>385</v>
      </c>
      <c r="AX3101" t="s">
        <v>57</v>
      </c>
      <c r="AY3101" t="s">
        <v>386</v>
      </c>
      <c r="AZ3101" t="s">
        <v>2419</v>
      </c>
      <c r="BE3101" t="s">
        <v>2420</v>
      </c>
      <c r="BF3101">
        <v>0</v>
      </c>
      <c r="BK3101" t="s">
        <v>31</v>
      </c>
      <c r="BS3101" t="s">
        <v>419</v>
      </c>
      <c r="BT3101" t="s">
        <v>419</v>
      </c>
      <c r="CI3101" t="s">
        <v>388</v>
      </c>
      <c r="CJ3101" s="14">
        <v>45016</v>
      </c>
      <c r="CK3101">
        <v>1</v>
      </c>
    </row>
    <row r="3102" spans="1:89">
      <c r="A3102" t="s">
        <v>697</v>
      </c>
      <c r="B3102" t="s">
        <v>374</v>
      </c>
      <c r="C3102" t="s">
        <v>698</v>
      </c>
      <c r="D3102" t="s">
        <v>2421</v>
      </c>
      <c r="E3102" t="s">
        <v>2422</v>
      </c>
      <c r="F3102" s="13">
        <v>44620.779594907406</v>
      </c>
      <c r="G3102" t="s">
        <v>2423</v>
      </c>
      <c r="H3102" t="s">
        <v>2424</v>
      </c>
      <c r="I3102" s="13">
        <v>45012.044085648151</v>
      </c>
      <c r="K3102" t="s">
        <v>415</v>
      </c>
      <c r="M3102" s="13">
        <v>44651</v>
      </c>
      <c r="R3102">
        <v>0</v>
      </c>
      <c r="S3102" t="s">
        <v>380</v>
      </c>
      <c r="T3102" t="s">
        <v>57</v>
      </c>
      <c r="V3102" t="s">
        <v>478</v>
      </c>
      <c r="W3102" t="s">
        <v>2425</v>
      </c>
      <c r="X3102" t="s">
        <v>2425</v>
      </c>
      <c r="AF3102" t="s">
        <v>451</v>
      </c>
      <c r="AI3102">
        <v>-361</v>
      </c>
      <c r="AL3102" t="s">
        <v>2426</v>
      </c>
      <c r="AN3102" t="s">
        <v>31</v>
      </c>
      <c r="AO3102">
        <v>0</v>
      </c>
      <c r="AS3102" t="s">
        <v>392</v>
      </c>
      <c r="AX3102" t="s">
        <v>31</v>
      </c>
      <c r="AY3102" t="s">
        <v>386</v>
      </c>
      <c r="AZ3102" t="s">
        <v>2427</v>
      </c>
      <c r="BF3102">
        <v>0</v>
      </c>
      <c r="BK3102" t="s">
        <v>31</v>
      </c>
      <c r="BS3102" t="s">
        <v>419</v>
      </c>
      <c r="BT3102" t="s">
        <v>419</v>
      </c>
      <c r="CI3102" t="s">
        <v>388</v>
      </c>
      <c r="CJ3102" s="14">
        <v>45016</v>
      </c>
      <c r="CK3102">
        <v>1</v>
      </c>
    </row>
    <row r="3103" spans="1:89">
      <c r="A3103" t="s">
        <v>697</v>
      </c>
      <c r="B3103" t="s">
        <v>374</v>
      </c>
      <c r="C3103" t="s">
        <v>698</v>
      </c>
      <c r="D3103" t="s">
        <v>2428</v>
      </c>
      <c r="E3103" t="s">
        <v>2429</v>
      </c>
      <c r="F3103" s="13">
        <v>44620.770682870374</v>
      </c>
      <c r="G3103" t="s">
        <v>2423</v>
      </c>
      <c r="H3103" t="s">
        <v>2424</v>
      </c>
      <c r="I3103" s="13">
        <v>45012.044085648151</v>
      </c>
      <c r="K3103" t="s">
        <v>415</v>
      </c>
      <c r="M3103" s="13">
        <v>44742</v>
      </c>
      <c r="R3103">
        <v>0</v>
      </c>
      <c r="S3103" t="s">
        <v>380</v>
      </c>
      <c r="T3103" t="s">
        <v>57</v>
      </c>
      <c r="V3103" t="s">
        <v>478</v>
      </c>
      <c r="W3103" t="s">
        <v>2425</v>
      </c>
      <c r="X3103" t="s">
        <v>2425</v>
      </c>
      <c r="AF3103" t="s">
        <v>451</v>
      </c>
      <c r="AI3103">
        <v>-270</v>
      </c>
      <c r="AL3103" t="s">
        <v>2430</v>
      </c>
      <c r="AN3103" t="s">
        <v>31</v>
      </c>
      <c r="AO3103">
        <v>0</v>
      </c>
      <c r="AS3103" t="s">
        <v>526</v>
      </c>
      <c r="AX3103" t="s">
        <v>31</v>
      </c>
      <c r="AY3103" t="s">
        <v>386</v>
      </c>
      <c r="AZ3103" t="s">
        <v>2431</v>
      </c>
      <c r="BF3103">
        <v>0</v>
      </c>
      <c r="BK3103" t="s">
        <v>31</v>
      </c>
      <c r="BS3103" t="s">
        <v>419</v>
      </c>
      <c r="BT3103" t="s">
        <v>419</v>
      </c>
      <c r="CI3103" t="s">
        <v>388</v>
      </c>
      <c r="CJ3103" s="14">
        <v>45016</v>
      </c>
      <c r="CK3103">
        <v>1</v>
      </c>
    </row>
    <row r="3104" spans="1:89">
      <c r="A3104" t="s">
        <v>454</v>
      </c>
      <c r="B3104" t="s">
        <v>374</v>
      </c>
      <c r="C3104" t="s">
        <v>455</v>
      </c>
      <c r="D3104" t="s">
        <v>2432</v>
      </c>
      <c r="E3104" t="s">
        <v>2433</v>
      </c>
      <c r="F3104" s="13">
        <v>44620.740208333336</v>
      </c>
      <c r="G3104" t="s">
        <v>2399</v>
      </c>
      <c r="H3104" t="s">
        <v>2400</v>
      </c>
      <c r="I3104" s="13">
        <v>45012.044085648151</v>
      </c>
      <c r="K3104" t="s">
        <v>415</v>
      </c>
      <c r="M3104" s="13">
        <v>44769</v>
      </c>
      <c r="R3104">
        <v>0</v>
      </c>
      <c r="S3104" t="s">
        <v>380</v>
      </c>
      <c r="T3104" t="s">
        <v>57</v>
      </c>
      <c r="V3104" t="s">
        <v>478</v>
      </c>
      <c r="W3104" t="s">
        <v>2417</v>
      </c>
      <c r="X3104" t="s">
        <v>2417</v>
      </c>
      <c r="AF3104" t="s">
        <v>451</v>
      </c>
      <c r="AI3104">
        <v>-243</v>
      </c>
      <c r="AL3104" t="s">
        <v>2434</v>
      </c>
      <c r="AN3104" t="s">
        <v>31</v>
      </c>
      <c r="AO3104">
        <v>0</v>
      </c>
      <c r="AS3104" t="s">
        <v>385</v>
      </c>
      <c r="AX3104" t="s">
        <v>57</v>
      </c>
      <c r="AY3104" t="s">
        <v>386</v>
      </c>
      <c r="AZ3104" t="s">
        <v>2435</v>
      </c>
      <c r="BE3104" t="s">
        <v>2436</v>
      </c>
      <c r="BF3104">
        <v>0</v>
      </c>
      <c r="BK3104" t="s">
        <v>31</v>
      </c>
      <c r="BS3104" t="s">
        <v>419</v>
      </c>
      <c r="BT3104" t="s">
        <v>419</v>
      </c>
      <c r="CI3104" t="s">
        <v>388</v>
      </c>
      <c r="CJ3104" s="14">
        <v>45016</v>
      </c>
      <c r="CK3104">
        <v>1</v>
      </c>
    </row>
    <row r="3105" spans="1:89">
      <c r="A3105" t="s">
        <v>2332</v>
      </c>
      <c r="B3105" t="s">
        <v>374</v>
      </c>
      <c r="C3105" t="s">
        <v>2333</v>
      </c>
      <c r="D3105" t="s">
        <v>2437</v>
      </c>
      <c r="E3105" t="e">
        <f>- Incorporate the Bankerâ€™s check in the monthly review process, as conducted by the CRAs. This review will confirm that the client data is correctly updated on the source system (i.e. COCL data extract) to confirm that all clients are correctly linked to a Banker and that there are no unmanaged clients.  - CRAs will update the Banker details on the source system where CIB clients were incorrectly or not linked to a Banker.</f>
        <v>#NAME?</v>
      </c>
      <c r="F3105" s="13">
        <v>44620.735821759263</v>
      </c>
      <c r="G3105" t="s">
        <v>2438</v>
      </c>
      <c r="H3105" t="s">
        <v>2439</v>
      </c>
      <c r="I3105" s="13">
        <v>45012.044074074074</v>
      </c>
      <c r="K3105" t="s">
        <v>415</v>
      </c>
      <c r="M3105" s="13">
        <v>44681</v>
      </c>
      <c r="R3105">
        <v>0</v>
      </c>
      <c r="S3105" t="s">
        <v>380</v>
      </c>
      <c r="T3105" t="s">
        <v>57</v>
      </c>
      <c r="V3105" t="s">
        <v>478</v>
      </c>
      <c r="W3105" t="s">
        <v>2440</v>
      </c>
      <c r="X3105" t="s">
        <v>2440</v>
      </c>
      <c r="AC3105" s="13">
        <v>44652</v>
      </c>
      <c r="AD3105" s="13">
        <v>44621</v>
      </c>
      <c r="AF3105" t="s">
        <v>451</v>
      </c>
      <c r="AI3105">
        <v>-331</v>
      </c>
      <c r="AL3105" t="s">
        <v>2441</v>
      </c>
      <c r="AN3105" t="s">
        <v>31</v>
      </c>
      <c r="AO3105">
        <v>0</v>
      </c>
      <c r="AS3105" t="s">
        <v>385</v>
      </c>
      <c r="AX3105" t="s">
        <v>57</v>
      </c>
      <c r="AY3105" t="s">
        <v>386</v>
      </c>
      <c r="AZ3105" t="s">
        <v>2442</v>
      </c>
      <c r="BE3105" t="s">
        <v>2443</v>
      </c>
      <c r="BF3105">
        <v>0</v>
      </c>
      <c r="BK3105" t="s">
        <v>31</v>
      </c>
      <c r="BS3105" t="s">
        <v>419</v>
      </c>
      <c r="BT3105" t="s">
        <v>419</v>
      </c>
      <c r="CI3105" t="s">
        <v>388</v>
      </c>
      <c r="CJ3105" s="14">
        <v>45016</v>
      </c>
      <c r="CK3105">
        <v>1</v>
      </c>
    </row>
    <row r="3106" spans="1:89">
      <c r="A3106" t="s">
        <v>2444</v>
      </c>
      <c r="B3106" t="s">
        <v>374</v>
      </c>
      <c r="C3106" t="s">
        <v>2445</v>
      </c>
      <c r="D3106" t="s">
        <v>2446</v>
      </c>
      <c r="E3106" t="s">
        <v>2447</v>
      </c>
      <c r="F3106" s="13">
        <v>44620.728726851848</v>
      </c>
      <c r="G3106" t="s">
        <v>1526</v>
      </c>
      <c r="H3106" t="s">
        <v>1527</v>
      </c>
      <c r="I3106" s="13">
        <v>44620.72928240741</v>
      </c>
      <c r="K3106" t="s">
        <v>412</v>
      </c>
      <c r="R3106">
        <v>0</v>
      </c>
      <c r="S3106" t="s">
        <v>380</v>
      </c>
      <c r="T3106" t="s">
        <v>57</v>
      </c>
      <c r="V3106" t="s">
        <v>381</v>
      </c>
      <c r="W3106" t="s">
        <v>2448</v>
      </c>
      <c r="X3106" t="s">
        <v>2448</v>
      </c>
      <c r="AI3106">
        <v>77</v>
      </c>
      <c r="AL3106" t="s">
        <v>2449</v>
      </c>
      <c r="AN3106" t="s">
        <v>31</v>
      </c>
      <c r="AO3106">
        <v>0</v>
      </c>
      <c r="AS3106" t="s">
        <v>538</v>
      </c>
      <c r="AX3106" t="s">
        <v>31</v>
      </c>
      <c r="AY3106" t="s">
        <v>442</v>
      </c>
      <c r="AZ3106" t="s">
        <v>2450</v>
      </c>
      <c r="BF3106">
        <v>0</v>
      </c>
      <c r="BK3106" t="s">
        <v>31</v>
      </c>
      <c r="BS3106" t="s">
        <v>412</v>
      </c>
      <c r="BT3106" t="s">
        <v>412</v>
      </c>
      <c r="CI3106" t="s">
        <v>388</v>
      </c>
      <c r="CJ3106" s="14">
        <v>45016</v>
      </c>
      <c r="CK3106">
        <v>1</v>
      </c>
    </row>
    <row r="3107" spans="1:89">
      <c r="A3107" t="s">
        <v>2451</v>
      </c>
      <c r="B3107" t="s">
        <v>374</v>
      </c>
      <c r="C3107" t="s">
        <v>2452</v>
      </c>
      <c r="D3107" t="s">
        <v>2453</v>
      </c>
      <c r="E3107" t="s">
        <v>2454</v>
      </c>
      <c r="F3107" s="13">
        <v>44620.713182870371</v>
      </c>
      <c r="G3107" t="s">
        <v>2455</v>
      </c>
      <c r="H3107" t="s">
        <v>2456</v>
      </c>
      <c r="I3107" s="13">
        <v>44620.713182870371</v>
      </c>
      <c r="K3107" t="s">
        <v>412</v>
      </c>
      <c r="R3107">
        <v>0</v>
      </c>
      <c r="S3107" t="s">
        <v>380</v>
      </c>
      <c r="V3107" t="s">
        <v>381</v>
      </c>
      <c r="W3107" t="s">
        <v>2457</v>
      </c>
      <c r="X3107" t="s">
        <v>2457</v>
      </c>
      <c r="AI3107">
        <v>31</v>
      </c>
      <c r="AL3107" t="s">
        <v>2458</v>
      </c>
      <c r="AN3107" t="s">
        <v>31</v>
      </c>
      <c r="AO3107">
        <v>0</v>
      </c>
      <c r="AZ3107" t="s">
        <v>2459</v>
      </c>
      <c r="BF3107">
        <v>0</v>
      </c>
      <c r="BK3107" t="s">
        <v>31</v>
      </c>
      <c r="BS3107" t="s">
        <v>412</v>
      </c>
      <c r="BT3107" t="s">
        <v>412</v>
      </c>
      <c r="CI3107" t="s">
        <v>388</v>
      </c>
      <c r="CJ3107" s="14">
        <v>45016</v>
      </c>
      <c r="CK3107">
        <v>1</v>
      </c>
    </row>
    <row r="3108" spans="1:89">
      <c r="A3108" t="s">
        <v>454</v>
      </c>
      <c r="B3108" t="s">
        <v>374</v>
      </c>
      <c r="C3108" t="s">
        <v>455</v>
      </c>
      <c r="D3108" t="s">
        <v>2460</v>
      </c>
      <c r="E3108" t="s">
        <v>2461</v>
      </c>
      <c r="F3108" s="13">
        <v>44620.708668981482</v>
      </c>
      <c r="G3108" t="s">
        <v>1264</v>
      </c>
      <c r="H3108" t="s">
        <v>1265</v>
      </c>
      <c r="I3108" s="13">
        <v>44620.719456018516</v>
      </c>
      <c r="K3108" t="s">
        <v>379</v>
      </c>
      <c r="M3108" s="13">
        <v>44620</v>
      </c>
      <c r="R3108">
        <v>100</v>
      </c>
      <c r="S3108" t="s">
        <v>380</v>
      </c>
      <c r="T3108" t="s">
        <v>57</v>
      </c>
      <c r="V3108" t="s">
        <v>381</v>
      </c>
      <c r="W3108" t="s">
        <v>2306</v>
      </c>
      <c r="X3108" t="s">
        <v>2306</v>
      </c>
      <c r="AF3108" t="s">
        <v>382</v>
      </c>
      <c r="AG3108" t="s">
        <v>2462</v>
      </c>
      <c r="AI3108">
        <v>0</v>
      </c>
      <c r="AL3108" t="s">
        <v>2463</v>
      </c>
      <c r="AN3108" t="s">
        <v>31</v>
      </c>
      <c r="AO3108">
        <v>0</v>
      </c>
      <c r="AS3108" t="s">
        <v>385</v>
      </c>
      <c r="AX3108" t="s">
        <v>57</v>
      </c>
      <c r="AY3108" t="s">
        <v>386</v>
      </c>
      <c r="AZ3108" t="s">
        <v>2464</v>
      </c>
      <c r="BF3108">
        <v>0</v>
      </c>
      <c r="BK3108" t="s">
        <v>31</v>
      </c>
      <c r="BS3108" t="s">
        <v>379</v>
      </c>
      <c r="BT3108" t="s">
        <v>379</v>
      </c>
      <c r="CI3108" t="s">
        <v>388</v>
      </c>
      <c r="CJ3108" s="14">
        <v>45016</v>
      </c>
      <c r="CK3108">
        <v>1</v>
      </c>
    </row>
    <row r="3109" spans="1:89">
      <c r="A3109" t="s">
        <v>2451</v>
      </c>
      <c r="B3109" t="s">
        <v>374</v>
      </c>
      <c r="C3109" t="s">
        <v>2452</v>
      </c>
      <c r="D3109" t="s">
        <v>2465</v>
      </c>
      <c r="E3109" t="s">
        <v>2466</v>
      </c>
      <c r="F3109" s="13">
        <v>44620.703148148146</v>
      </c>
      <c r="G3109" t="s">
        <v>2455</v>
      </c>
      <c r="H3109" t="s">
        <v>2456</v>
      </c>
      <c r="I3109" s="13">
        <v>44620.703148148146</v>
      </c>
      <c r="K3109" t="s">
        <v>412</v>
      </c>
      <c r="R3109">
        <v>0</v>
      </c>
      <c r="S3109" t="s">
        <v>380</v>
      </c>
      <c r="V3109" t="s">
        <v>381</v>
      </c>
      <c r="W3109" t="s">
        <v>2467</v>
      </c>
      <c r="X3109" t="s">
        <v>2467</v>
      </c>
      <c r="AI3109">
        <v>31</v>
      </c>
      <c r="AL3109" t="s">
        <v>2468</v>
      </c>
      <c r="AN3109" t="s">
        <v>31</v>
      </c>
      <c r="AO3109">
        <v>0</v>
      </c>
      <c r="AZ3109" t="s">
        <v>2469</v>
      </c>
      <c r="BF3109">
        <v>0</v>
      </c>
      <c r="BK3109" t="s">
        <v>31</v>
      </c>
      <c r="BS3109" t="s">
        <v>412</v>
      </c>
      <c r="BT3109" t="s">
        <v>412</v>
      </c>
      <c r="CI3109" t="s">
        <v>388</v>
      </c>
      <c r="CJ3109" s="14">
        <v>45016</v>
      </c>
      <c r="CK3109">
        <v>1</v>
      </c>
    </row>
    <row r="3110" spans="1:89">
      <c r="A3110" t="s">
        <v>2451</v>
      </c>
      <c r="B3110" t="s">
        <v>374</v>
      </c>
      <c r="C3110" t="s">
        <v>2452</v>
      </c>
      <c r="D3110" t="s">
        <v>2470</v>
      </c>
      <c r="E3110" t="s">
        <v>2471</v>
      </c>
      <c r="F3110" s="13">
        <v>44620.69327546296</v>
      </c>
      <c r="G3110" t="s">
        <v>2455</v>
      </c>
      <c r="H3110" t="s">
        <v>2456</v>
      </c>
      <c r="I3110" s="13">
        <v>44620.693287037036</v>
      </c>
      <c r="K3110" t="s">
        <v>412</v>
      </c>
      <c r="R3110">
        <v>0</v>
      </c>
      <c r="S3110" t="s">
        <v>380</v>
      </c>
      <c r="V3110" t="s">
        <v>381</v>
      </c>
      <c r="W3110" t="s">
        <v>2440</v>
      </c>
      <c r="X3110" t="s">
        <v>2440</v>
      </c>
      <c r="AI3110">
        <v>31</v>
      </c>
      <c r="AL3110" t="s">
        <v>2472</v>
      </c>
      <c r="AN3110" t="s">
        <v>31</v>
      </c>
      <c r="AO3110">
        <v>0</v>
      </c>
      <c r="AZ3110" t="s">
        <v>2473</v>
      </c>
      <c r="BF3110">
        <v>0</v>
      </c>
      <c r="BK3110" t="s">
        <v>31</v>
      </c>
      <c r="BS3110" t="s">
        <v>412</v>
      </c>
      <c r="BT3110" t="s">
        <v>412</v>
      </c>
      <c r="CI3110" t="s">
        <v>388</v>
      </c>
      <c r="CJ3110" s="14">
        <v>45016</v>
      </c>
      <c r="CK3110">
        <v>1</v>
      </c>
    </row>
    <row r="3111" spans="1:89">
      <c r="A3111" t="s">
        <v>454</v>
      </c>
      <c r="B3111" t="s">
        <v>374</v>
      </c>
      <c r="C3111" t="s">
        <v>455</v>
      </c>
      <c r="D3111" t="s">
        <v>2474</v>
      </c>
      <c r="E3111" t="s">
        <v>2475</v>
      </c>
      <c r="F3111" s="13">
        <v>44620.67695601852</v>
      </c>
      <c r="G3111" t="s">
        <v>2399</v>
      </c>
      <c r="H3111" t="s">
        <v>2400</v>
      </c>
      <c r="I3111" s="13">
        <v>45012.044074074074</v>
      </c>
      <c r="K3111" t="s">
        <v>415</v>
      </c>
      <c r="M3111" s="13">
        <v>44769</v>
      </c>
      <c r="R3111">
        <v>0</v>
      </c>
      <c r="S3111" t="s">
        <v>380</v>
      </c>
      <c r="T3111" t="s">
        <v>57</v>
      </c>
      <c r="V3111" t="s">
        <v>478</v>
      </c>
      <c r="W3111" t="s">
        <v>2417</v>
      </c>
      <c r="X3111" t="s">
        <v>2417</v>
      </c>
      <c r="AF3111" t="s">
        <v>451</v>
      </c>
      <c r="AI3111">
        <v>-243</v>
      </c>
      <c r="AL3111" t="s">
        <v>2476</v>
      </c>
      <c r="AN3111" t="s">
        <v>31</v>
      </c>
      <c r="AO3111">
        <v>0</v>
      </c>
      <c r="AS3111" t="s">
        <v>385</v>
      </c>
      <c r="AX3111" t="s">
        <v>57</v>
      </c>
      <c r="AY3111" t="s">
        <v>386</v>
      </c>
      <c r="AZ3111" t="s">
        <v>2477</v>
      </c>
      <c r="BE3111" t="s">
        <v>2478</v>
      </c>
      <c r="BF3111">
        <v>0</v>
      </c>
      <c r="BK3111" t="s">
        <v>31</v>
      </c>
      <c r="BS3111" t="s">
        <v>419</v>
      </c>
      <c r="BT3111" t="s">
        <v>419</v>
      </c>
      <c r="CI3111" t="s">
        <v>388</v>
      </c>
      <c r="CJ3111" s="14">
        <v>45016</v>
      </c>
      <c r="CK3111">
        <v>1</v>
      </c>
    </row>
    <row r="3112" spans="1:89">
      <c r="A3112" t="s">
        <v>1522</v>
      </c>
      <c r="B3112" t="s">
        <v>374</v>
      </c>
      <c r="C3112" t="s">
        <v>1523</v>
      </c>
      <c r="D3112" t="s">
        <v>2479</v>
      </c>
      <c r="E3112" t="s">
        <v>2480</v>
      </c>
      <c r="F3112" s="13">
        <v>44620.67114583333</v>
      </c>
      <c r="G3112" t="s">
        <v>1526</v>
      </c>
      <c r="H3112" t="s">
        <v>1527</v>
      </c>
      <c r="I3112" s="13">
        <v>44620.671770833331</v>
      </c>
      <c r="K3112" t="s">
        <v>412</v>
      </c>
      <c r="R3112">
        <v>0</v>
      </c>
      <c r="S3112" t="s">
        <v>380</v>
      </c>
      <c r="T3112" t="s">
        <v>57</v>
      </c>
      <c r="V3112" t="s">
        <v>381</v>
      </c>
      <c r="W3112" t="s">
        <v>2481</v>
      </c>
      <c r="X3112" t="s">
        <v>2481</v>
      </c>
      <c r="AI3112">
        <v>31</v>
      </c>
      <c r="AL3112" t="s">
        <v>2482</v>
      </c>
      <c r="AN3112" t="s">
        <v>31</v>
      </c>
      <c r="AO3112">
        <v>0</v>
      </c>
      <c r="AS3112" t="s">
        <v>538</v>
      </c>
      <c r="AX3112" t="s">
        <v>31</v>
      </c>
      <c r="AY3112" t="s">
        <v>442</v>
      </c>
      <c r="AZ3112" t="s">
        <v>2483</v>
      </c>
      <c r="BF3112">
        <v>0</v>
      </c>
      <c r="BK3112" t="s">
        <v>31</v>
      </c>
      <c r="BS3112" t="s">
        <v>412</v>
      </c>
      <c r="BT3112" t="s">
        <v>412</v>
      </c>
      <c r="CI3112" t="s">
        <v>388</v>
      </c>
      <c r="CJ3112" s="14">
        <v>45016</v>
      </c>
      <c r="CK3112">
        <v>1</v>
      </c>
    </row>
    <row r="3113" spans="1:89">
      <c r="A3113" t="s">
        <v>2484</v>
      </c>
      <c r="B3113" t="s">
        <v>374</v>
      </c>
      <c r="C3113" t="s">
        <v>2485</v>
      </c>
      <c r="D3113" t="s">
        <v>2486</v>
      </c>
      <c r="E3113" t="s">
        <v>2487</v>
      </c>
      <c r="F3113" s="13">
        <v>44620.663888888892</v>
      </c>
      <c r="G3113" t="s">
        <v>1526</v>
      </c>
      <c r="H3113" t="s">
        <v>1527</v>
      </c>
      <c r="I3113" s="13">
        <v>44620.664456018516</v>
      </c>
      <c r="K3113" t="s">
        <v>412</v>
      </c>
      <c r="R3113">
        <v>0</v>
      </c>
      <c r="S3113" t="s">
        <v>380</v>
      </c>
      <c r="T3113" t="s">
        <v>57</v>
      </c>
      <c r="V3113" t="s">
        <v>381</v>
      </c>
      <c r="W3113" t="s">
        <v>2481</v>
      </c>
      <c r="X3113" t="s">
        <v>2481</v>
      </c>
      <c r="AI3113">
        <v>31</v>
      </c>
      <c r="AL3113" t="s">
        <v>2488</v>
      </c>
      <c r="AN3113" t="s">
        <v>31</v>
      </c>
      <c r="AO3113">
        <v>0</v>
      </c>
      <c r="AS3113" t="s">
        <v>538</v>
      </c>
      <c r="AX3113" t="s">
        <v>31</v>
      </c>
      <c r="AY3113" t="s">
        <v>442</v>
      </c>
      <c r="AZ3113" t="s">
        <v>2483</v>
      </c>
      <c r="BF3113">
        <v>0</v>
      </c>
      <c r="BK3113" t="s">
        <v>31</v>
      </c>
      <c r="BS3113" t="s">
        <v>412</v>
      </c>
      <c r="BT3113" t="s">
        <v>412</v>
      </c>
      <c r="CI3113" t="s">
        <v>388</v>
      </c>
      <c r="CJ3113" s="14">
        <v>45016</v>
      </c>
      <c r="CK3113">
        <v>1</v>
      </c>
    </row>
    <row r="3114" spans="1:89">
      <c r="A3114" t="s">
        <v>2451</v>
      </c>
      <c r="B3114" t="s">
        <v>374</v>
      </c>
      <c r="C3114" t="s">
        <v>2452</v>
      </c>
      <c r="D3114" t="s">
        <v>2489</v>
      </c>
      <c r="E3114" t="s">
        <v>2490</v>
      </c>
      <c r="F3114" s="13">
        <v>44620.6637962963</v>
      </c>
      <c r="G3114" t="s">
        <v>2455</v>
      </c>
      <c r="H3114" t="s">
        <v>2456</v>
      </c>
      <c r="I3114" s="13">
        <v>44620.663807870369</v>
      </c>
      <c r="K3114" t="s">
        <v>412</v>
      </c>
      <c r="R3114">
        <v>0</v>
      </c>
      <c r="S3114" t="s">
        <v>380</v>
      </c>
      <c r="V3114" t="s">
        <v>381</v>
      </c>
      <c r="W3114" t="s">
        <v>2467</v>
      </c>
      <c r="X3114" t="s">
        <v>2467</v>
      </c>
      <c r="AI3114">
        <v>31</v>
      </c>
      <c r="AL3114" t="s">
        <v>2491</v>
      </c>
      <c r="AN3114" t="s">
        <v>31</v>
      </c>
      <c r="AO3114">
        <v>0</v>
      </c>
      <c r="AZ3114" t="s">
        <v>2492</v>
      </c>
      <c r="BF3114">
        <v>0</v>
      </c>
      <c r="BK3114" t="s">
        <v>31</v>
      </c>
      <c r="BS3114" t="s">
        <v>412</v>
      </c>
      <c r="BT3114" t="s">
        <v>412</v>
      </c>
      <c r="CI3114" t="s">
        <v>388</v>
      </c>
      <c r="CJ3114" s="14">
        <v>45016</v>
      </c>
      <c r="CK3114">
        <v>1</v>
      </c>
    </row>
    <row r="3115" spans="1:89">
      <c r="A3115" t="s">
        <v>2332</v>
      </c>
      <c r="B3115" t="s">
        <v>374</v>
      </c>
      <c r="C3115" t="s">
        <v>2333</v>
      </c>
      <c r="D3115" t="s">
        <v>2493</v>
      </c>
      <c r="E3115" t="s">
        <v>2494</v>
      </c>
      <c r="F3115" s="13">
        <v>44620.655925925923</v>
      </c>
      <c r="G3115" t="s">
        <v>2438</v>
      </c>
      <c r="H3115" t="s">
        <v>2439</v>
      </c>
      <c r="I3115" s="13">
        <v>45012.044074074074</v>
      </c>
      <c r="K3115" t="s">
        <v>415</v>
      </c>
      <c r="M3115" s="13">
        <v>44742</v>
      </c>
      <c r="R3115">
        <v>0</v>
      </c>
      <c r="S3115" t="s">
        <v>380</v>
      </c>
      <c r="T3115" t="s">
        <v>57</v>
      </c>
      <c r="V3115" t="s">
        <v>478</v>
      </c>
      <c r="W3115" t="s">
        <v>2440</v>
      </c>
      <c r="X3115" t="s">
        <v>2440</v>
      </c>
      <c r="AF3115" t="s">
        <v>451</v>
      </c>
      <c r="AI3115">
        <v>-270</v>
      </c>
      <c r="AL3115" t="s">
        <v>2495</v>
      </c>
      <c r="AN3115" t="s">
        <v>31</v>
      </c>
      <c r="AO3115">
        <v>0</v>
      </c>
      <c r="AS3115" t="s">
        <v>522</v>
      </c>
      <c r="AX3115" t="s">
        <v>57</v>
      </c>
      <c r="AY3115" t="s">
        <v>442</v>
      </c>
      <c r="AZ3115" t="s">
        <v>2496</v>
      </c>
      <c r="BE3115" t="s">
        <v>2443</v>
      </c>
      <c r="BF3115">
        <v>0</v>
      </c>
      <c r="BK3115" t="s">
        <v>31</v>
      </c>
      <c r="BS3115" t="s">
        <v>419</v>
      </c>
      <c r="BT3115" t="s">
        <v>419</v>
      </c>
      <c r="CI3115" t="s">
        <v>388</v>
      </c>
      <c r="CJ3115" s="14">
        <v>45016</v>
      </c>
      <c r="CK3115">
        <v>1</v>
      </c>
    </row>
    <row r="3116" spans="1:89">
      <c r="A3116" t="s">
        <v>2451</v>
      </c>
      <c r="B3116" t="s">
        <v>374</v>
      </c>
      <c r="C3116" t="s">
        <v>2452</v>
      </c>
      <c r="D3116" t="s">
        <v>2497</v>
      </c>
      <c r="E3116" t="s">
        <v>2498</v>
      </c>
      <c r="F3116" s="13">
        <v>44620.652465277781</v>
      </c>
      <c r="G3116" t="s">
        <v>2455</v>
      </c>
      <c r="H3116" t="s">
        <v>2456</v>
      </c>
      <c r="I3116" s="13">
        <v>44620.652465277781</v>
      </c>
      <c r="K3116" t="s">
        <v>412</v>
      </c>
      <c r="R3116">
        <v>0</v>
      </c>
      <c r="S3116" t="s">
        <v>380</v>
      </c>
      <c r="V3116" t="s">
        <v>381</v>
      </c>
      <c r="W3116" t="s">
        <v>2499</v>
      </c>
      <c r="X3116" t="s">
        <v>2499</v>
      </c>
      <c r="AI3116">
        <v>31</v>
      </c>
      <c r="AL3116" t="s">
        <v>2500</v>
      </c>
      <c r="AN3116" t="s">
        <v>31</v>
      </c>
      <c r="AO3116">
        <v>0</v>
      </c>
      <c r="AZ3116" t="s">
        <v>2501</v>
      </c>
      <c r="BF3116">
        <v>0</v>
      </c>
      <c r="BK3116" t="s">
        <v>31</v>
      </c>
      <c r="BS3116" t="s">
        <v>412</v>
      </c>
      <c r="BT3116" t="s">
        <v>412</v>
      </c>
      <c r="CI3116" t="s">
        <v>388</v>
      </c>
      <c r="CJ3116" s="14">
        <v>45016</v>
      </c>
      <c r="CK3116">
        <v>1</v>
      </c>
    </row>
    <row r="3117" spans="1:89">
      <c r="A3117" t="s">
        <v>2502</v>
      </c>
      <c r="B3117" t="s">
        <v>374</v>
      </c>
      <c r="C3117" t="s">
        <v>2503</v>
      </c>
      <c r="D3117" t="s">
        <v>2504</v>
      </c>
      <c r="E3117" t="s">
        <v>2505</v>
      </c>
      <c r="F3117" s="13">
        <v>44620.645752314813</v>
      </c>
      <c r="G3117" t="s">
        <v>2506</v>
      </c>
      <c r="H3117" t="s">
        <v>2507</v>
      </c>
      <c r="I3117" s="13">
        <v>44620.651701388888</v>
      </c>
      <c r="K3117" t="s">
        <v>379</v>
      </c>
      <c r="M3117" s="13">
        <v>44620</v>
      </c>
      <c r="R3117">
        <v>100</v>
      </c>
      <c r="S3117" t="s">
        <v>380</v>
      </c>
      <c r="T3117" t="s">
        <v>57</v>
      </c>
      <c r="V3117" t="s">
        <v>381</v>
      </c>
      <c r="W3117" t="s">
        <v>2507</v>
      </c>
      <c r="X3117" t="s">
        <v>2507</v>
      </c>
      <c r="AF3117" t="s">
        <v>382</v>
      </c>
      <c r="AG3117" t="s">
        <v>382</v>
      </c>
      <c r="AI3117">
        <v>0</v>
      </c>
      <c r="AL3117" t="s">
        <v>2508</v>
      </c>
      <c r="AN3117" t="s">
        <v>31</v>
      </c>
      <c r="AO3117">
        <v>0</v>
      </c>
      <c r="AS3117" t="s">
        <v>538</v>
      </c>
      <c r="AX3117" t="s">
        <v>57</v>
      </c>
      <c r="AY3117" t="s">
        <v>386</v>
      </c>
      <c r="AZ3117" t="s">
        <v>2509</v>
      </c>
      <c r="BF3117">
        <v>0</v>
      </c>
      <c r="BK3117" t="s">
        <v>31</v>
      </c>
      <c r="BS3117" t="s">
        <v>379</v>
      </c>
      <c r="BT3117" t="s">
        <v>379</v>
      </c>
      <c r="CI3117" t="s">
        <v>388</v>
      </c>
      <c r="CJ3117" s="14">
        <v>45016</v>
      </c>
      <c r="CK3117">
        <v>1</v>
      </c>
    </row>
    <row r="3118" spans="1:89">
      <c r="A3118" t="s">
        <v>2451</v>
      </c>
      <c r="B3118" t="s">
        <v>374</v>
      </c>
      <c r="C3118" t="s">
        <v>2452</v>
      </c>
      <c r="D3118" t="s">
        <v>2510</v>
      </c>
      <c r="E3118" t="s">
        <v>2511</v>
      </c>
      <c r="F3118" s="13">
        <v>44620.640706018516</v>
      </c>
      <c r="G3118" t="s">
        <v>2455</v>
      </c>
      <c r="H3118" t="s">
        <v>2456</v>
      </c>
      <c r="I3118" s="13">
        <v>44620.641504629632</v>
      </c>
      <c r="K3118" t="s">
        <v>412</v>
      </c>
      <c r="R3118">
        <v>0</v>
      </c>
      <c r="S3118" t="s">
        <v>380</v>
      </c>
      <c r="T3118" t="s">
        <v>57</v>
      </c>
      <c r="V3118" t="s">
        <v>381</v>
      </c>
      <c r="W3118" t="s">
        <v>2512</v>
      </c>
      <c r="X3118" t="s">
        <v>2512</v>
      </c>
      <c r="AC3118" s="13">
        <v>44562</v>
      </c>
      <c r="AD3118" s="13">
        <v>44562</v>
      </c>
      <c r="AI3118">
        <v>31</v>
      </c>
      <c r="AL3118" t="s">
        <v>2513</v>
      </c>
      <c r="AN3118" t="s">
        <v>31</v>
      </c>
      <c r="AO3118">
        <v>0</v>
      </c>
      <c r="AS3118" t="s">
        <v>392</v>
      </c>
      <c r="AX3118" t="s">
        <v>57</v>
      </c>
      <c r="AY3118" t="s">
        <v>442</v>
      </c>
      <c r="AZ3118" t="s">
        <v>2514</v>
      </c>
      <c r="BF3118">
        <v>0</v>
      </c>
      <c r="BK3118" t="s">
        <v>31</v>
      </c>
      <c r="BS3118" t="s">
        <v>412</v>
      </c>
      <c r="BT3118" t="s">
        <v>412</v>
      </c>
      <c r="CI3118" t="s">
        <v>388</v>
      </c>
      <c r="CJ3118" s="14">
        <v>45016</v>
      </c>
      <c r="CK3118">
        <v>1</v>
      </c>
    </row>
    <row r="3119" spans="1:89">
      <c r="A3119" t="s">
        <v>2227</v>
      </c>
      <c r="B3119" t="s">
        <v>374</v>
      </c>
      <c r="C3119" t="s">
        <v>2228</v>
      </c>
      <c r="D3119" t="s">
        <v>2515</v>
      </c>
      <c r="E3119" t="s">
        <v>2516</v>
      </c>
      <c r="F3119" s="13">
        <v>44620.598229166666</v>
      </c>
      <c r="G3119" t="s">
        <v>2231</v>
      </c>
      <c r="H3119" t="s">
        <v>2232</v>
      </c>
      <c r="I3119" s="13">
        <v>44972.596226851849</v>
      </c>
      <c r="K3119" t="s">
        <v>379</v>
      </c>
      <c r="M3119" s="13">
        <v>44848</v>
      </c>
      <c r="R3119">
        <v>100</v>
      </c>
      <c r="S3119" t="s">
        <v>380</v>
      </c>
      <c r="T3119" t="s">
        <v>57</v>
      </c>
      <c r="V3119" t="s">
        <v>381</v>
      </c>
      <c r="W3119" t="s">
        <v>2233</v>
      </c>
      <c r="X3119" t="s">
        <v>2233</v>
      </c>
      <c r="AF3119" t="s">
        <v>382</v>
      </c>
      <c r="AG3119" t="s">
        <v>2517</v>
      </c>
      <c r="AI3119">
        <v>228</v>
      </c>
      <c r="AL3119" t="s">
        <v>2518</v>
      </c>
      <c r="AN3119" t="s">
        <v>31</v>
      </c>
      <c r="AO3119">
        <v>0</v>
      </c>
      <c r="AS3119" t="s">
        <v>385</v>
      </c>
      <c r="AX3119" t="s">
        <v>57</v>
      </c>
      <c r="AY3119" t="s">
        <v>386</v>
      </c>
      <c r="AZ3119" t="s">
        <v>2519</v>
      </c>
      <c r="BF3119">
        <v>0</v>
      </c>
      <c r="BK3119" t="s">
        <v>31</v>
      </c>
      <c r="BS3119" t="s">
        <v>379</v>
      </c>
      <c r="BT3119" t="s">
        <v>379</v>
      </c>
      <c r="CI3119" t="s">
        <v>388</v>
      </c>
      <c r="CJ3119" s="14">
        <v>45016</v>
      </c>
      <c r="CK3119">
        <v>1</v>
      </c>
    </row>
    <row r="3120" spans="1:89">
      <c r="A3120" t="s">
        <v>1421</v>
      </c>
      <c r="B3120" t="s">
        <v>374</v>
      </c>
      <c r="C3120" t="s">
        <v>1422</v>
      </c>
      <c r="D3120" t="s">
        <v>2520</v>
      </c>
      <c r="E3120" t="s">
        <v>2521</v>
      </c>
      <c r="F3120" s="13">
        <v>44620.581793981481</v>
      </c>
      <c r="G3120" t="s">
        <v>2522</v>
      </c>
      <c r="H3120" t="s">
        <v>2523</v>
      </c>
      <c r="I3120" s="13">
        <v>45012.044074074074</v>
      </c>
      <c r="K3120" t="s">
        <v>415</v>
      </c>
      <c r="M3120" s="13">
        <v>44681</v>
      </c>
      <c r="R3120">
        <v>0</v>
      </c>
      <c r="S3120" t="s">
        <v>380</v>
      </c>
      <c r="T3120" t="s">
        <v>57</v>
      </c>
      <c r="V3120" t="s">
        <v>478</v>
      </c>
      <c r="W3120" t="s">
        <v>1425</v>
      </c>
      <c r="X3120" t="s">
        <v>1425</v>
      </c>
      <c r="AF3120" t="s">
        <v>451</v>
      </c>
      <c r="AI3120">
        <v>-331</v>
      </c>
      <c r="AL3120" t="s">
        <v>2524</v>
      </c>
      <c r="AN3120" t="s">
        <v>31</v>
      </c>
      <c r="AO3120">
        <v>0</v>
      </c>
      <c r="AS3120" t="s">
        <v>392</v>
      </c>
      <c r="AX3120" t="s">
        <v>57</v>
      </c>
      <c r="AY3120" t="s">
        <v>386</v>
      </c>
      <c r="AZ3120" t="s">
        <v>2525</v>
      </c>
      <c r="BF3120">
        <v>0</v>
      </c>
      <c r="BK3120" t="s">
        <v>31</v>
      </c>
      <c r="BS3120" t="s">
        <v>419</v>
      </c>
      <c r="BT3120" t="s">
        <v>419</v>
      </c>
      <c r="CI3120" t="s">
        <v>388</v>
      </c>
      <c r="CJ3120" s="14">
        <v>45016</v>
      </c>
      <c r="CK3120">
        <v>1</v>
      </c>
    </row>
    <row r="3121" spans="1:89">
      <c r="A3121" t="s">
        <v>567</v>
      </c>
      <c r="B3121" t="s">
        <v>374</v>
      </c>
      <c r="C3121" t="s">
        <v>568</v>
      </c>
      <c r="D3121" t="s">
        <v>2526</v>
      </c>
      <c r="E3121" t="s">
        <v>2527</v>
      </c>
      <c r="F3121" s="13">
        <v>44620.54347222222</v>
      </c>
      <c r="G3121" t="s">
        <v>2522</v>
      </c>
      <c r="H3121" t="s">
        <v>2523</v>
      </c>
      <c r="I3121" s="13">
        <v>45012.044062499997</v>
      </c>
      <c r="K3121" t="s">
        <v>415</v>
      </c>
      <c r="M3121" s="13">
        <v>44895</v>
      </c>
      <c r="R3121">
        <v>0</v>
      </c>
      <c r="S3121" t="s">
        <v>380</v>
      </c>
      <c r="T3121" t="s">
        <v>57</v>
      </c>
      <c r="V3121" t="s">
        <v>478</v>
      </c>
      <c r="W3121" t="s">
        <v>1425</v>
      </c>
      <c r="X3121" t="s">
        <v>1425</v>
      </c>
      <c r="AF3121" t="s">
        <v>451</v>
      </c>
      <c r="AI3121">
        <v>-117</v>
      </c>
      <c r="AL3121" t="s">
        <v>2528</v>
      </c>
      <c r="AN3121" t="s">
        <v>31</v>
      </c>
      <c r="AO3121">
        <v>0</v>
      </c>
      <c r="AS3121" t="s">
        <v>392</v>
      </c>
      <c r="AX3121" t="s">
        <v>57</v>
      </c>
      <c r="AY3121" t="s">
        <v>442</v>
      </c>
      <c r="AZ3121" t="s">
        <v>2529</v>
      </c>
      <c r="BF3121">
        <v>0</v>
      </c>
      <c r="BK3121" t="s">
        <v>31</v>
      </c>
      <c r="BS3121" t="s">
        <v>419</v>
      </c>
      <c r="BT3121" t="s">
        <v>419</v>
      </c>
      <c r="CI3121" t="s">
        <v>388</v>
      </c>
      <c r="CJ3121" s="14">
        <v>45016</v>
      </c>
      <c r="CK3121">
        <v>1</v>
      </c>
    </row>
    <row r="3122" spans="1:89">
      <c r="A3122" t="s">
        <v>454</v>
      </c>
      <c r="B3122" t="s">
        <v>374</v>
      </c>
      <c r="C3122" t="s">
        <v>455</v>
      </c>
      <c r="D3122" t="s">
        <v>2530</v>
      </c>
      <c r="E3122" t="s">
        <v>2531</v>
      </c>
      <c r="F3122" s="13">
        <v>44620.537997685184</v>
      </c>
      <c r="G3122" t="s">
        <v>2399</v>
      </c>
      <c r="H3122" t="s">
        <v>2400</v>
      </c>
      <c r="I3122" s="13">
        <v>45012.044062499997</v>
      </c>
      <c r="K3122" t="s">
        <v>415</v>
      </c>
      <c r="M3122" s="13">
        <v>44890</v>
      </c>
      <c r="R3122">
        <v>0</v>
      </c>
      <c r="S3122" t="s">
        <v>380</v>
      </c>
      <c r="T3122" t="s">
        <v>57</v>
      </c>
      <c r="V3122" t="s">
        <v>478</v>
      </c>
      <c r="W3122" t="s">
        <v>2417</v>
      </c>
      <c r="X3122" t="s">
        <v>2417</v>
      </c>
      <c r="AF3122" t="s">
        <v>451</v>
      </c>
      <c r="AI3122">
        <v>-122</v>
      </c>
      <c r="AL3122" t="s">
        <v>2532</v>
      </c>
      <c r="AN3122" t="s">
        <v>31</v>
      </c>
      <c r="AO3122">
        <v>0</v>
      </c>
      <c r="AS3122" t="s">
        <v>385</v>
      </c>
      <c r="AX3122" t="s">
        <v>57</v>
      </c>
      <c r="AY3122" t="s">
        <v>386</v>
      </c>
      <c r="AZ3122" t="s">
        <v>2533</v>
      </c>
      <c r="BF3122">
        <v>0</v>
      </c>
      <c r="BK3122" t="s">
        <v>31</v>
      </c>
      <c r="BS3122" t="s">
        <v>419</v>
      </c>
      <c r="BT3122" t="s">
        <v>419</v>
      </c>
      <c r="CI3122" t="s">
        <v>388</v>
      </c>
      <c r="CJ3122" s="14">
        <v>45016</v>
      </c>
      <c r="CK3122">
        <v>1</v>
      </c>
    </row>
    <row r="3123" spans="1:89">
      <c r="A3123" t="s">
        <v>1522</v>
      </c>
      <c r="B3123" t="s">
        <v>374</v>
      </c>
      <c r="C3123" t="s">
        <v>1523</v>
      </c>
      <c r="D3123" t="s">
        <v>2534</v>
      </c>
      <c r="E3123" t="s">
        <v>2535</v>
      </c>
      <c r="F3123" s="13">
        <v>44620.521423611113</v>
      </c>
      <c r="G3123" t="s">
        <v>1526</v>
      </c>
      <c r="H3123" t="s">
        <v>1527</v>
      </c>
      <c r="I3123" s="13">
        <v>44620.521956018521</v>
      </c>
      <c r="K3123" t="s">
        <v>412</v>
      </c>
      <c r="R3123">
        <v>0</v>
      </c>
      <c r="S3123" t="s">
        <v>380</v>
      </c>
      <c r="T3123" t="s">
        <v>57</v>
      </c>
      <c r="V3123" t="s">
        <v>381</v>
      </c>
      <c r="W3123" t="s">
        <v>2536</v>
      </c>
      <c r="X3123" t="s">
        <v>2536</v>
      </c>
      <c r="AI3123">
        <v>0</v>
      </c>
      <c r="AL3123" t="s">
        <v>2537</v>
      </c>
      <c r="AN3123" t="s">
        <v>31</v>
      </c>
      <c r="AO3123">
        <v>0</v>
      </c>
      <c r="AS3123" t="s">
        <v>385</v>
      </c>
      <c r="AX3123" t="s">
        <v>31</v>
      </c>
      <c r="AY3123" t="s">
        <v>386</v>
      </c>
      <c r="AZ3123" t="s">
        <v>2538</v>
      </c>
      <c r="BF3123">
        <v>0</v>
      </c>
      <c r="BK3123" t="s">
        <v>31</v>
      </c>
      <c r="BS3123" t="s">
        <v>412</v>
      </c>
      <c r="BT3123" t="s">
        <v>412</v>
      </c>
      <c r="CI3123" t="s">
        <v>388</v>
      </c>
      <c r="CJ3123" s="14">
        <v>45016</v>
      </c>
      <c r="CK3123">
        <v>1</v>
      </c>
    </row>
    <row r="3124" spans="1:89">
      <c r="A3124" t="s">
        <v>1497</v>
      </c>
      <c r="B3124" t="s">
        <v>374</v>
      </c>
      <c r="C3124" t="s">
        <v>1498</v>
      </c>
      <c r="D3124" t="s">
        <v>2539</v>
      </c>
      <c r="E3124" t="s">
        <v>2540</v>
      </c>
      <c r="F3124" s="13">
        <v>44620.514236111114</v>
      </c>
      <c r="G3124" t="s">
        <v>439</v>
      </c>
      <c r="H3124" t="s">
        <v>440</v>
      </c>
      <c r="I3124" s="13">
        <v>45012.044062499997</v>
      </c>
      <c r="K3124" t="s">
        <v>415</v>
      </c>
      <c r="M3124" s="13">
        <v>44691</v>
      </c>
      <c r="R3124">
        <v>0</v>
      </c>
      <c r="S3124" t="s">
        <v>416</v>
      </c>
      <c r="T3124" t="s">
        <v>31</v>
      </c>
      <c r="V3124" t="s">
        <v>478</v>
      </c>
      <c r="W3124" t="s">
        <v>440</v>
      </c>
      <c r="X3124" t="s">
        <v>440</v>
      </c>
      <c r="AF3124" t="s">
        <v>451</v>
      </c>
      <c r="AI3124">
        <v>-321</v>
      </c>
      <c r="AL3124" t="s">
        <v>2541</v>
      </c>
      <c r="AN3124" t="s">
        <v>31</v>
      </c>
      <c r="AO3124">
        <v>0</v>
      </c>
      <c r="AS3124" t="s">
        <v>392</v>
      </c>
      <c r="AX3124" t="s">
        <v>57</v>
      </c>
      <c r="AY3124" t="s">
        <v>442</v>
      </c>
      <c r="AZ3124" t="s">
        <v>2542</v>
      </c>
      <c r="BF3124">
        <v>0</v>
      </c>
      <c r="BK3124" t="s">
        <v>31</v>
      </c>
      <c r="BS3124" t="s">
        <v>419</v>
      </c>
      <c r="BT3124" t="s">
        <v>419</v>
      </c>
      <c r="CI3124" t="s">
        <v>388</v>
      </c>
      <c r="CJ3124" s="14">
        <v>45016</v>
      </c>
      <c r="CK3124">
        <v>1</v>
      </c>
    </row>
    <row r="3125" spans="1:89">
      <c r="A3125" t="s">
        <v>2543</v>
      </c>
      <c r="B3125" t="s">
        <v>374</v>
      </c>
      <c r="C3125" t="s">
        <v>2544</v>
      </c>
      <c r="D3125" t="s">
        <v>2545</v>
      </c>
      <c r="E3125" t="s">
        <v>2546</v>
      </c>
      <c r="F3125" s="13">
        <v>44620.485601851855</v>
      </c>
      <c r="G3125" t="s">
        <v>1526</v>
      </c>
      <c r="H3125" t="s">
        <v>1527</v>
      </c>
      <c r="I3125" s="13">
        <v>44620.486168981479</v>
      </c>
      <c r="K3125" t="s">
        <v>412</v>
      </c>
      <c r="R3125">
        <v>0</v>
      </c>
      <c r="S3125" t="s">
        <v>380</v>
      </c>
      <c r="T3125" t="s">
        <v>57</v>
      </c>
      <c r="V3125" t="s">
        <v>381</v>
      </c>
      <c r="W3125" t="s">
        <v>2547</v>
      </c>
      <c r="X3125" t="s">
        <v>2547</v>
      </c>
      <c r="AI3125">
        <v>122</v>
      </c>
      <c r="AL3125" t="s">
        <v>2548</v>
      </c>
      <c r="AN3125" t="s">
        <v>31</v>
      </c>
      <c r="AO3125">
        <v>0</v>
      </c>
      <c r="AS3125" t="s">
        <v>392</v>
      </c>
      <c r="AX3125" t="s">
        <v>31</v>
      </c>
      <c r="AY3125" t="s">
        <v>442</v>
      </c>
      <c r="AZ3125" t="s">
        <v>2549</v>
      </c>
      <c r="BF3125">
        <v>0</v>
      </c>
      <c r="BK3125" t="s">
        <v>31</v>
      </c>
      <c r="BS3125" t="s">
        <v>412</v>
      </c>
      <c r="BT3125" t="s">
        <v>412</v>
      </c>
      <c r="CI3125" t="s">
        <v>388</v>
      </c>
      <c r="CJ3125" s="14">
        <v>45016</v>
      </c>
      <c r="CK3125">
        <v>1</v>
      </c>
    </row>
    <row r="3126" spans="1:89">
      <c r="A3126" t="s">
        <v>2550</v>
      </c>
      <c r="B3126" t="s">
        <v>374</v>
      </c>
      <c r="C3126" t="s">
        <v>2551</v>
      </c>
      <c r="D3126" t="s">
        <v>2552</v>
      </c>
      <c r="E3126" t="s">
        <v>2553</v>
      </c>
      <c r="F3126" s="13">
        <v>44620.470543981479</v>
      </c>
      <c r="G3126" t="s">
        <v>1526</v>
      </c>
      <c r="H3126" t="s">
        <v>1527</v>
      </c>
      <c r="I3126" s="13">
        <v>44620.471076388887</v>
      </c>
      <c r="K3126" t="s">
        <v>412</v>
      </c>
      <c r="R3126">
        <v>0</v>
      </c>
      <c r="S3126" t="s">
        <v>380</v>
      </c>
      <c r="T3126" t="s">
        <v>57</v>
      </c>
      <c r="V3126" t="s">
        <v>381</v>
      </c>
      <c r="W3126" t="s">
        <v>2547</v>
      </c>
      <c r="X3126" t="s">
        <v>2547</v>
      </c>
      <c r="AI3126">
        <v>31</v>
      </c>
      <c r="AL3126" t="s">
        <v>2554</v>
      </c>
      <c r="AN3126" t="s">
        <v>31</v>
      </c>
      <c r="AO3126">
        <v>0</v>
      </c>
      <c r="AS3126" t="s">
        <v>392</v>
      </c>
      <c r="AX3126" t="s">
        <v>31</v>
      </c>
      <c r="AY3126" t="s">
        <v>442</v>
      </c>
      <c r="AZ3126" t="s">
        <v>2555</v>
      </c>
      <c r="BF3126">
        <v>0</v>
      </c>
      <c r="BK3126" t="s">
        <v>31</v>
      </c>
      <c r="BS3126" t="s">
        <v>412</v>
      </c>
      <c r="BT3126" t="s">
        <v>412</v>
      </c>
      <c r="CI3126" t="s">
        <v>388</v>
      </c>
      <c r="CJ3126" s="14">
        <v>45016</v>
      </c>
      <c r="CK3126">
        <v>1</v>
      </c>
    </row>
    <row r="3127" spans="1:89">
      <c r="A3127" t="s">
        <v>454</v>
      </c>
      <c r="B3127" t="s">
        <v>374</v>
      </c>
      <c r="C3127" t="s">
        <v>455</v>
      </c>
      <c r="D3127" t="s">
        <v>2556</v>
      </c>
      <c r="E3127" t="s">
        <v>2557</v>
      </c>
      <c r="F3127" s="13">
        <v>44620.463773148149</v>
      </c>
      <c r="G3127" t="s">
        <v>2399</v>
      </c>
      <c r="H3127" t="s">
        <v>2400</v>
      </c>
      <c r="I3127" s="13">
        <v>45012.044050925928</v>
      </c>
      <c r="K3127" t="s">
        <v>415</v>
      </c>
      <c r="M3127" s="13">
        <v>44769</v>
      </c>
      <c r="R3127">
        <v>0</v>
      </c>
      <c r="S3127" t="s">
        <v>380</v>
      </c>
      <c r="T3127" t="s">
        <v>57</v>
      </c>
      <c r="V3127" t="s">
        <v>478</v>
      </c>
      <c r="W3127" t="s">
        <v>2417</v>
      </c>
      <c r="X3127" t="s">
        <v>2417</v>
      </c>
      <c r="AF3127" t="s">
        <v>451</v>
      </c>
      <c r="AI3127">
        <v>-243</v>
      </c>
      <c r="AL3127" t="s">
        <v>2558</v>
      </c>
      <c r="AN3127" t="s">
        <v>31</v>
      </c>
      <c r="AO3127">
        <v>0</v>
      </c>
      <c r="AS3127" t="s">
        <v>385</v>
      </c>
      <c r="AX3127" t="s">
        <v>57</v>
      </c>
      <c r="AY3127" t="s">
        <v>386</v>
      </c>
      <c r="AZ3127" t="s">
        <v>2559</v>
      </c>
      <c r="BE3127" t="s">
        <v>2560</v>
      </c>
      <c r="BF3127">
        <v>0</v>
      </c>
      <c r="BK3127" t="s">
        <v>31</v>
      </c>
      <c r="BS3127" t="s">
        <v>419</v>
      </c>
      <c r="BT3127" t="s">
        <v>419</v>
      </c>
      <c r="CI3127" t="s">
        <v>388</v>
      </c>
      <c r="CJ3127" s="14">
        <v>45016</v>
      </c>
      <c r="CK3127">
        <v>1</v>
      </c>
    </row>
    <row r="3128" spans="1:89">
      <c r="A3128" t="s">
        <v>2550</v>
      </c>
      <c r="B3128" t="s">
        <v>374</v>
      </c>
      <c r="C3128" t="s">
        <v>2551</v>
      </c>
      <c r="D3128" t="s">
        <v>2561</v>
      </c>
      <c r="E3128" t="s">
        <v>2562</v>
      </c>
      <c r="F3128" s="13">
        <v>44620.460659722223</v>
      </c>
      <c r="G3128" t="s">
        <v>1526</v>
      </c>
      <c r="H3128" t="s">
        <v>1527</v>
      </c>
      <c r="I3128" s="13">
        <v>44620.4612037037</v>
      </c>
      <c r="K3128" t="s">
        <v>412</v>
      </c>
      <c r="R3128">
        <v>0</v>
      </c>
      <c r="S3128" t="s">
        <v>380</v>
      </c>
      <c r="T3128" t="s">
        <v>57</v>
      </c>
      <c r="V3128" t="s">
        <v>381</v>
      </c>
      <c r="W3128" t="s">
        <v>2547</v>
      </c>
      <c r="X3128" t="s">
        <v>2547</v>
      </c>
      <c r="AI3128">
        <v>0</v>
      </c>
      <c r="AL3128" t="s">
        <v>2563</v>
      </c>
      <c r="AN3128" t="s">
        <v>31</v>
      </c>
      <c r="AO3128">
        <v>0</v>
      </c>
      <c r="AS3128" t="s">
        <v>385</v>
      </c>
      <c r="AX3128" t="s">
        <v>31</v>
      </c>
      <c r="AY3128" t="s">
        <v>386</v>
      </c>
      <c r="AZ3128" t="s">
        <v>2564</v>
      </c>
      <c r="BF3128">
        <v>0</v>
      </c>
      <c r="BK3128" t="s">
        <v>31</v>
      </c>
      <c r="BS3128" t="s">
        <v>412</v>
      </c>
      <c r="BT3128" t="s">
        <v>412</v>
      </c>
      <c r="CI3128" t="s">
        <v>388</v>
      </c>
      <c r="CJ3128" s="14">
        <v>45016</v>
      </c>
      <c r="CK3128">
        <v>1</v>
      </c>
    </row>
    <row r="3129" spans="1:89">
      <c r="A3129" t="s">
        <v>2565</v>
      </c>
      <c r="B3129" t="s">
        <v>374</v>
      </c>
      <c r="C3129" t="s">
        <v>2566</v>
      </c>
      <c r="D3129" t="s">
        <v>2567</v>
      </c>
      <c r="E3129" t="s">
        <v>2568</v>
      </c>
      <c r="F3129" s="13">
        <v>44620.453194444446</v>
      </c>
      <c r="G3129" t="s">
        <v>2149</v>
      </c>
      <c r="H3129" t="s">
        <v>2150</v>
      </c>
      <c r="I3129" s="13">
        <v>45012.044050925928</v>
      </c>
      <c r="K3129" t="s">
        <v>415</v>
      </c>
      <c r="M3129" s="13">
        <v>44824</v>
      </c>
      <c r="R3129">
        <v>0</v>
      </c>
      <c r="S3129" t="s">
        <v>380</v>
      </c>
      <c r="T3129" t="s">
        <v>57</v>
      </c>
      <c r="V3129" t="s">
        <v>478</v>
      </c>
      <c r="W3129" t="s">
        <v>2569</v>
      </c>
      <c r="X3129" t="s">
        <v>2569</v>
      </c>
      <c r="AC3129" s="13">
        <v>44200</v>
      </c>
      <c r="AD3129" s="13">
        <v>44197</v>
      </c>
      <c r="AF3129" t="s">
        <v>451</v>
      </c>
      <c r="AI3129">
        <v>-188</v>
      </c>
      <c r="AL3129" t="s">
        <v>2570</v>
      </c>
      <c r="AN3129" t="s">
        <v>31</v>
      </c>
      <c r="AO3129">
        <v>0</v>
      </c>
      <c r="AS3129" t="s">
        <v>392</v>
      </c>
      <c r="AX3129" t="s">
        <v>31</v>
      </c>
      <c r="AY3129" t="s">
        <v>442</v>
      </c>
      <c r="AZ3129" t="s">
        <v>2571</v>
      </c>
      <c r="BE3129" t="s">
        <v>2572</v>
      </c>
      <c r="BF3129">
        <v>0</v>
      </c>
      <c r="BK3129" t="s">
        <v>31</v>
      </c>
      <c r="BS3129" t="s">
        <v>419</v>
      </c>
      <c r="BT3129" t="s">
        <v>419</v>
      </c>
      <c r="CI3129" t="s">
        <v>388</v>
      </c>
      <c r="CJ3129" s="14">
        <v>45016</v>
      </c>
      <c r="CK3129">
        <v>1</v>
      </c>
    </row>
    <row r="3130" spans="1:89">
      <c r="A3130" t="s">
        <v>2573</v>
      </c>
      <c r="B3130" t="s">
        <v>374</v>
      </c>
      <c r="C3130" t="s">
        <v>2574</v>
      </c>
      <c r="D3130" t="s">
        <v>2575</v>
      </c>
      <c r="E3130" t="s">
        <v>2576</v>
      </c>
      <c r="F3130" s="13">
        <v>44620.4455787037</v>
      </c>
      <c r="G3130" t="s">
        <v>2577</v>
      </c>
      <c r="H3130" t="s">
        <v>2578</v>
      </c>
      <c r="I3130" s="13">
        <v>45012.044050925928</v>
      </c>
      <c r="K3130" t="s">
        <v>415</v>
      </c>
      <c r="M3130" s="13">
        <v>44742</v>
      </c>
      <c r="R3130">
        <v>0</v>
      </c>
      <c r="S3130" t="s">
        <v>380</v>
      </c>
      <c r="T3130" t="s">
        <v>57</v>
      </c>
      <c r="V3130" t="s">
        <v>478</v>
      </c>
      <c r="W3130" t="s">
        <v>2578</v>
      </c>
      <c r="X3130" t="s">
        <v>2578</v>
      </c>
      <c r="AF3130" t="s">
        <v>451</v>
      </c>
      <c r="AI3130">
        <v>-270</v>
      </c>
      <c r="AL3130" t="s">
        <v>2579</v>
      </c>
      <c r="AN3130" t="s">
        <v>31</v>
      </c>
      <c r="AO3130">
        <v>0</v>
      </c>
      <c r="AS3130" t="s">
        <v>392</v>
      </c>
      <c r="AX3130" t="s">
        <v>31</v>
      </c>
      <c r="AY3130" t="s">
        <v>442</v>
      </c>
      <c r="AZ3130" t="s">
        <v>2580</v>
      </c>
      <c r="BF3130">
        <v>0</v>
      </c>
      <c r="BK3130" t="s">
        <v>31</v>
      </c>
      <c r="BS3130" t="s">
        <v>419</v>
      </c>
      <c r="BT3130" t="s">
        <v>419</v>
      </c>
      <c r="CI3130" t="s">
        <v>388</v>
      </c>
      <c r="CJ3130" s="14">
        <v>45016</v>
      </c>
      <c r="CK3130">
        <v>1</v>
      </c>
    </row>
    <row r="3131" spans="1:89">
      <c r="A3131" t="s">
        <v>2581</v>
      </c>
      <c r="B3131" t="s">
        <v>374</v>
      </c>
      <c r="C3131" t="s">
        <v>2582</v>
      </c>
      <c r="D3131" t="s">
        <v>2583</v>
      </c>
      <c r="E3131" t="s">
        <v>2584</v>
      </c>
      <c r="F3131" s="13">
        <v>44620.427476851852</v>
      </c>
      <c r="G3131" t="s">
        <v>2079</v>
      </c>
      <c r="H3131" t="s">
        <v>2080</v>
      </c>
      <c r="I3131" s="13">
        <v>45012.044050925928</v>
      </c>
      <c r="K3131" t="s">
        <v>415</v>
      </c>
      <c r="M3131" s="13">
        <v>44712</v>
      </c>
      <c r="R3131">
        <v>0</v>
      </c>
      <c r="S3131" t="s">
        <v>416</v>
      </c>
      <c r="T3131" t="s">
        <v>57</v>
      </c>
      <c r="V3131" t="s">
        <v>478</v>
      </c>
      <c r="W3131" t="s">
        <v>2585</v>
      </c>
      <c r="X3131" t="s">
        <v>2585</v>
      </c>
      <c r="AF3131" t="s">
        <v>451</v>
      </c>
      <c r="AI3131">
        <v>-300</v>
      </c>
      <c r="AL3131" t="s">
        <v>2586</v>
      </c>
      <c r="AN3131" t="s">
        <v>31</v>
      </c>
      <c r="AO3131">
        <v>0</v>
      </c>
      <c r="AS3131" t="s">
        <v>392</v>
      </c>
      <c r="AX3131" t="s">
        <v>57</v>
      </c>
      <c r="AY3131" t="s">
        <v>386</v>
      </c>
      <c r="AZ3131" t="s">
        <v>2587</v>
      </c>
      <c r="BF3131">
        <v>0</v>
      </c>
      <c r="BK3131" t="s">
        <v>31</v>
      </c>
      <c r="BS3131" t="s">
        <v>419</v>
      </c>
      <c r="BT3131" t="s">
        <v>419</v>
      </c>
      <c r="CI3131" t="s">
        <v>388</v>
      </c>
      <c r="CJ3131" s="14">
        <v>45016</v>
      </c>
      <c r="CK3131">
        <v>1</v>
      </c>
    </row>
    <row r="3132" spans="1:89">
      <c r="A3132" t="s">
        <v>2105</v>
      </c>
      <c r="B3132" t="s">
        <v>374</v>
      </c>
      <c r="C3132" t="s">
        <v>1990</v>
      </c>
      <c r="D3132" t="s">
        <v>2588</v>
      </c>
      <c r="E3132" t="s">
        <v>2589</v>
      </c>
      <c r="F3132" s="13">
        <v>44620.414189814815</v>
      </c>
      <c r="G3132" t="s">
        <v>2108</v>
      </c>
      <c r="H3132" t="s">
        <v>2109</v>
      </c>
      <c r="I3132" s="13">
        <v>44621.764432870368</v>
      </c>
      <c r="K3132" t="s">
        <v>409</v>
      </c>
      <c r="R3132">
        <v>0</v>
      </c>
      <c r="S3132" t="s">
        <v>380</v>
      </c>
      <c r="T3132" t="s">
        <v>57</v>
      </c>
      <c r="V3132" t="s">
        <v>381</v>
      </c>
      <c r="W3132" t="s">
        <v>2590</v>
      </c>
      <c r="X3132" t="s">
        <v>2590</v>
      </c>
      <c r="AI3132">
        <v>305</v>
      </c>
      <c r="AL3132" t="s">
        <v>2591</v>
      </c>
      <c r="AN3132" t="s">
        <v>31</v>
      </c>
      <c r="AO3132">
        <v>0</v>
      </c>
      <c r="AS3132" t="s">
        <v>526</v>
      </c>
      <c r="AX3132" t="s">
        <v>31</v>
      </c>
      <c r="AY3132" t="s">
        <v>442</v>
      </c>
      <c r="AZ3132" t="s">
        <v>2592</v>
      </c>
      <c r="BF3132">
        <v>0</v>
      </c>
      <c r="BK3132" t="s">
        <v>31</v>
      </c>
      <c r="BS3132" t="s">
        <v>409</v>
      </c>
      <c r="BT3132" t="s">
        <v>409</v>
      </c>
      <c r="CI3132" t="s">
        <v>388</v>
      </c>
      <c r="CJ3132" s="14">
        <v>45016</v>
      </c>
      <c r="CK3132">
        <v>1</v>
      </c>
    </row>
    <row r="3133" spans="1:89">
      <c r="A3133" t="s">
        <v>454</v>
      </c>
      <c r="B3133" t="s">
        <v>374</v>
      </c>
      <c r="C3133" t="s">
        <v>455</v>
      </c>
      <c r="D3133" t="s">
        <v>2593</v>
      </c>
      <c r="E3133" t="s">
        <v>2594</v>
      </c>
      <c r="F3133" s="13">
        <v>44620.396273148152</v>
      </c>
      <c r="G3133" t="s">
        <v>2399</v>
      </c>
      <c r="H3133" t="s">
        <v>2400</v>
      </c>
      <c r="I3133" s="13">
        <v>45012.044039351851</v>
      </c>
      <c r="K3133" t="s">
        <v>415</v>
      </c>
      <c r="M3133" s="13">
        <v>44769</v>
      </c>
      <c r="R3133">
        <v>0</v>
      </c>
      <c r="S3133" t="s">
        <v>380</v>
      </c>
      <c r="T3133" t="s">
        <v>57</v>
      </c>
      <c r="V3133" t="s">
        <v>478</v>
      </c>
      <c r="W3133" t="s">
        <v>2417</v>
      </c>
      <c r="X3133" t="s">
        <v>2417</v>
      </c>
      <c r="AF3133" t="s">
        <v>451</v>
      </c>
      <c r="AI3133">
        <v>-243</v>
      </c>
      <c r="AL3133" t="s">
        <v>2595</v>
      </c>
      <c r="AN3133" t="s">
        <v>31</v>
      </c>
      <c r="AO3133">
        <v>0</v>
      </c>
      <c r="AS3133" t="s">
        <v>385</v>
      </c>
      <c r="AX3133" t="s">
        <v>57</v>
      </c>
      <c r="AY3133" t="s">
        <v>386</v>
      </c>
      <c r="AZ3133" t="s">
        <v>2596</v>
      </c>
      <c r="BE3133" t="s">
        <v>2597</v>
      </c>
      <c r="BF3133">
        <v>0</v>
      </c>
      <c r="BK3133" t="s">
        <v>31</v>
      </c>
      <c r="BS3133" t="s">
        <v>419</v>
      </c>
      <c r="BT3133" t="s">
        <v>419</v>
      </c>
      <c r="CI3133" t="s">
        <v>388</v>
      </c>
      <c r="CJ3133" s="14">
        <v>45016</v>
      </c>
      <c r="CK3133">
        <v>1</v>
      </c>
    </row>
    <row r="3134" spans="1:89">
      <c r="A3134" t="s">
        <v>2105</v>
      </c>
      <c r="B3134" t="s">
        <v>374</v>
      </c>
      <c r="C3134" t="s">
        <v>1990</v>
      </c>
      <c r="D3134" t="s">
        <v>2598</v>
      </c>
      <c r="E3134" t="s">
        <v>2599</v>
      </c>
      <c r="F3134" s="13">
        <v>44620.361747685187</v>
      </c>
      <c r="G3134" t="s">
        <v>2108</v>
      </c>
      <c r="H3134" t="s">
        <v>2109</v>
      </c>
      <c r="I3134" s="13">
        <v>44620.651678240742</v>
      </c>
      <c r="K3134" t="s">
        <v>409</v>
      </c>
      <c r="R3134">
        <v>0</v>
      </c>
      <c r="S3134" t="s">
        <v>380</v>
      </c>
      <c r="T3134" t="s">
        <v>57</v>
      </c>
      <c r="V3134" t="s">
        <v>381</v>
      </c>
      <c r="W3134" t="s">
        <v>2600</v>
      </c>
      <c r="X3134" t="s">
        <v>2600</v>
      </c>
      <c r="AI3134">
        <v>487</v>
      </c>
      <c r="AL3134" t="s">
        <v>2601</v>
      </c>
      <c r="AN3134" t="s">
        <v>31</v>
      </c>
      <c r="AO3134">
        <v>0</v>
      </c>
      <c r="AS3134" t="s">
        <v>385</v>
      </c>
      <c r="AX3134" t="s">
        <v>31</v>
      </c>
      <c r="AY3134" t="s">
        <v>442</v>
      </c>
      <c r="AZ3134" t="s">
        <v>2602</v>
      </c>
      <c r="BF3134">
        <v>0</v>
      </c>
      <c r="BK3134" t="s">
        <v>31</v>
      </c>
      <c r="BS3134" t="s">
        <v>409</v>
      </c>
      <c r="BT3134" t="s">
        <v>409</v>
      </c>
      <c r="CI3134" t="s">
        <v>388</v>
      </c>
      <c r="CJ3134" s="14">
        <v>45016</v>
      </c>
      <c r="CK3134">
        <v>1</v>
      </c>
    </row>
    <row r="3135" spans="1:89">
      <c r="A3135" t="s">
        <v>2603</v>
      </c>
      <c r="B3135" t="s">
        <v>374</v>
      </c>
      <c r="C3135" t="s">
        <v>2604</v>
      </c>
      <c r="D3135" t="s">
        <v>2605</v>
      </c>
      <c r="E3135" t="s">
        <v>2606</v>
      </c>
      <c r="F3135" s="13">
        <v>44620.346898148149</v>
      </c>
      <c r="G3135" t="s">
        <v>2607</v>
      </c>
      <c r="H3135" t="s">
        <v>2608</v>
      </c>
      <c r="I3135" s="13">
        <v>45012.044039351851</v>
      </c>
      <c r="K3135" t="s">
        <v>415</v>
      </c>
      <c r="M3135" s="13">
        <v>44925</v>
      </c>
      <c r="R3135">
        <v>0</v>
      </c>
      <c r="S3135" t="s">
        <v>380</v>
      </c>
      <c r="T3135" t="s">
        <v>57</v>
      </c>
      <c r="V3135" t="s">
        <v>478</v>
      </c>
      <c r="W3135" t="s">
        <v>2609</v>
      </c>
      <c r="X3135" t="s">
        <v>2609</v>
      </c>
      <c r="AF3135" t="s">
        <v>451</v>
      </c>
      <c r="AI3135">
        <v>-87</v>
      </c>
      <c r="AL3135" t="s">
        <v>2610</v>
      </c>
      <c r="AN3135" t="s">
        <v>31</v>
      </c>
      <c r="AO3135">
        <v>0</v>
      </c>
      <c r="AS3135" t="s">
        <v>385</v>
      </c>
      <c r="AX3135" t="s">
        <v>31</v>
      </c>
      <c r="AY3135" t="s">
        <v>386</v>
      </c>
      <c r="AZ3135" t="s">
        <v>2606</v>
      </c>
      <c r="BF3135">
        <v>0</v>
      </c>
      <c r="BK3135" t="s">
        <v>31</v>
      </c>
      <c r="BS3135" t="s">
        <v>419</v>
      </c>
      <c r="BT3135" t="s">
        <v>419</v>
      </c>
      <c r="CI3135" t="s">
        <v>388</v>
      </c>
      <c r="CJ3135" s="14">
        <v>45016</v>
      </c>
      <c r="CK3135">
        <v>1</v>
      </c>
    </row>
    <row r="3136" spans="1:89">
      <c r="A3136" t="s">
        <v>2603</v>
      </c>
      <c r="B3136" t="s">
        <v>374</v>
      </c>
      <c r="C3136" t="s">
        <v>2604</v>
      </c>
      <c r="D3136" t="s">
        <v>2611</v>
      </c>
      <c r="E3136" t="s">
        <v>2612</v>
      </c>
      <c r="F3136" s="13">
        <v>44620.340648148151</v>
      </c>
      <c r="G3136" t="s">
        <v>2607</v>
      </c>
      <c r="H3136" t="s">
        <v>2608</v>
      </c>
      <c r="I3136" s="13">
        <v>45012.044039351851</v>
      </c>
      <c r="K3136" t="s">
        <v>415</v>
      </c>
      <c r="M3136" s="13">
        <v>44651</v>
      </c>
      <c r="R3136">
        <v>0</v>
      </c>
      <c r="S3136" t="s">
        <v>380</v>
      </c>
      <c r="T3136" t="s">
        <v>57</v>
      </c>
      <c r="V3136" t="s">
        <v>478</v>
      </c>
      <c r="W3136" t="s">
        <v>2609</v>
      </c>
      <c r="X3136" t="s">
        <v>2609</v>
      </c>
      <c r="AF3136" t="s">
        <v>451</v>
      </c>
      <c r="AI3136">
        <v>-361</v>
      </c>
      <c r="AL3136" t="s">
        <v>2613</v>
      </c>
      <c r="AN3136" t="s">
        <v>31</v>
      </c>
      <c r="AO3136">
        <v>0</v>
      </c>
      <c r="AS3136" t="s">
        <v>385</v>
      </c>
      <c r="AX3136" t="s">
        <v>31</v>
      </c>
      <c r="AY3136" t="s">
        <v>386</v>
      </c>
      <c r="AZ3136" t="s">
        <v>2612</v>
      </c>
      <c r="BF3136">
        <v>0</v>
      </c>
      <c r="BK3136" t="s">
        <v>31</v>
      </c>
      <c r="BS3136" t="s">
        <v>419</v>
      </c>
      <c r="BT3136" t="s">
        <v>419</v>
      </c>
      <c r="CI3136" t="s">
        <v>388</v>
      </c>
      <c r="CJ3136" s="14">
        <v>45016</v>
      </c>
      <c r="CK3136">
        <v>1</v>
      </c>
    </row>
    <row r="3137" spans="1:89">
      <c r="A3137" t="s">
        <v>2603</v>
      </c>
      <c r="B3137" t="s">
        <v>374</v>
      </c>
      <c r="C3137" t="s">
        <v>2604</v>
      </c>
      <c r="D3137" t="s">
        <v>2614</v>
      </c>
      <c r="E3137" t="s">
        <v>2615</v>
      </c>
      <c r="F3137" s="13">
        <v>44620.332719907405</v>
      </c>
      <c r="G3137" t="s">
        <v>2607</v>
      </c>
      <c r="H3137" t="s">
        <v>2608</v>
      </c>
      <c r="I3137" s="13">
        <v>45012.044027777774</v>
      </c>
      <c r="K3137" t="s">
        <v>415</v>
      </c>
      <c r="M3137" s="13">
        <v>44742</v>
      </c>
      <c r="R3137">
        <v>0</v>
      </c>
      <c r="S3137" t="s">
        <v>380</v>
      </c>
      <c r="T3137" t="s">
        <v>57</v>
      </c>
      <c r="V3137" t="s">
        <v>478</v>
      </c>
      <c r="W3137" t="s">
        <v>2616</v>
      </c>
      <c r="X3137" t="s">
        <v>2616</v>
      </c>
      <c r="AF3137" t="s">
        <v>451</v>
      </c>
      <c r="AI3137">
        <v>-270</v>
      </c>
      <c r="AL3137" t="s">
        <v>2617</v>
      </c>
      <c r="AN3137" t="s">
        <v>31</v>
      </c>
      <c r="AO3137">
        <v>0</v>
      </c>
      <c r="AS3137" t="s">
        <v>385</v>
      </c>
      <c r="AX3137" t="s">
        <v>31</v>
      </c>
      <c r="AY3137" t="s">
        <v>386</v>
      </c>
      <c r="AZ3137" t="s">
        <v>2615</v>
      </c>
      <c r="BF3137">
        <v>0</v>
      </c>
      <c r="BK3137" t="s">
        <v>31</v>
      </c>
      <c r="BS3137" t="s">
        <v>419</v>
      </c>
      <c r="BT3137" t="s">
        <v>419</v>
      </c>
      <c r="CI3137" t="s">
        <v>388</v>
      </c>
      <c r="CJ3137" s="14">
        <v>45016</v>
      </c>
      <c r="CK3137">
        <v>1</v>
      </c>
    </row>
    <row r="3138" spans="1:89">
      <c r="A3138" t="s">
        <v>2444</v>
      </c>
      <c r="B3138" t="s">
        <v>374</v>
      </c>
      <c r="C3138" t="s">
        <v>2445</v>
      </c>
      <c r="D3138" t="s">
        <v>2618</v>
      </c>
      <c r="E3138" t="s">
        <v>2619</v>
      </c>
      <c r="F3138" s="13">
        <v>44619.996770833335</v>
      </c>
      <c r="G3138" t="s">
        <v>1526</v>
      </c>
      <c r="H3138" t="s">
        <v>1527</v>
      </c>
      <c r="I3138" s="13">
        <v>44619.99800925926</v>
      </c>
      <c r="K3138" t="s">
        <v>412</v>
      </c>
      <c r="R3138">
        <v>0</v>
      </c>
      <c r="S3138" t="s">
        <v>380</v>
      </c>
      <c r="T3138" t="s">
        <v>57</v>
      </c>
      <c r="V3138" t="s">
        <v>381</v>
      </c>
      <c r="W3138" t="s">
        <v>2620</v>
      </c>
      <c r="X3138" t="s">
        <v>2620</v>
      </c>
      <c r="AC3138" s="13">
        <v>44834</v>
      </c>
      <c r="AD3138" s="13">
        <v>44834</v>
      </c>
      <c r="AI3138">
        <v>215</v>
      </c>
      <c r="AL3138" t="s">
        <v>2621</v>
      </c>
      <c r="AN3138" t="s">
        <v>31</v>
      </c>
      <c r="AO3138">
        <v>0</v>
      </c>
      <c r="AS3138" t="s">
        <v>385</v>
      </c>
      <c r="AX3138" t="s">
        <v>57</v>
      </c>
      <c r="AY3138" t="s">
        <v>442</v>
      </c>
      <c r="AZ3138" t="s">
        <v>2622</v>
      </c>
      <c r="BF3138">
        <v>0</v>
      </c>
      <c r="BK3138" t="s">
        <v>31</v>
      </c>
      <c r="BS3138" t="s">
        <v>412</v>
      </c>
      <c r="BT3138" t="s">
        <v>412</v>
      </c>
      <c r="CI3138" t="s">
        <v>388</v>
      </c>
      <c r="CJ3138" s="14">
        <v>45016</v>
      </c>
      <c r="CK3138">
        <v>1</v>
      </c>
    </row>
    <row r="3139" spans="1:89">
      <c r="A3139" t="s">
        <v>2444</v>
      </c>
      <c r="B3139" t="s">
        <v>374</v>
      </c>
      <c r="C3139" t="s">
        <v>2445</v>
      </c>
      <c r="D3139" t="s">
        <v>2623</v>
      </c>
      <c r="E3139" t="s">
        <v>2624</v>
      </c>
      <c r="F3139" s="13">
        <v>44619.987824074073</v>
      </c>
      <c r="G3139" t="s">
        <v>1526</v>
      </c>
      <c r="H3139" t="s">
        <v>1527</v>
      </c>
      <c r="I3139" s="13">
        <v>44619.988541666666</v>
      </c>
      <c r="K3139" t="s">
        <v>412</v>
      </c>
      <c r="R3139">
        <v>0</v>
      </c>
      <c r="S3139" t="s">
        <v>380</v>
      </c>
      <c r="T3139" t="s">
        <v>57</v>
      </c>
      <c r="V3139" t="s">
        <v>381</v>
      </c>
      <c r="W3139" t="s">
        <v>2625</v>
      </c>
      <c r="X3139" t="s">
        <v>2625</v>
      </c>
      <c r="AC3139" s="13">
        <v>44757</v>
      </c>
      <c r="AD3139" s="13">
        <v>44757</v>
      </c>
      <c r="AI3139">
        <v>138</v>
      </c>
      <c r="AL3139" t="s">
        <v>2626</v>
      </c>
      <c r="AN3139" t="s">
        <v>31</v>
      </c>
      <c r="AO3139">
        <v>0</v>
      </c>
      <c r="AS3139" t="s">
        <v>385</v>
      </c>
      <c r="AX3139" t="s">
        <v>57</v>
      </c>
      <c r="AY3139" t="s">
        <v>442</v>
      </c>
      <c r="AZ3139" t="s">
        <v>2627</v>
      </c>
      <c r="BF3139">
        <v>0</v>
      </c>
      <c r="BK3139" t="s">
        <v>31</v>
      </c>
      <c r="BS3139" t="s">
        <v>412</v>
      </c>
      <c r="BT3139" t="s">
        <v>412</v>
      </c>
      <c r="CI3139" t="s">
        <v>388</v>
      </c>
      <c r="CJ3139" s="14">
        <v>45016</v>
      </c>
      <c r="CK3139">
        <v>1</v>
      </c>
    </row>
    <row r="3140" spans="1:89">
      <c r="A3140" t="s">
        <v>2444</v>
      </c>
      <c r="B3140" t="s">
        <v>374</v>
      </c>
      <c r="C3140" t="s">
        <v>2445</v>
      </c>
      <c r="D3140" t="s">
        <v>2628</v>
      </c>
      <c r="E3140" t="s">
        <v>2629</v>
      </c>
      <c r="F3140" s="13">
        <v>44619.985300925924</v>
      </c>
      <c r="G3140" t="s">
        <v>1526</v>
      </c>
      <c r="H3140" t="s">
        <v>1527</v>
      </c>
      <c r="I3140" s="13">
        <v>44619.986388888887</v>
      </c>
      <c r="K3140" t="s">
        <v>412</v>
      </c>
      <c r="R3140">
        <v>0</v>
      </c>
      <c r="S3140" t="s">
        <v>380</v>
      </c>
      <c r="T3140" t="s">
        <v>57</v>
      </c>
      <c r="V3140" t="s">
        <v>381</v>
      </c>
      <c r="W3140" t="s">
        <v>2625</v>
      </c>
      <c r="X3140" t="s">
        <v>2625</v>
      </c>
      <c r="AC3140" s="13">
        <v>44757</v>
      </c>
      <c r="AD3140" s="13">
        <v>44757</v>
      </c>
      <c r="AI3140">
        <v>138</v>
      </c>
      <c r="AL3140" t="s">
        <v>2626</v>
      </c>
      <c r="AN3140" t="s">
        <v>31</v>
      </c>
      <c r="AO3140">
        <v>0</v>
      </c>
      <c r="AS3140" t="s">
        <v>385</v>
      </c>
      <c r="AX3140" t="s">
        <v>57</v>
      </c>
      <c r="AY3140" t="s">
        <v>442</v>
      </c>
      <c r="AZ3140" t="s">
        <v>2630</v>
      </c>
      <c r="BF3140">
        <v>0</v>
      </c>
      <c r="BK3140" t="s">
        <v>31</v>
      </c>
      <c r="BS3140" t="s">
        <v>412</v>
      </c>
      <c r="BT3140" t="s">
        <v>412</v>
      </c>
      <c r="CI3140" t="s">
        <v>388</v>
      </c>
      <c r="CJ3140" s="14">
        <v>45016</v>
      </c>
      <c r="CK3140">
        <v>1</v>
      </c>
    </row>
    <row r="3141" spans="1:89">
      <c r="A3141" t="s">
        <v>2444</v>
      </c>
      <c r="B3141" t="s">
        <v>374</v>
      </c>
      <c r="C3141" t="s">
        <v>2445</v>
      </c>
      <c r="D3141" t="s">
        <v>2631</v>
      </c>
      <c r="E3141" t="s">
        <v>2632</v>
      </c>
      <c r="F3141" s="13">
        <v>44619.982928240737</v>
      </c>
      <c r="G3141" t="s">
        <v>1526</v>
      </c>
      <c r="H3141" t="s">
        <v>1527</v>
      </c>
      <c r="I3141" s="13">
        <v>44619.983981481484</v>
      </c>
      <c r="K3141" t="s">
        <v>412</v>
      </c>
      <c r="R3141">
        <v>0</v>
      </c>
      <c r="S3141" t="s">
        <v>380</v>
      </c>
      <c r="T3141" t="s">
        <v>57</v>
      </c>
      <c r="V3141" t="s">
        <v>381</v>
      </c>
      <c r="W3141" t="s">
        <v>2633</v>
      </c>
      <c r="X3141" t="s">
        <v>2633</v>
      </c>
      <c r="AC3141" s="13">
        <v>44757</v>
      </c>
      <c r="AD3141" s="13">
        <v>44757</v>
      </c>
      <c r="AI3141">
        <v>138</v>
      </c>
      <c r="AL3141" t="s">
        <v>2626</v>
      </c>
      <c r="AN3141" t="s">
        <v>31</v>
      </c>
      <c r="AO3141">
        <v>0</v>
      </c>
      <c r="AS3141" t="s">
        <v>385</v>
      </c>
      <c r="AX3141" t="s">
        <v>57</v>
      </c>
      <c r="AY3141" t="s">
        <v>442</v>
      </c>
      <c r="AZ3141" t="s">
        <v>2634</v>
      </c>
      <c r="BF3141">
        <v>0</v>
      </c>
      <c r="BK3141" t="s">
        <v>31</v>
      </c>
      <c r="BS3141" t="s">
        <v>412</v>
      </c>
      <c r="BT3141" t="s">
        <v>412</v>
      </c>
      <c r="CI3141" t="s">
        <v>388</v>
      </c>
      <c r="CJ3141" s="14">
        <v>45016</v>
      </c>
      <c r="CK3141">
        <v>1</v>
      </c>
    </row>
    <row r="3142" spans="1:89">
      <c r="A3142" t="s">
        <v>2444</v>
      </c>
      <c r="B3142" t="s">
        <v>374</v>
      </c>
      <c r="C3142" t="s">
        <v>2445</v>
      </c>
      <c r="D3142" t="s">
        <v>2635</v>
      </c>
      <c r="E3142" t="s">
        <v>2636</v>
      </c>
      <c r="F3142" s="13">
        <v>44619.980717592596</v>
      </c>
      <c r="G3142" t="s">
        <v>1526</v>
      </c>
      <c r="H3142" t="s">
        <v>1527</v>
      </c>
      <c r="I3142" s="13">
        <v>44619.981678240743</v>
      </c>
      <c r="K3142" t="s">
        <v>412</v>
      </c>
      <c r="R3142">
        <v>0</v>
      </c>
      <c r="S3142" t="s">
        <v>380</v>
      </c>
      <c r="T3142" t="s">
        <v>57</v>
      </c>
      <c r="V3142" t="s">
        <v>381</v>
      </c>
      <c r="W3142" t="s">
        <v>2625</v>
      </c>
      <c r="X3142" t="s">
        <v>2625</v>
      </c>
      <c r="AC3142" s="13">
        <v>44757</v>
      </c>
      <c r="AD3142" s="13">
        <v>44757</v>
      </c>
      <c r="AI3142">
        <v>138</v>
      </c>
      <c r="AL3142" t="s">
        <v>2626</v>
      </c>
      <c r="AN3142" t="s">
        <v>31</v>
      </c>
      <c r="AO3142">
        <v>0</v>
      </c>
      <c r="AS3142" t="s">
        <v>385</v>
      </c>
      <c r="AX3142" t="s">
        <v>57</v>
      </c>
      <c r="AY3142" t="s">
        <v>442</v>
      </c>
      <c r="AZ3142" t="s">
        <v>2637</v>
      </c>
      <c r="BF3142">
        <v>0</v>
      </c>
      <c r="BK3142" t="s">
        <v>31</v>
      </c>
      <c r="BS3142" t="s">
        <v>412</v>
      </c>
      <c r="BT3142" t="s">
        <v>412</v>
      </c>
      <c r="CI3142" t="s">
        <v>388</v>
      </c>
      <c r="CJ3142" s="14">
        <v>45016</v>
      </c>
      <c r="CK3142">
        <v>1</v>
      </c>
    </row>
    <row r="3143" spans="1:89">
      <c r="A3143" t="s">
        <v>2444</v>
      </c>
      <c r="B3143" t="s">
        <v>374</v>
      </c>
      <c r="C3143" t="s">
        <v>2445</v>
      </c>
      <c r="D3143" t="s">
        <v>2638</v>
      </c>
      <c r="E3143" t="s">
        <v>2639</v>
      </c>
      <c r="F3143" s="13">
        <v>44619.973356481481</v>
      </c>
      <c r="G3143" t="s">
        <v>1526</v>
      </c>
      <c r="H3143" t="s">
        <v>1527</v>
      </c>
      <c r="I3143" s="13">
        <v>44619.974143518521</v>
      </c>
      <c r="K3143" t="s">
        <v>412</v>
      </c>
      <c r="R3143">
        <v>0</v>
      </c>
      <c r="S3143" t="s">
        <v>380</v>
      </c>
      <c r="T3143" t="s">
        <v>57</v>
      </c>
      <c r="V3143" t="s">
        <v>381</v>
      </c>
      <c r="W3143" t="s">
        <v>2640</v>
      </c>
      <c r="X3143" t="s">
        <v>2640</v>
      </c>
      <c r="AC3143" s="13">
        <v>44757</v>
      </c>
      <c r="AD3143" s="13">
        <v>44757</v>
      </c>
      <c r="AI3143">
        <v>138</v>
      </c>
      <c r="AL3143" t="s">
        <v>2626</v>
      </c>
      <c r="AN3143" t="s">
        <v>31</v>
      </c>
      <c r="AO3143">
        <v>0</v>
      </c>
      <c r="AS3143" t="s">
        <v>385</v>
      </c>
      <c r="AX3143" t="s">
        <v>57</v>
      </c>
      <c r="AY3143" t="s">
        <v>442</v>
      </c>
      <c r="AZ3143" t="s">
        <v>2641</v>
      </c>
      <c r="BF3143">
        <v>0</v>
      </c>
      <c r="BK3143" t="s">
        <v>31</v>
      </c>
      <c r="BS3143" t="s">
        <v>412</v>
      </c>
      <c r="BT3143" t="s">
        <v>412</v>
      </c>
      <c r="CI3143" t="s">
        <v>388</v>
      </c>
      <c r="CJ3143" s="14">
        <v>45016</v>
      </c>
      <c r="CK3143">
        <v>1</v>
      </c>
    </row>
    <row r="3144" spans="1:89">
      <c r="A3144" t="s">
        <v>2444</v>
      </c>
      <c r="B3144" t="s">
        <v>374</v>
      </c>
      <c r="C3144" t="s">
        <v>2445</v>
      </c>
      <c r="D3144" t="s">
        <v>2642</v>
      </c>
      <c r="E3144" t="s">
        <v>2643</v>
      </c>
      <c r="F3144" s="13">
        <v>44619.967303240737</v>
      </c>
      <c r="G3144" t="s">
        <v>1526</v>
      </c>
      <c r="H3144" t="s">
        <v>1527</v>
      </c>
      <c r="I3144" s="13">
        <v>44619.968553240738</v>
      </c>
      <c r="K3144" t="s">
        <v>412</v>
      </c>
      <c r="R3144">
        <v>0</v>
      </c>
      <c r="S3144" t="s">
        <v>380</v>
      </c>
      <c r="T3144" t="s">
        <v>57</v>
      </c>
      <c r="V3144" t="s">
        <v>381</v>
      </c>
      <c r="W3144" t="s">
        <v>2644</v>
      </c>
      <c r="X3144" t="s">
        <v>2644</v>
      </c>
      <c r="AC3144" s="13">
        <v>44757</v>
      </c>
      <c r="AD3144" s="13">
        <v>44757</v>
      </c>
      <c r="AI3144">
        <v>138</v>
      </c>
      <c r="AL3144" t="s">
        <v>2645</v>
      </c>
      <c r="AN3144" t="s">
        <v>31</v>
      </c>
      <c r="AO3144">
        <v>0</v>
      </c>
      <c r="AS3144" t="s">
        <v>392</v>
      </c>
      <c r="AX3144" t="s">
        <v>57</v>
      </c>
      <c r="AY3144" t="s">
        <v>442</v>
      </c>
      <c r="AZ3144" t="s">
        <v>2634</v>
      </c>
      <c r="BF3144">
        <v>0</v>
      </c>
      <c r="BK3144" t="s">
        <v>31</v>
      </c>
      <c r="BS3144" t="s">
        <v>412</v>
      </c>
      <c r="BT3144" t="s">
        <v>412</v>
      </c>
      <c r="CI3144" t="s">
        <v>388</v>
      </c>
      <c r="CJ3144" s="14">
        <v>45016</v>
      </c>
      <c r="CK3144">
        <v>1</v>
      </c>
    </row>
    <row r="3145" spans="1:89">
      <c r="A3145" t="s">
        <v>2444</v>
      </c>
      <c r="B3145" t="s">
        <v>374</v>
      </c>
      <c r="C3145" t="s">
        <v>2445</v>
      </c>
      <c r="D3145" t="s">
        <v>2646</v>
      </c>
      <c r="E3145" t="s">
        <v>2647</v>
      </c>
      <c r="F3145" s="13">
        <v>44619.964421296296</v>
      </c>
      <c r="G3145" t="s">
        <v>1526</v>
      </c>
      <c r="H3145" t="s">
        <v>1527</v>
      </c>
      <c r="I3145" s="13">
        <v>44619.965648148151</v>
      </c>
      <c r="K3145" t="s">
        <v>412</v>
      </c>
      <c r="R3145">
        <v>0</v>
      </c>
      <c r="S3145" t="s">
        <v>380</v>
      </c>
      <c r="T3145" t="s">
        <v>57</v>
      </c>
      <c r="V3145" t="s">
        <v>381</v>
      </c>
      <c r="W3145" t="s">
        <v>2644</v>
      </c>
      <c r="X3145" t="s">
        <v>2644</v>
      </c>
      <c r="AC3145" s="13">
        <v>44757</v>
      </c>
      <c r="AD3145" s="13">
        <v>44757</v>
      </c>
      <c r="AI3145">
        <v>138</v>
      </c>
      <c r="AL3145" t="s">
        <v>2645</v>
      </c>
      <c r="AN3145" t="s">
        <v>31</v>
      </c>
      <c r="AO3145">
        <v>0</v>
      </c>
      <c r="AS3145" t="s">
        <v>385</v>
      </c>
      <c r="AX3145" t="s">
        <v>57</v>
      </c>
      <c r="AY3145" t="s">
        <v>442</v>
      </c>
      <c r="AZ3145" t="s">
        <v>2648</v>
      </c>
      <c r="BF3145">
        <v>0</v>
      </c>
      <c r="BK3145" t="s">
        <v>31</v>
      </c>
      <c r="BS3145" t="s">
        <v>412</v>
      </c>
      <c r="BT3145" t="s">
        <v>412</v>
      </c>
      <c r="CI3145" t="s">
        <v>388</v>
      </c>
      <c r="CJ3145" s="14">
        <v>45016</v>
      </c>
      <c r="CK3145">
        <v>1</v>
      </c>
    </row>
    <row r="3146" spans="1:89">
      <c r="A3146" t="s">
        <v>2444</v>
      </c>
      <c r="B3146" t="s">
        <v>374</v>
      </c>
      <c r="C3146" t="s">
        <v>2445</v>
      </c>
      <c r="D3146" t="s">
        <v>2649</v>
      </c>
      <c r="E3146" t="s">
        <v>2643</v>
      </c>
      <c r="F3146" s="13">
        <v>44619.943854166668</v>
      </c>
      <c r="G3146" t="s">
        <v>1526</v>
      </c>
      <c r="H3146" t="s">
        <v>1527</v>
      </c>
      <c r="I3146" s="13">
        <v>44619.944756944446</v>
      </c>
      <c r="K3146" t="s">
        <v>412</v>
      </c>
      <c r="R3146">
        <v>0</v>
      </c>
      <c r="S3146" t="s">
        <v>380</v>
      </c>
      <c r="T3146" t="s">
        <v>57</v>
      </c>
      <c r="V3146" t="s">
        <v>381</v>
      </c>
      <c r="W3146" t="s">
        <v>2633</v>
      </c>
      <c r="X3146" t="s">
        <v>2633</v>
      </c>
      <c r="AC3146" s="13">
        <v>44782</v>
      </c>
      <c r="AD3146" s="13">
        <v>44782</v>
      </c>
      <c r="AI3146">
        <v>163</v>
      </c>
      <c r="AL3146" t="s">
        <v>2650</v>
      </c>
      <c r="AN3146" t="s">
        <v>31</v>
      </c>
      <c r="AO3146">
        <v>0</v>
      </c>
      <c r="AS3146" t="s">
        <v>392</v>
      </c>
      <c r="AX3146" t="s">
        <v>57</v>
      </c>
      <c r="AY3146" t="s">
        <v>442</v>
      </c>
      <c r="AZ3146" t="s">
        <v>2634</v>
      </c>
      <c r="BF3146">
        <v>0</v>
      </c>
      <c r="BK3146" t="s">
        <v>31</v>
      </c>
      <c r="BS3146" t="s">
        <v>412</v>
      </c>
      <c r="BT3146" t="s">
        <v>412</v>
      </c>
      <c r="CI3146" t="s">
        <v>388</v>
      </c>
      <c r="CJ3146" s="14">
        <v>45016</v>
      </c>
      <c r="CK3146">
        <v>1</v>
      </c>
    </row>
    <row r="3147" spans="1:89">
      <c r="A3147" t="s">
        <v>2444</v>
      </c>
      <c r="B3147" t="s">
        <v>374</v>
      </c>
      <c r="C3147" t="s">
        <v>2445</v>
      </c>
      <c r="D3147" t="s">
        <v>2651</v>
      </c>
      <c r="E3147" t="s">
        <v>2652</v>
      </c>
      <c r="F3147" s="13">
        <v>44619.940567129626</v>
      </c>
      <c r="G3147" t="s">
        <v>1526</v>
      </c>
      <c r="H3147" t="s">
        <v>1527</v>
      </c>
      <c r="I3147" s="13">
        <v>44619.942071759258</v>
      </c>
      <c r="K3147" t="s">
        <v>412</v>
      </c>
      <c r="R3147">
        <v>0</v>
      </c>
      <c r="S3147" t="s">
        <v>380</v>
      </c>
      <c r="T3147" t="s">
        <v>57</v>
      </c>
      <c r="V3147" t="s">
        <v>381</v>
      </c>
      <c r="W3147" t="s">
        <v>2633</v>
      </c>
      <c r="X3147" t="s">
        <v>2633</v>
      </c>
      <c r="AC3147" s="13">
        <v>44782</v>
      </c>
      <c r="AD3147" s="13">
        <v>44782</v>
      </c>
      <c r="AI3147">
        <v>163</v>
      </c>
      <c r="AL3147" t="s">
        <v>2650</v>
      </c>
      <c r="AN3147" t="s">
        <v>31</v>
      </c>
      <c r="AO3147">
        <v>0</v>
      </c>
      <c r="AS3147" t="s">
        <v>385</v>
      </c>
      <c r="AX3147" t="s">
        <v>57</v>
      </c>
      <c r="AY3147" t="s">
        <v>442</v>
      </c>
      <c r="AZ3147" t="s">
        <v>2653</v>
      </c>
      <c r="BE3147" t="s">
        <v>2654</v>
      </c>
      <c r="BF3147">
        <v>0</v>
      </c>
      <c r="BK3147" t="s">
        <v>31</v>
      </c>
      <c r="BS3147" t="s">
        <v>412</v>
      </c>
      <c r="BT3147" t="s">
        <v>412</v>
      </c>
      <c r="CI3147" t="s">
        <v>388</v>
      </c>
      <c r="CJ3147" s="14">
        <v>45016</v>
      </c>
      <c r="CK3147">
        <v>1</v>
      </c>
    </row>
    <row r="3148" spans="1:89">
      <c r="A3148" t="s">
        <v>1522</v>
      </c>
      <c r="B3148" t="s">
        <v>374</v>
      </c>
      <c r="C3148" t="s">
        <v>1523</v>
      </c>
      <c r="D3148" t="s">
        <v>2655</v>
      </c>
      <c r="E3148" t="s">
        <v>2656</v>
      </c>
      <c r="F3148" s="13">
        <v>44619.882094907407</v>
      </c>
      <c r="G3148" t="s">
        <v>1526</v>
      </c>
      <c r="H3148" t="s">
        <v>1527</v>
      </c>
      <c r="I3148" s="13">
        <v>44619.882708333331</v>
      </c>
      <c r="K3148" t="s">
        <v>412</v>
      </c>
      <c r="R3148">
        <v>0</v>
      </c>
      <c r="S3148" t="s">
        <v>380</v>
      </c>
      <c r="T3148" t="s">
        <v>57</v>
      </c>
      <c r="V3148" t="s">
        <v>381</v>
      </c>
      <c r="W3148" t="s">
        <v>2657</v>
      </c>
      <c r="X3148" t="s">
        <v>2657</v>
      </c>
      <c r="AI3148">
        <v>62</v>
      </c>
      <c r="AL3148" t="s">
        <v>2658</v>
      </c>
      <c r="AN3148" t="s">
        <v>31</v>
      </c>
      <c r="AO3148">
        <v>0</v>
      </c>
      <c r="AS3148" t="s">
        <v>385</v>
      </c>
      <c r="AX3148" t="s">
        <v>31</v>
      </c>
      <c r="AY3148" t="s">
        <v>386</v>
      </c>
      <c r="AZ3148" t="s">
        <v>2659</v>
      </c>
      <c r="BF3148">
        <v>0</v>
      </c>
      <c r="BK3148" t="s">
        <v>31</v>
      </c>
      <c r="BS3148" t="s">
        <v>412</v>
      </c>
      <c r="BT3148" t="s">
        <v>412</v>
      </c>
      <c r="CI3148" t="s">
        <v>388</v>
      </c>
      <c r="CJ3148" s="14">
        <v>45016</v>
      </c>
      <c r="CK3148">
        <v>1</v>
      </c>
    </row>
    <row r="3149" spans="1:89">
      <c r="A3149" t="s">
        <v>1522</v>
      </c>
      <c r="B3149" t="s">
        <v>374</v>
      </c>
      <c r="C3149" t="s">
        <v>1523</v>
      </c>
      <c r="D3149" t="s">
        <v>2660</v>
      </c>
      <c r="E3149" t="s">
        <v>2661</v>
      </c>
      <c r="F3149" s="13">
        <v>44619.879571759258</v>
      </c>
      <c r="G3149" t="s">
        <v>1526</v>
      </c>
      <c r="H3149" t="s">
        <v>1527</v>
      </c>
      <c r="I3149" s="13">
        <v>44619.880069444444</v>
      </c>
      <c r="K3149" t="s">
        <v>412</v>
      </c>
      <c r="R3149">
        <v>0</v>
      </c>
      <c r="S3149" t="s">
        <v>380</v>
      </c>
      <c r="T3149" t="s">
        <v>57</v>
      </c>
      <c r="V3149" t="s">
        <v>381</v>
      </c>
      <c r="W3149" t="s">
        <v>2662</v>
      </c>
      <c r="X3149" t="s">
        <v>2662</v>
      </c>
      <c r="AI3149">
        <v>62</v>
      </c>
      <c r="AL3149" t="s">
        <v>2658</v>
      </c>
      <c r="AN3149" t="s">
        <v>31</v>
      </c>
      <c r="AO3149">
        <v>0</v>
      </c>
      <c r="AS3149" t="s">
        <v>392</v>
      </c>
      <c r="AX3149" t="s">
        <v>31</v>
      </c>
      <c r="AY3149" t="s">
        <v>442</v>
      </c>
      <c r="AZ3149" t="s">
        <v>2663</v>
      </c>
      <c r="BF3149">
        <v>0</v>
      </c>
      <c r="BK3149" t="s">
        <v>31</v>
      </c>
      <c r="BS3149" t="s">
        <v>412</v>
      </c>
      <c r="BT3149" t="s">
        <v>412</v>
      </c>
      <c r="CI3149" t="s">
        <v>388</v>
      </c>
      <c r="CJ3149" s="14">
        <v>45016</v>
      </c>
      <c r="CK3149">
        <v>1</v>
      </c>
    </row>
    <row r="3150" spans="1:89">
      <c r="A3150" t="s">
        <v>1522</v>
      </c>
      <c r="B3150" t="s">
        <v>374</v>
      </c>
      <c r="C3150" t="s">
        <v>1523</v>
      </c>
      <c r="D3150" t="s">
        <v>2664</v>
      </c>
      <c r="E3150" t="s">
        <v>2665</v>
      </c>
      <c r="F3150" s="13">
        <v>44619.877430555556</v>
      </c>
      <c r="G3150" t="s">
        <v>1526</v>
      </c>
      <c r="H3150" t="s">
        <v>1527</v>
      </c>
      <c r="I3150" s="13">
        <v>44619.877939814818</v>
      </c>
      <c r="K3150" t="s">
        <v>412</v>
      </c>
      <c r="R3150">
        <v>0</v>
      </c>
      <c r="S3150" t="s">
        <v>380</v>
      </c>
      <c r="T3150" t="s">
        <v>57</v>
      </c>
      <c r="V3150" t="s">
        <v>381</v>
      </c>
      <c r="W3150" t="s">
        <v>2666</v>
      </c>
      <c r="X3150" t="s">
        <v>2666</v>
      </c>
      <c r="AI3150">
        <v>62</v>
      </c>
      <c r="AL3150" t="s">
        <v>2658</v>
      </c>
      <c r="AN3150" t="s">
        <v>31</v>
      </c>
      <c r="AO3150">
        <v>0</v>
      </c>
      <c r="AS3150" t="s">
        <v>392</v>
      </c>
      <c r="AX3150" t="s">
        <v>31</v>
      </c>
      <c r="AY3150" t="s">
        <v>442</v>
      </c>
      <c r="AZ3150" t="s">
        <v>2667</v>
      </c>
      <c r="BF3150">
        <v>0</v>
      </c>
      <c r="BK3150" t="s">
        <v>31</v>
      </c>
      <c r="BS3150" t="s">
        <v>412</v>
      </c>
      <c r="BT3150" t="s">
        <v>412</v>
      </c>
      <c r="CI3150" t="s">
        <v>388</v>
      </c>
      <c r="CJ3150" s="14">
        <v>45016</v>
      </c>
      <c r="CK3150">
        <v>1</v>
      </c>
    </row>
    <row r="3151" spans="1:89">
      <c r="A3151" t="s">
        <v>1522</v>
      </c>
      <c r="B3151" t="s">
        <v>374</v>
      </c>
      <c r="C3151" t="s">
        <v>1523</v>
      </c>
      <c r="D3151" t="s">
        <v>2668</v>
      </c>
      <c r="E3151" t="s">
        <v>2669</v>
      </c>
      <c r="F3151" s="13">
        <v>44619.875659722224</v>
      </c>
      <c r="G3151" t="s">
        <v>1526</v>
      </c>
      <c r="H3151" t="s">
        <v>1527</v>
      </c>
      <c r="I3151" s="13">
        <v>44619.876273148147</v>
      </c>
      <c r="K3151" t="s">
        <v>412</v>
      </c>
      <c r="R3151">
        <v>0</v>
      </c>
      <c r="S3151" t="s">
        <v>380</v>
      </c>
      <c r="T3151" t="s">
        <v>57</v>
      </c>
      <c r="V3151" t="s">
        <v>381</v>
      </c>
      <c r="W3151" t="s">
        <v>2670</v>
      </c>
      <c r="X3151" t="s">
        <v>2670</v>
      </c>
      <c r="AI3151">
        <v>62</v>
      </c>
      <c r="AL3151" t="s">
        <v>2658</v>
      </c>
      <c r="AN3151" t="s">
        <v>31</v>
      </c>
      <c r="AO3151">
        <v>0</v>
      </c>
      <c r="AS3151" t="s">
        <v>744</v>
      </c>
      <c r="AX3151" t="s">
        <v>31</v>
      </c>
      <c r="AY3151" t="s">
        <v>442</v>
      </c>
      <c r="AZ3151" t="s">
        <v>2671</v>
      </c>
      <c r="BF3151">
        <v>0</v>
      </c>
      <c r="BK3151" t="s">
        <v>31</v>
      </c>
      <c r="BS3151" t="s">
        <v>412</v>
      </c>
      <c r="BT3151" t="s">
        <v>412</v>
      </c>
      <c r="CI3151" t="s">
        <v>388</v>
      </c>
      <c r="CJ3151" s="14">
        <v>45016</v>
      </c>
      <c r="CK3151">
        <v>1</v>
      </c>
    </row>
    <row r="3152" spans="1:89">
      <c r="A3152" t="s">
        <v>1522</v>
      </c>
      <c r="B3152" t="s">
        <v>374</v>
      </c>
      <c r="C3152" t="s">
        <v>1523</v>
      </c>
      <c r="D3152" t="s">
        <v>2672</v>
      </c>
      <c r="E3152" t="s">
        <v>2673</v>
      </c>
      <c r="F3152" s="13">
        <v>44619.873611111114</v>
      </c>
      <c r="G3152" t="s">
        <v>1526</v>
      </c>
      <c r="H3152" t="s">
        <v>1527</v>
      </c>
      <c r="I3152" s="13">
        <v>44619.874386574076</v>
      </c>
      <c r="K3152" t="s">
        <v>412</v>
      </c>
      <c r="R3152">
        <v>0</v>
      </c>
      <c r="S3152" t="s">
        <v>380</v>
      </c>
      <c r="T3152" t="s">
        <v>57</v>
      </c>
      <c r="V3152" t="s">
        <v>381</v>
      </c>
      <c r="W3152" t="s">
        <v>2657</v>
      </c>
      <c r="X3152" t="s">
        <v>2657</v>
      </c>
      <c r="AI3152">
        <v>62</v>
      </c>
      <c r="AL3152" t="s">
        <v>2658</v>
      </c>
      <c r="AN3152" t="s">
        <v>31</v>
      </c>
      <c r="AO3152">
        <v>0</v>
      </c>
      <c r="AS3152" t="s">
        <v>385</v>
      </c>
      <c r="AX3152" t="s">
        <v>31</v>
      </c>
      <c r="AY3152" t="s">
        <v>386</v>
      </c>
      <c r="AZ3152" t="s">
        <v>2673</v>
      </c>
      <c r="BF3152">
        <v>0</v>
      </c>
      <c r="BK3152" t="s">
        <v>31</v>
      </c>
      <c r="BS3152" t="s">
        <v>412</v>
      </c>
      <c r="BT3152" t="s">
        <v>412</v>
      </c>
      <c r="CI3152" t="s">
        <v>388</v>
      </c>
      <c r="CJ3152" s="14">
        <v>45016</v>
      </c>
      <c r="CK3152">
        <v>1</v>
      </c>
    </row>
    <row r="3153" spans="1:89">
      <c r="A3153" t="s">
        <v>1522</v>
      </c>
      <c r="B3153" t="s">
        <v>374</v>
      </c>
      <c r="C3153" t="s">
        <v>1523</v>
      </c>
      <c r="D3153" t="s">
        <v>2674</v>
      </c>
      <c r="E3153" t="s">
        <v>2675</v>
      </c>
      <c r="F3153" s="13">
        <v>44619.872025462966</v>
      </c>
      <c r="G3153" t="s">
        <v>1526</v>
      </c>
      <c r="H3153" t="s">
        <v>1527</v>
      </c>
      <c r="I3153" s="13">
        <v>44619.872546296298</v>
      </c>
      <c r="K3153" t="s">
        <v>412</v>
      </c>
      <c r="R3153">
        <v>0</v>
      </c>
      <c r="S3153" t="s">
        <v>380</v>
      </c>
      <c r="T3153" t="s">
        <v>57</v>
      </c>
      <c r="V3153" t="s">
        <v>381</v>
      </c>
      <c r="W3153" t="s">
        <v>2657</v>
      </c>
      <c r="X3153" t="s">
        <v>2657</v>
      </c>
      <c r="AI3153">
        <v>62</v>
      </c>
      <c r="AL3153" t="s">
        <v>2658</v>
      </c>
      <c r="AN3153" t="s">
        <v>31</v>
      </c>
      <c r="AO3153">
        <v>0</v>
      </c>
      <c r="AS3153" t="s">
        <v>392</v>
      </c>
      <c r="AX3153" t="s">
        <v>31</v>
      </c>
      <c r="AY3153" t="s">
        <v>442</v>
      </c>
      <c r="AZ3153" t="s">
        <v>2676</v>
      </c>
      <c r="BF3153">
        <v>0</v>
      </c>
      <c r="BK3153" t="s">
        <v>31</v>
      </c>
      <c r="BS3153" t="s">
        <v>412</v>
      </c>
      <c r="BT3153" t="s">
        <v>412</v>
      </c>
      <c r="CI3153" t="s">
        <v>388</v>
      </c>
      <c r="CJ3153" s="14">
        <v>45016</v>
      </c>
      <c r="CK3153">
        <v>1</v>
      </c>
    </row>
    <row r="3154" spans="1:89">
      <c r="A3154" t="s">
        <v>1522</v>
      </c>
      <c r="B3154" t="s">
        <v>374</v>
      </c>
      <c r="C3154" t="s">
        <v>1523</v>
      </c>
      <c r="D3154" t="s">
        <v>2677</v>
      </c>
      <c r="E3154" t="s">
        <v>2678</v>
      </c>
      <c r="F3154" s="13">
        <v>44619.869791666664</v>
      </c>
      <c r="G3154" t="s">
        <v>1526</v>
      </c>
      <c r="H3154" t="s">
        <v>1527</v>
      </c>
      <c r="I3154" s="13">
        <v>44619.870497685188</v>
      </c>
      <c r="K3154" t="s">
        <v>412</v>
      </c>
      <c r="R3154">
        <v>0</v>
      </c>
      <c r="S3154" t="s">
        <v>380</v>
      </c>
      <c r="T3154" t="s">
        <v>57</v>
      </c>
      <c r="V3154" t="s">
        <v>381</v>
      </c>
      <c r="W3154" t="s">
        <v>2679</v>
      </c>
      <c r="X3154" t="s">
        <v>2679</v>
      </c>
      <c r="AI3154">
        <v>62</v>
      </c>
      <c r="AL3154" t="s">
        <v>2658</v>
      </c>
      <c r="AN3154" t="s">
        <v>31</v>
      </c>
      <c r="AO3154">
        <v>0</v>
      </c>
      <c r="AS3154" t="s">
        <v>538</v>
      </c>
      <c r="AX3154" t="s">
        <v>31</v>
      </c>
      <c r="AY3154" t="s">
        <v>386</v>
      </c>
      <c r="AZ3154" t="s">
        <v>2680</v>
      </c>
      <c r="BF3154">
        <v>0</v>
      </c>
      <c r="BK3154" t="s">
        <v>31</v>
      </c>
      <c r="BS3154" t="s">
        <v>412</v>
      </c>
      <c r="BT3154" t="s">
        <v>412</v>
      </c>
      <c r="CI3154" t="s">
        <v>388</v>
      </c>
      <c r="CJ3154" s="14">
        <v>45016</v>
      </c>
      <c r="CK3154">
        <v>1</v>
      </c>
    </row>
    <row r="3155" spans="1:89">
      <c r="A3155" t="s">
        <v>1522</v>
      </c>
      <c r="B3155" t="s">
        <v>374</v>
      </c>
      <c r="C3155" t="s">
        <v>1523</v>
      </c>
      <c r="D3155" t="s">
        <v>2681</v>
      </c>
      <c r="E3155" t="s">
        <v>2682</v>
      </c>
      <c r="F3155" s="13">
        <v>44619.867939814816</v>
      </c>
      <c r="G3155" t="s">
        <v>1526</v>
      </c>
      <c r="H3155" t="s">
        <v>1527</v>
      </c>
      <c r="I3155" s="13">
        <v>44619.86859953704</v>
      </c>
      <c r="K3155" t="s">
        <v>412</v>
      </c>
      <c r="R3155">
        <v>0</v>
      </c>
      <c r="S3155" t="s">
        <v>380</v>
      </c>
      <c r="T3155" t="s">
        <v>57</v>
      </c>
      <c r="V3155" t="s">
        <v>381</v>
      </c>
      <c r="W3155" t="s">
        <v>2679</v>
      </c>
      <c r="X3155" t="s">
        <v>2679</v>
      </c>
      <c r="AI3155">
        <v>62</v>
      </c>
      <c r="AL3155" t="s">
        <v>2658</v>
      </c>
      <c r="AN3155" t="s">
        <v>31</v>
      </c>
      <c r="AO3155">
        <v>0</v>
      </c>
      <c r="AS3155" t="s">
        <v>385</v>
      </c>
      <c r="AX3155" t="s">
        <v>31</v>
      </c>
      <c r="AY3155" t="s">
        <v>442</v>
      </c>
      <c r="AZ3155" t="s">
        <v>2683</v>
      </c>
      <c r="BF3155">
        <v>0</v>
      </c>
      <c r="BK3155" t="s">
        <v>31</v>
      </c>
      <c r="BS3155" t="s">
        <v>412</v>
      </c>
      <c r="BT3155" t="s">
        <v>412</v>
      </c>
      <c r="CI3155" t="s">
        <v>388</v>
      </c>
      <c r="CJ3155" s="14">
        <v>45016</v>
      </c>
      <c r="CK3155">
        <v>1</v>
      </c>
    </row>
    <row r="3156" spans="1:89">
      <c r="A3156" t="s">
        <v>1522</v>
      </c>
      <c r="B3156" t="s">
        <v>374</v>
      </c>
      <c r="C3156" t="s">
        <v>1523</v>
      </c>
      <c r="D3156" t="s">
        <v>2684</v>
      </c>
      <c r="E3156" t="s">
        <v>2685</v>
      </c>
      <c r="F3156" s="13">
        <v>44619.865162037036</v>
      </c>
      <c r="G3156" t="s">
        <v>1526</v>
      </c>
      <c r="H3156" t="s">
        <v>1527</v>
      </c>
      <c r="I3156" s="13">
        <v>44619.866412037038</v>
      </c>
      <c r="K3156" t="s">
        <v>412</v>
      </c>
      <c r="R3156">
        <v>0</v>
      </c>
      <c r="S3156" t="s">
        <v>380</v>
      </c>
      <c r="T3156" t="s">
        <v>57</v>
      </c>
      <c r="V3156" t="s">
        <v>381</v>
      </c>
      <c r="W3156" t="s">
        <v>2686</v>
      </c>
      <c r="X3156" t="s">
        <v>2686</v>
      </c>
      <c r="AI3156">
        <v>62</v>
      </c>
      <c r="AL3156" t="s">
        <v>2658</v>
      </c>
      <c r="AN3156" t="s">
        <v>31</v>
      </c>
      <c r="AO3156">
        <v>0</v>
      </c>
      <c r="AS3156" t="s">
        <v>707</v>
      </c>
      <c r="AX3156" t="s">
        <v>31</v>
      </c>
      <c r="AY3156" t="s">
        <v>386</v>
      </c>
      <c r="AZ3156" t="s">
        <v>2687</v>
      </c>
      <c r="BF3156">
        <v>0</v>
      </c>
      <c r="BK3156" t="s">
        <v>31</v>
      </c>
      <c r="BS3156" t="s">
        <v>412</v>
      </c>
      <c r="BT3156" t="s">
        <v>412</v>
      </c>
      <c r="CI3156" t="s">
        <v>388</v>
      </c>
      <c r="CJ3156" s="14">
        <v>45016</v>
      </c>
      <c r="CK3156">
        <v>1</v>
      </c>
    </row>
    <row r="3157" spans="1:89">
      <c r="A3157" t="s">
        <v>1522</v>
      </c>
      <c r="B3157" t="s">
        <v>374</v>
      </c>
      <c r="C3157" t="s">
        <v>1523</v>
      </c>
      <c r="D3157" t="s">
        <v>2688</v>
      </c>
      <c r="E3157" t="s">
        <v>2689</v>
      </c>
      <c r="F3157" s="13">
        <v>44619.863206018519</v>
      </c>
      <c r="G3157" t="s">
        <v>1526</v>
      </c>
      <c r="H3157" t="s">
        <v>1527</v>
      </c>
      <c r="I3157" s="13">
        <v>44619.864074074074</v>
      </c>
      <c r="K3157" t="s">
        <v>412</v>
      </c>
      <c r="R3157">
        <v>0</v>
      </c>
      <c r="S3157" t="s">
        <v>380</v>
      </c>
      <c r="T3157" t="s">
        <v>57</v>
      </c>
      <c r="V3157" t="s">
        <v>381</v>
      </c>
      <c r="W3157" t="s">
        <v>2686</v>
      </c>
      <c r="X3157" t="s">
        <v>2686</v>
      </c>
      <c r="AI3157">
        <v>62</v>
      </c>
      <c r="AL3157" t="s">
        <v>2658</v>
      </c>
      <c r="AN3157" t="s">
        <v>31</v>
      </c>
      <c r="AO3157">
        <v>0</v>
      </c>
      <c r="AS3157" t="s">
        <v>648</v>
      </c>
      <c r="AX3157" t="s">
        <v>31</v>
      </c>
      <c r="AY3157" t="s">
        <v>442</v>
      </c>
      <c r="AZ3157" t="s">
        <v>2690</v>
      </c>
      <c r="BF3157">
        <v>0</v>
      </c>
      <c r="BK3157" t="s">
        <v>31</v>
      </c>
      <c r="BS3157" t="s">
        <v>412</v>
      </c>
      <c r="BT3157" t="s">
        <v>412</v>
      </c>
      <c r="CI3157" t="s">
        <v>388</v>
      </c>
      <c r="CJ3157" s="14">
        <v>45016</v>
      </c>
      <c r="CK3157">
        <v>1</v>
      </c>
    </row>
    <row r="3158" spans="1:89">
      <c r="A3158" t="s">
        <v>1522</v>
      </c>
      <c r="B3158" t="s">
        <v>374</v>
      </c>
      <c r="C3158" t="s">
        <v>1523</v>
      </c>
      <c r="D3158" t="s">
        <v>2691</v>
      </c>
      <c r="E3158" t="s">
        <v>2656</v>
      </c>
      <c r="F3158" s="13">
        <v>44619.861168981479</v>
      </c>
      <c r="G3158" t="s">
        <v>1526</v>
      </c>
      <c r="H3158" t="s">
        <v>1527</v>
      </c>
      <c r="I3158" s="13">
        <v>44619.861747685187</v>
      </c>
      <c r="K3158" t="s">
        <v>412</v>
      </c>
      <c r="R3158">
        <v>0</v>
      </c>
      <c r="S3158" t="s">
        <v>380</v>
      </c>
      <c r="T3158" t="s">
        <v>57</v>
      </c>
      <c r="V3158" t="s">
        <v>381</v>
      </c>
      <c r="W3158" t="s">
        <v>2657</v>
      </c>
      <c r="X3158" t="s">
        <v>2657</v>
      </c>
      <c r="AI3158">
        <v>62</v>
      </c>
      <c r="AL3158" t="s">
        <v>2658</v>
      </c>
      <c r="AN3158" t="s">
        <v>31</v>
      </c>
      <c r="AO3158">
        <v>0</v>
      </c>
      <c r="AS3158" t="s">
        <v>648</v>
      </c>
      <c r="AX3158" t="s">
        <v>31</v>
      </c>
      <c r="AY3158" t="s">
        <v>442</v>
      </c>
      <c r="AZ3158" t="s">
        <v>2692</v>
      </c>
      <c r="BF3158">
        <v>0</v>
      </c>
      <c r="BK3158" t="s">
        <v>31</v>
      </c>
      <c r="BS3158" t="s">
        <v>412</v>
      </c>
      <c r="BT3158" t="s">
        <v>412</v>
      </c>
      <c r="CI3158" t="s">
        <v>388</v>
      </c>
      <c r="CJ3158" s="14">
        <v>45016</v>
      </c>
      <c r="CK3158">
        <v>1</v>
      </c>
    </row>
    <row r="3159" spans="1:89">
      <c r="A3159" t="s">
        <v>2693</v>
      </c>
      <c r="B3159" t="s">
        <v>374</v>
      </c>
      <c r="C3159" t="s">
        <v>2694</v>
      </c>
      <c r="D3159" t="s">
        <v>2695</v>
      </c>
      <c r="E3159" t="s">
        <v>2696</v>
      </c>
      <c r="F3159" s="13">
        <v>44619.849710648145</v>
      </c>
      <c r="G3159" t="s">
        <v>1526</v>
      </c>
      <c r="H3159" t="s">
        <v>1527</v>
      </c>
      <c r="I3159" s="13">
        <v>44619.850358796299</v>
      </c>
      <c r="K3159" t="s">
        <v>412</v>
      </c>
      <c r="R3159">
        <v>0</v>
      </c>
      <c r="S3159" t="s">
        <v>380</v>
      </c>
      <c r="T3159" t="s">
        <v>57</v>
      </c>
      <c r="V3159" t="s">
        <v>381</v>
      </c>
      <c r="W3159" t="s">
        <v>2697</v>
      </c>
      <c r="X3159" t="s">
        <v>2697</v>
      </c>
      <c r="AI3159">
        <v>154</v>
      </c>
      <c r="AL3159" t="s">
        <v>2698</v>
      </c>
      <c r="AN3159" t="s">
        <v>31</v>
      </c>
      <c r="AO3159">
        <v>0</v>
      </c>
      <c r="AS3159" t="s">
        <v>392</v>
      </c>
      <c r="AX3159" t="s">
        <v>31</v>
      </c>
      <c r="AY3159" t="s">
        <v>442</v>
      </c>
      <c r="AZ3159" t="s">
        <v>2699</v>
      </c>
      <c r="BF3159">
        <v>0</v>
      </c>
      <c r="BK3159" t="s">
        <v>31</v>
      </c>
      <c r="BS3159" t="s">
        <v>412</v>
      </c>
      <c r="BT3159" t="s">
        <v>412</v>
      </c>
      <c r="CI3159" t="s">
        <v>388</v>
      </c>
      <c r="CJ3159" s="14">
        <v>45016</v>
      </c>
      <c r="CK3159">
        <v>1</v>
      </c>
    </row>
    <row r="3160" spans="1:89">
      <c r="A3160" t="s">
        <v>2700</v>
      </c>
      <c r="B3160" t="s">
        <v>374</v>
      </c>
      <c r="C3160" t="s">
        <v>2701</v>
      </c>
      <c r="D3160" t="s">
        <v>2702</v>
      </c>
      <c r="E3160" t="s">
        <v>2703</v>
      </c>
      <c r="F3160" s="13">
        <v>44619.839861111112</v>
      </c>
      <c r="G3160" t="s">
        <v>1526</v>
      </c>
      <c r="H3160" t="s">
        <v>1527</v>
      </c>
      <c r="I3160" s="13">
        <v>44619.840555555558</v>
      </c>
      <c r="K3160" t="s">
        <v>412</v>
      </c>
      <c r="R3160">
        <v>0</v>
      </c>
      <c r="S3160" t="s">
        <v>380</v>
      </c>
      <c r="T3160" t="s">
        <v>57</v>
      </c>
      <c r="V3160" t="s">
        <v>381</v>
      </c>
      <c r="W3160" t="s">
        <v>2704</v>
      </c>
      <c r="X3160" t="s">
        <v>2704</v>
      </c>
      <c r="AI3160">
        <v>1</v>
      </c>
      <c r="AL3160" t="s">
        <v>2705</v>
      </c>
      <c r="AN3160" t="s">
        <v>31</v>
      </c>
      <c r="AO3160">
        <v>0</v>
      </c>
      <c r="AS3160" t="s">
        <v>461</v>
      </c>
      <c r="AX3160" t="s">
        <v>31</v>
      </c>
      <c r="AY3160" t="s">
        <v>442</v>
      </c>
      <c r="AZ3160" t="s">
        <v>2706</v>
      </c>
      <c r="BF3160">
        <v>0</v>
      </c>
      <c r="BK3160" t="s">
        <v>31</v>
      </c>
      <c r="BS3160" t="s">
        <v>412</v>
      </c>
      <c r="BT3160" t="s">
        <v>412</v>
      </c>
      <c r="CI3160" t="s">
        <v>388</v>
      </c>
      <c r="CJ3160" s="14">
        <v>45016</v>
      </c>
      <c r="CK3160">
        <v>1</v>
      </c>
    </row>
    <row r="3161" spans="1:89">
      <c r="A3161" t="s">
        <v>2700</v>
      </c>
      <c r="B3161" t="s">
        <v>374</v>
      </c>
      <c r="C3161" t="s">
        <v>2701</v>
      </c>
      <c r="D3161" t="s">
        <v>2707</v>
      </c>
      <c r="E3161" t="s">
        <v>2708</v>
      </c>
      <c r="F3161" s="13">
        <v>44619.832939814813</v>
      </c>
      <c r="G3161" t="s">
        <v>1526</v>
      </c>
      <c r="H3161" t="s">
        <v>1527</v>
      </c>
      <c r="I3161" s="13">
        <v>44619.833854166667</v>
      </c>
      <c r="K3161" t="s">
        <v>412</v>
      </c>
      <c r="R3161">
        <v>0</v>
      </c>
      <c r="S3161" t="s">
        <v>380</v>
      </c>
      <c r="T3161" t="s">
        <v>57</v>
      </c>
      <c r="V3161" t="s">
        <v>381</v>
      </c>
      <c r="W3161" t="s">
        <v>2704</v>
      </c>
      <c r="X3161" t="s">
        <v>2704</v>
      </c>
      <c r="AI3161">
        <v>2</v>
      </c>
      <c r="AL3161" t="s">
        <v>2709</v>
      </c>
      <c r="AN3161" t="s">
        <v>31</v>
      </c>
      <c r="AO3161">
        <v>0</v>
      </c>
      <c r="AS3161" t="s">
        <v>385</v>
      </c>
      <c r="AX3161" t="s">
        <v>31</v>
      </c>
      <c r="AY3161" t="s">
        <v>442</v>
      </c>
      <c r="AZ3161" t="s">
        <v>2710</v>
      </c>
      <c r="BF3161">
        <v>0</v>
      </c>
      <c r="BK3161" t="s">
        <v>31</v>
      </c>
      <c r="BS3161" t="s">
        <v>412</v>
      </c>
      <c r="BT3161" t="s">
        <v>412</v>
      </c>
      <c r="CI3161" t="s">
        <v>388</v>
      </c>
      <c r="CJ3161" s="14">
        <v>45016</v>
      </c>
      <c r="CK3161">
        <v>1</v>
      </c>
    </row>
    <row r="3162" spans="1:89">
      <c r="A3162" t="s">
        <v>2700</v>
      </c>
      <c r="B3162" t="s">
        <v>374</v>
      </c>
      <c r="C3162" t="s">
        <v>2701</v>
      </c>
      <c r="D3162" t="s">
        <v>2711</v>
      </c>
      <c r="E3162" t="s">
        <v>2712</v>
      </c>
      <c r="F3162" s="13">
        <v>44619.825590277775</v>
      </c>
      <c r="G3162" t="s">
        <v>1526</v>
      </c>
      <c r="H3162" t="s">
        <v>1527</v>
      </c>
      <c r="I3162" s="13">
        <v>44619.826145833336</v>
      </c>
      <c r="K3162" t="s">
        <v>412</v>
      </c>
      <c r="R3162">
        <v>0</v>
      </c>
      <c r="S3162" t="s">
        <v>380</v>
      </c>
      <c r="T3162" t="s">
        <v>57</v>
      </c>
      <c r="V3162" t="s">
        <v>381</v>
      </c>
      <c r="W3162" t="s">
        <v>2704</v>
      </c>
      <c r="X3162" t="s">
        <v>2704</v>
      </c>
      <c r="AI3162">
        <v>2</v>
      </c>
      <c r="AL3162" t="s">
        <v>2713</v>
      </c>
      <c r="AN3162" t="s">
        <v>31</v>
      </c>
      <c r="AO3162">
        <v>0</v>
      </c>
      <c r="AS3162" t="s">
        <v>522</v>
      </c>
      <c r="AX3162" t="s">
        <v>31</v>
      </c>
      <c r="AY3162" t="s">
        <v>442</v>
      </c>
      <c r="AZ3162" t="s">
        <v>2714</v>
      </c>
      <c r="BF3162">
        <v>0</v>
      </c>
      <c r="BK3162" t="s">
        <v>31</v>
      </c>
      <c r="BS3162" t="s">
        <v>412</v>
      </c>
      <c r="BT3162" t="s">
        <v>412</v>
      </c>
      <c r="CI3162" t="s">
        <v>388</v>
      </c>
      <c r="CJ3162" s="14">
        <v>45016</v>
      </c>
      <c r="CK3162">
        <v>1</v>
      </c>
    </row>
    <row r="3163" spans="1:89">
      <c r="A3163" t="s">
        <v>2700</v>
      </c>
      <c r="B3163" t="s">
        <v>374</v>
      </c>
      <c r="C3163" t="s">
        <v>2701</v>
      </c>
      <c r="D3163" t="s">
        <v>2715</v>
      </c>
      <c r="E3163" t="s">
        <v>2716</v>
      </c>
      <c r="F3163" s="13">
        <v>44619.818888888891</v>
      </c>
      <c r="G3163" t="s">
        <v>1526</v>
      </c>
      <c r="H3163" t="s">
        <v>1527</v>
      </c>
      <c r="I3163" s="13">
        <v>44619.819733796299</v>
      </c>
      <c r="K3163" t="s">
        <v>412</v>
      </c>
      <c r="R3163">
        <v>0</v>
      </c>
      <c r="S3163" t="s">
        <v>380</v>
      </c>
      <c r="T3163" t="s">
        <v>57</v>
      </c>
      <c r="V3163" t="s">
        <v>381</v>
      </c>
      <c r="W3163" t="s">
        <v>2704</v>
      </c>
      <c r="X3163" t="s">
        <v>2704</v>
      </c>
      <c r="AI3163">
        <v>29</v>
      </c>
      <c r="AL3163" t="s">
        <v>2717</v>
      </c>
      <c r="AN3163" t="s">
        <v>31</v>
      </c>
      <c r="AO3163">
        <v>0</v>
      </c>
      <c r="AS3163" t="s">
        <v>385</v>
      </c>
      <c r="AX3163" t="s">
        <v>31</v>
      </c>
      <c r="AY3163" t="s">
        <v>442</v>
      </c>
      <c r="AZ3163" t="s">
        <v>2718</v>
      </c>
      <c r="BF3163">
        <v>0</v>
      </c>
      <c r="BK3163" t="s">
        <v>31</v>
      </c>
      <c r="BS3163" t="s">
        <v>412</v>
      </c>
      <c r="BT3163" t="s">
        <v>412</v>
      </c>
      <c r="CI3163" t="s">
        <v>388</v>
      </c>
      <c r="CJ3163" s="14">
        <v>45016</v>
      </c>
      <c r="CK3163">
        <v>1</v>
      </c>
    </row>
    <row r="3164" spans="1:89">
      <c r="A3164" t="s">
        <v>2700</v>
      </c>
      <c r="B3164" t="s">
        <v>374</v>
      </c>
      <c r="C3164" t="s">
        <v>2701</v>
      </c>
      <c r="D3164" t="s">
        <v>2719</v>
      </c>
      <c r="E3164" t="s">
        <v>2720</v>
      </c>
      <c r="F3164" s="13">
        <v>44619.785949074074</v>
      </c>
      <c r="G3164" t="s">
        <v>1526</v>
      </c>
      <c r="H3164" t="s">
        <v>1527</v>
      </c>
      <c r="I3164" s="13">
        <v>44619.788599537038</v>
      </c>
      <c r="K3164" t="s">
        <v>412</v>
      </c>
      <c r="R3164">
        <v>0</v>
      </c>
      <c r="S3164" t="s">
        <v>380</v>
      </c>
      <c r="T3164" t="s">
        <v>57</v>
      </c>
      <c r="V3164" t="s">
        <v>381</v>
      </c>
      <c r="W3164" t="s">
        <v>2721</v>
      </c>
      <c r="X3164" t="s">
        <v>2721</v>
      </c>
      <c r="AI3164">
        <v>47</v>
      </c>
      <c r="AL3164" t="s">
        <v>2722</v>
      </c>
      <c r="AN3164" t="s">
        <v>31</v>
      </c>
      <c r="AO3164">
        <v>0</v>
      </c>
      <c r="AS3164" t="s">
        <v>385</v>
      </c>
      <c r="AX3164" t="s">
        <v>31</v>
      </c>
      <c r="AY3164" t="s">
        <v>386</v>
      </c>
      <c r="AZ3164" t="s">
        <v>2723</v>
      </c>
      <c r="BE3164" t="s">
        <v>2724</v>
      </c>
      <c r="BF3164">
        <v>0</v>
      </c>
      <c r="BK3164" t="s">
        <v>31</v>
      </c>
      <c r="BS3164" t="s">
        <v>412</v>
      </c>
      <c r="BT3164" t="s">
        <v>412</v>
      </c>
      <c r="CI3164" t="s">
        <v>388</v>
      </c>
      <c r="CJ3164" s="14">
        <v>45016</v>
      </c>
      <c r="CK3164">
        <v>1</v>
      </c>
    </row>
    <row r="3165" spans="1:89">
      <c r="A3165" t="s">
        <v>2725</v>
      </c>
      <c r="B3165" t="s">
        <v>374</v>
      </c>
      <c r="C3165" t="s">
        <v>2726</v>
      </c>
      <c r="D3165" t="s">
        <v>2727</v>
      </c>
      <c r="E3165" t="s">
        <v>2728</v>
      </c>
      <c r="F3165" s="13">
        <v>44618.468761574077</v>
      </c>
      <c r="G3165" t="s">
        <v>2729</v>
      </c>
      <c r="H3165" t="s">
        <v>2730</v>
      </c>
      <c r="I3165" s="13">
        <v>45012.044027777774</v>
      </c>
      <c r="K3165" t="s">
        <v>415</v>
      </c>
      <c r="M3165" s="13">
        <v>44926</v>
      </c>
      <c r="R3165">
        <v>0</v>
      </c>
      <c r="S3165" t="s">
        <v>380</v>
      </c>
      <c r="T3165" t="s">
        <v>57</v>
      </c>
      <c r="V3165" t="s">
        <v>478</v>
      </c>
      <c r="W3165" t="s">
        <v>2731</v>
      </c>
      <c r="X3165" t="s">
        <v>2731</v>
      </c>
      <c r="AF3165" t="s">
        <v>451</v>
      </c>
      <c r="AI3165">
        <v>-86</v>
      </c>
      <c r="AL3165" t="s">
        <v>2732</v>
      </c>
      <c r="AN3165" t="s">
        <v>31</v>
      </c>
      <c r="AO3165">
        <v>0</v>
      </c>
      <c r="AS3165" t="s">
        <v>392</v>
      </c>
      <c r="AX3165" t="s">
        <v>57</v>
      </c>
      <c r="AY3165" t="s">
        <v>386</v>
      </c>
      <c r="AZ3165" t="s">
        <v>2733</v>
      </c>
      <c r="BE3165">
        <v>6</v>
      </c>
      <c r="BF3165">
        <v>0</v>
      </c>
      <c r="BK3165" t="s">
        <v>31</v>
      </c>
      <c r="BS3165" t="s">
        <v>419</v>
      </c>
      <c r="BT3165" t="s">
        <v>419</v>
      </c>
      <c r="CI3165" t="s">
        <v>388</v>
      </c>
      <c r="CJ3165" s="14">
        <v>45016</v>
      </c>
      <c r="CK3165">
        <v>1</v>
      </c>
    </row>
    <row r="3166" spans="1:89">
      <c r="A3166" t="s">
        <v>2725</v>
      </c>
      <c r="B3166" t="s">
        <v>374</v>
      </c>
      <c r="C3166" t="s">
        <v>2726</v>
      </c>
      <c r="D3166" t="s">
        <v>2734</v>
      </c>
      <c r="E3166" t="s">
        <v>2735</v>
      </c>
      <c r="F3166" s="13">
        <v>44618.457881944443</v>
      </c>
      <c r="G3166" t="s">
        <v>2729</v>
      </c>
      <c r="H3166" t="s">
        <v>2730</v>
      </c>
      <c r="I3166" s="13">
        <v>45012.044027777774</v>
      </c>
      <c r="K3166" t="s">
        <v>415</v>
      </c>
      <c r="M3166" s="13">
        <v>44651</v>
      </c>
      <c r="R3166">
        <v>0</v>
      </c>
      <c r="S3166" t="s">
        <v>380</v>
      </c>
      <c r="T3166" t="s">
        <v>57</v>
      </c>
      <c r="V3166" t="s">
        <v>478</v>
      </c>
      <c r="W3166" t="s">
        <v>2731</v>
      </c>
      <c r="X3166" t="s">
        <v>2731</v>
      </c>
      <c r="Y3166" t="s">
        <v>480</v>
      </c>
      <c r="AE3166" t="s">
        <v>2736</v>
      </c>
      <c r="AF3166" t="s">
        <v>451</v>
      </c>
      <c r="AG3166" t="s">
        <v>2737</v>
      </c>
      <c r="AI3166">
        <v>-361</v>
      </c>
      <c r="AL3166" t="s">
        <v>2738</v>
      </c>
      <c r="AN3166" t="s">
        <v>31</v>
      </c>
      <c r="AO3166">
        <v>0</v>
      </c>
      <c r="AS3166" t="s">
        <v>385</v>
      </c>
      <c r="AT3166" t="s">
        <v>57</v>
      </c>
      <c r="AV3166" s="13">
        <v>44741</v>
      </c>
      <c r="AX3166" t="s">
        <v>57</v>
      </c>
      <c r="AY3166" t="s">
        <v>386</v>
      </c>
      <c r="AZ3166" t="s">
        <v>2739</v>
      </c>
      <c r="BE3166">
        <v>5</v>
      </c>
      <c r="BF3166">
        <v>0</v>
      </c>
      <c r="BK3166" t="s">
        <v>31</v>
      </c>
      <c r="BS3166" t="s">
        <v>484</v>
      </c>
      <c r="BT3166" t="s">
        <v>484</v>
      </c>
      <c r="CI3166" t="s">
        <v>388</v>
      </c>
      <c r="CJ3166" s="14">
        <v>45016</v>
      </c>
      <c r="CK3166">
        <v>1</v>
      </c>
    </row>
    <row r="3167" spans="1:89">
      <c r="A3167" t="s">
        <v>2740</v>
      </c>
      <c r="B3167" t="s">
        <v>374</v>
      </c>
      <c r="C3167" t="s">
        <v>2741</v>
      </c>
      <c r="D3167" t="s">
        <v>2742</v>
      </c>
      <c r="E3167" t="s">
        <v>2743</v>
      </c>
      <c r="F3167" s="13">
        <v>44618.449733796297</v>
      </c>
      <c r="G3167" t="s">
        <v>2729</v>
      </c>
      <c r="H3167" t="s">
        <v>2730</v>
      </c>
      <c r="I3167" s="13">
        <v>45012.044016203705</v>
      </c>
      <c r="K3167" t="s">
        <v>415</v>
      </c>
      <c r="M3167" s="13">
        <v>44651</v>
      </c>
      <c r="R3167">
        <v>0</v>
      </c>
      <c r="S3167" t="s">
        <v>380</v>
      </c>
      <c r="T3167" t="s">
        <v>57</v>
      </c>
      <c r="V3167" t="s">
        <v>478</v>
      </c>
      <c r="W3167" t="s">
        <v>2731</v>
      </c>
      <c r="X3167" t="s">
        <v>2731</v>
      </c>
      <c r="Y3167" t="s">
        <v>480</v>
      </c>
      <c r="AE3167" t="s">
        <v>2736</v>
      </c>
      <c r="AF3167" t="s">
        <v>451</v>
      </c>
      <c r="AG3167" t="s">
        <v>2737</v>
      </c>
      <c r="AI3167">
        <v>-361</v>
      </c>
      <c r="AL3167" t="s">
        <v>2744</v>
      </c>
      <c r="AN3167" t="s">
        <v>31</v>
      </c>
      <c r="AO3167">
        <v>0</v>
      </c>
      <c r="AS3167" t="s">
        <v>385</v>
      </c>
      <c r="AT3167" t="s">
        <v>57</v>
      </c>
      <c r="AV3167" s="13">
        <v>44741</v>
      </c>
      <c r="AX3167" t="s">
        <v>57</v>
      </c>
      <c r="AY3167" t="s">
        <v>386</v>
      </c>
      <c r="AZ3167" t="s">
        <v>2745</v>
      </c>
      <c r="BE3167">
        <v>4</v>
      </c>
      <c r="BF3167">
        <v>0</v>
      </c>
      <c r="BK3167" t="s">
        <v>31</v>
      </c>
      <c r="BS3167" t="s">
        <v>484</v>
      </c>
      <c r="BT3167" t="s">
        <v>484</v>
      </c>
      <c r="CI3167" t="s">
        <v>388</v>
      </c>
      <c r="CJ3167" s="14">
        <v>45016</v>
      </c>
      <c r="CK3167">
        <v>1</v>
      </c>
    </row>
    <row r="3168" spans="1:89">
      <c r="A3168" t="s">
        <v>2746</v>
      </c>
      <c r="B3168" t="s">
        <v>374</v>
      </c>
      <c r="C3168" t="s">
        <v>2747</v>
      </c>
      <c r="D3168" t="s">
        <v>2748</v>
      </c>
      <c r="E3168" t="s">
        <v>2749</v>
      </c>
      <c r="F3168" s="13">
        <v>44618.437916666669</v>
      </c>
      <c r="G3168" t="s">
        <v>2729</v>
      </c>
      <c r="H3168" t="s">
        <v>2730</v>
      </c>
      <c r="I3168" s="13">
        <v>45012.044016203705</v>
      </c>
      <c r="K3168" t="s">
        <v>415</v>
      </c>
      <c r="M3168" s="13">
        <v>44651</v>
      </c>
      <c r="R3168">
        <v>0</v>
      </c>
      <c r="S3168" t="s">
        <v>380</v>
      </c>
      <c r="T3168" t="s">
        <v>57</v>
      </c>
      <c r="V3168" t="s">
        <v>478</v>
      </c>
      <c r="W3168" t="s">
        <v>2731</v>
      </c>
      <c r="X3168" t="s">
        <v>2731</v>
      </c>
      <c r="Y3168" t="s">
        <v>480</v>
      </c>
      <c r="AE3168" t="s">
        <v>2750</v>
      </c>
      <c r="AF3168" t="s">
        <v>451</v>
      </c>
      <c r="AG3168" t="s">
        <v>2737</v>
      </c>
      <c r="AI3168">
        <v>-361</v>
      </c>
      <c r="AL3168" t="s">
        <v>2751</v>
      </c>
      <c r="AN3168" t="s">
        <v>31</v>
      </c>
      <c r="AO3168">
        <v>0</v>
      </c>
      <c r="AS3168" t="s">
        <v>385</v>
      </c>
      <c r="AT3168" t="s">
        <v>57</v>
      </c>
      <c r="AV3168" s="13">
        <v>44741</v>
      </c>
      <c r="AX3168" t="s">
        <v>57</v>
      </c>
      <c r="AY3168" t="s">
        <v>386</v>
      </c>
      <c r="AZ3168" t="s">
        <v>2752</v>
      </c>
      <c r="BE3168">
        <v>3</v>
      </c>
      <c r="BF3168">
        <v>0</v>
      </c>
      <c r="BK3168" t="s">
        <v>31</v>
      </c>
      <c r="BS3168" t="s">
        <v>484</v>
      </c>
      <c r="BT3168" t="s">
        <v>484</v>
      </c>
      <c r="CI3168" t="s">
        <v>388</v>
      </c>
      <c r="CJ3168" s="14">
        <v>45016</v>
      </c>
      <c r="CK3168">
        <v>1</v>
      </c>
    </row>
    <row r="3169" spans="1:89">
      <c r="A3169" t="s">
        <v>2753</v>
      </c>
      <c r="B3169" t="s">
        <v>374</v>
      </c>
      <c r="C3169" t="s">
        <v>2754</v>
      </c>
      <c r="D3169" t="s">
        <v>2755</v>
      </c>
      <c r="E3169" t="s">
        <v>2756</v>
      </c>
      <c r="F3169" s="13">
        <v>44618.431446759256</v>
      </c>
      <c r="G3169" t="s">
        <v>2729</v>
      </c>
      <c r="H3169" t="s">
        <v>2730</v>
      </c>
      <c r="I3169" s="13">
        <v>45012.044016203705</v>
      </c>
      <c r="K3169" t="s">
        <v>415</v>
      </c>
      <c r="M3169" s="13">
        <v>44651</v>
      </c>
      <c r="R3169">
        <v>0</v>
      </c>
      <c r="S3169" t="s">
        <v>380</v>
      </c>
      <c r="T3169" t="s">
        <v>57</v>
      </c>
      <c r="V3169" t="s">
        <v>478</v>
      </c>
      <c r="W3169" t="s">
        <v>2731</v>
      </c>
      <c r="X3169" t="s">
        <v>2731</v>
      </c>
      <c r="Y3169" t="s">
        <v>480</v>
      </c>
      <c r="AE3169" t="s">
        <v>2757</v>
      </c>
      <c r="AF3169" t="s">
        <v>451</v>
      </c>
      <c r="AG3169" t="s">
        <v>2758</v>
      </c>
      <c r="AI3169">
        <v>-361</v>
      </c>
      <c r="AL3169" t="s">
        <v>2759</v>
      </c>
      <c r="AN3169" t="s">
        <v>31</v>
      </c>
      <c r="AO3169">
        <v>0</v>
      </c>
      <c r="AS3169" t="s">
        <v>385</v>
      </c>
      <c r="AT3169" t="s">
        <v>57</v>
      </c>
      <c r="AV3169" s="13">
        <v>44741</v>
      </c>
      <c r="AX3169" t="s">
        <v>57</v>
      </c>
      <c r="AY3169" t="s">
        <v>386</v>
      </c>
      <c r="AZ3169" t="s">
        <v>2760</v>
      </c>
      <c r="BE3169">
        <v>2</v>
      </c>
      <c r="BF3169">
        <v>0</v>
      </c>
      <c r="BK3169" t="s">
        <v>31</v>
      </c>
      <c r="BS3169" t="s">
        <v>484</v>
      </c>
      <c r="BT3169" t="s">
        <v>484</v>
      </c>
      <c r="CI3169" t="s">
        <v>388</v>
      </c>
      <c r="CJ3169" s="14">
        <v>45016</v>
      </c>
      <c r="CK3169">
        <v>1</v>
      </c>
    </row>
    <row r="3170" spans="1:89">
      <c r="A3170" t="s">
        <v>2244</v>
      </c>
      <c r="B3170" t="s">
        <v>374</v>
      </c>
      <c r="C3170" t="s">
        <v>2245</v>
      </c>
      <c r="D3170" t="s">
        <v>2761</v>
      </c>
      <c r="E3170" t="s">
        <v>2466</v>
      </c>
      <c r="F3170" s="13">
        <v>44617.840937499997</v>
      </c>
      <c r="G3170" t="s">
        <v>2248</v>
      </c>
      <c r="H3170" t="s">
        <v>2249</v>
      </c>
      <c r="I3170" s="13">
        <v>45012.044004629628</v>
      </c>
      <c r="K3170" t="s">
        <v>415</v>
      </c>
      <c r="M3170" s="13">
        <v>44627</v>
      </c>
      <c r="R3170">
        <v>0</v>
      </c>
      <c r="S3170" t="s">
        <v>416</v>
      </c>
      <c r="T3170" t="s">
        <v>57</v>
      </c>
      <c r="V3170" t="s">
        <v>478</v>
      </c>
      <c r="W3170" t="s">
        <v>2762</v>
      </c>
      <c r="X3170" t="s">
        <v>2762</v>
      </c>
      <c r="Y3170" t="s">
        <v>480</v>
      </c>
      <c r="AF3170" t="s">
        <v>451</v>
      </c>
      <c r="AG3170" t="s">
        <v>2763</v>
      </c>
      <c r="AI3170">
        <v>-385</v>
      </c>
      <c r="AL3170" t="s">
        <v>2764</v>
      </c>
      <c r="AN3170" t="s">
        <v>31</v>
      </c>
      <c r="AO3170">
        <v>0</v>
      </c>
      <c r="AS3170" t="s">
        <v>385</v>
      </c>
      <c r="AT3170" t="s">
        <v>31</v>
      </c>
      <c r="AX3170" t="s">
        <v>31</v>
      </c>
      <c r="AY3170" t="s">
        <v>442</v>
      </c>
      <c r="AZ3170" t="s">
        <v>2765</v>
      </c>
      <c r="BF3170">
        <v>0</v>
      </c>
      <c r="BK3170" t="s">
        <v>31</v>
      </c>
      <c r="BS3170" t="s">
        <v>484</v>
      </c>
      <c r="BT3170" t="s">
        <v>484</v>
      </c>
      <c r="CI3170" t="s">
        <v>388</v>
      </c>
      <c r="CJ3170" s="14">
        <v>45016</v>
      </c>
      <c r="CK3170">
        <v>1</v>
      </c>
    </row>
    <row r="3171" spans="1:89">
      <c r="A3171" t="s">
        <v>2244</v>
      </c>
      <c r="B3171" t="s">
        <v>374</v>
      </c>
      <c r="C3171" t="s">
        <v>2245</v>
      </c>
      <c r="D3171" t="s">
        <v>2766</v>
      </c>
      <c r="E3171" t="s">
        <v>2767</v>
      </c>
      <c r="F3171" s="13">
        <v>44617.766712962963</v>
      </c>
      <c r="G3171" t="s">
        <v>2248</v>
      </c>
      <c r="H3171" t="s">
        <v>2249</v>
      </c>
      <c r="I3171" s="13">
        <v>45012.044004629628</v>
      </c>
      <c r="K3171" t="s">
        <v>415</v>
      </c>
      <c r="M3171" s="13">
        <v>44651</v>
      </c>
      <c r="R3171">
        <v>0</v>
      </c>
      <c r="S3171" t="s">
        <v>416</v>
      </c>
      <c r="T3171" t="s">
        <v>57</v>
      </c>
      <c r="V3171" t="s">
        <v>478</v>
      </c>
      <c r="W3171" t="s">
        <v>2768</v>
      </c>
      <c r="X3171" t="s">
        <v>2768</v>
      </c>
      <c r="AF3171" t="s">
        <v>451</v>
      </c>
      <c r="AI3171">
        <v>-361</v>
      </c>
      <c r="AL3171" t="s">
        <v>2769</v>
      </c>
      <c r="AN3171" t="s">
        <v>31</v>
      </c>
      <c r="AO3171">
        <v>0</v>
      </c>
      <c r="AS3171" t="s">
        <v>385</v>
      </c>
      <c r="AX3171" t="s">
        <v>31</v>
      </c>
      <c r="AY3171" t="s">
        <v>442</v>
      </c>
      <c r="AZ3171" t="s">
        <v>2770</v>
      </c>
      <c r="BF3171">
        <v>0</v>
      </c>
      <c r="BK3171" t="s">
        <v>31</v>
      </c>
      <c r="BS3171" t="s">
        <v>419</v>
      </c>
      <c r="BT3171" t="s">
        <v>419</v>
      </c>
      <c r="CI3171" t="s">
        <v>388</v>
      </c>
      <c r="CJ3171" s="14">
        <v>45016</v>
      </c>
      <c r="CK3171">
        <v>1</v>
      </c>
    </row>
    <row r="3172" spans="1:89">
      <c r="A3172" t="s">
        <v>2740</v>
      </c>
      <c r="B3172" t="s">
        <v>374</v>
      </c>
      <c r="C3172" t="s">
        <v>2741</v>
      </c>
      <c r="D3172" t="s">
        <v>2771</v>
      </c>
      <c r="E3172" t="s">
        <v>2772</v>
      </c>
      <c r="F3172" s="13">
        <v>44617.712245370371</v>
      </c>
      <c r="G3172" t="s">
        <v>2729</v>
      </c>
      <c r="H3172" t="s">
        <v>2730</v>
      </c>
      <c r="I3172" s="13">
        <v>45012.044004629628</v>
      </c>
      <c r="K3172" t="s">
        <v>415</v>
      </c>
      <c r="M3172" s="13">
        <v>44926</v>
      </c>
      <c r="R3172">
        <v>0</v>
      </c>
      <c r="S3172" t="s">
        <v>380</v>
      </c>
      <c r="T3172" t="s">
        <v>57</v>
      </c>
      <c r="V3172" t="s">
        <v>478</v>
      </c>
      <c r="W3172" t="s">
        <v>2731</v>
      </c>
      <c r="X3172" t="s">
        <v>2731</v>
      </c>
      <c r="AC3172" s="13">
        <v>45107</v>
      </c>
      <c r="AD3172" s="13">
        <v>44929</v>
      </c>
      <c r="AF3172" t="s">
        <v>451</v>
      </c>
      <c r="AI3172">
        <v>-86</v>
      </c>
      <c r="AL3172" t="s">
        <v>2773</v>
      </c>
      <c r="AN3172" t="s">
        <v>31</v>
      </c>
      <c r="AO3172">
        <v>0</v>
      </c>
      <c r="AS3172" t="s">
        <v>702</v>
      </c>
      <c r="AX3172" t="s">
        <v>57</v>
      </c>
      <c r="AY3172" t="s">
        <v>442</v>
      </c>
      <c r="AZ3172" t="s">
        <v>2774</v>
      </c>
      <c r="BE3172">
        <v>1</v>
      </c>
      <c r="BF3172">
        <v>0</v>
      </c>
      <c r="BK3172" t="s">
        <v>31</v>
      </c>
      <c r="BS3172" t="s">
        <v>419</v>
      </c>
      <c r="BT3172" t="s">
        <v>419</v>
      </c>
      <c r="CI3172" t="s">
        <v>388</v>
      </c>
      <c r="CJ3172" s="14">
        <v>45016</v>
      </c>
      <c r="CK3172">
        <v>1</v>
      </c>
    </row>
    <row r="3173" spans="1:89">
      <c r="A3173" t="s">
        <v>1655</v>
      </c>
      <c r="B3173" t="s">
        <v>374</v>
      </c>
      <c r="C3173" t="s">
        <v>1656</v>
      </c>
      <c r="D3173" t="s">
        <v>2775</v>
      </c>
      <c r="E3173" t="s">
        <v>2776</v>
      </c>
      <c r="F3173" s="13">
        <v>44617.710474537038</v>
      </c>
      <c r="G3173" t="s">
        <v>2777</v>
      </c>
      <c r="H3173" t="s">
        <v>2778</v>
      </c>
      <c r="I3173" s="13">
        <v>45012.043993055559</v>
      </c>
      <c r="K3173" t="s">
        <v>415</v>
      </c>
      <c r="M3173" s="13">
        <v>44712</v>
      </c>
      <c r="R3173">
        <v>0</v>
      </c>
      <c r="S3173" t="s">
        <v>380</v>
      </c>
      <c r="T3173" t="s">
        <v>57</v>
      </c>
      <c r="V3173" t="s">
        <v>478</v>
      </c>
      <c r="W3173" t="s">
        <v>2779</v>
      </c>
      <c r="X3173" t="s">
        <v>2779</v>
      </c>
      <c r="AF3173" t="s">
        <v>451</v>
      </c>
      <c r="AI3173">
        <v>-300</v>
      </c>
      <c r="AL3173" t="s">
        <v>2087</v>
      </c>
      <c r="AN3173" t="s">
        <v>31</v>
      </c>
      <c r="AO3173">
        <v>0</v>
      </c>
      <c r="AS3173" t="s">
        <v>385</v>
      </c>
      <c r="AX3173" t="s">
        <v>31</v>
      </c>
      <c r="AY3173" t="s">
        <v>442</v>
      </c>
      <c r="AZ3173" t="s">
        <v>2780</v>
      </c>
      <c r="BF3173">
        <v>0</v>
      </c>
      <c r="BK3173" t="s">
        <v>31</v>
      </c>
      <c r="BS3173" t="s">
        <v>419</v>
      </c>
      <c r="BT3173" t="s">
        <v>419</v>
      </c>
      <c r="CI3173" t="s">
        <v>388</v>
      </c>
      <c r="CJ3173" s="14">
        <v>45016</v>
      </c>
      <c r="CK3173">
        <v>1</v>
      </c>
    </row>
    <row r="3174" spans="1:89">
      <c r="A3174" t="s">
        <v>1655</v>
      </c>
      <c r="B3174" t="s">
        <v>374</v>
      </c>
      <c r="C3174" t="s">
        <v>1656</v>
      </c>
      <c r="D3174" t="s">
        <v>2781</v>
      </c>
      <c r="E3174" t="s">
        <v>2782</v>
      </c>
      <c r="F3174" s="13">
        <v>44617.708194444444</v>
      </c>
      <c r="G3174" t="s">
        <v>2777</v>
      </c>
      <c r="H3174" t="s">
        <v>2778</v>
      </c>
      <c r="I3174" s="13">
        <v>45012.043993055559</v>
      </c>
      <c r="K3174" t="s">
        <v>415</v>
      </c>
      <c r="M3174" s="13">
        <v>44650</v>
      </c>
      <c r="R3174">
        <v>0</v>
      </c>
      <c r="S3174" t="s">
        <v>380</v>
      </c>
      <c r="T3174" t="s">
        <v>57</v>
      </c>
      <c r="V3174" t="s">
        <v>478</v>
      </c>
      <c r="W3174" t="s">
        <v>2783</v>
      </c>
      <c r="X3174" t="s">
        <v>2783</v>
      </c>
      <c r="AF3174" t="s">
        <v>451</v>
      </c>
      <c r="AI3174">
        <v>-362</v>
      </c>
      <c r="AL3174" t="s">
        <v>2087</v>
      </c>
      <c r="AN3174" t="s">
        <v>31</v>
      </c>
      <c r="AO3174">
        <v>0</v>
      </c>
      <c r="AS3174" t="s">
        <v>538</v>
      </c>
      <c r="AX3174" t="s">
        <v>57</v>
      </c>
      <c r="AY3174" t="s">
        <v>442</v>
      </c>
      <c r="AZ3174" t="s">
        <v>2784</v>
      </c>
      <c r="BF3174">
        <v>0</v>
      </c>
      <c r="BK3174" t="s">
        <v>31</v>
      </c>
      <c r="BS3174" t="s">
        <v>419</v>
      </c>
      <c r="BT3174" t="s">
        <v>419</v>
      </c>
      <c r="CI3174" t="s">
        <v>388</v>
      </c>
      <c r="CJ3174" s="14">
        <v>45016</v>
      </c>
      <c r="CK3174">
        <v>1</v>
      </c>
    </row>
    <row r="3175" spans="1:89">
      <c r="A3175" t="s">
        <v>1655</v>
      </c>
      <c r="B3175" t="s">
        <v>374</v>
      </c>
      <c r="C3175" t="s">
        <v>1656</v>
      </c>
      <c r="D3175" t="s">
        <v>2785</v>
      </c>
      <c r="E3175" t="s">
        <v>2786</v>
      </c>
      <c r="F3175" s="13">
        <v>44617.664571759262</v>
      </c>
      <c r="G3175" t="s">
        <v>2777</v>
      </c>
      <c r="H3175" t="s">
        <v>2778</v>
      </c>
      <c r="I3175" s="13">
        <v>45012.043993055559</v>
      </c>
      <c r="K3175" t="s">
        <v>415</v>
      </c>
      <c r="M3175" s="13">
        <v>44651</v>
      </c>
      <c r="R3175">
        <v>0</v>
      </c>
      <c r="S3175" t="s">
        <v>380</v>
      </c>
      <c r="T3175" t="s">
        <v>57</v>
      </c>
      <c r="V3175" t="s">
        <v>478</v>
      </c>
      <c r="W3175" t="s">
        <v>2787</v>
      </c>
      <c r="X3175" t="s">
        <v>2787</v>
      </c>
      <c r="AC3175" s="13">
        <v>44651</v>
      </c>
      <c r="AD3175" s="13">
        <v>44621</v>
      </c>
      <c r="AF3175" t="s">
        <v>451</v>
      </c>
      <c r="AI3175">
        <v>-361</v>
      </c>
      <c r="AL3175" t="s">
        <v>2788</v>
      </c>
      <c r="AN3175" t="s">
        <v>31</v>
      </c>
      <c r="AO3175">
        <v>0</v>
      </c>
      <c r="AS3175" t="s">
        <v>707</v>
      </c>
      <c r="AX3175" t="s">
        <v>31</v>
      </c>
      <c r="AY3175" t="s">
        <v>386</v>
      </c>
      <c r="AZ3175" t="s">
        <v>2789</v>
      </c>
      <c r="BE3175" t="s">
        <v>1404</v>
      </c>
      <c r="BF3175">
        <v>0</v>
      </c>
      <c r="BK3175" t="s">
        <v>31</v>
      </c>
      <c r="BS3175" t="s">
        <v>419</v>
      </c>
      <c r="BT3175" t="s">
        <v>419</v>
      </c>
      <c r="CI3175" t="s">
        <v>388</v>
      </c>
      <c r="CJ3175" s="14">
        <v>45016</v>
      </c>
      <c r="CK3175">
        <v>1</v>
      </c>
    </row>
    <row r="3176" spans="1:89">
      <c r="A3176" t="s">
        <v>2244</v>
      </c>
      <c r="B3176" t="s">
        <v>374</v>
      </c>
      <c r="C3176" t="s">
        <v>2245</v>
      </c>
      <c r="D3176" t="s">
        <v>2790</v>
      </c>
      <c r="E3176" t="s">
        <v>2791</v>
      </c>
      <c r="F3176" s="13">
        <v>44617.660416666666</v>
      </c>
      <c r="G3176" t="s">
        <v>2248</v>
      </c>
      <c r="H3176" t="s">
        <v>2249</v>
      </c>
      <c r="I3176" s="13">
        <v>45012.043981481482</v>
      </c>
      <c r="K3176" t="s">
        <v>415</v>
      </c>
      <c r="M3176" s="13">
        <v>44651</v>
      </c>
      <c r="R3176">
        <v>20</v>
      </c>
      <c r="S3176" t="s">
        <v>416</v>
      </c>
      <c r="T3176" t="s">
        <v>57</v>
      </c>
      <c r="V3176" t="s">
        <v>478</v>
      </c>
      <c r="W3176" t="s">
        <v>2792</v>
      </c>
      <c r="X3176" t="s">
        <v>2792</v>
      </c>
      <c r="AF3176" t="s">
        <v>1301</v>
      </c>
      <c r="AG3176" t="s">
        <v>2793</v>
      </c>
      <c r="AI3176">
        <v>-361</v>
      </c>
      <c r="AJ3176" s="13">
        <v>44742</v>
      </c>
      <c r="AL3176" t="s">
        <v>2794</v>
      </c>
      <c r="AN3176" t="s">
        <v>31</v>
      </c>
      <c r="AO3176">
        <v>0</v>
      </c>
      <c r="AR3176" t="s">
        <v>2795</v>
      </c>
      <c r="AS3176" t="s">
        <v>385</v>
      </c>
      <c r="AX3176" t="s">
        <v>31</v>
      </c>
      <c r="AY3176" t="s">
        <v>442</v>
      </c>
      <c r="AZ3176" t="s">
        <v>2796</v>
      </c>
      <c r="BF3176">
        <v>0</v>
      </c>
      <c r="BK3176" t="s">
        <v>31</v>
      </c>
      <c r="BS3176" t="s">
        <v>419</v>
      </c>
      <c r="BT3176" t="s">
        <v>419</v>
      </c>
      <c r="CI3176" t="s">
        <v>388</v>
      </c>
      <c r="CJ3176" s="14">
        <v>45016</v>
      </c>
      <c r="CK3176">
        <v>1</v>
      </c>
    </row>
    <row r="3177" spans="1:89">
      <c r="A3177" t="s">
        <v>2797</v>
      </c>
      <c r="B3177" t="s">
        <v>374</v>
      </c>
      <c r="C3177" t="s">
        <v>2798</v>
      </c>
      <c r="D3177" t="s">
        <v>2799</v>
      </c>
      <c r="E3177" t="s">
        <v>2800</v>
      </c>
      <c r="F3177" s="13">
        <v>44617.6562037037</v>
      </c>
      <c r="G3177" t="s">
        <v>2801</v>
      </c>
      <c r="H3177" t="s">
        <v>2802</v>
      </c>
      <c r="I3177" s="13">
        <v>45012.043981481482</v>
      </c>
      <c r="K3177" t="s">
        <v>415</v>
      </c>
      <c r="M3177" s="13">
        <v>44651</v>
      </c>
      <c r="R3177">
        <v>0</v>
      </c>
      <c r="S3177" t="s">
        <v>380</v>
      </c>
      <c r="T3177" t="s">
        <v>57</v>
      </c>
      <c r="V3177" t="s">
        <v>478</v>
      </c>
      <c r="W3177" t="s">
        <v>2803</v>
      </c>
      <c r="X3177" t="s">
        <v>2803</v>
      </c>
      <c r="AC3177" s="13">
        <v>44561</v>
      </c>
      <c r="AD3177" s="13">
        <v>44561</v>
      </c>
      <c r="AF3177" t="s">
        <v>451</v>
      </c>
      <c r="AI3177">
        <v>-361</v>
      </c>
      <c r="AL3177" t="s">
        <v>2804</v>
      </c>
      <c r="AN3177" t="s">
        <v>31</v>
      </c>
      <c r="AO3177">
        <v>0</v>
      </c>
      <c r="AS3177" t="s">
        <v>385</v>
      </c>
      <c r="AX3177" t="s">
        <v>31</v>
      </c>
      <c r="AY3177" t="s">
        <v>442</v>
      </c>
      <c r="AZ3177" t="s">
        <v>2805</v>
      </c>
      <c r="BF3177">
        <v>0</v>
      </c>
      <c r="BK3177" t="s">
        <v>31</v>
      </c>
      <c r="BS3177" t="s">
        <v>419</v>
      </c>
      <c r="BT3177" t="s">
        <v>419</v>
      </c>
      <c r="CI3177" t="s">
        <v>388</v>
      </c>
      <c r="CJ3177" s="14">
        <v>45016</v>
      </c>
      <c r="CK3177">
        <v>1</v>
      </c>
    </row>
    <row r="3178" spans="1:89">
      <c r="A3178" t="s">
        <v>2797</v>
      </c>
      <c r="B3178" t="s">
        <v>374</v>
      </c>
      <c r="C3178" t="s">
        <v>2798</v>
      </c>
      <c r="D3178" t="s">
        <v>2806</v>
      </c>
      <c r="E3178" t="s">
        <v>2807</v>
      </c>
      <c r="F3178" s="13">
        <v>44617.647881944446</v>
      </c>
      <c r="G3178" t="s">
        <v>2801</v>
      </c>
      <c r="H3178" t="s">
        <v>2802</v>
      </c>
      <c r="I3178" s="13">
        <v>45012.043981481482</v>
      </c>
      <c r="K3178" t="s">
        <v>415</v>
      </c>
      <c r="M3178" s="13">
        <v>44651</v>
      </c>
      <c r="R3178">
        <v>0</v>
      </c>
      <c r="S3178" t="s">
        <v>380</v>
      </c>
      <c r="T3178" t="s">
        <v>57</v>
      </c>
      <c r="V3178" t="s">
        <v>478</v>
      </c>
      <c r="W3178" t="s">
        <v>2808</v>
      </c>
      <c r="X3178" t="s">
        <v>2808</v>
      </c>
      <c r="AC3178" s="13">
        <v>44561</v>
      </c>
      <c r="AD3178" s="13">
        <v>44561</v>
      </c>
      <c r="AF3178" t="s">
        <v>451</v>
      </c>
      <c r="AI3178">
        <v>-361</v>
      </c>
      <c r="AL3178" t="s">
        <v>2809</v>
      </c>
      <c r="AN3178" t="s">
        <v>31</v>
      </c>
      <c r="AO3178">
        <v>0</v>
      </c>
      <c r="AS3178" t="s">
        <v>385</v>
      </c>
      <c r="AX3178" t="s">
        <v>31</v>
      </c>
      <c r="AY3178" t="s">
        <v>442</v>
      </c>
      <c r="AZ3178" t="s">
        <v>2810</v>
      </c>
      <c r="BF3178">
        <v>0</v>
      </c>
      <c r="BK3178" t="s">
        <v>31</v>
      </c>
      <c r="BS3178" t="s">
        <v>419</v>
      </c>
      <c r="BT3178" t="s">
        <v>419</v>
      </c>
      <c r="CI3178" t="s">
        <v>388</v>
      </c>
      <c r="CJ3178" s="14">
        <v>45016</v>
      </c>
      <c r="CK3178">
        <v>1</v>
      </c>
    </row>
    <row r="3179" spans="1:89">
      <c r="A3179" t="s">
        <v>2797</v>
      </c>
      <c r="B3179" t="s">
        <v>374</v>
      </c>
      <c r="C3179" t="s">
        <v>2798</v>
      </c>
      <c r="D3179" t="s">
        <v>2811</v>
      </c>
      <c r="E3179" t="s">
        <v>2812</v>
      </c>
      <c r="F3179" s="13">
        <v>44617.639062499999</v>
      </c>
      <c r="G3179" t="s">
        <v>2801</v>
      </c>
      <c r="H3179" t="s">
        <v>2802</v>
      </c>
      <c r="I3179" s="13">
        <v>45012.043969907405</v>
      </c>
      <c r="K3179" t="s">
        <v>415</v>
      </c>
      <c r="M3179" s="13">
        <v>44651</v>
      </c>
      <c r="R3179">
        <v>0</v>
      </c>
      <c r="S3179" t="s">
        <v>380</v>
      </c>
      <c r="T3179" t="s">
        <v>57</v>
      </c>
      <c r="V3179" t="s">
        <v>478</v>
      </c>
      <c r="W3179" t="s">
        <v>2808</v>
      </c>
      <c r="X3179" t="s">
        <v>2808</v>
      </c>
      <c r="AC3179" s="13">
        <v>44561</v>
      </c>
      <c r="AD3179" s="13">
        <v>44561</v>
      </c>
      <c r="AF3179" t="s">
        <v>451</v>
      </c>
      <c r="AI3179">
        <v>-361</v>
      </c>
      <c r="AL3179" t="s">
        <v>2813</v>
      </c>
      <c r="AN3179" t="s">
        <v>31</v>
      </c>
      <c r="AO3179">
        <v>0</v>
      </c>
      <c r="AS3179" t="s">
        <v>385</v>
      </c>
      <c r="AX3179" t="s">
        <v>31</v>
      </c>
      <c r="AY3179" t="s">
        <v>442</v>
      </c>
      <c r="AZ3179" t="s">
        <v>2814</v>
      </c>
      <c r="BF3179">
        <v>0</v>
      </c>
      <c r="BK3179" t="s">
        <v>31</v>
      </c>
      <c r="BS3179" t="s">
        <v>419</v>
      </c>
      <c r="BT3179" t="s">
        <v>419</v>
      </c>
      <c r="CI3179" t="s">
        <v>388</v>
      </c>
      <c r="CJ3179" s="14">
        <v>45016</v>
      </c>
      <c r="CK3179">
        <v>1</v>
      </c>
    </row>
    <row r="3180" spans="1:89">
      <c r="A3180" t="s">
        <v>2797</v>
      </c>
      <c r="B3180" t="s">
        <v>374</v>
      </c>
      <c r="C3180" t="s">
        <v>2798</v>
      </c>
      <c r="D3180" t="s">
        <v>2815</v>
      </c>
      <c r="E3180" t="s">
        <v>2816</v>
      </c>
      <c r="F3180" s="13">
        <v>44617.632407407407</v>
      </c>
      <c r="G3180" t="s">
        <v>2801</v>
      </c>
      <c r="H3180" t="s">
        <v>2802</v>
      </c>
      <c r="I3180" s="13">
        <v>45012.043969907405</v>
      </c>
      <c r="K3180" t="s">
        <v>415</v>
      </c>
      <c r="M3180" s="13">
        <v>44651</v>
      </c>
      <c r="R3180">
        <v>0</v>
      </c>
      <c r="S3180" t="s">
        <v>380</v>
      </c>
      <c r="T3180" t="s">
        <v>57</v>
      </c>
      <c r="V3180" t="s">
        <v>478</v>
      </c>
      <c r="W3180" t="s">
        <v>2817</v>
      </c>
      <c r="X3180" t="s">
        <v>2817</v>
      </c>
      <c r="AC3180" s="13">
        <v>44561</v>
      </c>
      <c r="AD3180" s="13">
        <v>44561</v>
      </c>
      <c r="AF3180" t="s">
        <v>451</v>
      </c>
      <c r="AI3180">
        <v>-361</v>
      </c>
      <c r="AL3180" t="s">
        <v>2818</v>
      </c>
      <c r="AN3180" t="s">
        <v>31</v>
      </c>
      <c r="AO3180">
        <v>0</v>
      </c>
      <c r="AS3180" t="s">
        <v>385</v>
      </c>
      <c r="AX3180" t="s">
        <v>31</v>
      </c>
      <c r="AY3180" t="s">
        <v>442</v>
      </c>
      <c r="AZ3180" t="s">
        <v>2819</v>
      </c>
      <c r="BF3180">
        <v>0</v>
      </c>
      <c r="BK3180" t="s">
        <v>31</v>
      </c>
      <c r="BS3180" t="s">
        <v>419</v>
      </c>
      <c r="BT3180" t="s">
        <v>419</v>
      </c>
      <c r="CI3180" t="s">
        <v>388</v>
      </c>
      <c r="CJ3180" s="14">
        <v>45016</v>
      </c>
      <c r="CK3180">
        <v>1</v>
      </c>
    </row>
    <row r="3181" spans="1:89">
      <c r="A3181" t="s">
        <v>1655</v>
      </c>
      <c r="B3181" t="s">
        <v>374</v>
      </c>
      <c r="C3181" t="s">
        <v>1656</v>
      </c>
      <c r="D3181" t="s">
        <v>2820</v>
      </c>
      <c r="E3181" t="s">
        <v>2821</v>
      </c>
      <c r="F3181" s="13">
        <v>44617.623391203706</v>
      </c>
      <c r="G3181" t="s">
        <v>2777</v>
      </c>
      <c r="H3181" t="s">
        <v>2778</v>
      </c>
      <c r="I3181" s="13">
        <v>45012.043969907405</v>
      </c>
      <c r="K3181" t="s">
        <v>415</v>
      </c>
      <c r="M3181" s="13">
        <v>44834</v>
      </c>
      <c r="R3181">
        <v>0</v>
      </c>
      <c r="S3181" t="s">
        <v>380</v>
      </c>
      <c r="T3181" t="s">
        <v>57</v>
      </c>
      <c r="V3181" t="s">
        <v>478</v>
      </c>
      <c r="W3181" t="s">
        <v>2822</v>
      </c>
      <c r="X3181" t="s">
        <v>2822</v>
      </c>
      <c r="AC3181" s="13">
        <v>44834</v>
      </c>
      <c r="AD3181" s="13">
        <v>44742</v>
      </c>
      <c r="AF3181" t="s">
        <v>451</v>
      </c>
      <c r="AI3181">
        <v>-178</v>
      </c>
      <c r="AL3181" t="s">
        <v>2823</v>
      </c>
      <c r="AN3181" t="s">
        <v>31</v>
      </c>
      <c r="AO3181">
        <v>0</v>
      </c>
      <c r="AS3181" t="s">
        <v>392</v>
      </c>
      <c r="AX3181" t="s">
        <v>31</v>
      </c>
      <c r="AY3181" t="s">
        <v>442</v>
      </c>
      <c r="AZ3181" t="s">
        <v>2824</v>
      </c>
      <c r="BE3181" t="s">
        <v>2825</v>
      </c>
      <c r="BF3181">
        <v>0</v>
      </c>
      <c r="BK3181" t="s">
        <v>31</v>
      </c>
      <c r="BS3181" t="s">
        <v>419</v>
      </c>
      <c r="BT3181" t="s">
        <v>419</v>
      </c>
      <c r="CI3181" t="s">
        <v>388</v>
      </c>
      <c r="CJ3181" s="14">
        <v>45016</v>
      </c>
      <c r="CK3181">
        <v>1</v>
      </c>
    </row>
    <row r="3182" spans="1:89">
      <c r="A3182" t="s">
        <v>2797</v>
      </c>
      <c r="B3182" t="s">
        <v>374</v>
      </c>
      <c r="C3182" t="s">
        <v>2798</v>
      </c>
      <c r="D3182" t="s">
        <v>2826</v>
      </c>
      <c r="E3182" t="s">
        <v>2827</v>
      </c>
      <c r="F3182" s="13">
        <v>44617.622337962966</v>
      </c>
      <c r="G3182" t="s">
        <v>2801</v>
      </c>
      <c r="H3182" t="s">
        <v>2802</v>
      </c>
      <c r="I3182" s="13">
        <v>45012.043958333335</v>
      </c>
      <c r="K3182" t="s">
        <v>415</v>
      </c>
      <c r="M3182" s="13">
        <v>44651</v>
      </c>
      <c r="R3182">
        <v>0</v>
      </c>
      <c r="S3182" t="s">
        <v>380</v>
      </c>
      <c r="T3182" t="s">
        <v>57</v>
      </c>
      <c r="V3182" t="s">
        <v>478</v>
      </c>
      <c r="W3182" t="s">
        <v>2828</v>
      </c>
      <c r="X3182" t="s">
        <v>2828</v>
      </c>
      <c r="AC3182" s="13">
        <v>44561</v>
      </c>
      <c r="AD3182" s="13">
        <v>44561</v>
      </c>
      <c r="AF3182" t="s">
        <v>451</v>
      </c>
      <c r="AI3182">
        <v>-361</v>
      </c>
      <c r="AL3182" t="s">
        <v>2829</v>
      </c>
      <c r="AN3182" t="s">
        <v>31</v>
      </c>
      <c r="AO3182">
        <v>0</v>
      </c>
      <c r="AS3182" t="s">
        <v>538</v>
      </c>
      <c r="AX3182" t="s">
        <v>31</v>
      </c>
      <c r="AY3182" t="s">
        <v>442</v>
      </c>
      <c r="AZ3182" t="s">
        <v>2830</v>
      </c>
      <c r="BF3182">
        <v>0</v>
      </c>
      <c r="BK3182" t="s">
        <v>31</v>
      </c>
      <c r="BS3182" t="s">
        <v>419</v>
      </c>
      <c r="BT3182" t="s">
        <v>419</v>
      </c>
      <c r="CI3182" t="s">
        <v>388</v>
      </c>
      <c r="CJ3182" s="14">
        <v>45016</v>
      </c>
      <c r="CK3182">
        <v>1</v>
      </c>
    </row>
    <row r="3183" spans="1:89">
      <c r="A3183" t="s">
        <v>2797</v>
      </c>
      <c r="B3183" t="s">
        <v>374</v>
      </c>
      <c r="C3183" t="s">
        <v>2798</v>
      </c>
      <c r="D3183" t="s">
        <v>2831</v>
      </c>
      <c r="E3183" t="s">
        <v>2832</v>
      </c>
      <c r="F3183" s="13">
        <v>44617.600289351853</v>
      </c>
      <c r="G3183" t="s">
        <v>2801</v>
      </c>
      <c r="H3183" t="s">
        <v>2802</v>
      </c>
      <c r="I3183" s="13">
        <v>45012.043958333335</v>
      </c>
      <c r="K3183" t="s">
        <v>415</v>
      </c>
      <c r="M3183" s="13">
        <v>44651</v>
      </c>
      <c r="R3183">
        <v>0</v>
      </c>
      <c r="S3183" t="s">
        <v>380</v>
      </c>
      <c r="T3183" t="s">
        <v>57</v>
      </c>
      <c r="V3183" t="s">
        <v>478</v>
      </c>
      <c r="W3183" t="s">
        <v>2828</v>
      </c>
      <c r="X3183" t="s">
        <v>2828</v>
      </c>
      <c r="AC3183" s="13">
        <v>44561</v>
      </c>
      <c r="AD3183" s="13">
        <v>44561</v>
      </c>
      <c r="AF3183" t="s">
        <v>451</v>
      </c>
      <c r="AI3183">
        <v>-361</v>
      </c>
      <c r="AL3183" t="s">
        <v>2833</v>
      </c>
      <c r="AN3183" t="s">
        <v>31</v>
      </c>
      <c r="AO3183">
        <v>0</v>
      </c>
      <c r="AS3183" t="s">
        <v>526</v>
      </c>
      <c r="AX3183" t="s">
        <v>31</v>
      </c>
      <c r="AY3183" t="s">
        <v>442</v>
      </c>
      <c r="AZ3183" t="s">
        <v>2834</v>
      </c>
      <c r="BF3183">
        <v>0</v>
      </c>
      <c r="BK3183" t="s">
        <v>31</v>
      </c>
      <c r="BS3183" t="s">
        <v>419</v>
      </c>
      <c r="BT3183" t="s">
        <v>419</v>
      </c>
      <c r="CI3183" t="s">
        <v>388</v>
      </c>
      <c r="CJ3183" s="14">
        <v>45016</v>
      </c>
      <c r="CK3183">
        <v>1</v>
      </c>
    </row>
    <row r="3184" spans="1:89">
      <c r="A3184" t="s">
        <v>2835</v>
      </c>
      <c r="B3184" t="s">
        <v>374</v>
      </c>
      <c r="C3184" t="s">
        <v>2836</v>
      </c>
      <c r="D3184" t="s">
        <v>2837</v>
      </c>
      <c r="E3184" t="s">
        <v>2838</v>
      </c>
      <c r="F3184" s="13">
        <v>44617.594618055555</v>
      </c>
      <c r="G3184" t="s">
        <v>2346</v>
      </c>
      <c r="H3184" t="s">
        <v>2347</v>
      </c>
      <c r="I3184" s="13">
        <v>45012.043958333335</v>
      </c>
      <c r="K3184" t="s">
        <v>415</v>
      </c>
      <c r="M3184" s="13">
        <v>44712</v>
      </c>
      <c r="R3184">
        <v>0</v>
      </c>
      <c r="S3184" t="s">
        <v>380</v>
      </c>
      <c r="T3184" t="s">
        <v>57</v>
      </c>
      <c r="V3184" t="s">
        <v>478</v>
      </c>
      <c r="W3184" t="s">
        <v>2839</v>
      </c>
      <c r="X3184" t="s">
        <v>2839</v>
      </c>
      <c r="AC3184" s="13">
        <v>44804</v>
      </c>
      <c r="AD3184" s="13">
        <v>44713</v>
      </c>
      <c r="AF3184" t="s">
        <v>451</v>
      </c>
      <c r="AI3184">
        <v>-300</v>
      </c>
      <c r="AL3184" t="s">
        <v>2840</v>
      </c>
      <c r="AN3184" t="s">
        <v>31</v>
      </c>
      <c r="AO3184">
        <v>0</v>
      </c>
      <c r="AS3184" t="s">
        <v>538</v>
      </c>
      <c r="AX3184" t="s">
        <v>57</v>
      </c>
      <c r="AY3184" t="s">
        <v>442</v>
      </c>
      <c r="AZ3184" t="s">
        <v>2841</v>
      </c>
      <c r="BE3184">
        <v>1</v>
      </c>
      <c r="BF3184">
        <v>0</v>
      </c>
      <c r="BK3184" t="s">
        <v>31</v>
      </c>
      <c r="BS3184" t="s">
        <v>419</v>
      </c>
      <c r="BT3184" t="s">
        <v>419</v>
      </c>
      <c r="CI3184" t="s">
        <v>388</v>
      </c>
      <c r="CJ3184" s="14">
        <v>45016</v>
      </c>
      <c r="CK3184">
        <v>1</v>
      </c>
    </row>
    <row r="3185" spans="1:89">
      <c r="A3185" t="s">
        <v>2565</v>
      </c>
      <c r="B3185" t="s">
        <v>374</v>
      </c>
      <c r="C3185" t="s">
        <v>2566</v>
      </c>
      <c r="D3185" t="s">
        <v>2842</v>
      </c>
      <c r="E3185" t="s">
        <v>2843</v>
      </c>
      <c r="F3185" s="13">
        <v>44617.567407407405</v>
      </c>
      <c r="G3185" t="s">
        <v>2149</v>
      </c>
      <c r="H3185" t="s">
        <v>2150</v>
      </c>
      <c r="I3185" s="13">
        <v>45012.043958333335</v>
      </c>
      <c r="K3185" t="s">
        <v>415</v>
      </c>
      <c r="M3185" s="13">
        <v>44644</v>
      </c>
      <c r="R3185">
        <v>0</v>
      </c>
      <c r="S3185" t="s">
        <v>380</v>
      </c>
      <c r="T3185" t="s">
        <v>57</v>
      </c>
      <c r="V3185" t="s">
        <v>478</v>
      </c>
      <c r="W3185" t="s">
        <v>2844</v>
      </c>
      <c r="X3185" t="s">
        <v>2844</v>
      </c>
      <c r="AC3185" s="13">
        <v>44200</v>
      </c>
      <c r="AD3185" s="13">
        <v>44197</v>
      </c>
      <c r="AF3185" t="s">
        <v>451</v>
      </c>
      <c r="AI3185">
        <v>-368</v>
      </c>
      <c r="AL3185" t="s">
        <v>2845</v>
      </c>
      <c r="AN3185" t="s">
        <v>31</v>
      </c>
      <c r="AO3185">
        <v>0</v>
      </c>
      <c r="AS3185" t="s">
        <v>385</v>
      </c>
      <c r="AX3185" t="s">
        <v>31</v>
      </c>
      <c r="AY3185" t="s">
        <v>442</v>
      </c>
      <c r="AZ3185" t="s">
        <v>2846</v>
      </c>
      <c r="BE3185" t="s">
        <v>2847</v>
      </c>
      <c r="BF3185">
        <v>0</v>
      </c>
      <c r="BK3185" t="s">
        <v>31</v>
      </c>
      <c r="BS3185" t="s">
        <v>419</v>
      </c>
      <c r="BT3185" t="s">
        <v>419</v>
      </c>
      <c r="CI3185" t="s">
        <v>388</v>
      </c>
      <c r="CJ3185" s="14">
        <v>45016</v>
      </c>
      <c r="CK3185">
        <v>1</v>
      </c>
    </row>
    <row r="3186" spans="1:89">
      <c r="A3186" t="s">
        <v>2848</v>
      </c>
      <c r="B3186" t="s">
        <v>374</v>
      </c>
      <c r="C3186" t="s">
        <v>2849</v>
      </c>
      <c r="D3186" t="s">
        <v>2850</v>
      </c>
      <c r="E3186" t="s">
        <v>2851</v>
      </c>
      <c r="F3186" s="13">
        <v>44617.556516203702</v>
      </c>
      <c r="G3186" t="s">
        <v>1591</v>
      </c>
      <c r="H3186" t="s">
        <v>1592</v>
      </c>
      <c r="I3186" s="13">
        <v>44617.561053240737</v>
      </c>
      <c r="K3186" t="s">
        <v>412</v>
      </c>
      <c r="R3186">
        <v>0</v>
      </c>
      <c r="S3186" t="s">
        <v>380</v>
      </c>
      <c r="T3186" t="s">
        <v>57</v>
      </c>
      <c r="V3186" t="s">
        <v>381</v>
      </c>
      <c r="W3186" t="s">
        <v>2852</v>
      </c>
      <c r="X3186" t="s">
        <v>2852</v>
      </c>
      <c r="AC3186" s="13">
        <v>44696</v>
      </c>
      <c r="AD3186" s="13">
        <v>44607</v>
      </c>
      <c r="AI3186">
        <v>79</v>
      </c>
      <c r="AL3186" t="s">
        <v>2853</v>
      </c>
      <c r="AN3186" t="s">
        <v>31</v>
      </c>
      <c r="AO3186">
        <v>0</v>
      </c>
      <c r="AS3186" t="s">
        <v>702</v>
      </c>
      <c r="AX3186" t="s">
        <v>57</v>
      </c>
      <c r="AY3186" t="s">
        <v>386</v>
      </c>
      <c r="AZ3186" t="s">
        <v>2854</v>
      </c>
      <c r="BE3186" t="s">
        <v>2855</v>
      </c>
      <c r="BF3186">
        <v>0</v>
      </c>
      <c r="BK3186" t="s">
        <v>31</v>
      </c>
      <c r="BS3186" t="s">
        <v>412</v>
      </c>
      <c r="BT3186" t="s">
        <v>412</v>
      </c>
      <c r="CI3186" t="s">
        <v>388</v>
      </c>
      <c r="CJ3186" s="14">
        <v>45016</v>
      </c>
      <c r="CK3186">
        <v>1</v>
      </c>
    </row>
    <row r="3187" spans="1:89">
      <c r="A3187" t="s">
        <v>1655</v>
      </c>
      <c r="B3187" t="s">
        <v>374</v>
      </c>
      <c r="C3187" t="s">
        <v>1656</v>
      </c>
      <c r="D3187" t="s">
        <v>2856</v>
      </c>
      <c r="E3187" t="s">
        <v>2857</v>
      </c>
      <c r="F3187" s="13">
        <v>44617.521863425929</v>
      </c>
      <c r="G3187" t="s">
        <v>2777</v>
      </c>
      <c r="H3187" t="s">
        <v>2778</v>
      </c>
      <c r="I3187" s="13">
        <v>45012.043946759259</v>
      </c>
      <c r="K3187" t="s">
        <v>415</v>
      </c>
      <c r="M3187" s="13">
        <v>44680</v>
      </c>
      <c r="R3187">
        <v>0</v>
      </c>
      <c r="S3187" t="s">
        <v>380</v>
      </c>
      <c r="T3187" t="s">
        <v>57</v>
      </c>
      <c r="V3187" t="s">
        <v>478</v>
      </c>
      <c r="W3187" t="s">
        <v>1661</v>
      </c>
      <c r="X3187" t="s">
        <v>1661</v>
      </c>
      <c r="AC3187" s="13">
        <v>44680</v>
      </c>
      <c r="AD3187" s="13">
        <v>44592</v>
      </c>
      <c r="AF3187" t="s">
        <v>451</v>
      </c>
      <c r="AI3187">
        <v>-332</v>
      </c>
      <c r="AL3187" t="s">
        <v>2858</v>
      </c>
      <c r="AN3187" t="s">
        <v>31</v>
      </c>
      <c r="AO3187">
        <v>0</v>
      </c>
      <c r="AS3187" t="s">
        <v>385</v>
      </c>
      <c r="AX3187" t="s">
        <v>31</v>
      </c>
      <c r="AY3187" t="s">
        <v>442</v>
      </c>
      <c r="AZ3187" t="s">
        <v>2859</v>
      </c>
      <c r="BF3187">
        <v>0</v>
      </c>
      <c r="BK3187" t="s">
        <v>31</v>
      </c>
      <c r="BS3187" t="s">
        <v>419</v>
      </c>
      <c r="BT3187" t="s">
        <v>419</v>
      </c>
      <c r="CI3187" t="s">
        <v>388</v>
      </c>
      <c r="CJ3187" s="14">
        <v>45016</v>
      </c>
      <c r="CK3187">
        <v>1</v>
      </c>
    </row>
    <row r="3188" spans="1:89">
      <c r="A3188" t="s">
        <v>1655</v>
      </c>
      <c r="B3188" t="s">
        <v>374</v>
      </c>
      <c r="C3188" t="s">
        <v>1656</v>
      </c>
      <c r="D3188" t="s">
        <v>2860</v>
      </c>
      <c r="E3188" t="s">
        <v>2861</v>
      </c>
      <c r="F3188" s="13">
        <v>44617.51635416667</v>
      </c>
      <c r="G3188" t="s">
        <v>2777</v>
      </c>
      <c r="H3188" t="s">
        <v>2778</v>
      </c>
      <c r="I3188" s="13">
        <v>45012.043946759259</v>
      </c>
      <c r="K3188" t="s">
        <v>415</v>
      </c>
      <c r="M3188" s="13">
        <v>44834</v>
      </c>
      <c r="R3188">
        <v>0</v>
      </c>
      <c r="S3188" t="s">
        <v>380</v>
      </c>
      <c r="T3188" t="s">
        <v>57</v>
      </c>
      <c r="V3188" t="s">
        <v>478</v>
      </c>
      <c r="W3188" t="s">
        <v>1661</v>
      </c>
      <c r="X3188" t="s">
        <v>1661</v>
      </c>
      <c r="AC3188" s="13">
        <v>44834</v>
      </c>
      <c r="AD3188" s="13">
        <v>44285</v>
      </c>
      <c r="AF3188" t="s">
        <v>451</v>
      </c>
      <c r="AI3188">
        <v>-178</v>
      </c>
      <c r="AL3188" t="s">
        <v>2858</v>
      </c>
      <c r="AN3188" t="s">
        <v>31</v>
      </c>
      <c r="AO3188">
        <v>0</v>
      </c>
      <c r="AS3188" t="s">
        <v>385</v>
      </c>
      <c r="AX3188" t="s">
        <v>31</v>
      </c>
      <c r="AY3188" t="s">
        <v>442</v>
      </c>
      <c r="AZ3188" t="s">
        <v>1663</v>
      </c>
      <c r="BE3188" t="s">
        <v>2862</v>
      </c>
      <c r="BF3188">
        <v>0</v>
      </c>
      <c r="BK3188" t="s">
        <v>31</v>
      </c>
      <c r="BS3188" t="s">
        <v>419</v>
      </c>
      <c r="BT3188" t="s">
        <v>419</v>
      </c>
      <c r="CI3188" t="s">
        <v>388</v>
      </c>
      <c r="CJ3188" s="14">
        <v>45016</v>
      </c>
      <c r="CK3188">
        <v>1</v>
      </c>
    </row>
    <row r="3189" spans="1:89">
      <c r="A3189" t="s">
        <v>1655</v>
      </c>
      <c r="B3189" t="s">
        <v>374</v>
      </c>
      <c r="C3189" t="s">
        <v>1656</v>
      </c>
      <c r="D3189" t="s">
        <v>2863</v>
      </c>
      <c r="E3189" t="s">
        <v>2864</v>
      </c>
      <c r="F3189" s="13">
        <v>44617.509722222225</v>
      </c>
      <c r="G3189" t="s">
        <v>2777</v>
      </c>
      <c r="H3189" t="s">
        <v>2778</v>
      </c>
      <c r="I3189" s="13">
        <v>45012.043946759259</v>
      </c>
      <c r="K3189" t="s">
        <v>415</v>
      </c>
      <c r="M3189" s="13">
        <v>44834</v>
      </c>
      <c r="R3189">
        <v>0</v>
      </c>
      <c r="S3189" t="s">
        <v>380</v>
      </c>
      <c r="T3189" t="s">
        <v>57</v>
      </c>
      <c r="V3189" t="s">
        <v>478</v>
      </c>
      <c r="W3189" t="s">
        <v>1661</v>
      </c>
      <c r="X3189" t="s">
        <v>1661</v>
      </c>
      <c r="AC3189" s="13">
        <v>44834</v>
      </c>
      <c r="AD3189" s="13">
        <v>44603</v>
      </c>
      <c r="AF3189" t="s">
        <v>451</v>
      </c>
      <c r="AI3189">
        <v>-178</v>
      </c>
      <c r="AL3189" t="s">
        <v>2858</v>
      </c>
      <c r="AN3189" t="s">
        <v>31</v>
      </c>
      <c r="AO3189">
        <v>0</v>
      </c>
      <c r="AS3189" t="s">
        <v>385</v>
      </c>
      <c r="AX3189" t="s">
        <v>31</v>
      </c>
      <c r="AY3189" t="s">
        <v>442</v>
      </c>
      <c r="AZ3189" t="s">
        <v>1666</v>
      </c>
      <c r="BF3189">
        <v>0</v>
      </c>
      <c r="BK3189" t="s">
        <v>31</v>
      </c>
      <c r="BS3189" t="s">
        <v>419</v>
      </c>
      <c r="BT3189" t="s">
        <v>419</v>
      </c>
      <c r="CI3189" t="s">
        <v>388</v>
      </c>
      <c r="CJ3189" s="14">
        <v>45016</v>
      </c>
      <c r="CK3189">
        <v>1</v>
      </c>
    </row>
    <row r="3190" spans="1:89">
      <c r="A3190" t="s">
        <v>1655</v>
      </c>
      <c r="B3190" t="s">
        <v>374</v>
      </c>
      <c r="C3190" t="s">
        <v>1656</v>
      </c>
      <c r="D3190" t="s">
        <v>2865</v>
      </c>
      <c r="E3190" t="s">
        <v>2866</v>
      </c>
      <c r="F3190" s="13">
        <v>44617.461516203701</v>
      </c>
      <c r="G3190" t="s">
        <v>2777</v>
      </c>
      <c r="H3190" t="s">
        <v>2778</v>
      </c>
      <c r="I3190" s="13">
        <v>45012.043935185182</v>
      </c>
      <c r="K3190" t="s">
        <v>415</v>
      </c>
      <c r="M3190" s="13">
        <v>44650</v>
      </c>
      <c r="R3190">
        <v>100</v>
      </c>
      <c r="S3190" t="s">
        <v>380</v>
      </c>
      <c r="T3190" t="s">
        <v>57</v>
      </c>
      <c r="V3190" t="s">
        <v>478</v>
      </c>
      <c r="W3190" t="s">
        <v>1661</v>
      </c>
      <c r="X3190" t="s">
        <v>1661</v>
      </c>
      <c r="AB3190" t="s">
        <v>57</v>
      </c>
      <c r="AC3190" s="13">
        <v>44650</v>
      </c>
      <c r="AD3190" s="13">
        <v>44501</v>
      </c>
      <c r="AF3190" t="s">
        <v>382</v>
      </c>
      <c r="AG3190" t="s">
        <v>2867</v>
      </c>
      <c r="AI3190">
        <v>-362</v>
      </c>
      <c r="AJ3190" s="13">
        <v>44651</v>
      </c>
      <c r="AL3190" t="s">
        <v>1670</v>
      </c>
      <c r="AN3190" t="s">
        <v>31</v>
      </c>
      <c r="AO3190">
        <v>0</v>
      </c>
      <c r="AR3190" t="s">
        <v>2868</v>
      </c>
      <c r="AS3190" t="s">
        <v>385</v>
      </c>
      <c r="AX3190" t="s">
        <v>31</v>
      </c>
      <c r="AY3190" t="s">
        <v>442</v>
      </c>
      <c r="AZ3190" t="s">
        <v>2869</v>
      </c>
      <c r="BE3190" t="s">
        <v>2870</v>
      </c>
      <c r="BF3190">
        <v>0</v>
      </c>
      <c r="BK3190" t="s">
        <v>31</v>
      </c>
      <c r="BS3190" t="s">
        <v>1201</v>
      </c>
      <c r="BT3190" t="s">
        <v>1202</v>
      </c>
      <c r="CI3190" t="s">
        <v>388</v>
      </c>
      <c r="CJ3190" s="14">
        <v>45016</v>
      </c>
      <c r="CK3190">
        <v>1</v>
      </c>
    </row>
    <row r="3191" spans="1:89">
      <c r="A3191" t="s">
        <v>1655</v>
      </c>
      <c r="B3191" t="s">
        <v>374</v>
      </c>
      <c r="C3191" t="s">
        <v>1656</v>
      </c>
      <c r="D3191" t="s">
        <v>2871</v>
      </c>
      <c r="E3191" t="s">
        <v>2872</v>
      </c>
      <c r="F3191" s="13">
        <v>44617.375555555554</v>
      </c>
      <c r="G3191" t="s">
        <v>2777</v>
      </c>
      <c r="H3191" t="s">
        <v>2778</v>
      </c>
      <c r="I3191" s="13">
        <v>44617.375555555554</v>
      </c>
      <c r="K3191" t="s">
        <v>412</v>
      </c>
      <c r="R3191">
        <v>0</v>
      </c>
      <c r="S3191" t="s">
        <v>380</v>
      </c>
      <c r="V3191" t="s">
        <v>381</v>
      </c>
      <c r="W3191" t="s">
        <v>1661</v>
      </c>
      <c r="X3191" t="s">
        <v>1661</v>
      </c>
      <c r="AI3191">
        <v>217</v>
      </c>
      <c r="AL3191" t="s">
        <v>2873</v>
      </c>
      <c r="AN3191" t="s">
        <v>31</v>
      </c>
      <c r="AO3191">
        <v>0</v>
      </c>
      <c r="AZ3191" t="s">
        <v>2874</v>
      </c>
      <c r="BF3191">
        <v>0</v>
      </c>
      <c r="BK3191" t="s">
        <v>31</v>
      </c>
      <c r="BS3191" t="s">
        <v>412</v>
      </c>
      <c r="BT3191" t="s">
        <v>412</v>
      </c>
      <c r="CI3191" t="s">
        <v>388</v>
      </c>
      <c r="CJ3191" s="14">
        <v>45016</v>
      </c>
      <c r="CK3191">
        <v>1</v>
      </c>
    </row>
    <row r="3192" spans="1:89">
      <c r="A3192" t="s">
        <v>1655</v>
      </c>
      <c r="B3192" t="s">
        <v>374</v>
      </c>
      <c r="C3192" t="s">
        <v>1656</v>
      </c>
      <c r="D3192" t="s">
        <v>2875</v>
      </c>
      <c r="E3192" t="s">
        <v>2876</v>
      </c>
      <c r="F3192" s="13">
        <v>44617.365335648145</v>
      </c>
      <c r="G3192" t="s">
        <v>2777</v>
      </c>
      <c r="H3192" t="s">
        <v>2778</v>
      </c>
      <c r="I3192" s="13">
        <v>45012.043935185182</v>
      </c>
      <c r="K3192" t="s">
        <v>415</v>
      </c>
      <c r="M3192" s="13">
        <v>44834</v>
      </c>
      <c r="R3192">
        <v>0</v>
      </c>
      <c r="S3192" t="s">
        <v>380</v>
      </c>
      <c r="T3192" t="s">
        <v>57</v>
      </c>
      <c r="V3192" t="s">
        <v>478</v>
      </c>
      <c r="W3192" t="s">
        <v>1661</v>
      </c>
      <c r="X3192" t="s">
        <v>1661</v>
      </c>
      <c r="AC3192" s="13">
        <v>44742</v>
      </c>
      <c r="AD3192" s="13">
        <v>44286</v>
      </c>
      <c r="AF3192" t="s">
        <v>451</v>
      </c>
      <c r="AI3192">
        <v>-178</v>
      </c>
      <c r="AL3192" t="s">
        <v>2858</v>
      </c>
      <c r="AN3192" t="s">
        <v>31</v>
      </c>
      <c r="AO3192">
        <v>0</v>
      </c>
      <c r="AS3192" t="s">
        <v>385</v>
      </c>
      <c r="AX3192" t="s">
        <v>31</v>
      </c>
      <c r="AY3192" t="s">
        <v>442</v>
      </c>
      <c r="AZ3192" t="s">
        <v>2877</v>
      </c>
      <c r="BE3192" t="s">
        <v>2862</v>
      </c>
      <c r="BF3192">
        <v>0</v>
      </c>
      <c r="BK3192" t="s">
        <v>31</v>
      </c>
      <c r="BS3192" t="s">
        <v>419</v>
      </c>
      <c r="BT3192" t="s">
        <v>419</v>
      </c>
      <c r="CI3192" t="s">
        <v>388</v>
      </c>
      <c r="CJ3192" s="14">
        <v>45016</v>
      </c>
      <c r="CK3192">
        <v>1</v>
      </c>
    </row>
    <row r="3193" spans="1:89">
      <c r="A3193" t="s">
        <v>2096</v>
      </c>
      <c r="B3193" t="s">
        <v>374</v>
      </c>
      <c r="C3193" t="s">
        <v>2097</v>
      </c>
      <c r="D3193" t="s">
        <v>2878</v>
      </c>
      <c r="E3193" t="s">
        <v>2879</v>
      </c>
      <c r="F3193" s="13">
        <v>44617.175486111111</v>
      </c>
      <c r="G3193" t="s">
        <v>2100</v>
      </c>
      <c r="H3193" t="s">
        <v>2101</v>
      </c>
      <c r="I3193" s="13">
        <v>45012.043935185182</v>
      </c>
      <c r="K3193" t="s">
        <v>415</v>
      </c>
      <c r="M3193" s="13">
        <v>44652</v>
      </c>
      <c r="R3193">
        <v>0</v>
      </c>
      <c r="S3193" t="s">
        <v>380</v>
      </c>
      <c r="T3193" t="s">
        <v>57</v>
      </c>
      <c r="V3193" t="s">
        <v>478</v>
      </c>
      <c r="W3193" t="s">
        <v>2187</v>
      </c>
      <c r="X3193" t="s">
        <v>2187</v>
      </c>
      <c r="AC3193" s="13">
        <v>44652</v>
      </c>
      <c r="AD3193" s="13">
        <v>44652</v>
      </c>
      <c r="AF3193" t="s">
        <v>451</v>
      </c>
      <c r="AG3193" t="s">
        <v>2880</v>
      </c>
      <c r="AI3193">
        <v>-360</v>
      </c>
      <c r="AL3193" t="s">
        <v>2881</v>
      </c>
      <c r="AN3193" t="s">
        <v>31</v>
      </c>
      <c r="AO3193">
        <v>0</v>
      </c>
      <c r="AS3193" t="s">
        <v>707</v>
      </c>
      <c r="AX3193" t="s">
        <v>57</v>
      </c>
      <c r="AY3193" t="s">
        <v>386</v>
      </c>
      <c r="AZ3193" t="s">
        <v>2882</v>
      </c>
      <c r="BE3193" t="s">
        <v>2883</v>
      </c>
      <c r="BF3193">
        <v>0</v>
      </c>
      <c r="BK3193" t="s">
        <v>31</v>
      </c>
      <c r="BS3193" t="s">
        <v>419</v>
      </c>
      <c r="BT3193" t="s">
        <v>419</v>
      </c>
      <c r="CI3193" t="s">
        <v>388</v>
      </c>
      <c r="CJ3193" s="14">
        <v>45016</v>
      </c>
      <c r="CK3193">
        <v>1</v>
      </c>
    </row>
    <row r="3194" spans="1:89">
      <c r="A3194" t="s">
        <v>2096</v>
      </c>
      <c r="B3194" t="s">
        <v>374</v>
      </c>
      <c r="C3194" t="s">
        <v>2097</v>
      </c>
      <c r="D3194" t="s">
        <v>2884</v>
      </c>
      <c r="E3194" t="s">
        <v>2885</v>
      </c>
      <c r="F3194" s="13">
        <v>44616.942627314813</v>
      </c>
      <c r="G3194" t="s">
        <v>2100</v>
      </c>
      <c r="H3194" t="s">
        <v>2101</v>
      </c>
      <c r="I3194" s="13">
        <v>45012.043935185182</v>
      </c>
      <c r="K3194" t="s">
        <v>415</v>
      </c>
      <c r="M3194" s="13">
        <v>44681</v>
      </c>
      <c r="R3194">
        <v>0</v>
      </c>
      <c r="S3194" t="s">
        <v>380</v>
      </c>
      <c r="T3194" t="s">
        <v>57</v>
      </c>
      <c r="V3194" t="s">
        <v>478</v>
      </c>
      <c r="W3194" t="s">
        <v>2187</v>
      </c>
      <c r="X3194" t="s">
        <v>2187</v>
      </c>
      <c r="AC3194" s="13">
        <v>44681</v>
      </c>
      <c r="AD3194" s="13">
        <v>44681</v>
      </c>
      <c r="AF3194" t="s">
        <v>451</v>
      </c>
      <c r="AI3194">
        <v>-331</v>
      </c>
      <c r="AL3194" t="s">
        <v>2886</v>
      </c>
      <c r="AN3194" t="s">
        <v>31</v>
      </c>
      <c r="AO3194">
        <v>0</v>
      </c>
      <c r="AS3194" t="s">
        <v>385</v>
      </c>
      <c r="AX3194" t="s">
        <v>57</v>
      </c>
      <c r="AY3194" t="s">
        <v>386</v>
      </c>
      <c r="AZ3194" t="s">
        <v>2887</v>
      </c>
      <c r="BF3194">
        <v>0</v>
      </c>
      <c r="BK3194" t="s">
        <v>31</v>
      </c>
      <c r="BS3194" t="s">
        <v>419</v>
      </c>
      <c r="BT3194" t="s">
        <v>419</v>
      </c>
      <c r="CI3194" t="s">
        <v>388</v>
      </c>
      <c r="CJ3194" s="14">
        <v>45016</v>
      </c>
      <c r="CK3194">
        <v>1</v>
      </c>
    </row>
    <row r="3195" spans="1:89">
      <c r="A3195" t="s">
        <v>2096</v>
      </c>
      <c r="B3195" t="s">
        <v>374</v>
      </c>
      <c r="C3195" t="s">
        <v>2097</v>
      </c>
      <c r="D3195" t="s">
        <v>2888</v>
      </c>
      <c r="E3195" t="s">
        <v>2889</v>
      </c>
      <c r="F3195" s="13">
        <v>44616.702905092592</v>
      </c>
      <c r="G3195" t="s">
        <v>2890</v>
      </c>
      <c r="H3195" t="s">
        <v>2891</v>
      </c>
      <c r="I3195" s="13">
        <v>45012.043923611112</v>
      </c>
      <c r="K3195" t="s">
        <v>415</v>
      </c>
      <c r="M3195" s="13">
        <v>44681</v>
      </c>
      <c r="R3195">
        <v>0</v>
      </c>
      <c r="S3195" t="s">
        <v>380</v>
      </c>
      <c r="T3195" t="s">
        <v>57</v>
      </c>
      <c r="V3195" t="s">
        <v>478</v>
      </c>
      <c r="W3195" t="s">
        <v>2187</v>
      </c>
      <c r="X3195" t="s">
        <v>2187</v>
      </c>
      <c r="AC3195" s="13">
        <v>44681</v>
      </c>
      <c r="AD3195" s="13">
        <v>44681</v>
      </c>
      <c r="AF3195" t="s">
        <v>451</v>
      </c>
      <c r="AI3195">
        <v>-331</v>
      </c>
      <c r="AL3195" t="s">
        <v>2892</v>
      </c>
      <c r="AN3195" t="s">
        <v>31</v>
      </c>
      <c r="AO3195">
        <v>0</v>
      </c>
      <c r="AS3195" t="s">
        <v>385</v>
      </c>
      <c r="AX3195" t="s">
        <v>57</v>
      </c>
      <c r="AY3195" t="s">
        <v>386</v>
      </c>
      <c r="AZ3195" t="s">
        <v>2893</v>
      </c>
      <c r="BF3195">
        <v>0</v>
      </c>
      <c r="BK3195" t="s">
        <v>31</v>
      </c>
      <c r="BS3195" t="s">
        <v>419</v>
      </c>
      <c r="BT3195" t="s">
        <v>419</v>
      </c>
      <c r="CI3195" t="s">
        <v>388</v>
      </c>
      <c r="CJ3195" s="14">
        <v>45016</v>
      </c>
      <c r="CK3195">
        <v>1</v>
      </c>
    </row>
    <row r="3196" spans="1:89">
      <c r="A3196" t="s">
        <v>2096</v>
      </c>
      <c r="B3196" t="s">
        <v>374</v>
      </c>
      <c r="C3196" t="s">
        <v>2097</v>
      </c>
      <c r="D3196" t="s">
        <v>2894</v>
      </c>
      <c r="E3196" t="s">
        <v>2895</v>
      </c>
      <c r="F3196" s="13">
        <v>44616.699675925927</v>
      </c>
      <c r="G3196" t="s">
        <v>2890</v>
      </c>
      <c r="H3196" t="s">
        <v>2891</v>
      </c>
      <c r="I3196" s="13">
        <v>45012.043923611112</v>
      </c>
      <c r="K3196" t="s">
        <v>415</v>
      </c>
      <c r="M3196" s="13">
        <v>44670</v>
      </c>
      <c r="R3196">
        <v>0</v>
      </c>
      <c r="S3196" t="s">
        <v>380</v>
      </c>
      <c r="T3196" t="s">
        <v>57</v>
      </c>
      <c r="V3196" t="s">
        <v>478</v>
      </c>
      <c r="W3196" t="s">
        <v>2187</v>
      </c>
      <c r="X3196" t="s">
        <v>2187</v>
      </c>
      <c r="AC3196" s="13">
        <v>44670</v>
      </c>
      <c r="AD3196" s="13">
        <v>44670</v>
      </c>
      <c r="AF3196" t="s">
        <v>451</v>
      </c>
      <c r="AI3196">
        <v>-342</v>
      </c>
      <c r="AL3196" t="s">
        <v>2896</v>
      </c>
      <c r="AN3196" t="s">
        <v>31</v>
      </c>
      <c r="AO3196">
        <v>0</v>
      </c>
      <c r="AS3196" t="s">
        <v>385</v>
      </c>
      <c r="AX3196" t="s">
        <v>57</v>
      </c>
      <c r="AY3196" t="s">
        <v>386</v>
      </c>
      <c r="AZ3196" t="s">
        <v>2897</v>
      </c>
      <c r="BF3196">
        <v>0</v>
      </c>
      <c r="BK3196" t="s">
        <v>31</v>
      </c>
      <c r="BS3196" t="s">
        <v>419</v>
      </c>
      <c r="BT3196" t="s">
        <v>419</v>
      </c>
      <c r="CI3196" t="s">
        <v>388</v>
      </c>
      <c r="CJ3196" s="14">
        <v>45016</v>
      </c>
      <c r="CK3196">
        <v>1</v>
      </c>
    </row>
    <row r="3197" spans="1:89">
      <c r="A3197" t="s">
        <v>2096</v>
      </c>
      <c r="B3197" t="s">
        <v>374</v>
      </c>
      <c r="C3197" t="s">
        <v>2097</v>
      </c>
      <c r="D3197" t="s">
        <v>2898</v>
      </c>
      <c r="E3197" t="s">
        <v>2885</v>
      </c>
      <c r="F3197" s="13">
        <v>44616.621458333335</v>
      </c>
      <c r="G3197" t="s">
        <v>2100</v>
      </c>
      <c r="H3197" t="s">
        <v>2101</v>
      </c>
      <c r="I3197" s="13">
        <v>44616.961493055554</v>
      </c>
      <c r="K3197" t="s">
        <v>409</v>
      </c>
      <c r="R3197">
        <v>0</v>
      </c>
      <c r="S3197" t="s">
        <v>380</v>
      </c>
      <c r="T3197" t="s">
        <v>57</v>
      </c>
      <c r="V3197" t="s">
        <v>381</v>
      </c>
      <c r="W3197" t="s">
        <v>2102</v>
      </c>
      <c r="X3197" t="s">
        <v>2102</v>
      </c>
      <c r="AC3197" s="13">
        <v>44681</v>
      </c>
      <c r="AD3197" s="13">
        <v>44681</v>
      </c>
      <c r="AI3197">
        <v>65</v>
      </c>
      <c r="AL3197" t="s">
        <v>2886</v>
      </c>
      <c r="AN3197" t="s">
        <v>31</v>
      </c>
      <c r="AO3197">
        <v>0</v>
      </c>
      <c r="AS3197" t="s">
        <v>385</v>
      </c>
      <c r="AX3197" t="s">
        <v>57</v>
      </c>
      <c r="AY3197" t="s">
        <v>386</v>
      </c>
      <c r="AZ3197" t="s">
        <v>2899</v>
      </c>
      <c r="BF3197">
        <v>0</v>
      </c>
      <c r="BK3197" t="s">
        <v>31</v>
      </c>
      <c r="BS3197" t="s">
        <v>409</v>
      </c>
      <c r="BT3197" t="s">
        <v>409</v>
      </c>
      <c r="CI3197" t="s">
        <v>388</v>
      </c>
      <c r="CJ3197" s="14">
        <v>45016</v>
      </c>
      <c r="CK3197">
        <v>1</v>
      </c>
    </row>
    <row r="3198" spans="1:89">
      <c r="A3198" t="s">
        <v>2096</v>
      </c>
      <c r="B3198" t="s">
        <v>374</v>
      </c>
      <c r="C3198" t="s">
        <v>2097</v>
      </c>
      <c r="D3198" t="s">
        <v>2900</v>
      </c>
      <c r="E3198" t="s">
        <v>2885</v>
      </c>
      <c r="F3198" s="13">
        <v>44616.610451388886</v>
      </c>
      <c r="G3198" t="s">
        <v>2100</v>
      </c>
      <c r="H3198" t="s">
        <v>2101</v>
      </c>
      <c r="I3198" s="13">
        <v>44616.624664351853</v>
      </c>
      <c r="K3198" t="s">
        <v>409</v>
      </c>
      <c r="R3198">
        <v>0</v>
      </c>
      <c r="S3198" t="s">
        <v>380</v>
      </c>
      <c r="T3198" t="s">
        <v>57</v>
      </c>
      <c r="V3198" t="s">
        <v>381</v>
      </c>
      <c r="W3198" t="s">
        <v>2187</v>
      </c>
      <c r="X3198" t="s">
        <v>2187</v>
      </c>
      <c r="AC3198" s="13">
        <v>44681</v>
      </c>
      <c r="AD3198" s="13">
        <v>44681</v>
      </c>
      <c r="AI3198">
        <v>65</v>
      </c>
      <c r="AL3198" t="s">
        <v>2886</v>
      </c>
      <c r="AN3198" t="s">
        <v>31</v>
      </c>
      <c r="AO3198">
        <v>0</v>
      </c>
      <c r="AS3198" t="s">
        <v>526</v>
      </c>
      <c r="AX3198" t="s">
        <v>57</v>
      </c>
      <c r="AY3198" t="s">
        <v>386</v>
      </c>
      <c r="AZ3198" t="s">
        <v>2901</v>
      </c>
      <c r="BE3198" t="s">
        <v>2902</v>
      </c>
      <c r="BF3198">
        <v>0</v>
      </c>
      <c r="BK3198" t="s">
        <v>31</v>
      </c>
      <c r="BS3198" t="s">
        <v>409</v>
      </c>
      <c r="BT3198" t="s">
        <v>409</v>
      </c>
      <c r="CI3198" t="s">
        <v>388</v>
      </c>
      <c r="CJ3198" s="14">
        <v>45016</v>
      </c>
      <c r="CK3198">
        <v>1</v>
      </c>
    </row>
    <row r="3199" spans="1:89">
      <c r="A3199" t="s">
        <v>2096</v>
      </c>
      <c r="B3199" t="s">
        <v>374</v>
      </c>
      <c r="C3199" t="s">
        <v>2097</v>
      </c>
      <c r="D3199" t="s">
        <v>2903</v>
      </c>
      <c r="E3199" t="s">
        <v>2904</v>
      </c>
      <c r="F3199" s="13">
        <v>44616.601666666669</v>
      </c>
      <c r="G3199" t="s">
        <v>2100</v>
      </c>
      <c r="H3199" t="s">
        <v>2101</v>
      </c>
      <c r="I3199" s="13">
        <v>45012.043923611112</v>
      </c>
      <c r="K3199" t="s">
        <v>415</v>
      </c>
      <c r="M3199" s="13">
        <v>44804</v>
      </c>
      <c r="R3199">
        <v>0</v>
      </c>
      <c r="S3199" t="s">
        <v>380</v>
      </c>
      <c r="T3199" t="s">
        <v>57</v>
      </c>
      <c r="V3199" t="s">
        <v>478</v>
      </c>
      <c r="W3199" t="s">
        <v>2187</v>
      </c>
      <c r="X3199" t="s">
        <v>2187</v>
      </c>
      <c r="AC3199" s="13">
        <v>44804</v>
      </c>
      <c r="AD3199" s="13">
        <v>44804</v>
      </c>
      <c r="AF3199" t="s">
        <v>451</v>
      </c>
      <c r="AI3199">
        <v>-208</v>
      </c>
      <c r="AL3199" t="s">
        <v>2905</v>
      </c>
      <c r="AN3199" t="s">
        <v>31</v>
      </c>
      <c r="AO3199">
        <v>0</v>
      </c>
      <c r="AS3199" t="s">
        <v>385</v>
      </c>
      <c r="AX3199" t="s">
        <v>57</v>
      </c>
      <c r="AY3199" t="s">
        <v>386</v>
      </c>
      <c r="AZ3199" t="s">
        <v>2906</v>
      </c>
      <c r="BE3199" t="s">
        <v>2907</v>
      </c>
      <c r="BF3199">
        <v>0</v>
      </c>
      <c r="BK3199" t="s">
        <v>31</v>
      </c>
      <c r="BS3199" t="s">
        <v>419</v>
      </c>
      <c r="BT3199" t="s">
        <v>419</v>
      </c>
      <c r="CI3199" t="s">
        <v>388</v>
      </c>
      <c r="CJ3199" s="14">
        <v>45016</v>
      </c>
      <c r="CK3199">
        <v>1</v>
      </c>
    </row>
    <row r="3200" spans="1:89">
      <c r="A3200" t="s">
        <v>2096</v>
      </c>
      <c r="B3200" t="s">
        <v>374</v>
      </c>
      <c r="C3200" t="s">
        <v>2097</v>
      </c>
      <c r="D3200" t="s">
        <v>2908</v>
      </c>
      <c r="E3200" t="s">
        <v>2909</v>
      </c>
      <c r="F3200" s="13">
        <v>44616.578009259261</v>
      </c>
      <c r="G3200" t="s">
        <v>2100</v>
      </c>
      <c r="H3200" t="s">
        <v>2101</v>
      </c>
      <c r="I3200" s="13">
        <v>45012.043912037036</v>
      </c>
      <c r="K3200" t="s">
        <v>415</v>
      </c>
      <c r="M3200" s="13">
        <v>44650</v>
      </c>
      <c r="R3200">
        <v>0</v>
      </c>
      <c r="S3200" t="s">
        <v>380</v>
      </c>
      <c r="T3200" t="s">
        <v>57</v>
      </c>
      <c r="V3200" t="s">
        <v>478</v>
      </c>
      <c r="W3200" t="s">
        <v>2187</v>
      </c>
      <c r="X3200" t="s">
        <v>2187</v>
      </c>
      <c r="AC3200" s="13">
        <v>44650</v>
      </c>
      <c r="AD3200" s="13">
        <v>44650</v>
      </c>
      <c r="AF3200" t="s">
        <v>451</v>
      </c>
      <c r="AI3200">
        <v>-362</v>
      </c>
      <c r="AL3200" t="s">
        <v>2910</v>
      </c>
      <c r="AN3200" t="s">
        <v>31</v>
      </c>
      <c r="AO3200">
        <v>0</v>
      </c>
      <c r="AS3200" t="s">
        <v>385</v>
      </c>
      <c r="AX3200" t="s">
        <v>57</v>
      </c>
      <c r="AY3200" t="s">
        <v>386</v>
      </c>
      <c r="AZ3200" t="s">
        <v>2911</v>
      </c>
      <c r="BE3200" t="s">
        <v>2912</v>
      </c>
      <c r="BF3200">
        <v>0</v>
      </c>
      <c r="BK3200" t="s">
        <v>31</v>
      </c>
      <c r="BS3200" t="s">
        <v>419</v>
      </c>
      <c r="BT3200" t="s">
        <v>419</v>
      </c>
      <c r="CI3200" t="s">
        <v>388</v>
      </c>
      <c r="CJ3200" s="14">
        <v>45016</v>
      </c>
      <c r="CK3200">
        <v>1</v>
      </c>
    </row>
    <row r="3201" spans="1:89">
      <c r="A3201" t="s">
        <v>2096</v>
      </c>
      <c r="B3201" t="s">
        <v>374</v>
      </c>
      <c r="C3201" t="s">
        <v>2097</v>
      </c>
      <c r="D3201" t="s">
        <v>2913</v>
      </c>
      <c r="E3201" t="s">
        <v>2914</v>
      </c>
      <c r="F3201" s="13">
        <v>44616.562928240739</v>
      </c>
      <c r="G3201" t="s">
        <v>2100</v>
      </c>
      <c r="H3201" t="s">
        <v>2101</v>
      </c>
      <c r="I3201" s="13">
        <v>45012.043912037036</v>
      </c>
      <c r="K3201" t="s">
        <v>415</v>
      </c>
      <c r="M3201" s="13">
        <v>44681</v>
      </c>
      <c r="R3201">
        <v>0</v>
      </c>
      <c r="S3201" t="s">
        <v>380</v>
      </c>
      <c r="T3201" t="s">
        <v>57</v>
      </c>
      <c r="V3201" t="s">
        <v>478</v>
      </c>
      <c r="W3201" t="s">
        <v>2187</v>
      </c>
      <c r="X3201" t="s">
        <v>2187</v>
      </c>
      <c r="AC3201" s="13">
        <v>44681</v>
      </c>
      <c r="AD3201" s="13">
        <v>44681</v>
      </c>
      <c r="AF3201" t="s">
        <v>451</v>
      </c>
      <c r="AI3201">
        <v>-331</v>
      </c>
      <c r="AL3201" t="s">
        <v>2915</v>
      </c>
      <c r="AN3201" t="s">
        <v>31</v>
      </c>
      <c r="AO3201">
        <v>0</v>
      </c>
      <c r="AS3201" t="s">
        <v>392</v>
      </c>
      <c r="AX3201" t="s">
        <v>57</v>
      </c>
      <c r="AY3201" t="s">
        <v>386</v>
      </c>
      <c r="AZ3201" t="s">
        <v>2916</v>
      </c>
      <c r="BE3201" t="s">
        <v>2917</v>
      </c>
      <c r="BF3201">
        <v>0</v>
      </c>
      <c r="BK3201" t="s">
        <v>31</v>
      </c>
      <c r="BS3201" t="s">
        <v>419</v>
      </c>
      <c r="BT3201" t="s">
        <v>419</v>
      </c>
      <c r="CI3201" t="s">
        <v>388</v>
      </c>
      <c r="CJ3201" s="14">
        <v>45016</v>
      </c>
      <c r="CK3201">
        <v>1</v>
      </c>
    </row>
    <row r="3202" spans="1:89">
      <c r="A3202" t="s">
        <v>2096</v>
      </c>
      <c r="B3202" t="s">
        <v>374</v>
      </c>
      <c r="C3202" t="s">
        <v>2097</v>
      </c>
      <c r="D3202" t="s">
        <v>2918</v>
      </c>
      <c r="E3202" t="s">
        <v>2919</v>
      </c>
      <c r="F3202" s="13">
        <v>44616.48945601852</v>
      </c>
      <c r="G3202" t="s">
        <v>2890</v>
      </c>
      <c r="H3202" t="s">
        <v>2891</v>
      </c>
      <c r="I3202" s="13">
        <v>45012.043912037036</v>
      </c>
      <c r="K3202" t="s">
        <v>415</v>
      </c>
      <c r="M3202" s="13">
        <v>44742</v>
      </c>
      <c r="R3202">
        <v>0</v>
      </c>
      <c r="S3202" t="s">
        <v>380</v>
      </c>
      <c r="T3202" t="s">
        <v>57</v>
      </c>
      <c r="V3202" t="s">
        <v>478</v>
      </c>
      <c r="W3202" t="s">
        <v>2187</v>
      </c>
      <c r="X3202" t="s">
        <v>2187</v>
      </c>
      <c r="AC3202" s="13">
        <v>44742</v>
      </c>
      <c r="AD3202" s="13">
        <v>44742</v>
      </c>
      <c r="AF3202" t="s">
        <v>451</v>
      </c>
      <c r="AI3202">
        <v>-270</v>
      </c>
      <c r="AL3202" t="s">
        <v>2920</v>
      </c>
      <c r="AN3202" t="s">
        <v>31</v>
      </c>
      <c r="AO3202">
        <v>0</v>
      </c>
      <c r="AS3202" t="s">
        <v>385</v>
      </c>
      <c r="AX3202" t="s">
        <v>57</v>
      </c>
      <c r="AY3202" t="s">
        <v>386</v>
      </c>
      <c r="AZ3202" t="s">
        <v>2921</v>
      </c>
      <c r="BE3202">
        <v>51</v>
      </c>
      <c r="BF3202">
        <v>0</v>
      </c>
      <c r="BK3202" t="s">
        <v>31</v>
      </c>
      <c r="BS3202" t="s">
        <v>419</v>
      </c>
      <c r="BT3202" t="s">
        <v>419</v>
      </c>
      <c r="CI3202" t="s">
        <v>388</v>
      </c>
      <c r="CJ3202" s="14">
        <v>45016</v>
      </c>
      <c r="CK3202">
        <v>1</v>
      </c>
    </row>
    <row r="3203" spans="1:89">
      <c r="A3203" t="s">
        <v>1497</v>
      </c>
      <c r="B3203" t="s">
        <v>374</v>
      </c>
      <c r="C3203" t="s">
        <v>1498</v>
      </c>
      <c r="D3203" t="s">
        <v>2922</v>
      </c>
      <c r="E3203" t="s">
        <v>2923</v>
      </c>
      <c r="F3203" s="13">
        <v>44616.414131944446</v>
      </c>
      <c r="G3203" t="s">
        <v>1501</v>
      </c>
      <c r="H3203" t="s">
        <v>1502</v>
      </c>
      <c r="I3203" s="13">
        <v>44616.415370370371</v>
      </c>
      <c r="K3203" t="s">
        <v>412</v>
      </c>
      <c r="R3203">
        <v>0</v>
      </c>
      <c r="S3203" t="s">
        <v>416</v>
      </c>
      <c r="T3203" t="s">
        <v>57</v>
      </c>
      <c r="V3203" t="s">
        <v>381</v>
      </c>
      <c r="W3203" t="s">
        <v>2924</v>
      </c>
      <c r="X3203" t="s">
        <v>2924</v>
      </c>
      <c r="AI3203">
        <v>85</v>
      </c>
      <c r="AL3203" t="s">
        <v>2925</v>
      </c>
      <c r="AN3203" t="s">
        <v>31</v>
      </c>
      <c r="AO3203">
        <v>0</v>
      </c>
      <c r="AS3203" t="s">
        <v>392</v>
      </c>
      <c r="AX3203" t="s">
        <v>57</v>
      </c>
      <c r="AY3203" t="s">
        <v>442</v>
      </c>
      <c r="AZ3203" t="s">
        <v>2926</v>
      </c>
      <c r="BF3203">
        <v>0</v>
      </c>
      <c r="BK3203" t="s">
        <v>31</v>
      </c>
      <c r="BS3203" t="s">
        <v>412</v>
      </c>
      <c r="BT3203" t="s">
        <v>412</v>
      </c>
      <c r="CI3203" t="s">
        <v>388</v>
      </c>
      <c r="CJ3203" s="14">
        <v>45016</v>
      </c>
      <c r="CK3203">
        <v>1</v>
      </c>
    </row>
    <row r="3204" spans="1:89">
      <c r="A3204" t="s">
        <v>2927</v>
      </c>
      <c r="B3204" t="s">
        <v>374</v>
      </c>
      <c r="C3204" t="s">
        <v>2928</v>
      </c>
      <c r="D3204" t="s">
        <v>2929</v>
      </c>
      <c r="E3204" t="s">
        <v>2930</v>
      </c>
      <c r="F3204" s="13">
        <v>44616.411134259259</v>
      </c>
      <c r="G3204" t="s">
        <v>2931</v>
      </c>
      <c r="H3204" t="s">
        <v>2932</v>
      </c>
      <c r="I3204" s="13">
        <v>45012.043900462966</v>
      </c>
      <c r="K3204" t="s">
        <v>415</v>
      </c>
      <c r="M3204" s="13">
        <v>44620</v>
      </c>
      <c r="R3204">
        <v>100</v>
      </c>
      <c r="S3204" t="s">
        <v>380</v>
      </c>
      <c r="T3204" t="s">
        <v>57</v>
      </c>
      <c r="V3204" t="s">
        <v>478</v>
      </c>
      <c r="W3204" t="s">
        <v>2933</v>
      </c>
      <c r="X3204" t="s">
        <v>2933</v>
      </c>
      <c r="AB3204" t="s">
        <v>57</v>
      </c>
      <c r="AF3204" t="s">
        <v>382</v>
      </c>
      <c r="AG3204" t="s">
        <v>2934</v>
      </c>
      <c r="AI3204">
        <v>-392</v>
      </c>
      <c r="AJ3204" s="13">
        <v>44651</v>
      </c>
      <c r="AL3204" t="s">
        <v>2935</v>
      </c>
      <c r="AN3204" t="s">
        <v>31</v>
      </c>
      <c r="AO3204">
        <v>0</v>
      </c>
      <c r="AR3204" t="s">
        <v>2936</v>
      </c>
      <c r="AS3204" t="s">
        <v>385</v>
      </c>
      <c r="AX3204" t="s">
        <v>31</v>
      </c>
      <c r="AY3204" t="s">
        <v>386</v>
      </c>
      <c r="AZ3204" t="s">
        <v>2937</v>
      </c>
      <c r="BC3204" t="s">
        <v>480</v>
      </c>
      <c r="BD3204" t="s">
        <v>2938</v>
      </c>
      <c r="BE3204" t="s">
        <v>2939</v>
      </c>
      <c r="BF3204">
        <v>0</v>
      </c>
      <c r="BK3204" t="s">
        <v>31</v>
      </c>
      <c r="BS3204" t="s">
        <v>2940</v>
      </c>
      <c r="BT3204" t="s">
        <v>2941</v>
      </c>
      <c r="CI3204" t="s">
        <v>388</v>
      </c>
      <c r="CJ3204" s="14">
        <v>45016</v>
      </c>
      <c r="CK3204">
        <v>1</v>
      </c>
    </row>
    <row r="3205" spans="1:89">
      <c r="A3205" t="s">
        <v>2927</v>
      </c>
      <c r="B3205" t="s">
        <v>374</v>
      </c>
      <c r="C3205" t="s">
        <v>2928</v>
      </c>
      <c r="D3205" t="s">
        <v>2942</v>
      </c>
      <c r="E3205" t="s">
        <v>2943</v>
      </c>
      <c r="F3205" s="13">
        <v>44616.397766203707</v>
      </c>
      <c r="G3205" t="s">
        <v>2931</v>
      </c>
      <c r="H3205" t="s">
        <v>2932</v>
      </c>
      <c r="I3205" s="13">
        <v>45012.043900462966</v>
      </c>
      <c r="K3205" t="s">
        <v>415</v>
      </c>
      <c r="M3205" s="13">
        <v>44681</v>
      </c>
      <c r="R3205">
        <v>80</v>
      </c>
      <c r="S3205" t="s">
        <v>416</v>
      </c>
      <c r="T3205" t="s">
        <v>57</v>
      </c>
      <c r="V3205" t="s">
        <v>478</v>
      </c>
      <c r="W3205" t="s">
        <v>2944</v>
      </c>
      <c r="X3205" t="s">
        <v>2944</v>
      </c>
      <c r="AF3205" t="s">
        <v>451</v>
      </c>
      <c r="AG3205" t="s">
        <v>2945</v>
      </c>
      <c r="AI3205">
        <v>-331</v>
      </c>
      <c r="AL3205" t="s">
        <v>2946</v>
      </c>
      <c r="AN3205" t="s">
        <v>31</v>
      </c>
      <c r="AO3205">
        <v>0</v>
      </c>
      <c r="AS3205" t="s">
        <v>385</v>
      </c>
      <c r="AX3205" t="s">
        <v>31</v>
      </c>
      <c r="AY3205" t="s">
        <v>442</v>
      </c>
      <c r="AZ3205" t="s">
        <v>2947</v>
      </c>
      <c r="BF3205">
        <v>0</v>
      </c>
      <c r="BK3205" t="s">
        <v>31</v>
      </c>
      <c r="BS3205" t="s">
        <v>419</v>
      </c>
      <c r="BT3205" t="s">
        <v>419</v>
      </c>
      <c r="CI3205" t="s">
        <v>388</v>
      </c>
      <c r="CJ3205" s="14">
        <v>45016</v>
      </c>
      <c r="CK3205">
        <v>1</v>
      </c>
    </row>
    <row r="3206" spans="1:89">
      <c r="A3206" t="s">
        <v>2444</v>
      </c>
      <c r="B3206" t="s">
        <v>374</v>
      </c>
      <c r="C3206" t="s">
        <v>2445</v>
      </c>
      <c r="D3206" t="s">
        <v>2948</v>
      </c>
      <c r="E3206" t="s">
        <v>2949</v>
      </c>
      <c r="F3206" s="13">
        <v>44616.393055555556</v>
      </c>
      <c r="G3206" t="s">
        <v>1526</v>
      </c>
      <c r="H3206" t="s">
        <v>1527</v>
      </c>
      <c r="I3206" s="13">
        <v>44616.39403935185</v>
      </c>
      <c r="K3206" t="s">
        <v>412</v>
      </c>
      <c r="R3206">
        <v>0</v>
      </c>
      <c r="S3206" t="s">
        <v>380</v>
      </c>
      <c r="T3206" t="s">
        <v>57</v>
      </c>
      <c r="V3206" t="s">
        <v>381</v>
      </c>
      <c r="W3206" t="s">
        <v>2950</v>
      </c>
      <c r="X3206" t="s">
        <v>2950</v>
      </c>
      <c r="AC3206" s="13">
        <v>44666</v>
      </c>
      <c r="AD3206" s="13">
        <v>44666</v>
      </c>
      <c r="AI3206">
        <v>50</v>
      </c>
      <c r="AL3206" t="s">
        <v>2951</v>
      </c>
      <c r="AN3206" t="s">
        <v>31</v>
      </c>
      <c r="AO3206">
        <v>0</v>
      </c>
      <c r="AS3206" t="s">
        <v>648</v>
      </c>
      <c r="AX3206" t="s">
        <v>31</v>
      </c>
      <c r="AY3206" t="s">
        <v>386</v>
      </c>
      <c r="AZ3206" t="s">
        <v>2952</v>
      </c>
      <c r="BF3206">
        <v>0</v>
      </c>
      <c r="BK3206" t="s">
        <v>31</v>
      </c>
      <c r="BS3206" t="s">
        <v>412</v>
      </c>
      <c r="BT3206" t="s">
        <v>412</v>
      </c>
      <c r="CI3206" t="s">
        <v>388</v>
      </c>
      <c r="CJ3206" s="14">
        <v>45016</v>
      </c>
      <c r="CK3206">
        <v>1</v>
      </c>
    </row>
    <row r="3207" spans="1:89">
      <c r="A3207" t="s">
        <v>2096</v>
      </c>
      <c r="B3207" t="s">
        <v>374</v>
      </c>
      <c r="C3207" t="s">
        <v>2097</v>
      </c>
      <c r="D3207" t="s">
        <v>2953</v>
      </c>
      <c r="E3207" t="s">
        <v>2954</v>
      </c>
      <c r="F3207" s="13">
        <v>44616.369745370372</v>
      </c>
      <c r="G3207" t="s">
        <v>2890</v>
      </c>
      <c r="H3207" t="s">
        <v>2891</v>
      </c>
      <c r="I3207" s="13">
        <v>45012.043900462966</v>
      </c>
      <c r="K3207" t="s">
        <v>415</v>
      </c>
      <c r="M3207" s="13">
        <v>44727</v>
      </c>
      <c r="R3207">
        <v>0</v>
      </c>
      <c r="S3207" t="s">
        <v>380</v>
      </c>
      <c r="T3207" t="s">
        <v>57</v>
      </c>
      <c r="V3207" t="s">
        <v>478</v>
      </c>
      <c r="W3207" t="s">
        <v>2955</v>
      </c>
      <c r="X3207" t="s">
        <v>2955</v>
      </c>
      <c r="AC3207" s="13">
        <v>44727</v>
      </c>
      <c r="AD3207" s="13">
        <v>44727</v>
      </c>
      <c r="AF3207" t="s">
        <v>451</v>
      </c>
      <c r="AI3207">
        <v>-285</v>
      </c>
      <c r="AL3207" t="s">
        <v>2956</v>
      </c>
      <c r="AN3207" t="s">
        <v>31</v>
      </c>
      <c r="AO3207">
        <v>0</v>
      </c>
      <c r="AS3207" t="s">
        <v>385</v>
      </c>
      <c r="AX3207" t="s">
        <v>57</v>
      </c>
      <c r="AY3207" t="s">
        <v>386</v>
      </c>
      <c r="AZ3207" t="s">
        <v>2957</v>
      </c>
      <c r="BE3207" t="s">
        <v>2958</v>
      </c>
      <c r="BF3207">
        <v>0</v>
      </c>
      <c r="BK3207" t="s">
        <v>31</v>
      </c>
      <c r="BS3207" t="s">
        <v>419</v>
      </c>
      <c r="BT3207" t="s">
        <v>419</v>
      </c>
      <c r="CI3207" t="s">
        <v>388</v>
      </c>
      <c r="CJ3207" s="14">
        <v>45016</v>
      </c>
      <c r="CK3207">
        <v>1</v>
      </c>
    </row>
    <row r="3208" spans="1:89">
      <c r="A3208" t="s">
        <v>2444</v>
      </c>
      <c r="B3208" t="s">
        <v>374</v>
      </c>
      <c r="C3208" t="s">
        <v>2445</v>
      </c>
      <c r="D3208" t="s">
        <v>2959</v>
      </c>
      <c r="E3208" t="s">
        <v>2960</v>
      </c>
      <c r="F3208" s="13">
        <v>44616.349143518521</v>
      </c>
      <c r="G3208" t="s">
        <v>1526</v>
      </c>
      <c r="H3208" t="s">
        <v>1527</v>
      </c>
      <c r="I3208" s="13">
        <v>44616.349733796298</v>
      </c>
      <c r="K3208" t="s">
        <v>412</v>
      </c>
      <c r="R3208">
        <v>0</v>
      </c>
      <c r="S3208" t="s">
        <v>416</v>
      </c>
      <c r="T3208" t="s">
        <v>57</v>
      </c>
      <c r="V3208" t="s">
        <v>381</v>
      </c>
      <c r="W3208" t="s">
        <v>2961</v>
      </c>
      <c r="X3208" t="s">
        <v>2961</v>
      </c>
      <c r="AI3208">
        <v>19</v>
      </c>
      <c r="AL3208" t="s">
        <v>2962</v>
      </c>
      <c r="AN3208" t="s">
        <v>31</v>
      </c>
      <c r="AO3208">
        <v>0</v>
      </c>
      <c r="AS3208" t="s">
        <v>538</v>
      </c>
      <c r="AX3208" t="s">
        <v>31</v>
      </c>
      <c r="AY3208" t="s">
        <v>442</v>
      </c>
      <c r="AZ3208" t="s">
        <v>2963</v>
      </c>
      <c r="BF3208">
        <v>0</v>
      </c>
      <c r="BK3208" t="s">
        <v>31</v>
      </c>
      <c r="BS3208" t="s">
        <v>412</v>
      </c>
      <c r="BT3208" t="s">
        <v>412</v>
      </c>
      <c r="CI3208" t="s">
        <v>388</v>
      </c>
      <c r="CJ3208" s="14">
        <v>45016</v>
      </c>
      <c r="CK3208">
        <v>1</v>
      </c>
    </row>
    <row r="3209" spans="1:89">
      <c r="A3209" t="s">
        <v>2444</v>
      </c>
      <c r="B3209" t="s">
        <v>374</v>
      </c>
      <c r="C3209" t="s">
        <v>2445</v>
      </c>
      <c r="D3209" t="s">
        <v>2964</v>
      </c>
      <c r="E3209" t="s">
        <v>2965</v>
      </c>
      <c r="F3209" s="13">
        <v>44616.346770833334</v>
      </c>
      <c r="G3209" t="s">
        <v>1526</v>
      </c>
      <c r="H3209" t="s">
        <v>1527</v>
      </c>
      <c r="I3209" s="13">
        <v>44616.34752314815</v>
      </c>
      <c r="K3209" t="s">
        <v>412</v>
      </c>
      <c r="R3209">
        <v>0</v>
      </c>
      <c r="S3209" t="s">
        <v>380</v>
      </c>
      <c r="T3209" t="s">
        <v>57</v>
      </c>
      <c r="V3209" t="s">
        <v>381</v>
      </c>
      <c r="W3209" t="s">
        <v>2961</v>
      </c>
      <c r="X3209" t="s">
        <v>2961</v>
      </c>
      <c r="AI3209">
        <v>110</v>
      </c>
      <c r="AL3209" t="s">
        <v>2962</v>
      </c>
      <c r="AN3209" t="s">
        <v>31</v>
      </c>
      <c r="AO3209">
        <v>0</v>
      </c>
      <c r="AS3209" t="s">
        <v>538</v>
      </c>
      <c r="AX3209" t="s">
        <v>31</v>
      </c>
      <c r="AY3209" t="s">
        <v>442</v>
      </c>
      <c r="AZ3209" t="s">
        <v>2963</v>
      </c>
      <c r="BF3209">
        <v>0</v>
      </c>
      <c r="BK3209" t="s">
        <v>31</v>
      </c>
      <c r="BS3209" t="s">
        <v>412</v>
      </c>
      <c r="BT3209" t="s">
        <v>412</v>
      </c>
      <c r="CI3209" t="s">
        <v>388</v>
      </c>
      <c r="CJ3209" s="14">
        <v>45016</v>
      </c>
      <c r="CK3209">
        <v>1</v>
      </c>
    </row>
    <row r="3210" spans="1:89">
      <c r="A3210" t="s">
        <v>2096</v>
      </c>
      <c r="B3210" t="s">
        <v>374</v>
      </c>
      <c r="C3210" t="s">
        <v>2097</v>
      </c>
      <c r="D3210" t="s">
        <v>2966</v>
      </c>
      <c r="E3210" t="s">
        <v>2967</v>
      </c>
      <c r="F3210" s="13">
        <v>44616.334548611114</v>
      </c>
      <c r="G3210" t="s">
        <v>2890</v>
      </c>
      <c r="H3210" t="s">
        <v>2891</v>
      </c>
      <c r="I3210" s="13">
        <v>44616.341724537036</v>
      </c>
      <c r="K3210" t="s">
        <v>409</v>
      </c>
      <c r="R3210">
        <v>0</v>
      </c>
      <c r="S3210" t="s">
        <v>380</v>
      </c>
      <c r="T3210" t="s">
        <v>57</v>
      </c>
      <c r="V3210" t="s">
        <v>381</v>
      </c>
      <c r="W3210" t="s">
        <v>2955</v>
      </c>
      <c r="X3210" t="s">
        <v>2955</v>
      </c>
      <c r="AC3210" s="13">
        <v>44727</v>
      </c>
      <c r="AD3210" s="13">
        <v>44727</v>
      </c>
      <c r="AI3210">
        <v>111</v>
      </c>
      <c r="AL3210" t="s">
        <v>2968</v>
      </c>
      <c r="AN3210" t="s">
        <v>31</v>
      </c>
      <c r="AO3210">
        <v>0</v>
      </c>
      <c r="AS3210" t="s">
        <v>385</v>
      </c>
      <c r="AX3210" t="s">
        <v>57</v>
      </c>
      <c r="AY3210" t="s">
        <v>386</v>
      </c>
      <c r="AZ3210" t="s">
        <v>2957</v>
      </c>
      <c r="BE3210" t="s">
        <v>2958</v>
      </c>
      <c r="BF3210">
        <v>0</v>
      </c>
      <c r="BK3210" t="s">
        <v>31</v>
      </c>
      <c r="BS3210" t="s">
        <v>409</v>
      </c>
      <c r="BT3210" t="s">
        <v>409</v>
      </c>
      <c r="CI3210" t="s">
        <v>388</v>
      </c>
      <c r="CJ3210" s="14">
        <v>45016</v>
      </c>
      <c r="CK3210">
        <v>1</v>
      </c>
    </row>
    <row r="3211" spans="1:89">
      <c r="A3211" t="s">
        <v>2444</v>
      </c>
      <c r="B3211" t="s">
        <v>374</v>
      </c>
      <c r="C3211" t="s">
        <v>2445</v>
      </c>
      <c r="D3211" t="s">
        <v>2969</v>
      </c>
      <c r="E3211" t="s">
        <v>2970</v>
      </c>
      <c r="F3211" s="13">
        <v>44616.318472222221</v>
      </c>
      <c r="G3211" t="s">
        <v>1526</v>
      </c>
      <c r="H3211" t="s">
        <v>1527</v>
      </c>
      <c r="I3211" s="13">
        <v>44616.320509259262</v>
      </c>
      <c r="K3211" t="s">
        <v>412</v>
      </c>
      <c r="R3211">
        <v>0</v>
      </c>
      <c r="S3211" t="s">
        <v>380</v>
      </c>
      <c r="T3211" t="s">
        <v>57</v>
      </c>
      <c r="V3211" t="s">
        <v>381</v>
      </c>
      <c r="W3211" t="s">
        <v>2971</v>
      </c>
      <c r="X3211" t="s">
        <v>2971</v>
      </c>
      <c r="AC3211" s="13">
        <v>44643</v>
      </c>
      <c r="AD3211" s="13">
        <v>44643</v>
      </c>
      <c r="AI3211">
        <v>27</v>
      </c>
      <c r="AL3211" t="s">
        <v>2972</v>
      </c>
      <c r="AN3211" t="s">
        <v>31</v>
      </c>
      <c r="AO3211">
        <v>0</v>
      </c>
      <c r="AS3211" t="s">
        <v>538</v>
      </c>
      <c r="AX3211" t="s">
        <v>31</v>
      </c>
      <c r="AY3211" t="s">
        <v>442</v>
      </c>
      <c r="AZ3211" t="s">
        <v>2973</v>
      </c>
      <c r="BE3211" t="s">
        <v>2466</v>
      </c>
      <c r="BF3211">
        <v>0</v>
      </c>
      <c r="BK3211" t="s">
        <v>31</v>
      </c>
      <c r="BS3211" t="s">
        <v>412</v>
      </c>
      <c r="BT3211" t="s">
        <v>412</v>
      </c>
      <c r="CI3211" t="s">
        <v>388</v>
      </c>
      <c r="CJ3211" s="14">
        <v>45016</v>
      </c>
      <c r="CK3211">
        <v>1</v>
      </c>
    </row>
    <row r="3212" spans="1:89">
      <c r="A3212" t="s">
        <v>2096</v>
      </c>
      <c r="B3212" t="s">
        <v>374</v>
      </c>
      <c r="C3212" t="s">
        <v>2097</v>
      </c>
      <c r="D3212" t="s">
        <v>2974</v>
      </c>
      <c r="E3212" t="s">
        <v>2975</v>
      </c>
      <c r="F3212" s="13">
        <v>44616.217870370368</v>
      </c>
      <c r="G3212" t="s">
        <v>2100</v>
      </c>
      <c r="H3212" t="s">
        <v>2101</v>
      </c>
      <c r="I3212" s="13">
        <v>45012.043900462966</v>
      </c>
      <c r="K3212" t="s">
        <v>415</v>
      </c>
      <c r="M3212" s="13">
        <v>44681</v>
      </c>
      <c r="R3212">
        <v>0</v>
      </c>
      <c r="S3212" t="s">
        <v>380</v>
      </c>
      <c r="T3212" t="s">
        <v>57</v>
      </c>
      <c r="V3212" t="s">
        <v>478</v>
      </c>
      <c r="W3212" t="s">
        <v>2187</v>
      </c>
      <c r="X3212" t="s">
        <v>2187</v>
      </c>
      <c r="AC3212" s="13">
        <v>44681</v>
      </c>
      <c r="AD3212" s="13">
        <v>44681</v>
      </c>
      <c r="AF3212" t="s">
        <v>451</v>
      </c>
      <c r="AI3212">
        <v>-331</v>
      </c>
      <c r="AL3212" t="s">
        <v>2976</v>
      </c>
      <c r="AN3212" t="s">
        <v>31</v>
      </c>
      <c r="AO3212">
        <v>0</v>
      </c>
      <c r="AS3212" t="s">
        <v>648</v>
      </c>
      <c r="AX3212" t="s">
        <v>57</v>
      </c>
      <c r="AY3212" t="s">
        <v>386</v>
      </c>
      <c r="AZ3212" t="s">
        <v>2977</v>
      </c>
      <c r="BF3212">
        <v>0</v>
      </c>
      <c r="BK3212" t="s">
        <v>31</v>
      </c>
      <c r="BS3212" t="s">
        <v>419</v>
      </c>
      <c r="BT3212" t="s">
        <v>419</v>
      </c>
      <c r="CI3212" t="s">
        <v>388</v>
      </c>
      <c r="CJ3212" s="14">
        <v>45016</v>
      </c>
      <c r="CK3212">
        <v>1</v>
      </c>
    </row>
    <row r="3213" spans="1:89">
      <c r="A3213" t="s">
        <v>1522</v>
      </c>
      <c r="B3213" t="s">
        <v>374</v>
      </c>
      <c r="C3213" t="s">
        <v>1523</v>
      </c>
      <c r="D3213" t="s">
        <v>2978</v>
      </c>
      <c r="E3213" t="s">
        <v>2979</v>
      </c>
      <c r="F3213" s="13">
        <v>44615.913206018522</v>
      </c>
      <c r="G3213" t="s">
        <v>1526</v>
      </c>
      <c r="H3213" t="s">
        <v>1527</v>
      </c>
      <c r="I3213" s="13">
        <v>44615.915023148147</v>
      </c>
      <c r="K3213" t="s">
        <v>412</v>
      </c>
      <c r="R3213">
        <v>0</v>
      </c>
      <c r="S3213" t="s">
        <v>380</v>
      </c>
      <c r="T3213" t="s">
        <v>57</v>
      </c>
      <c r="V3213" t="s">
        <v>381</v>
      </c>
      <c r="W3213" t="s">
        <v>2980</v>
      </c>
      <c r="X3213" t="s">
        <v>2980</v>
      </c>
      <c r="AC3213" s="13">
        <v>44697</v>
      </c>
      <c r="AD3213" s="13">
        <v>44697</v>
      </c>
      <c r="AI3213">
        <v>82</v>
      </c>
      <c r="AL3213" t="s">
        <v>2981</v>
      </c>
      <c r="AN3213" t="s">
        <v>31</v>
      </c>
      <c r="AO3213">
        <v>0</v>
      </c>
      <c r="AS3213" t="s">
        <v>385</v>
      </c>
      <c r="AX3213" t="s">
        <v>31</v>
      </c>
      <c r="AY3213" t="s">
        <v>442</v>
      </c>
      <c r="AZ3213" t="s">
        <v>2982</v>
      </c>
      <c r="BF3213">
        <v>0</v>
      </c>
      <c r="BK3213" t="s">
        <v>31</v>
      </c>
      <c r="BS3213" t="s">
        <v>412</v>
      </c>
      <c r="BT3213" t="s">
        <v>412</v>
      </c>
      <c r="CI3213" t="s">
        <v>388</v>
      </c>
      <c r="CJ3213" s="14">
        <v>45016</v>
      </c>
      <c r="CK3213">
        <v>1</v>
      </c>
    </row>
    <row r="3214" spans="1:89">
      <c r="A3214" t="s">
        <v>2927</v>
      </c>
      <c r="B3214" t="s">
        <v>374</v>
      </c>
      <c r="C3214" t="s">
        <v>2928</v>
      </c>
      <c r="D3214" t="s">
        <v>2983</v>
      </c>
      <c r="E3214" t="s">
        <v>2984</v>
      </c>
      <c r="F3214" s="13">
        <v>44615.626435185186</v>
      </c>
      <c r="G3214" t="s">
        <v>2985</v>
      </c>
      <c r="H3214" t="s">
        <v>2986</v>
      </c>
      <c r="I3214" s="13">
        <v>45012.043888888889</v>
      </c>
      <c r="K3214" t="s">
        <v>415</v>
      </c>
      <c r="M3214" s="13">
        <v>44925</v>
      </c>
      <c r="R3214">
        <v>25</v>
      </c>
      <c r="S3214" t="s">
        <v>380</v>
      </c>
      <c r="T3214" t="s">
        <v>57</v>
      </c>
      <c r="V3214" t="s">
        <v>478</v>
      </c>
      <c r="W3214" t="s">
        <v>2987</v>
      </c>
      <c r="X3214" t="s">
        <v>2987</v>
      </c>
      <c r="AF3214" t="s">
        <v>451</v>
      </c>
      <c r="AG3214" t="s">
        <v>2988</v>
      </c>
      <c r="AI3214">
        <v>-87</v>
      </c>
      <c r="AL3214" t="s">
        <v>2989</v>
      </c>
      <c r="AN3214" t="s">
        <v>31</v>
      </c>
      <c r="AO3214">
        <v>0</v>
      </c>
      <c r="AS3214" t="s">
        <v>461</v>
      </c>
      <c r="AX3214" t="s">
        <v>31</v>
      </c>
      <c r="AY3214" t="s">
        <v>442</v>
      </c>
      <c r="AZ3214" t="s">
        <v>2990</v>
      </c>
      <c r="BF3214">
        <v>0</v>
      </c>
      <c r="BK3214" t="s">
        <v>31</v>
      </c>
      <c r="BS3214" t="s">
        <v>419</v>
      </c>
      <c r="BT3214" t="s">
        <v>419</v>
      </c>
      <c r="CI3214" t="s">
        <v>388</v>
      </c>
      <c r="CJ3214" s="14">
        <v>45016</v>
      </c>
      <c r="CK3214">
        <v>1</v>
      </c>
    </row>
    <row r="3215" spans="1:89">
      <c r="A3215" t="s">
        <v>2927</v>
      </c>
      <c r="B3215" t="s">
        <v>374</v>
      </c>
      <c r="C3215" t="s">
        <v>2928</v>
      </c>
      <c r="D3215" t="s">
        <v>2991</v>
      </c>
      <c r="E3215" t="s">
        <v>2992</v>
      </c>
      <c r="F3215" s="13">
        <v>44615.615520833337</v>
      </c>
      <c r="G3215" t="s">
        <v>2985</v>
      </c>
      <c r="H3215" t="s">
        <v>2986</v>
      </c>
      <c r="I3215" s="13">
        <v>45012.043888888889</v>
      </c>
      <c r="K3215" t="s">
        <v>415</v>
      </c>
      <c r="M3215" s="13">
        <v>44925</v>
      </c>
      <c r="R3215">
        <v>10</v>
      </c>
      <c r="S3215" t="s">
        <v>380</v>
      </c>
      <c r="T3215" t="s">
        <v>57</v>
      </c>
      <c r="V3215" t="s">
        <v>478</v>
      </c>
      <c r="W3215" t="s">
        <v>2993</v>
      </c>
      <c r="X3215" t="s">
        <v>2993</v>
      </c>
      <c r="AF3215" t="s">
        <v>451</v>
      </c>
      <c r="AG3215" t="s">
        <v>2994</v>
      </c>
      <c r="AI3215">
        <v>-87</v>
      </c>
      <c r="AL3215" t="s">
        <v>2995</v>
      </c>
      <c r="AN3215" t="s">
        <v>31</v>
      </c>
      <c r="AO3215">
        <v>0</v>
      </c>
      <c r="AS3215" t="s">
        <v>392</v>
      </c>
      <c r="AX3215" t="s">
        <v>31</v>
      </c>
      <c r="AY3215" t="s">
        <v>442</v>
      </c>
      <c r="AZ3215" t="s">
        <v>2996</v>
      </c>
      <c r="BF3215">
        <v>0</v>
      </c>
      <c r="BK3215" t="s">
        <v>31</v>
      </c>
      <c r="BS3215" t="s">
        <v>419</v>
      </c>
      <c r="BT3215" t="s">
        <v>419</v>
      </c>
      <c r="CI3215" t="s">
        <v>388</v>
      </c>
      <c r="CJ3215" s="14">
        <v>45016</v>
      </c>
      <c r="CK3215">
        <v>1</v>
      </c>
    </row>
    <row r="3216" spans="1:89">
      <c r="A3216" t="s">
        <v>2096</v>
      </c>
      <c r="B3216" t="s">
        <v>374</v>
      </c>
      <c r="C3216" t="s">
        <v>2097</v>
      </c>
      <c r="D3216" t="s">
        <v>2997</v>
      </c>
      <c r="E3216" t="s">
        <v>2998</v>
      </c>
      <c r="F3216" s="13">
        <v>44615.593402777777</v>
      </c>
      <c r="G3216" t="s">
        <v>2890</v>
      </c>
      <c r="H3216" t="s">
        <v>2891</v>
      </c>
      <c r="I3216" s="13">
        <v>45012.043888888889</v>
      </c>
      <c r="K3216" t="s">
        <v>415</v>
      </c>
      <c r="M3216" s="13">
        <v>44681</v>
      </c>
      <c r="R3216">
        <v>0</v>
      </c>
      <c r="S3216" t="s">
        <v>380</v>
      </c>
      <c r="T3216" t="s">
        <v>57</v>
      </c>
      <c r="V3216" t="s">
        <v>478</v>
      </c>
      <c r="W3216" t="s">
        <v>2187</v>
      </c>
      <c r="X3216" t="s">
        <v>2187</v>
      </c>
      <c r="AC3216" s="13">
        <v>44681</v>
      </c>
      <c r="AD3216" s="13">
        <v>44681</v>
      </c>
      <c r="AF3216" t="s">
        <v>451</v>
      </c>
      <c r="AI3216">
        <v>-331</v>
      </c>
      <c r="AL3216" t="s">
        <v>2999</v>
      </c>
      <c r="AN3216" t="s">
        <v>31</v>
      </c>
      <c r="AO3216">
        <v>0</v>
      </c>
      <c r="AS3216" t="s">
        <v>385</v>
      </c>
      <c r="AX3216" t="s">
        <v>57</v>
      </c>
      <c r="AY3216" t="s">
        <v>386</v>
      </c>
      <c r="AZ3216" t="s">
        <v>3000</v>
      </c>
      <c r="BE3216">
        <v>55</v>
      </c>
      <c r="BF3216">
        <v>0</v>
      </c>
      <c r="BK3216" t="s">
        <v>31</v>
      </c>
      <c r="BS3216" t="s">
        <v>419</v>
      </c>
      <c r="BT3216" t="s">
        <v>419</v>
      </c>
      <c r="CI3216" t="s">
        <v>388</v>
      </c>
      <c r="CJ3216" s="14">
        <v>45016</v>
      </c>
      <c r="CK3216">
        <v>1</v>
      </c>
    </row>
    <row r="3217" spans="1:89">
      <c r="A3217" t="s">
        <v>2927</v>
      </c>
      <c r="B3217" t="s">
        <v>374</v>
      </c>
      <c r="C3217" t="s">
        <v>2928</v>
      </c>
      <c r="D3217" t="s">
        <v>3001</v>
      </c>
      <c r="E3217" t="s">
        <v>3002</v>
      </c>
      <c r="F3217" s="13">
        <v>44615.580185185187</v>
      </c>
      <c r="G3217" t="s">
        <v>3003</v>
      </c>
      <c r="H3217" t="s">
        <v>3004</v>
      </c>
      <c r="I3217" s="13">
        <v>44959.443726851852</v>
      </c>
      <c r="K3217" t="s">
        <v>379</v>
      </c>
      <c r="M3217" s="13">
        <v>44895</v>
      </c>
      <c r="R3217">
        <v>100</v>
      </c>
      <c r="S3217" t="s">
        <v>380</v>
      </c>
      <c r="T3217" t="s">
        <v>57</v>
      </c>
      <c r="V3217" t="s">
        <v>478</v>
      </c>
      <c r="W3217" t="s">
        <v>2326</v>
      </c>
      <c r="X3217" t="s">
        <v>2326</v>
      </c>
      <c r="AF3217" t="s">
        <v>382</v>
      </c>
      <c r="AG3217" t="s">
        <v>3005</v>
      </c>
      <c r="AI3217">
        <v>-64</v>
      </c>
      <c r="AJ3217" s="13">
        <v>44959</v>
      </c>
      <c r="AL3217" t="s">
        <v>3006</v>
      </c>
      <c r="AN3217" t="s">
        <v>31</v>
      </c>
      <c r="AO3217">
        <v>0</v>
      </c>
      <c r="AR3217" t="s">
        <v>3007</v>
      </c>
      <c r="AS3217" t="s">
        <v>385</v>
      </c>
      <c r="AX3217" t="s">
        <v>31</v>
      </c>
      <c r="AY3217" t="s">
        <v>442</v>
      </c>
      <c r="AZ3217" t="s">
        <v>3008</v>
      </c>
      <c r="BF3217">
        <v>0</v>
      </c>
      <c r="BK3217" t="s">
        <v>31</v>
      </c>
      <c r="BS3217" t="s">
        <v>379</v>
      </c>
      <c r="BT3217" t="s">
        <v>379</v>
      </c>
      <c r="CI3217" t="s">
        <v>388</v>
      </c>
      <c r="CJ3217" s="14">
        <v>45016</v>
      </c>
      <c r="CK3217">
        <v>1</v>
      </c>
    </row>
    <row r="3218" spans="1:89">
      <c r="A3218" t="s">
        <v>2927</v>
      </c>
      <c r="B3218" t="s">
        <v>374</v>
      </c>
      <c r="C3218" t="s">
        <v>2928</v>
      </c>
      <c r="D3218" t="s">
        <v>3009</v>
      </c>
      <c r="E3218" t="s">
        <v>3010</v>
      </c>
      <c r="F3218" s="13">
        <v>44615.577152777776</v>
      </c>
      <c r="G3218" t="s">
        <v>2985</v>
      </c>
      <c r="H3218" t="s">
        <v>2986</v>
      </c>
      <c r="I3218" s="13">
        <v>45012.043888888889</v>
      </c>
      <c r="K3218" t="s">
        <v>415</v>
      </c>
      <c r="M3218" s="13">
        <v>44712</v>
      </c>
      <c r="R3218">
        <v>95</v>
      </c>
      <c r="S3218" t="s">
        <v>380</v>
      </c>
      <c r="T3218" t="s">
        <v>57</v>
      </c>
      <c r="V3218" t="s">
        <v>478</v>
      </c>
      <c r="W3218" t="s">
        <v>3011</v>
      </c>
      <c r="X3218" t="s">
        <v>3011</v>
      </c>
      <c r="AF3218" t="s">
        <v>451</v>
      </c>
      <c r="AG3218" t="s">
        <v>3012</v>
      </c>
      <c r="AI3218">
        <v>-300</v>
      </c>
      <c r="AL3218" t="s">
        <v>3013</v>
      </c>
      <c r="AN3218" t="s">
        <v>31</v>
      </c>
      <c r="AO3218">
        <v>0</v>
      </c>
      <c r="AS3218" t="s">
        <v>392</v>
      </c>
      <c r="AX3218" t="s">
        <v>31</v>
      </c>
      <c r="AY3218" t="s">
        <v>442</v>
      </c>
      <c r="AZ3218" t="s">
        <v>3014</v>
      </c>
      <c r="BF3218">
        <v>0</v>
      </c>
      <c r="BK3218" t="s">
        <v>31</v>
      </c>
      <c r="BS3218" t="s">
        <v>419</v>
      </c>
      <c r="BT3218" t="s">
        <v>419</v>
      </c>
      <c r="CI3218" t="s">
        <v>388</v>
      </c>
      <c r="CJ3218" s="14">
        <v>45016</v>
      </c>
      <c r="CK3218">
        <v>1</v>
      </c>
    </row>
    <row r="3219" spans="1:89">
      <c r="A3219" t="s">
        <v>2927</v>
      </c>
      <c r="B3219" t="s">
        <v>374</v>
      </c>
      <c r="C3219" t="s">
        <v>2928</v>
      </c>
      <c r="D3219" t="s">
        <v>3015</v>
      </c>
      <c r="E3219" t="s">
        <v>3016</v>
      </c>
      <c r="F3219" s="13">
        <v>44615.568981481483</v>
      </c>
      <c r="G3219" t="s">
        <v>2931</v>
      </c>
      <c r="H3219" t="s">
        <v>2932</v>
      </c>
      <c r="I3219" s="13">
        <v>45012.043877314813</v>
      </c>
      <c r="K3219" t="s">
        <v>415</v>
      </c>
      <c r="M3219" s="13">
        <v>44651</v>
      </c>
      <c r="R3219">
        <v>80</v>
      </c>
      <c r="S3219" t="s">
        <v>380</v>
      </c>
      <c r="T3219" t="s">
        <v>57</v>
      </c>
      <c r="V3219" t="s">
        <v>478</v>
      </c>
      <c r="W3219" t="s">
        <v>3017</v>
      </c>
      <c r="X3219" t="s">
        <v>3017</v>
      </c>
      <c r="AF3219" t="s">
        <v>451</v>
      </c>
      <c r="AG3219" t="s">
        <v>3018</v>
      </c>
      <c r="AI3219">
        <v>-361</v>
      </c>
      <c r="AL3219" t="s">
        <v>3019</v>
      </c>
      <c r="AN3219" t="s">
        <v>31</v>
      </c>
      <c r="AO3219">
        <v>0</v>
      </c>
      <c r="AS3219" t="s">
        <v>385</v>
      </c>
      <c r="AX3219" t="s">
        <v>31</v>
      </c>
      <c r="AY3219" t="s">
        <v>386</v>
      </c>
      <c r="AZ3219" t="s">
        <v>3020</v>
      </c>
      <c r="BF3219">
        <v>0</v>
      </c>
      <c r="BK3219" t="s">
        <v>31</v>
      </c>
      <c r="BS3219" t="s">
        <v>419</v>
      </c>
      <c r="BT3219" t="s">
        <v>419</v>
      </c>
      <c r="CI3219" t="s">
        <v>388</v>
      </c>
      <c r="CJ3219" s="14">
        <v>45016</v>
      </c>
      <c r="CK3219">
        <v>1</v>
      </c>
    </row>
    <row r="3220" spans="1:89">
      <c r="A3220" t="s">
        <v>2927</v>
      </c>
      <c r="B3220" t="s">
        <v>374</v>
      </c>
      <c r="C3220" t="s">
        <v>2928</v>
      </c>
      <c r="D3220" t="s">
        <v>3021</v>
      </c>
      <c r="E3220" t="s">
        <v>3022</v>
      </c>
      <c r="F3220" s="13">
        <v>44615.552349537036</v>
      </c>
      <c r="G3220" t="s">
        <v>3003</v>
      </c>
      <c r="H3220" t="s">
        <v>3004</v>
      </c>
      <c r="I3220" s="13">
        <v>45012.043877314813</v>
      </c>
      <c r="K3220" t="s">
        <v>415</v>
      </c>
      <c r="M3220" s="13">
        <v>44713</v>
      </c>
      <c r="R3220">
        <v>50</v>
      </c>
      <c r="S3220" t="s">
        <v>380</v>
      </c>
      <c r="T3220" t="s">
        <v>57</v>
      </c>
      <c r="V3220" t="s">
        <v>478</v>
      </c>
      <c r="W3220" t="s">
        <v>3023</v>
      </c>
      <c r="X3220" t="s">
        <v>3023</v>
      </c>
      <c r="AF3220" t="s">
        <v>451</v>
      </c>
      <c r="AG3220" t="s">
        <v>3024</v>
      </c>
      <c r="AI3220">
        <v>-299</v>
      </c>
      <c r="AL3220" t="s">
        <v>3025</v>
      </c>
      <c r="AN3220" t="s">
        <v>31</v>
      </c>
      <c r="AO3220">
        <v>0</v>
      </c>
      <c r="AS3220" t="s">
        <v>385</v>
      </c>
      <c r="AX3220" t="s">
        <v>31</v>
      </c>
      <c r="AY3220" t="s">
        <v>386</v>
      </c>
      <c r="AZ3220" t="s">
        <v>3026</v>
      </c>
      <c r="BF3220">
        <v>0</v>
      </c>
      <c r="BK3220" t="s">
        <v>31</v>
      </c>
      <c r="BS3220" t="s">
        <v>419</v>
      </c>
      <c r="BT3220" t="s">
        <v>419</v>
      </c>
      <c r="CI3220" t="s">
        <v>388</v>
      </c>
      <c r="CJ3220" s="14">
        <v>45016</v>
      </c>
      <c r="CK3220">
        <v>1</v>
      </c>
    </row>
    <row r="3221" spans="1:89">
      <c r="A3221" t="s">
        <v>2927</v>
      </c>
      <c r="B3221" t="s">
        <v>374</v>
      </c>
      <c r="C3221" t="s">
        <v>2928</v>
      </c>
      <c r="D3221" t="s">
        <v>3027</v>
      </c>
      <c r="E3221" t="s">
        <v>3028</v>
      </c>
      <c r="F3221" s="13">
        <v>44615.552303240744</v>
      </c>
      <c r="G3221" t="s">
        <v>2931</v>
      </c>
      <c r="H3221" t="s">
        <v>2932</v>
      </c>
      <c r="I3221" s="13">
        <v>45012.043877314813</v>
      </c>
      <c r="K3221" t="s">
        <v>415</v>
      </c>
      <c r="M3221" s="13">
        <v>44651</v>
      </c>
      <c r="R3221">
        <v>80</v>
      </c>
      <c r="S3221" t="s">
        <v>380</v>
      </c>
      <c r="T3221" t="s">
        <v>57</v>
      </c>
      <c r="V3221" t="s">
        <v>478</v>
      </c>
      <c r="W3221" t="s">
        <v>3029</v>
      </c>
      <c r="X3221" t="s">
        <v>3029</v>
      </c>
      <c r="AF3221" t="s">
        <v>451</v>
      </c>
      <c r="AG3221" t="s">
        <v>3030</v>
      </c>
      <c r="AI3221">
        <v>-361</v>
      </c>
      <c r="AL3221" t="s">
        <v>3031</v>
      </c>
      <c r="AN3221" t="s">
        <v>31</v>
      </c>
      <c r="AO3221">
        <v>0</v>
      </c>
      <c r="AS3221" t="s">
        <v>385</v>
      </c>
      <c r="AX3221" t="s">
        <v>31</v>
      </c>
      <c r="AY3221" t="s">
        <v>386</v>
      </c>
      <c r="AZ3221" t="s">
        <v>3032</v>
      </c>
      <c r="BE3221" t="s">
        <v>3033</v>
      </c>
      <c r="BF3221">
        <v>0</v>
      </c>
      <c r="BK3221" t="s">
        <v>31</v>
      </c>
      <c r="BS3221" t="s">
        <v>419</v>
      </c>
      <c r="BT3221" t="s">
        <v>419</v>
      </c>
      <c r="CI3221" t="s">
        <v>388</v>
      </c>
      <c r="CJ3221" s="14">
        <v>45016</v>
      </c>
      <c r="CK3221">
        <v>1</v>
      </c>
    </row>
    <row r="3222" spans="1:89">
      <c r="A3222" t="s">
        <v>1655</v>
      </c>
      <c r="B3222" t="s">
        <v>374</v>
      </c>
      <c r="C3222" t="s">
        <v>1656</v>
      </c>
      <c r="D3222" t="s">
        <v>3034</v>
      </c>
      <c r="E3222" t="s">
        <v>3035</v>
      </c>
      <c r="F3222" s="13">
        <v>44615.488622685189</v>
      </c>
      <c r="G3222" t="s">
        <v>2777</v>
      </c>
      <c r="H3222" t="s">
        <v>2778</v>
      </c>
      <c r="I3222" s="13">
        <v>45012.043865740743</v>
      </c>
      <c r="K3222" t="s">
        <v>415</v>
      </c>
      <c r="M3222" s="13">
        <v>44834</v>
      </c>
      <c r="R3222">
        <v>0</v>
      </c>
      <c r="S3222" t="s">
        <v>380</v>
      </c>
      <c r="T3222" t="s">
        <v>57</v>
      </c>
      <c r="V3222" t="s">
        <v>478</v>
      </c>
      <c r="W3222" t="s">
        <v>2353</v>
      </c>
      <c r="X3222" t="s">
        <v>2353</v>
      </c>
      <c r="AC3222" s="13">
        <v>44925</v>
      </c>
      <c r="AD3222" s="13">
        <v>44895</v>
      </c>
      <c r="AF3222" t="s">
        <v>451</v>
      </c>
      <c r="AI3222">
        <v>-178</v>
      </c>
      <c r="AL3222" t="s">
        <v>2354</v>
      </c>
      <c r="AN3222" t="s">
        <v>31</v>
      </c>
      <c r="AO3222">
        <v>0</v>
      </c>
      <c r="AS3222" t="s">
        <v>392</v>
      </c>
      <c r="AX3222" t="s">
        <v>31</v>
      </c>
      <c r="AY3222" t="s">
        <v>442</v>
      </c>
      <c r="AZ3222" t="s">
        <v>3036</v>
      </c>
      <c r="BE3222" t="s">
        <v>3037</v>
      </c>
      <c r="BF3222">
        <v>0</v>
      </c>
      <c r="BK3222" t="s">
        <v>31</v>
      </c>
      <c r="BS3222" t="s">
        <v>419</v>
      </c>
      <c r="BT3222" t="s">
        <v>419</v>
      </c>
      <c r="CI3222" t="s">
        <v>388</v>
      </c>
      <c r="CJ3222" s="14">
        <v>45016</v>
      </c>
      <c r="CK3222">
        <v>1</v>
      </c>
    </row>
    <row r="3223" spans="1:89">
      <c r="A3223" t="s">
        <v>2927</v>
      </c>
      <c r="B3223" t="s">
        <v>374</v>
      </c>
      <c r="C3223" t="s">
        <v>2928</v>
      </c>
      <c r="D3223" t="s">
        <v>3038</v>
      </c>
      <c r="E3223" t="s">
        <v>3039</v>
      </c>
      <c r="F3223" s="13">
        <v>44615.468900462962</v>
      </c>
      <c r="G3223" t="s">
        <v>2931</v>
      </c>
      <c r="H3223" t="s">
        <v>2932</v>
      </c>
      <c r="I3223" s="13">
        <v>45012.043865740743</v>
      </c>
      <c r="K3223" t="s">
        <v>415</v>
      </c>
      <c r="M3223" s="13">
        <v>44651</v>
      </c>
      <c r="R3223">
        <v>80</v>
      </c>
      <c r="S3223" t="s">
        <v>380</v>
      </c>
      <c r="T3223" t="s">
        <v>57</v>
      </c>
      <c r="V3223" t="s">
        <v>478</v>
      </c>
      <c r="W3223" t="s">
        <v>3029</v>
      </c>
      <c r="X3223" t="s">
        <v>3029</v>
      </c>
      <c r="AF3223" t="s">
        <v>451</v>
      </c>
      <c r="AG3223" t="s">
        <v>3040</v>
      </c>
      <c r="AI3223">
        <v>-361</v>
      </c>
      <c r="AL3223" t="s">
        <v>3041</v>
      </c>
      <c r="AN3223" t="s">
        <v>31</v>
      </c>
      <c r="AO3223">
        <v>0</v>
      </c>
      <c r="AS3223" t="s">
        <v>385</v>
      </c>
      <c r="AX3223" t="s">
        <v>31</v>
      </c>
      <c r="AY3223" t="s">
        <v>386</v>
      </c>
      <c r="AZ3223" t="s">
        <v>3042</v>
      </c>
      <c r="BF3223">
        <v>0</v>
      </c>
      <c r="BK3223" t="s">
        <v>31</v>
      </c>
      <c r="BS3223" t="s">
        <v>419</v>
      </c>
      <c r="BT3223" t="s">
        <v>419</v>
      </c>
      <c r="CI3223" t="s">
        <v>388</v>
      </c>
      <c r="CJ3223" s="14">
        <v>45016</v>
      </c>
      <c r="CK3223">
        <v>1</v>
      </c>
    </row>
    <row r="3224" spans="1:89">
      <c r="A3224" t="s">
        <v>2927</v>
      </c>
      <c r="B3224" t="s">
        <v>374</v>
      </c>
      <c r="C3224" t="s">
        <v>2928</v>
      </c>
      <c r="D3224" t="s">
        <v>3043</v>
      </c>
      <c r="E3224" t="s">
        <v>3044</v>
      </c>
      <c r="F3224" s="13">
        <v>44615.440416666665</v>
      </c>
      <c r="G3224" t="s">
        <v>3003</v>
      </c>
      <c r="H3224" t="s">
        <v>3004</v>
      </c>
      <c r="I3224" s="13">
        <v>45012.043865740743</v>
      </c>
      <c r="K3224" t="s">
        <v>415</v>
      </c>
      <c r="M3224" s="13">
        <v>44651</v>
      </c>
      <c r="R3224">
        <v>90</v>
      </c>
      <c r="S3224" t="s">
        <v>380</v>
      </c>
      <c r="T3224" t="s">
        <v>57</v>
      </c>
      <c r="V3224" t="s">
        <v>478</v>
      </c>
      <c r="W3224" t="s">
        <v>3045</v>
      </c>
      <c r="X3224" t="s">
        <v>3045</v>
      </c>
      <c r="AF3224" t="s">
        <v>451</v>
      </c>
      <c r="AG3224" t="s">
        <v>3046</v>
      </c>
      <c r="AI3224">
        <v>-361</v>
      </c>
      <c r="AL3224" t="s">
        <v>3047</v>
      </c>
      <c r="AN3224" t="s">
        <v>31</v>
      </c>
      <c r="AO3224">
        <v>0</v>
      </c>
      <c r="AS3224" t="s">
        <v>385</v>
      </c>
      <c r="AX3224" t="s">
        <v>31</v>
      </c>
      <c r="AY3224" t="s">
        <v>386</v>
      </c>
      <c r="AZ3224" t="s">
        <v>3048</v>
      </c>
      <c r="BF3224">
        <v>0</v>
      </c>
      <c r="BK3224" t="s">
        <v>31</v>
      </c>
      <c r="BS3224" t="s">
        <v>419</v>
      </c>
      <c r="BT3224" t="s">
        <v>419</v>
      </c>
      <c r="CI3224" t="s">
        <v>388</v>
      </c>
      <c r="CJ3224" s="14">
        <v>45016</v>
      </c>
      <c r="CK3224">
        <v>1</v>
      </c>
    </row>
    <row r="3225" spans="1:89">
      <c r="A3225" t="s">
        <v>1655</v>
      </c>
      <c r="B3225" t="s">
        <v>374</v>
      </c>
      <c r="C3225" t="s">
        <v>1656</v>
      </c>
      <c r="D3225" t="s">
        <v>3049</v>
      </c>
      <c r="E3225" t="s">
        <v>3050</v>
      </c>
      <c r="F3225" s="13">
        <v>44615.407557870371</v>
      </c>
      <c r="G3225" t="s">
        <v>2777</v>
      </c>
      <c r="H3225" t="s">
        <v>2778</v>
      </c>
      <c r="I3225" s="13">
        <v>45012.043865740743</v>
      </c>
      <c r="K3225" t="s">
        <v>415</v>
      </c>
      <c r="M3225" s="13">
        <v>44774</v>
      </c>
      <c r="R3225">
        <v>0</v>
      </c>
      <c r="S3225" t="s">
        <v>380</v>
      </c>
      <c r="T3225" t="s">
        <v>57</v>
      </c>
      <c r="V3225" t="s">
        <v>478</v>
      </c>
      <c r="W3225" t="s">
        <v>2353</v>
      </c>
      <c r="X3225" t="s">
        <v>2353</v>
      </c>
      <c r="AC3225" s="13">
        <v>44742</v>
      </c>
      <c r="AD3225" s="13">
        <v>44071</v>
      </c>
      <c r="AF3225" t="s">
        <v>451</v>
      </c>
      <c r="AI3225">
        <v>-238</v>
      </c>
      <c r="AL3225" t="s">
        <v>2354</v>
      </c>
      <c r="AN3225" t="s">
        <v>31</v>
      </c>
      <c r="AO3225">
        <v>0</v>
      </c>
      <c r="AS3225" t="s">
        <v>392</v>
      </c>
      <c r="AX3225" t="s">
        <v>31</v>
      </c>
      <c r="AY3225" t="s">
        <v>386</v>
      </c>
      <c r="AZ3225" t="s">
        <v>3051</v>
      </c>
      <c r="BE3225" t="s">
        <v>1404</v>
      </c>
      <c r="BF3225">
        <v>0</v>
      </c>
      <c r="BK3225" t="s">
        <v>31</v>
      </c>
      <c r="BS3225" t="s">
        <v>419</v>
      </c>
      <c r="BT3225" t="s">
        <v>419</v>
      </c>
      <c r="CI3225" t="s">
        <v>388</v>
      </c>
      <c r="CJ3225" s="14">
        <v>45016</v>
      </c>
      <c r="CK3225">
        <v>1</v>
      </c>
    </row>
    <row r="3226" spans="1:89">
      <c r="A3226" t="s">
        <v>1655</v>
      </c>
      <c r="B3226" t="s">
        <v>374</v>
      </c>
      <c r="C3226" t="s">
        <v>1656</v>
      </c>
      <c r="D3226" t="s">
        <v>3052</v>
      </c>
      <c r="E3226" t="s">
        <v>3053</v>
      </c>
      <c r="F3226" s="13">
        <v>44615.392743055556</v>
      </c>
      <c r="G3226" t="s">
        <v>2777</v>
      </c>
      <c r="H3226" t="s">
        <v>2778</v>
      </c>
      <c r="I3226" s="13">
        <v>44623.670370370368</v>
      </c>
      <c r="K3226" t="s">
        <v>409</v>
      </c>
      <c r="R3226">
        <v>0</v>
      </c>
      <c r="S3226" t="s">
        <v>380</v>
      </c>
      <c r="V3226" t="s">
        <v>381</v>
      </c>
      <c r="W3226" t="s">
        <v>3054</v>
      </c>
      <c r="X3226" t="s">
        <v>3054</v>
      </c>
      <c r="AI3226">
        <v>36</v>
      </c>
      <c r="AL3226" t="s">
        <v>3055</v>
      </c>
      <c r="AN3226" t="s">
        <v>31</v>
      </c>
      <c r="AO3226">
        <v>0</v>
      </c>
      <c r="AZ3226" t="s">
        <v>3056</v>
      </c>
      <c r="BF3226">
        <v>0</v>
      </c>
      <c r="BK3226" t="s">
        <v>31</v>
      </c>
      <c r="BS3226" t="s">
        <v>409</v>
      </c>
      <c r="BT3226" t="s">
        <v>409</v>
      </c>
      <c r="CI3226" t="s">
        <v>388</v>
      </c>
      <c r="CJ3226" s="14">
        <v>45016</v>
      </c>
      <c r="CK3226">
        <v>1</v>
      </c>
    </row>
    <row r="3227" spans="1:89">
      <c r="A3227" t="s">
        <v>2927</v>
      </c>
      <c r="B3227" t="s">
        <v>374</v>
      </c>
      <c r="C3227" t="s">
        <v>2928</v>
      </c>
      <c r="D3227" t="s">
        <v>3057</v>
      </c>
      <c r="E3227" t="s">
        <v>3058</v>
      </c>
      <c r="F3227" s="13">
        <v>44615.391747685186</v>
      </c>
      <c r="G3227" t="s">
        <v>3003</v>
      </c>
      <c r="H3227" t="s">
        <v>3004</v>
      </c>
      <c r="I3227" s="13">
        <v>45012.043854166666</v>
      </c>
      <c r="K3227" t="s">
        <v>415</v>
      </c>
      <c r="M3227" s="13">
        <v>44621</v>
      </c>
      <c r="R3227">
        <v>80</v>
      </c>
      <c r="S3227" t="s">
        <v>416</v>
      </c>
      <c r="T3227" t="s">
        <v>57</v>
      </c>
      <c r="V3227" t="s">
        <v>478</v>
      </c>
      <c r="W3227" t="s">
        <v>3059</v>
      </c>
      <c r="X3227" t="s">
        <v>3059</v>
      </c>
      <c r="Y3227" t="s">
        <v>480</v>
      </c>
      <c r="AE3227" t="s">
        <v>3060</v>
      </c>
      <c r="AF3227" t="s">
        <v>451</v>
      </c>
      <c r="AG3227" t="s">
        <v>3061</v>
      </c>
      <c r="AI3227">
        <v>-391</v>
      </c>
      <c r="AL3227" t="s">
        <v>3062</v>
      </c>
      <c r="AN3227" t="s">
        <v>31</v>
      </c>
      <c r="AO3227">
        <v>0</v>
      </c>
      <c r="AS3227" t="s">
        <v>385</v>
      </c>
      <c r="AT3227" t="s">
        <v>57</v>
      </c>
      <c r="AV3227" s="13">
        <v>44681</v>
      </c>
      <c r="AX3227" t="s">
        <v>31</v>
      </c>
      <c r="AY3227" t="s">
        <v>442</v>
      </c>
      <c r="AZ3227" t="s">
        <v>3063</v>
      </c>
      <c r="BF3227">
        <v>0</v>
      </c>
      <c r="BK3227" t="s">
        <v>31</v>
      </c>
      <c r="BS3227" t="s">
        <v>484</v>
      </c>
      <c r="BT3227" t="s">
        <v>484</v>
      </c>
      <c r="CI3227" t="s">
        <v>388</v>
      </c>
      <c r="CJ3227" s="14">
        <v>45016</v>
      </c>
      <c r="CK3227">
        <v>1</v>
      </c>
    </row>
    <row r="3228" spans="1:89">
      <c r="A3228" t="s">
        <v>1655</v>
      </c>
      <c r="B3228" t="s">
        <v>374</v>
      </c>
      <c r="C3228" t="s">
        <v>1656</v>
      </c>
      <c r="D3228" t="s">
        <v>3064</v>
      </c>
      <c r="E3228" t="s">
        <v>3065</v>
      </c>
      <c r="F3228" s="13">
        <v>44614.947708333333</v>
      </c>
      <c r="G3228" t="s">
        <v>2777</v>
      </c>
      <c r="H3228" t="s">
        <v>2778</v>
      </c>
      <c r="I3228" s="13">
        <v>44623.670787037037</v>
      </c>
      <c r="K3228" t="s">
        <v>409</v>
      </c>
      <c r="R3228">
        <v>0</v>
      </c>
      <c r="S3228" t="s">
        <v>380</v>
      </c>
      <c r="V3228" t="s">
        <v>381</v>
      </c>
      <c r="W3228" t="s">
        <v>3054</v>
      </c>
      <c r="X3228" t="s">
        <v>3054</v>
      </c>
      <c r="AI3228">
        <v>37</v>
      </c>
      <c r="AL3228" t="s">
        <v>3066</v>
      </c>
      <c r="AN3228" t="s">
        <v>31</v>
      </c>
      <c r="AO3228">
        <v>0</v>
      </c>
      <c r="AZ3228" t="s">
        <v>3067</v>
      </c>
      <c r="BF3228">
        <v>0</v>
      </c>
      <c r="BK3228" t="s">
        <v>31</v>
      </c>
      <c r="BS3228" t="s">
        <v>409</v>
      </c>
      <c r="BT3228" t="s">
        <v>409</v>
      </c>
      <c r="CI3228" t="s">
        <v>388</v>
      </c>
      <c r="CJ3228" s="14">
        <v>45016</v>
      </c>
      <c r="CK3228">
        <v>1</v>
      </c>
    </row>
    <row r="3229" spans="1:89">
      <c r="A3229" t="s">
        <v>1655</v>
      </c>
      <c r="B3229" t="s">
        <v>374</v>
      </c>
      <c r="C3229" t="s">
        <v>1656</v>
      </c>
      <c r="D3229" t="s">
        <v>3068</v>
      </c>
      <c r="E3229" t="s">
        <v>3069</v>
      </c>
      <c r="F3229" s="13">
        <v>44614.695208333331</v>
      </c>
      <c r="G3229" t="s">
        <v>2777</v>
      </c>
      <c r="H3229" t="s">
        <v>2778</v>
      </c>
      <c r="I3229" s="13">
        <v>44622.506724537037</v>
      </c>
      <c r="K3229" t="s">
        <v>379</v>
      </c>
      <c r="M3229" s="13">
        <v>44620</v>
      </c>
      <c r="R3229">
        <v>100</v>
      </c>
      <c r="S3229" t="s">
        <v>380</v>
      </c>
      <c r="T3229" t="s">
        <v>57</v>
      </c>
      <c r="V3229" t="s">
        <v>478</v>
      </c>
      <c r="W3229" t="s">
        <v>2787</v>
      </c>
      <c r="X3229" t="s">
        <v>2787</v>
      </c>
      <c r="AC3229" s="13">
        <v>44680</v>
      </c>
      <c r="AD3229" s="13">
        <v>44651</v>
      </c>
      <c r="AF3229" t="s">
        <v>382</v>
      </c>
      <c r="AG3229" t="s">
        <v>3070</v>
      </c>
      <c r="AI3229">
        <v>-2</v>
      </c>
      <c r="AJ3229" s="13">
        <v>44621</v>
      </c>
      <c r="AL3229" t="s">
        <v>2788</v>
      </c>
      <c r="AN3229" t="s">
        <v>31</v>
      </c>
      <c r="AO3229">
        <v>0</v>
      </c>
      <c r="AR3229" t="s">
        <v>3071</v>
      </c>
      <c r="AS3229" t="s">
        <v>648</v>
      </c>
      <c r="AX3229" t="s">
        <v>31</v>
      </c>
      <c r="AY3229" t="s">
        <v>442</v>
      </c>
      <c r="AZ3229" t="s">
        <v>3072</v>
      </c>
      <c r="BE3229" t="s">
        <v>1404</v>
      </c>
      <c r="BF3229">
        <v>0</v>
      </c>
      <c r="BK3229" t="s">
        <v>31</v>
      </c>
      <c r="BS3229" t="s">
        <v>379</v>
      </c>
      <c r="BT3229" t="s">
        <v>379</v>
      </c>
      <c r="CI3229" t="s">
        <v>388</v>
      </c>
      <c r="CJ3229" s="14">
        <v>45016</v>
      </c>
      <c r="CK3229">
        <v>1</v>
      </c>
    </row>
    <row r="3230" spans="1:89">
      <c r="A3230" t="s">
        <v>2927</v>
      </c>
      <c r="B3230" t="s">
        <v>374</v>
      </c>
      <c r="C3230" t="s">
        <v>2928</v>
      </c>
      <c r="D3230" t="s">
        <v>3073</v>
      </c>
      <c r="E3230" t="s">
        <v>3074</v>
      </c>
      <c r="F3230" s="13">
        <v>44614.525671296295</v>
      </c>
      <c r="G3230" t="s">
        <v>3003</v>
      </c>
      <c r="H3230" t="s">
        <v>3004</v>
      </c>
      <c r="I3230" s="13">
        <v>45012.043854166666</v>
      </c>
      <c r="K3230" t="s">
        <v>415</v>
      </c>
      <c r="M3230" s="13">
        <v>44651</v>
      </c>
      <c r="R3230">
        <v>70</v>
      </c>
      <c r="S3230" t="s">
        <v>380</v>
      </c>
      <c r="T3230" t="s">
        <v>57</v>
      </c>
      <c r="V3230" t="s">
        <v>478</v>
      </c>
      <c r="W3230" t="s">
        <v>3075</v>
      </c>
      <c r="X3230" t="s">
        <v>3075</v>
      </c>
      <c r="Y3230" t="s">
        <v>480</v>
      </c>
      <c r="AE3230" t="s">
        <v>3076</v>
      </c>
      <c r="AF3230" t="s">
        <v>451</v>
      </c>
      <c r="AG3230" t="s">
        <v>3077</v>
      </c>
      <c r="AI3230">
        <v>-361</v>
      </c>
      <c r="AL3230" t="s">
        <v>3078</v>
      </c>
      <c r="AN3230" t="s">
        <v>31</v>
      </c>
      <c r="AO3230">
        <v>0</v>
      </c>
      <c r="AS3230" t="s">
        <v>522</v>
      </c>
      <c r="AT3230" t="s">
        <v>57</v>
      </c>
      <c r="AV3230" s="13">
        <v>44652</v>
      </c>
      <c r="AX3230" t="s">
        <v>31</v>
      </c>
      <c r="AY3230" t="s">
        <v>442</v>
      </c>
      <c r="AZ3230" t="s">
        <v>3079</v>
      </c>
      <c r="BF3230">
        <v>0</v>
      </c>
      <c r="BK3230" t="s">
        <v>31</v>
      </c>
      <c r="BS3230" t="s">
        <v>484</v>
      </c>
      <c r="BT3230" t="s">
        <v>484</v>
      </c>
      <c r="CI3230" t="s">
        <v>388</v>
      </c>
      <c r="CJ3230" s="14">
        <v>45016</v>
      </c>
      <c r="CK3230">
        <v>1</v>
      </c>
    </row>
    <row r="3231" spans="1:89">
      <c r="A3231" t="s">
        <v>3080</v>
      </c>
      <c r="B3231" t="s">
        <v>374</v>
      </c>
      <c r="C3231" t="s">
        <v>3081</v>
      </c>
      <c r="D3231" t="s">
        <v>3082</v>
      </c>
      <c r="E3231" t="s">
        <v>3083</v>
      </c>
      <c r="F3231" s="13">
        <v>44614.508622685185</v>
      </c>
      <c r="G3231" t="s">
        <v>3084</v>
      </c>
      <c r="H3231" t="s">
        <v>3085</v>
      </c>
      <c r="I3231" s="13">
        <v>45012.043854166666</v>
      </c>
      <c r="K3231" t="s">
        <v>415</v>
      </c>
      <c r="M3231" s="13">
        <v>44770</v>
      </c>
      <c r="R3231">
        <v>0</v>
      </c>
      <c r="S3231" t="s">
        <v>380</v>
      </c>
      <c r="T3231" t="s">
        <v>57</v>
      </c>
      <c r="V3231" t="s">
        <v>478</v>
      </c>
      <c r="W3231" t="s">
        <v>3085</v>
      </c>
      <c r="X3231" t="s">
        <v>3085</v>
      </c>
      <c r="AC3231" s="13">
        <v>44834</v>
      </c>
      <c r="AD3231" s="13">
        <v>44593</v>
      </c>
      <c r="AF3231" t="s">
        <v>451</v>
      </c>
      <c r="AI3231">
        <v>-242</v>
      </c>
      <c r="AL3231" t="s">
        <v>3086</v>
      </c>
      <c r="AN3231" t="s">
        <v>31</v>
      </c>
      <c r="AO3231">
        <v>0</v>
      </c>
      <c r="AS3231" t="s">
        <v>385</v>
      </c>
      <c r="AX3231" t="s">
        <v>31</v>
      </c>
      <c r="AY3231" t="s">
        <v>386</v>
      </c>
      <c r="AZ3231" t="s">
        <v>3087</v>
      </c>
      <c r="BF3231">
        <v>0</v>
      </c>
      <c r="BK3231" t="s">
        <v>31</v>
      </c>
      <c r="BS3231" t="s">
        <v>419</v>
      </c>
      <c r="BT3231" t="s">
        <v>419</v>
      </c>
      <c r="CI3231" t="s">
        <v>388</v>
      </c>
      <c r="CJ3231" s="14">
        <v>45016</v>
      </c>
      <c r="CK3231">
        <v>1</v>
      </c>
    </row>
    <row r="3232" spans="1:89">
      <c r="A3232" t="s">
        <v>3088</v>
      </c>
      <c r="B3232" t="s">
        <v>374</v>
      </c>
      <c r="C3232" t="s">
        <v>3089</v>
      </c>
      <c r="D3232" t="s">
        <v>3090</v>
      </c>
      <c r="E3232" t="s">
        <v>3091</v>
      </c>
      <c r="F3232" s="13">
        <v>44613.806342592594</v>
      </c>
      <c r="G3232" t="s">
        <v>3092</v>
      </c>
      <c r="H3232" t="s">
        <v>3093</v>
      </c>
      <c r="I3232" s="13">
        <v>45012.043854166666</v>
      </c>
      <c r="K3232" t="s">
        <v>415</v>
      </c>
      <c r="M3232" s="13">
        <v>44742</v>
      </c>
      <c r="R3232">
        <v>0</v>
      </c>
      <c r="S3232" t="s">
        <v>380</v>
      </c>
      <c r="T3232" t="s">
        <v>57</v>
      </c>
      <c r="V3232" t="s">
        <v>478</v>
      </c>
      <c r="W3232" t="s">
        <v>3094</v>
      </c>
      <c r="X3232" t="s">
        <v>3094</v>
      </c>
      <c r="AC3232" s="13">
        <v>44742</v>
      </c>
      <c r="AD3232" s="13">
        <v>44742</v>
      </c>
      <c r="AF3232" t="s">
        <v>451</v>
      </c>
      <c r="AI3232">
        <v>-270</v>
      </c>
      <c r="AL3232" t="s">
        <v>3095</v>
      </c>
      <c r="AN3232" t="s">
        <v>31</v>
      </c>
      <c r="AO3232">
        <v>0</v>
      </c>
      <c r="AS3232" t="s">
        <v>392</v>
      </c>
      <c r="AX3232" t="s">
        <v>57</v>
      </c>
      <c r="AY3232" t="s">
        <v>442</v>
      </c>
      <c r="AZ3232" t="s">
        <v>3096</v>
      </c>
      <c r="BF3232">
        <v>0</v>
      </c>
      <c r="BK3232" t="s">
        <v>31</v>
      </c>
      <c r="BS3232" t="s">
        <v>419</v>
      </c>
      <c r="BT3232" t="s">
        <v>419</v>
      </c>
      <c r="CI3232" t="s">
        <v>388</v>
      </c>
      <c r="CJ3232" s="14">
        <v>45016</v>
      </c>
      <c r="CK3232">
        <v>1</v>
      </c>
    </row>
    <row r="3233" spans="1:89">
      <c r="A3233" t="s">
        <v>2927</v>
      </c>
      <c r="B3233" t="s">
        <v>374</v>
      </c>
      <c r="C3233" t="s">
        <v>2928</v>
      </c>
      <c r="D3233" t="s">
        <v>3097</v>
      </c>
      <c r="E3233" t="s">
        <v>3098</v>
      </c>
      <c r="F3233" s="13">
        <v>44613.458090277774</v>
      </c>
      <c r="G3233" t="s">
        <v>2985</v>
      </c>
      <c r="H3233" t="s">
        <v>2986</v>
      </c>
      <c r="I3233" s="13">
        <v>45012.043842592589</v>
      </c>
      <c r="K3233" t="s">
        <v>415</v>
      </c>
      <c r="M3233" s="13">
        <v>44651</v>
      </c>
      <c r="R3233">
        <v>99</v>
      </c>
      <c r="S3233" t="s">
        <v>380</v>
      </c>
      <c r="T3233" t="s">
        <v>57</v>
      </c>
      <c r="V3233" t="s">
        <v>478</v>
      </c>
      <c r="W3233" t="s">
        <v>3099</v>
      </c>
      <c r="X3233" t="s">
        <v>3099</v>
      </c>
      <c r="AF3233" t="s">
        <v>451</v>
      </c>
      <c r="AG3233" t="s">
        <v>3100</v>
      </c>
      <c r="AI3233">
        <v>-361</v>
      </c>
      <c r="AL3233" t="s">
        <v>3101</v>
      </c>
      <c r="AN3233" t="s">
        <v>31</v>
      </c>
      <c r="AO3233">
        <v>0</v>
      </c>
      <c r="AS3233" t="s">
        <v>744</v>
      </c>
      <c r="AX3233" t="s">
        <v>31</v>
      </c>
      <c r="AY3233" t="s">
        <v>442</v>
      </c>
      <c r="AZ3233" t="s">
        <v>3102</v>
      </c>
      <c r="BF3233">
        <v>0</v>
      </c>
      <c r="BK3233" t="s">
        <v>31</v>
      </c>
      <c r="BS3233" t="s">
        <v>419</v>
      </c>
      <c r="BT3233" t="s">
        <v>419</v>
      </c>
      <c r="CI3233" t="s">
        <v>388</v>
      </c>
      <c r="CJ3233" s="14">
        <v>45016</v>
      </c>
      <c r="CK3233">
        <v>1</v>
      </c>
    </row>
    <row r="3234" spans="1:89">
      <c r="A3234" t="s">
        <v>3103</v>
      </c>
      <c r="B3234" t="s">
        <v>374</v>
      </c>
      <c r="C3234" t="s">
        <v>3104</v>
      </c>
      <c r="D3234" t="s">
        <v>3105</v>
      </c>
      <c r="E3234" t="s">
        <v>3106</v>
      </c>
      <c r="F3234" s="13">
        <v>44613.408877314818</v>
      </c>
      <c r="G3234" t="s">
        <v>3084</v>
      </c>
      <c r="H3234" t="s">
        <v>3085</v>
      </c>
      <c r="I3234" s="13">
        <v>44613.430902777778</v>
      </c>
      <c r="K3234" t="s">
        <v>409</v>
      </c>
      <c r="R3234">
        <v>0</v>
      </c>
      <c r="S3234" t="s">
        <v>380</v>
      </c>
      <c r="T3234" t="s">
        <v>57</v>
      </c>
      <c r="V3234" t="s">
        <v>381</v>
      </c>
      <c r="W3234" t="s">
        <v>3085</v>
      </c>
      <c r="X3234" t="s">
        <v>3085</v>
      </c>
      <c r="AC3234" s="13">
        <v>44742</v>
      </c>
      <c r="AD3234" s="13">
        <v>44593</v>
      </c>
      <c r="AI3234">
        <v>158</v>
      </c>
      <c r="AL3234" t="s">
        <v>3107</v>
      </c>
      <c r="AN3234" t="s">
        <v>31</v>
      </c>
      <c r="AO3234">
        <v>0</v>
      </c>
      <c r="AS3234" t="s">
        <v>385</v>
      </c>
      <c r="AX3234" t="s">
        <v>57</v>
      </c>
      <c r="AY3234" t="s">
        <v>386</v>
      </c>
      <c r="AZ3234" t="s">
        <v>3108</v>
      </c>
      <c r="BF3234">
        <v>0</v>
      </c>
      <c r="BK3234" t="s">
        <v>31</v>
      </c>
      <c r="BS3234" t="s">
        <v>409</v>
      </c>
      <c r="BT3234" t="s">
        <v>409</v>
      </c>
      <c r="CI3234" t="s">
        <v>388</v>
      </c>
      <c r="CJ3234" s="14">
        <v>45016</v>
      </c>
      <c r="CK3234">
        <v>1</v>
      </c>
    </row>
    <row r="3235" spans="1:89">
      <c r="A3235" t="s">
        <v>2310</v>
      </c>
      <c r="B3235" t="s">
        <v>374</v>
      </c>
      <c r="C3235" t="s">
        <v>607</v>
      </c>
      <c r="D3235" t="s">
        <v>3109</v>
      </c>
      <c r="E3235" t="s">
        <v>3110</v>
      </c>
      <c r="F3235" s="13">
        <v>44610.891273148147</v>
      </c>
      <c r="G3235" t="s">
        <v>2313</v>
      </c>
      <c r="H3235" t="s">
        <v>2314</v>
      </c>
      <c r="I3235" s="13">
        <v>44610.902951388889</v>
      </c>
      <c r="K3235" t="s">
        <v>409</v>
      </c>
      <c r="R3235">
        <v>0</v>
      </c>
      <c r="S3235" t="s">
        <v>380</v>
      </c>
      <c r="T3235" t="s">
        <v>57</v>
      </c>
      <c r="V3235" t="s">
        <v>381</v>
      </c>
      <c r="W3235" t="s">
        <v>3111</v>
      </c>
      <c r="X3235" t="s">
        <v>3111</v>
      </c>
      <c r="AI3235">
        <v>56</v>
      </c>
      <c r="AL3235" t="s">
        <v>2316</v>
      </c>
      <c r="AN3235" t="s">
        <v>31</v>
      </c>
      <c r="AO3235">
        <v>0</v>
      </c>
      <c r="AS3235" t="s">
        <v>744</v>
      </c>
      <c r="AX3235" t="s">
        <v>31</v>
      </c>
      <c r="AY3235" t="s">
        <v>386</v>
      </c>
      <c r="AZ3235" t="s">
        <v>3112</v>
      </c>
      <c r="BF3235">
        <v>0</v>
      </c>
      <c r="BK3235" t="s">
        <v>31</v>
      </c>
      <c r="BS3235" t="s">
        <v>409</v>
      </c>
      <c r="BT3235" t="s">
        <v>409</v>
      </c>
      <c r="CI3235" t="s">
        <v>388</v>
      </c>
      <c r="CJ3235" s="14">
        <v>45016</v>
      </c>
      <c r="CK3235">
        <v>1</v>
      </c>
    </row>
    <row r="3236" spans="1:89">
      <c r="A3236" t="s">
        <v>2565</v>
      </c>
      <c r="B3236" t="s">
        <v>374</v>
      </c>
      <c r="C3236" t="s">
        <v>2566</v>
      </c>
      <c r="D3236" t="s">
        <v>3113</v>
      </c>
      <c r="E3236" t="s">
        <v>3114</v>
      </c>
      <c r="F3236" s="13">
        <v>44610.659467592595</v>
      </c>
      <c r="G3236" t="s">
        <v>2149</v>
      </c>
      <c r="H3236" t="s">
        <v>2150</v>
      </c>
      <c r="I3236" s="13">
        <v>44617.565752314818</v>
      </c>
      <c r="K3236" t="s">
        <v>409</v>
      </c>
      <c r="R3236">
        <v>0</v>
      </c>
      <c r="S3236" t="s">
        <v>380</v>
      </c>
      <c r="T3236" t="s">
        <v>57</v>
      </c>
      <c r="V3236" t="s">
        <v>381</v>
      </c>
      <c r="W3236" t="s">
        <v>2844</v>
      </c>
      <c r="X3236" t="s">
        <v>2844</v>
      </c>
      <c r="AC3236" s="13">
        <v>44197</v>
      </c>
      <c r="AD3236" s="13">
        <v>44197</v>
      </c>
      <c r="AI3236">
        <v>34</v>
      </c>
      <c r="AL3236" t="s">
        <v>2845</v>
      </c>
      <c r="AN3236" t="s">
        <v>31</v>
      </c>
      <c r="AO3236">
        <v>0</v>
      </c>
      <c r="AS3236" t="s">
        <v>385</v>
      </c>
      <c r="AX3236" t="s">
        <v>31</v>
      </c>
      <c r="AY3236" t="s">
        <v>442</v>
      </c>
      <c r="AZ3236" t="s">
        <v>2846</v>
      </c>
      <c r="BE3236" t="s">
        <v>2847</v>
      </c>
      <c r="BF3236">
        <v>0</v>
      </c>
      <c r="BK3236" t="s">
        <v>31</v>
      </c>
      <c r="BS3236" t="s">
        <v>409</v>
      </c>
      <c r="BT3236" t="s">
        <v>409</v>
      </c>
      <c r="CI3236" t="s">
        <v>388</v>
      </c>
      <c r="CJ3236" s="14">
        <v>45016</v>
      </c>
      <c r="CK3236">
        <v>1</v>
      </c>
    </row>
    <row r="3237" spans="1:89">
      <c r="A3237" t="s">
        <v>3115</v>
      </c>
      <c r="B3237" t="s">
        <v>374</v>
      </c>
      <c r="C3237" t="s">
        <v>3116</v>
      </c>
      <c r="D3237" t="s">
        <v>3117</v>
      </c>
      <c r="E3237" t="s">
        <v>3118</v>
      </c>
      <c r="F3237" s="13">
        <v>44609.497789351852</v>
      </c>
      <c r="G3237" t="s">
        <v>2079</v>
      </c>
      <c r="H3237" t="s">
        <v>2080</v>
      </c>
      <c r="I3237" s="13">
        <v>45012.043842592589</v>
      </c>
      <c r="K3237" t="s">
        <v>415</v>
      </c>
      <c r="M3237" s="13">
        <v>44651</v>
      </c>
      <c r="R3237">
        <v>0</v>
      </c>
      <c r="S3237" t="s">
        <v>380</v>
      </c>
      <c r="T3237" t="s">
        <v>57</v>
      </c>
      <c r="V3237" t="s">
        <v>478</v>
      </c>
      <c r="W3237" t="s">
        <v>3119</v>
      </c>
      <c r="X3237" t="s">
        <v>3119</v>
      </c>
      <c r="AC3237" s="13">
        <v>44651</v>
      </c>
      <c r="AD3237" s="13">
        <v>44651</v>
      </c>
      <c r="AF3237" t="s">
        <v>451</v>
      </c>
      <c r="AI3237">
        <v>-361</v>
      </c>
      <c r="AL3237" t="s">
        <v>3120</v>
      </c>
      <c r="AN3237" t="s">
        <v>31</v>
      </c>
      <c r="AO3237">
        <v>0</v>
      </c>
      <c r="AS3237" t="s">
        <v>385</v>
      </c>
      <c r="AX3237" t="s">
        <v>57</v>
      </c>
      <c r="AY3237" t="s">
        <v>442</v>
      </c>
      <c r="AZ3237" t="s">
        <v>3121</v>
      </c>
      <c r="BF3237">
        <v>0</v>
      </c>
      <c r="BK3237" t="s">
        <v>31</v>
      </c>
      <c r="BS3237" t="s">
        <v>419</v>
      </c>
      <c r="BT3237" t="s">
        <v>419</v>
      </c>
      <c r="CI3237" t="s">
        <v>388</v>
      </c>
      <c r="CJ3237" s="14">
        <v>45016</v>
      </c>
      <c r="CK3237">
        <v>1</v>
      </c>
    </row>
    <row r="3238" spans="1:89">
      <c r="A3238" t="s">
        <v>2089</v>
      </c>
      <c r="B3238" t="s">
        <v>374</v>
      </c>
      <c r="C3238" t="s">
        <v>2090</v>
      </c>
      <c r="D3238" t="s">
        <v>3122</v>
      </c>
      <c r="E3238" t="s">
        <v>3123</v>
      </c>
      <c r="F3238" s="13">
        <v>44609.476782407408</v>
      </c>
      <c r="G3238" t="s">
        <v>2079</v>
      </c>
      <c r="H3238" t="s">
        <v>2080</v>
      </c>
      <c r="I3238" s="13">
        <v>44643.403483796297</v>
      </c>
      <c r="K3238" t="s">
        <v>379</v>
      </c>
      <c r="M3238" s="13">
        <v>44651</v>
      </c>
      <c r="R3238">
        <v>100</v>
      </c>
      <c r="S3238" t="s">
        <v>380</v>
      </c>
      <c r="T3238" t="s">
        <v>57</v>
      </c>
      <c r="V3238" t="s">
        <v>381</v>
      </c>
      <c r="W3238" t="s">
        <v>3124</v>
      </c>
      <c r="X3238" t="s">
        <v>3124</v>
      </c>
      <c r="AC3238" s="13">
        <v>44651</v>
      </c>
      <c r="AD3238" s="13">
        <v>44651</v>
      </c>
      <c r="AF3238" t="s">
        <v>382</v>
      </c>
      <c r="AG3238" t="s">
        <v>3125</v>
      </c>
      <c r="AI3238">
        <v>8</v>
      </c>
      <c r="AL3238" t="s">
        <v>3126</v>
      </c>
      <c r="AN3238" t="s">
        <v>31</v>
      </c>
      <c r="AO3238">
        <v>0</v>
      </c>
      <c r="AS3238" t="s">
        <v>385</v>
      </c>
      <c r="AX3238" t="s">
        <v>57</v>
      </c>
      <c r="AY3238" t="s">
        <v>442</v>
      </c>
      <c r="AZ3238" t="s">
        <v>3127</v>
      </c>
      <c r="BE3238" t="s">
        <v>1364</v>
      </c>
      <c r="BF3238">
        <v>0</v>
      </c>
      <c r="BK3238" t="s">
        <v>31</v>
      </c>
      <c r="BS3238" t="s">
        <v>379</v>
      </c>
      <c r="BT3238" t="s">
        <v>379</v>
      </c>
      <c r="CI3238" t="s">
        <v>388</v>
      </c>
      <c r="CJ3238" s="14">
        <v>45016</v>
      </c>
      <c r="CK3238">
        <v>1</v>
      </c>
    </row>
    <row r="3239" spans="1:89">
      <c r="A3239" t="s">
        <v>2146</v>
      </c>
      <c r="B3239" t="s">
        <v>374</v>
      </c>
      <c r="C3239" t="s">
        <v>698</v>
      </c>
      <c r="D3239" t="s">
        <v>3128</v>
      </c>
      <c r="E3239" t="s">
        <v>3129</v>
      </c>
      <c r="F3239" s="13">
        <v>44609.451342592591</v>
      </c>
      <c r="G3239" t="s">
        <v>2149</v>
      </c>
      <c r="H3239" t="s">
        <v>2150</v>
      </c>
      <c r="I3239" s="13">
        <v>45012.043842592589</v>
      </c>
      <c r="K3239" t="s">
        <v>415</v>
      </c>
      <c r="M3239" s="13">
        <v>44749</v>
      </c>
      <c r="R3239">
        <v>0</v>
      </c>
      <c r="S3239" t="s">
        <v>380</v>
      </c>
      <c r="T3239" t="s">
        <v>57</v>
      </c>
      <c r="V3239" t="s">
        <v>478</v>
      </c>
      <c r="W3239" t="s">
        <v>3130</v>
      </c>
      <c r="X3239" t="s">
        <v>3130</v>
      </c>
      <c r="AC3239" s="13">
        <v>44749</v>
      </c>
      <c r="AD3239" s="13">
        <v>44200</v>
      </c>
      <c r="AF3239" t="s">
        <v>451</v>
      </c>
      <c r="AI3239">
        <v>-263</v>
      </c>
      <c r="AL3239" t="s">
        <v>3131</v>
      </c>
      <c r="AN3239" t="s">
        <v>31</v>
      </c>
      <c r="AO3239">
        <v>0</v>
      </c>
      <c r="AS3239" t="s">
        <v>526</v>
      </c>
      <c r="AX3239" t="s">
        <v>31</v>
      </c>
      <c r="AY3239" t="s">
        <v>442</v>
      </c>
      <c r="AZ3239" t="s">
        <v>3132</v>
      </c>
      <c r="BE3239" t="s">
        <v>3133</v>
      </c>
      <c r="BF3239">
        <v>0</v>
      </c>
      <c r="BK3239" t="s">
        <v>31</v>
      </c>
      <c r="BS3239" t="s">
        <v>419</v>
      </c>
      <c r="BT3239" t="s">
        <v>419</v>
      </c>
      <c r="CI3239" t="s">
        <v>388</v>
      </c>
      <c r="CJ3239" s="14">
        <v>45016</v>
      </c>
      <c r="CK3239">
        <v>1</v>
      </c>
    </row>
    <row r="3240" spans="1:89">
      <c r="A3240" t="s">
        <v>2146</v>
      </c>
      <c r="B3240" t="s">
        <v>374</v>
      </c>
      <c r="C3240" t="s">
        <v>698</v>
      </c>
      <c r="D3240" t="s">
        <v>3134</v>
      </c>
      <c r="E3240" t="s">
        <v>3135</v>
      </c>
      <c r="F3240" s="13">
        <v>44609.450162037036</v>
      </c>
      <c r="G3240" t="s">
        <v>2149</v>
      </c>
      <c r="H3240" t="s">
        <v>2150</v>
      </c>
      <c r="I3240" s="13">
        <v>45012.04383101852</v>
      </c>
      <c r="K3240" t="s">
        <v>415</v>
      </c>
      <c r="M3240" s="13">
        <v>44658</v>
      </c>
      <c r="R3240">
        <v>0</v>
      </c>
      <c r="S3240" t="s">
        <v>380</v>
      </c>
      <c r="T3240" t="s">
        <v>57</v>
      </c>
      <c r="V3240" t="s">
        <v>478</v>
      </c>
      <c r="W3240" t="s">
        <v>3130</v>
      </c>
      <c r="X3240" t="s">
        <v>3130</v>
      </c>
      <c r="AF3240" t="s">
        <v>451</v>
      </c>
      <c r="AI3240">
        <v>-354</v>
      </c>
      <c r="AL3240" t="s">
        <v>3131</v>
      </c>
      <c r="AN3240" t="s">
        <v>31</v>
      </c>
      <c r="AO3240">
        <v>0</v>
      </c>
      <c r="AS3240" t="s">
        <v>392</v>
      </c>
      <c r="AX3240" t="s">
        <v>31</v>
      </c>
      <c r="AY3240" t="s">
        <v>442</v>
      </c>
      <c r="AZ3240" t="s">
        <v>3136</v>
      </c>
      <c r="BE3240" t="s">
        <v>3133</v>
      </c>
      <c r="BF3240">
        <v>0</v>
      </c>
      <c r="BK3240" t="s">
        <v>31</v>
      </c>
      <c r="BS3240" t="s">
        <v>419</v>
      </c>
      <c r="BT3240" t="s">
        <v>419</v>
      </c>
      <c r="CI3240" t="s">
        <v>388</v>
      </c>
      <c r="CJ3240" s="14">
        <v>45016</v>
      </c>
      <c r="CK3240">
        <v>1</v>
      </c>
    </row>
    <row r="3241" spans="1:89">
      <c r="A3241" t="s">
        <v>2146</v>
      </c>
      <c r="B3241" t="s">
        <v>374</v>
      </c>
      <c r="C3241" t="s">
        <v>698</v>
      </c>
      <c r="D3241" t="s">
        <v>3137</v>
      </c>
      <c r="E3241" t="s">
        <v>3138</v>
      </c>
      <c r="F3241" s="13">
        <v>44609.446956018517</v>
      </c>
      <c r="G3241" t="s">
        <v>2149</v>
      </c>
      <c r="H3241" t="s">
        <v>2150</v>
      </c>
      <c r="I3241" s="13">
        <v>45012.04383101852</v>
      </c>
      <c r="K3241" t="s">
        <v>415</v>
      </c>
      <c r="M3241" s="13">
        <v>44625</v>
      </c>
      <c r="R3241">
        <v>0</v>
      </c>
      <c r="S3241" t="s">
        <v>380</v>
      </c>
      <c r="T3241" t="s">
        <v>57</v>
      </c>
      <c r="V3241" t="s">
        <v>478</v>
      </c>
      <c r="W3241" t="s">
        <v>3130</v>
      </c>
      <c r="X3241" t="s">
        <v>3130</v>
      </c>
      <c r="AC3241" s="13">
        <v>44749</v>
      </c>
      <c r="AD3241" s="13">
        <v>44200</v>
      </c>
      <c r="AF3241" t="s">
        <v>451</v>
      </c>
      <c r="AI3241">
        <v>-387</v>
      </c>
      <c r="AL3241" t="s">
        <v>3131</v>
      </c>
      <c r="AN3241" t="s">
        <v>31</v>
      </c>
      <c r="AO3241">
        <v>0</v>
      </c>
      <c r="AS3241" t="s">
        <v>522</v>
      </c>
      <c r="AX3241" t="s">
        <v>31</v>
      </c>
      <c r="AY3241" t="s">
        <v>442</v>
      </c>
      <c r="AZ3241" t="s">
        <v>3139</v>
      </c>
      <c r="BE3241" t="s">
        <v>3133</v>
      </c>
      <c r="BF3241">
        <v>0</v>
      </c>
      <c r="BK3241" t="s">
        <v>31</v>
      </c>
      <c r="BS3241" t="s">
        <v>419</v>
      </c>
      <c r="BT3241" t="s">
        <v>419</v>
      </c>
      <c r="CI3241" t="s">
        <v>388</v>
      </c>
      <c r="CJ3241" s="14">
        <v>45016</v>
      </c>
      <c r="CK3241">
        <v>1</v>
      </c>
    </row>
    <row r="3242" spans="1:89">
      <c r="A3242" t="s">
        <v>1579</v>
      </c>
      <c r="B3242" t="s">
        <v>374</v>
      </c>
      <c r="C3242" t="s">
        <v>1580</v>
      </c>
      <c r="D3242" t="s">
        <v>3140</v>
      </c>
      <c r="E3242" t="s">
        <v>3141</v>
      </c>
      <c r="F3242" s="13">
        <v>44609.432349537034</v>
      </c>
      <c r="G3242" t="s">
        <v>1583</v>
      </c>
      <c r="H3242" t="s">
        <v>1584</v>
      </c>
      <c r="I3242" s="13">
        <v>45012.04383101852</v>
      </c>
      <c r="K3242" t="s">
        <v>415</v>
      </c>
      <c r="M3242" s="13">
        <v>44712</v>
      </c>
      <c r="R3242">
        <v>0</v>
      </c>
      <c r="S3242" t="s">
        <v>380</v>
      </c>
      <c r="T3242" t="s">
        <v>57</v>
      </c>
      <c r="V3242" t="s">
        <v>478</v>
      </c>
      <c r="W3242" t="s">
        <v>3142</v>
      </c>
      <c r="X3242" t="s">
        <v>3142</v>
      </c>
      <c r="AF3242" t="s">
        <v>451</v>
      </c>
      <c r="AI3242">
        <v>-300</v>
      </c>
      <c r="AL3242" t="s">
        <v>3143</v>
      </c>
      <c r="AN3242" t="s">
        <v>31</v>
      </c>
      <c r="AO3242">
        <v>0</v>
      </c>
      <c r="AS3242" t="s">
        <v>526</v>
      </c>
      <c r="AX3242" t="s">
        <v>31</v>
      </c>
      <c r="AY3242" t="s">
        <v>442</v>
      </c>
      <c r="AZ3242" t="s">
        <v>3144</v>
      </c>
      <c r="BF3242">
        <v>0</v>
      </c>
      <c r="BK3242" t="s">
        <v>31</v>
      </c>
      <c r="BS3242" t="s">
        <v>419</v>
      </c>
      <c r="BT3242" t="s">
        <v>419</v>
      </c>
      <c r="CI3242" t="s">
        <v>388</v>
      </c>
      <c r="CJ3242" s="14">
        <v>45016</v>
      </c>
      <c r="CK3242">
        <v>1</v>
      </c>
    </row>
    <row r="3243" spans="1:89">
      <c r="A3243" t="s">
        <v>1579</v>
      </c>
      <c r="B3243" t="s">
        <v>374</v>
      </c>
      <c r="C3243" t="s">
        <v>1580</v>
      </c>
      <c r="D3243" t="s">
        <v>3145</v>
      </c>
      <c r="E3243" t="s">
        <v>3146</v>
      </c>
      <c r="F3243" s="13">
        <v>44609.410092592596</v>
      </c>
      <c r="G3243" t="s">
        <v>1583</v>
      </c>
      <c r="H3243" t="s">
        <v>1584</v>
      </c>
      <c r="I3243" s="13">
        <v>45012.04383101852</v>
      </c>
      <c r="K3243" t="s">
        <v>415</v>
      </c>
      <c r="M3243" s="13">
        <v>44712</v>
      </c>
      <c r="R3243">
        <v>0</v>
      </c>
      <c r="S3243" t="s">
        <v>380</v>
      </c>
      <c r="T3243" t="s">
        <v>57</v>
      </c>
      <c r="V3243" t="s">
        <v>478</v>
      </c>
      <c r="W3243" t="s">
        <v>3142</v>
      </c>
      <c r="X3243" t="s">
        <v>3142</v>
      </c>
      <c r="AF3243" t="s">
        <v>451</v>
      </c>
      <c r="AI3243">
        <v>-300</v>
      </c>
      <c r="AL3243" t="s">
        <v>3147</v>
      </c>
      <c r="AN3243" t="s">
        <v>31</v>
      </c>
      <c r="AO3243">
        <v>0</v>
      </c>
      <c r="AS3243" t="s">
        <v>526</v>
      </c>
      <c r="AX3243" t="s">
        <v>31</v>
      </c>
      <c r="AY3243" t="s">
        <v>442</v>
      </c>
      <c r="AZ3243" t="s">
        <v>3148</v>
      </c>
      <c r="BF3243">
        <v>0</v>
      </c>
      <c r="BK3243" t="s">
        <v>31</v>
      </c>
      <c r="BS3243" t="s">
        <v>419</v>
      </c>
      <c r="BT3243" t="s">
        <v>419</v>
      </c>
      <c r="CI3243" t="s">
        <v>388</v>
      </c>
      <c r="CJ3243" s="14">
        <v>45016</v>
      </c>
      <c r="CK3243">
        <v>1</v>
      </c>
    </row>
    <row r="3244" spans="1:89">
      <c r="A3244" t="s">
        <v>1579</v>
      </c>
      <c r="B3244" t="s">
        <v>374</v>
      </c>
      <c r="C3244" t="s">
        <v>1580</v>
      </c>
      <c r="D3244" t="s">
        <v>3149</v>
      </c>
      <c r="E3244" t="s">
        <v>3150</v>
      </c>
      <c r="F3244" s="13">
        <v>44609.380231481482</v>
      </c>
      <c r="G3244" t="s">
        <v>1583</v>
      </c>
      <c r="H3244" t="s">
        <v>1584</v>
      </c>
      <c r="I3244" s="13">
        <v>45012.043819444443</v>
      </c>
      <c r="K3244" t="s">
        <v>415</v>
      </c>
      <c r="M3244" s="13">
        <v>44712</v>
      </c>
      <c r="R3244">
        <v>0</v>
      </c>
      <c r="S3244" t="s">
        <v>380</v>
      </c>
      <c r="T3244" t="s">
        <v>57</v>
      </c>
      <c r="V3244" t="s">
        <v>478</v>
      </c>
      <c r="W3244" t="s">
        <v>3142</v>
      </c>
      <c r="X3244" t="s">
        <v>3142</v>
      </c>
      <c r="AF3244" t="s">
        <v>451</v>
      </c>
      <c r="AI3244">
        <v>-300</v>
      </c>
      <c r="AL3244" t="s">
        <v>3151</v>
      </c>
      <c r="AN3244" t="s">
        <v>31</v>
      </c>
      <c r="AO3244">
        <v>0</v>
      </c>
      <c r="AS3244" t="s">
        <v>526</v>
      </c>
      <c r="AX3244" t="s">
        <v>31</v>
      </c>
      <c r="AY3244" t="s">
        <v>442</v>
      </c>
      <c r="AZ3244" t="s">
        <v>3152</v>
      </c>
      <c r="BF3244">
        <v>0</v>
      </c>
      <c r="BK3244" t="s">
        <v>31</v>
      </c>
      <c r="BS3244" t="s">
        <v>419</v>
      </c>
      <c r="BT3244" t="s">
        <v>419</v>
      </c>
      <c r="CI3244" t="s">
        <v>388</v>
      </c>
      <c r="CJ3244" s="14">
        <v>45016</v>
      </c>
      <c r="CK3244">
        <v>1</v>
      </c>
    </row>
    <row r="3245" spans="1:89">
      <c r="A3245" t="s">
        <v>2368</v>
      </c>
      <c r="B3245" t="s">
        <v>374</v>
      </c>
      <c r="C3245" t="s">
        <v>2369</v>
      </c>
      <c r="D3245" t="s">
        <v>3153</v>
      </c>
      <c r="E3245" t="s">
        <v>3154</v>
      </c>
      <c r="F3245" s="13">
        <v>44607.621689814812</v>
      </c>
      <c r="G3245" t="s">
        <v>3155</v>
      </c>
      <c r="H3245" t="s">
        <v>3156</v>
      </c>
      <c r="I3245" s="13">
        <v>45012.043819444443</v>
      </c>
      <c r="K3245" t="s">
        <v>415</v>
      </c>
      <c r="M3245" s="13">
        <v>44712</v>
      </c>
      <c r="R3245">
        <v>70</v>
      </c>
      <c r="S3245" t="s">
        <v>380</v>
      </c>
      <c r="T3245" t="s">
        <v>57</v>
      </c>
      <c r="V3245" t="s">
        <v>478</v>
      </c>
      <c r="W3245" t="s">
        <v>2374</v>
      </c>
      <c r="X3245" t="s">
        <v>2374</v>
      </c>
      <c r="AF3245" t="s">
        <v>451</v>
      </c>
      <c r="AG3245" t="s">
        <v>3157</v>
      </c>
      <c r="AI3245">
        <v>-300</v>
      </c>
      <c r="AL3245" t="s">
        <v>3158</v>
      </c>
      <c r="AN3245" t="s">
        <v>31</v>
      </c>
      <c r="AO3245">
        <v>0</v>
      </c>
      <c r="AS3245" t="s">
        <v>385</v>
      </c>
      <c r="AX3245" t="s">
        <v>31</v>
      </c>
      <c r="AY3245" t="s">
        <v>442</v>
      </c>
      <c r="AZ3245" t="s">
        <v>3159</v>
      </c>
      <c r="BF3245">
        <v>0</v>
      </c>
      <c r="BK3245" t="s">
        <v>31</v>
      </c>
      <c r="BS3245" t="s">
        <v>419</v>
      </c>
      <c r="BT3245" t="s">
        <v>419</v>
      </c>
      <c r="CI3245" t="s">
        <v>388</v>
      </c>
      <c r="CJ3245" s="14">
        <v>45016</v>
      </c>
      <c r="CK3245">
        <v>1</v>
      </c>
    </row>
    <row r="3246" spans="1:89">
      <c r="A3246" t="s">
        <v>3160</v>
      </c>
      <c r="B3246" t="s">
        <v>374</v>
      </c>
      <c r="C3246" t="s">
        <v>3161</v>
      </c>
      <c r="D3246" t="s">
        <v>3162</v>
      </c>
      <c r="E3246" t="s">
        <v>3163</v>
      </c>
      <c r="F3246" s="13">
        <v>44607.621504629627</v>
      </c>
      <c r="G3246" t="s">
        <v>2985</v>
      </c>
      <c r="H3246" t="s">
        <v>2986</v>
      </c>
      <c r="I3246" s="13">
        <v>45012.043819444443</v>
      </c>
      <c r="K3246" t="s">
        <v>415</v>
      </c>
      <c r="M3246" s="13">
        <v>44659</v>
      </c>
      <c r="R3246">
        <v>100</v>
      </c>
      <c r="S3246" t="s">
        <v>380</v>
      </c>
      <c r="T3246" t="s">
        <v>57</v>
      </c>
      <c r="V3246" t="s">
        <v>478</v>
      </c>
      <c r="W3246" t="s">
        <v>3164</v>
      </c>
      <c r="X3246" t="s">
        <v>3164</v>
      </c>
      <c r="AB3246" t="s">
        <v>31</v>
      </c>
      <c r="AF3246" t="s">
        <v>382</v>
      </c>
      <c r="AG3246" t="s">
        <v>3165</v>
      </c>
      <c r="AI3246">
        <v>-353</v>
      </c>
      <c r="AL3246" t="s">
        <v>3166</v>
      </c>
      <c r="AN3246" t="s">
        <v>57</v>
      </c>
      <c r="AO3246">
        <v>0</v>
      </c>
      <c r="AS3246" t="s">
        <v>702</v>
      </c>
      <c r="AX3246" t="s">
        <v>57</v>
      </c>
      <c r="AY3246" t="s">
        <v>442</v>
      </c>
      <c r="AZ3246" t="s">
        <v>3167</v>
      </c>
      <c r="BC3246" t="s">
        <v>480</v>
      </c>
      <c r="BD3246" t="s">
        <v>3168</v>
      </c>
      <c r="BF3246">
        <v>0</v>
      </c>
      <c r="BK3246" t="s">
        <v>31</v>
      </c>
      <c r="BS3246" t="s">
        <v>2940</v>
      </c>
      <c r="BT3246" t="s">
        <v>2941</v>
      </c>
      <c r="CI3246" t="s">
        <v>388</v>
      </c>
      <c r="CJ3246" s="14">
        <v>45016</v>
      </c>
      <c r="CK3246">
        <v>1</v>
      </c>
    </row>
    <row r="3247" spans="1:89">
      <c r="A3247" t="s">
        <v>3160</v>
      </c>
      <c r="B3247" t="s">
        <v>374</v>
      </c>
      <c r="C3247" t="s">
        <v>3161</v>
      </c>
      <c r="D3247" t="s">
        <v>3169</v>
      </c>
      <c r="E3247" t="s">
        <v>3170</v>
      </c>
      <c r="F3247" s="13">
        <v>44607.620069444441</v>
      </c>
      <c r="G3247" t="s">
        <v>2985</v>
      </c>
      <c r="H3247" t="s">
        <v>2986</v>
      </c>
      <c r="I3247" s="13">
        <v>45012.043807870374</v>
      </c>
      <c r="K3247" t="s">
        <v>415</v>
      </c>
      <c r="M3247" s="13">
        <v>44628</v>
      </c>
      <c r="R3247">
        <v>100</v>
      </c>
      <c r="S3247" t="s">
        <v>380</v>
      </c>
      <c r="T3247" t="s">
        <v>57</v>
      </c>
      <c r="V3247" t="s">
        <v>478</v>
      </c>
      <c r="W3247" t="s">
        <v>2993</v>
      </c>
      <c r="X3247" t="s">
        <v>2993</v>
      </c>
      <c r="AB3247" t="s">
        <v>31</v>
      </c>
      <c r="AF3247" t="s">
        <v>382</v>
      </c>
      <c r="AG3247" t="s">
        <v>3171</v>
      </c>
      <c r="AI3247">
        <v>-384</v>
      </c>
      <c r="AJ3247" s="13">
        <v>44631</v>
      </c>
      <c r="AL3247" t="s">
        <v>3166</v>
      </c>
      <c r="AN3247" t="s">
        <v>57</v>
      </c>
      <c r="AO3247">
        <v>0</v>
      </c>
      <c r="AR3247" t="s">
        <v>3172</v>
      </c>
      <c r="AS3247" t="s">
        <v>702</v>
      </c>
      <c r="AX3247" t="s">
        <v>57</v>
      </c>
      <c r="AY3247" t="s">
        <v>442</v>
      </c>
      <c r="AZ3247" t="s">
        <v>3173</v>
      </c>
      <c r="BC3247" t="s">
        <v>480</v>
      </c>
      <c r="BD3247" t="s">
        <v>3174</v>
      </c>
      <c r="BF3247">
        <v>0</v>
      </c>
      <c r="BK3247" t="s">
        <v>31</v>
      </c>
      <c r="BS3247" t="s">
        <v>2940</v>
      </c>
      <c r="BT3247" t="s">
        <v>2941</v>
      </c>
      <c r="CI3247" t="s">
        <v>388</v>
      </c>
      <c r="CJ3247" s="14">
        <v>45016</v>
      </c>
      <c r="CK3247">
        <v>1</v>
      </c>
    </row>
    <row r="3248" spans="1:89">
      <c r="A3248" t="s">
        <v>3160</v>
      </c>
      <c r="B3248" t="s">
        <v>374</v>
      </c>
      <c r="C3248" t="s">
        <v>3161</v>
      </c>
      <c r="D3248" t="s">
        <v>3175</v>
      </c>
      <c r="E3248" t="s">
        <v>3176</v>
      </c>
      <c r="F3248" s="13">
        <v>44607.618622685186</v>
      </c>
      <c r="G3248" t="s">
        <v>2985</v>
      </c>
      <c r="H3248" t="s">
        <v>2986</v>
      </c>
      <c r="I3248" s="13">
        <v>45012.043807870374</v>
      </c>
      <c r="K3248" t="s">
        <v>415</v>
      </c>
      <c r="M3248" s="13">
        <v>44624</v>
      </c>
      <c r="R3248">
        <v>100</v>
      </c>
      <c r="S3248" t="s">
        <v>380</v>
      </c>
      <c r="T3248" t="s">
        <v>57</v>
      </c>
      <c r="V3248" t="s">
        <v>478</v>
      </c>
      <c r="W3248" t="s">
        <v>3164</v>
      </c>
      <c r="X3248" t="s">
        <v>3164</v>
      </c>
      <c r="AB3248" t="s">
        <v>31</v>
      </c>
      <c r="AF3248" t="s">
        <v>382</v>
      </c>
      <c r="AG3248" t="s">
        <v>3177</v>
      </c>
      <c r="AI3248">
        <v>-388</v>
      </c>
      <c r="AL3248" t="s">
        <v>3166</v>
      </c>
      <c r="AN3248" t="s">
        <v>57</v>
      </c>
      <c r="AO3248">
        <v>0</v>
      </c>
      <c r="AS3248" t="s">
        <v>702</v>
      </c>
      <c r="AX3248" t="s">
        <v>57</v>
      </c>
      <c r="AY3248" t="s">
        <v>442</v>
      </c>
      <c r="AZ3248" t="s">
        <v>438</v>
      </c>
      <c r="BC3248" t="s">
        <v>480</v>
      </c>
      <c r="BD3248" t="s">
        <v>3178</v>
      </c>
      <c r="BF3248">
        <v>0</v>
      </c>
      <c r="BK3248" t="s">
        <v>31</v>
      </c>
      <c r="BS3248" t="s">
        <v>2940</v>
      </c>
      <c r="BT3248" t="s">
        <v>2941</v>
      </c>
      <c r="CI3248" t="s">
        <v>388</v>
      </c>
      <c r="CJ3248" s="14">
        <v>45016</v>
      </c>
      <c r="CK3248">
        <v>1</v>
      </c>
    </row>
    <row r="3249" spans="1:89">
      <c r="A3249" t="s">
        <v>3160</v>
      </c>
      <c r="B3249" t="s">
        <v>374</v>
      </c>
      <c r="C3249" t="s">
        <v>3161</v>
      </c>
      <c r="D3249" t="s">
        <v>3179</v>
      </c>
      <c r="E3249" t="s">
        <v>3180</v>
      </c>
      <c r="F3249" s="13">
        <v>44607.616979166669</v>
      </c>
      <c r="G3249" t="s">
        <v>2985</v>
      </c>
      <c r="H3249" t="s">
        <v>2986</v>
      </c>
      <c r="I3249" s="13">
        <v>45012.043807870374</v>
      </c>
      <c r="K3249" t="s">
        <v>415</v>
      </c>
      <c r="M3249" s="13">
        <v>44607</v>
      </c>
      <c r="R3249">
        <v>100</v>
      </c>
      <c r="S3249" t="s">
        <v>380</v>
      </c>
      <c r="T3249" t="s">
        <v>57</v>
      </c>
      <c r="V3249" t="s">
        <v>478</v>
      </c>
      <c r="W3249" t="s">
        <v>2993</v>
      </c>
      <c r="X3249" t="s">
        <v>2993</v>
      </c>
      <c r="AB3249" t="s">
        <v>31</v>
      </c>
      <c r="AF3249" t="s">
        <v>382</v>
      </c>
      <c r="AG3249" t="s">
        <v>3181</v>
      </c>
      <c r="AI3249">
        <v>-405</v>
      </c>
      <c r="AJ3249" s="13">
        <v>44620</v>
      </c>
      <c r="AL3249" t="s">
        <v>3166</v>
      </c>
      <c r="AN3249" t="s">
        <v>57</v>
      </c>
      <c r="AO3249">
        <v>0</v>
      </c>
      <c r="AR3249" t="s">
        <v>3182</v>
      </c>
      <c r="AS3249" t="s">
        <v>392</v>
      </c>
      <c r="AX3249" t="s">
        <v>57</v>
      </c>
      <c r="AY3249" t="s">
        <v>442</v>
      </c>
      <c r="AZ3249" t="s">
        <v>3183</v>
      </c>
      <c r="BC3249" t="s">
        <v>480</v>
      </c>
      <c r="BD3249" t="s">
        <v>3184</v>
      </c>
      <c r="BF3249">
        <v>0</v>
      </c>
      <c r="BK3249" t="s">
        <v>31</v>
      </c>
      <c r="BS3249" t="s">
        <v>2940</v>
      </c>
      <c r="BT3249" t="s">
        <v>2941</v>
      </c>
      <c r="CI3249" t="s">
        <v>388</v>
      </c>
      <c r="CJ3249" s="14">
        <v>45016</v>
      </c>
      <c r="CK3249">
        <v>1</v>
      </c>
    </row>
    <row r="3250" spans="1:89">
      <c r="A3250" t="s">
        <v>3160</v>
      </c>
      <c r="B3250" t="s">
        <v>374</v>
      </c>
      <c r="C3250" t="s">
        <v>3161</v>
      </c>
      <c r="D3250" t="s">
        <v>3185</v>
      </c>
      <c r="E3250" t="s">
        <v>3186</v>
      </c>
      <c r="F3250" s="13">
        <v>44607.614641203705</v>
      </c>
      <c r="G3250" t="s">
        <v>2985</v>
      </c>
      <c r="H3250" t="s">
        <v>2986</v>
      </c>
      <c r="I3250" s="13">
        <v>45012.043796296297</v>
      </c>
      <c r="K3250" t="s">
        <v>415</v>
      </c>
      <c r="M3250" s="13">
        <v>44607</v>
      </c>
      <c r="R3250">
        <v>100</v>
      </c>
      <c r="S3250" t="s">
        <v>380</v>
      </c>
      <c r="T3250" t="s">
        <v>57</v>
      </c>
      <c r="V3250" t="s">
        <v>478</v>
      </c>
      <c r="W3250" t="s">
        <v>2993</v>
      </c>
      <c r="X3250" t="s">
        <v>2993</v>
      </c>
      <c r="AB3250" t="s">
        <v>31</v>
      </c>
      <c r="AF3250" t="s">
        <v>382</v>
      </c>
      <c r="AG3250" t="s">
        <v>3187</v>
      </c>
      <c r="AI3250">
        <v>-405</v>
      </c>
      <c r="AJ3250" s="13">
        <v>44620</v>
      </c>
      <c r="AL3250" t="s">
        <v>3166</v>
      </c>
      <c r="AN3250" t="s">
        <v>57</v>
      </c>
      <c r="AO3250">
        <v>0</v>
      </c>
      <c r="AR3250" t="s">
        <v>3188</v>
      </c>
      <c r="AS3250" t="s">
        <v>744</v>
      </c>
      <c r="AX3250" t="s">
        <v>57</v>
      </c>
      <c r="AY3250" t="s">
        <v>442</v>
      </c>
      <c r="AZ3250" t="s">
        <v>3189</v>
      </c>
      <c r="BC3250" t="s">
        <v>480</v>
      </c>
      <c r="BD3250" t="s">
        <v>3190</v>
      </c>
      <c r="BF3250">
        <v>0</v>
      </c>
      <c r="BK3250" t="s">
        <v>31</v>
      </c>
      <c r="BS3250" t="s">
        <v>2940</v>
      </c>
      <c r="BT3250" t="s">
        <v>2941</v>
      </c>
      <c r="CI3250" t="s">
        <v>388</v>
      </c>
      <c r="CJ3250" s="14">
        <v>45016</v>
      </c>
      <c r="CK3250">
        <v>1</v>
      </c>
    </row>
    <row r="3251" spans="1:89">
      <c r="A3251" t="s">
        <v>3191</v>
      </c>
      <c r="B3251" t="s">
        <v>374</v>
      </c>
      <c r="C3251" t="s">
        <v>3192</v>
      </c>
      <c r="D3251" t="s">
        <v>3193</v>
      </c>
      <c r="E3251" t="s">
        <v>3194</v>
      </c>
      <c r="F3251" s="13">
        <v>44607.581435185188</v>
      </c>
      <c r="G3251" t="s">
        <v>1472</v>
      </c>
      <c r="H3251" t="s">
        <v>1473</v>
      </c>
      <c r="I3251" s="13">
        <v>45012.043796296297</v>
      </c>
      <c r="K3251" t="s">
        <v>415</v>
      </c>
      <c r="M3251" s="13">
        <v>44755</v>
      </c>
      <c r="R3251">
        <v>0</v>
      </c>
      <c r="S3251" t="s">
        <v>380</v>
      </c>
      <c r="T3251" t="s">
        <v>57</v>
      </c>
      <c r="V3251" t="s">
        <v>478</v>
      </c>
      <c r="W3251" t="s">
        <v>3195</v>
      </c>
      <c r="X3251" t="s">
        <v>3195</v>
      </c>
      <c r="AC3251" s="13">
        <v>44418</v>
      </c>
      <c r="AD3251" s="13">
        <v>44326</v>
      </c>
      <c r="AF3251" t="s">
        <v>451</v>
      </c>
      <c r="AI3251">
        <v>-257</v>
      </c>
      <c r="AL3251" t="s">
        <v>3196</v>
      </c>
      <c r="AN3251" t="s">
        <v>31</v>
      </c>
      <c r="AO3251">
        <v>0</v>
      </c>
      <c r="AS3251" t="s">
        <v>702</v>
      </c>
      <c r="AX3251" t="s">
        <v>31</v>
      </c>
      <c r="AY3251" t="s">
        <v>442</v>
      </c>
      <c r="AZ3251" t="s">
        <v>3197</v>
      </c>
      <c r="BF3251">
        <v>0</v>
      </c>
      <c r="BK3251" t="s">
        <v>31</v>
      </c>
      <c r="BS3251" t="s">
        <v>419</v>
      </c>
      <c r="BT3251" t="s">
        <v>419</v>
      </c>
      <c r="CI3251" t="s">
        <v>388</v>
      </c>
      <c r="CJ3251" s="14">
        <v>45016</v>
      </c>
      <c r="CK3251">
        <v>1</v>
      </c>
    </row>
    <row r="3252" spans="1:89">
      <c r="A3252" t="s">
        <v>3198</v>
      </c>
      <c r="B3252" t="s">
        <v>374</v>
      </c>
      <c r="C3252" t="s">
        <v>3199</v>
      </c>
      <c r="D3252" t="s">
        <v>3200</v>
      </c>
      <c r="E3252" t="s">
        <v>3201</v>
      </c>
      <c r="F3252" s="13">
        <v>44607.517060185186</v>
      </c>
      <c r="G3252" t="s">
        <v>3202</v>
      </c>
      <c r="H3252" t="s">
        <v>3203</v>
      </c>
      <c r="I3252" s="13">
        <v>45012.043796296297</v>
      </c>
      <c r="K3252" t="s">
        <v>415</v>
      </c>
      <c r="M3252" s="13">
        <v>44681</v>
      </c>
      <c r="R3252">
        <v>0</v>
      </c>
      <c r="S3252" t="s">
        <v>416</v>
      </c>
      <c r="T3252" t="s">
        <v>57</v>
      </c>
      <c r="V3252" t="s">
        <v>478</v>
      </c>
      <c r="W3252" t="s">
        <v>3204</v>
      </c>
      <c r="X3252" t="s">
        <v>3204</v>
      </c>
      <c r="AC3252" s="13">
        <v>44681</v>
      </c>
      <c r="AD3252" s="13">
        <v>44681</v>
      </c>
      <c r="AF3252" t="s">
        <v>451</v>
      </c>
      <c r="AI3252">
        <v>-331</v>
      </c>
      <c r="AL3252" t="s">
        <v>3205</v>
      </c>
      <c r="AN3252" t="s">
        <v>31</v>
      </c>
      <c r="AO3252">
        <v>0</v>
      </c>
      <c r="AS3252" t="s">
        <v>526</v>
      </c>
      <c r="AX3252" t="s">
        <v>57</v>
      </c>
      <c r="AY3252" t="s">
        <v>386</v>
      </c>
      <c r="AZ3252" t="s">
        <v>3206</v>
      </c>
      <c r="BF3252">
        <v>0</v>
      </c>
      <c r="BK3252" t="s">
        <v>31</v>
      </c>
      <c r="BS3252" t="s">
        <v>419</v>
      </c>
      <c r="BT3252" t="s">
        <v>419</v>
      </c>
      <c r="CI3252" t="s">
        <v>388</v>
      </c>
      <c r="CJ3252" s="14">
        <v>45016</v>
      </c>
      <c r="CK3252">
        <v>1</v>
      </c>
    </row>
    <row r="3253" spans="1:89">
      <c r="A3253" t="s">
        <v>3198</v>
      </c>
      <c r="B3253" t="s">
        <v>374</v>
      </c>
      <c r="C3253" t="s">
        <v>3199</v>
      </c>
      <c r="D3253" t="s">
        <v>3207</v>
      </c>
      <c r="E3253" t="s">
        <v>3208</v>
      </c>
      <c r="F3253" s="13">
        <v>44606.772013888891</v>
      </c>
      <c r="G3253" t="s">
        <v>3202</v>
      </c>
      <c r="H3253" t="s">
        <v>3203</v>
      </c>
      <c r="I3253" s="13">
        <v>45012.04378472222</v>
      </c>
      <c r="K3253" t="s">
        <v>415</v>
      </c>
      <c r="M3253" s="13">
        <v>44651</v>
      </c>
      <c r="R3253">
        <v>0</v>
      </c>
      <c r="S3253" t="s">
        <v>380</v>
      </c>
      <c r="T3253" t="s">
        <v>57</v>
      </c>
      <c r="V3253" t="s">
        <v>478</v>
      </c>
      <c r="W3253" t="s">
        <v>3209</v>
      </c>
      <c r="X3253" t="s">
        <v>3209</v>
      </c>
      <c r="AC3253" s="13">
        <v>44651</v>
      </c>
      <c r="AD3253" s="13">
        <v>44651</v>
      </c>
      <c r="AF3253" t="s">
        <v>451</v>
      </c>
      <c r="AG3253" t="s">
        <v>3210</v>
      </c>
      <c r="AI3253">
        <v>-361</v>
      </c>
      <c r="AL3253" t="s">
        <v>3211</v>
      </c>
      <c r="AN3253" t="s">
        <v>31</v>
      </c>
      <c r="AO3253">
        <v>0</v>
      </c>
      <c r="AS3253" t="s">
        <v>702</v>
      </c>
      <c r="AX3253" t="s">
        <v>57</v>
      </c>
      <c r="AY3253" t="s">
        <v>386</v>
      </c>
      <c r="AZ3253" t="s">
        <v>3212</v>
      </c>
      <c r="BF3253">
        <v>0</v>
      </c>
      <c r="BK3253" t="s">
        <v>31</v>
      </c>
      <c r="BS3253" t="s">
        <v>419</v>
      </c>
      <c r="BT3253" t="s">
        <v>419</v>
      </c>
      <c r="CI3253" t="s">
        <v>388</v>
      </c>
      <c r="CJ3253" s="14">
        <v>45016</v>
      </c>
      <c r="CK3253">
        <v>1</v>
      </c>
    </row>
    <row r="3254" spans="1:89">
      <c r="A3254" t="s">
        <v>3198</v>
      </c>
      <c r="B3254" t="s">
        <v>374</v>
      </c>
      <c r="C3254" t="s">
        <v>3199</v>
      </c>
      <c r="D3254" t="s">
        <v>3213</v>
      </c>
      <c r="E3254" t="s">
        <v>3214</v>
      </c>
      <c r="F3254" s="13">
        <v>44606.702233796299</v>
      </c>
      <c r="G3254" t="s">
        <v>3202</v>
      </c>
      <c r="H3254" t="s">
        <v>3203</v>
      </c>
      <c r="I3254" s="13">
        <v>45012.04378472222</v>
      </c>
      <c r="K3254" t="s">
        <v>415</v>
      </c>
      <c r="M3254" s="13">
        <v>44651</v>
      </c>
      <c r="R3254">
        <v>0</v>
      </c>
      <c r="S3254" t="s">
        <v>380</v>
      </c>
      <c r="T3254" t="s">
        <v>57</v>
      </c>
      <c r="V3254" t="s">
        <v>478</v>
      </c>
      <c r="W3254" t="s">
        <v>3215</v>
      </c>
      <c r="X3254" t="s">
        <v>3215</v>
      </c>
      <c r="AC3254" s="13">
        <v>44651</v>
      </c>
      <c r="AD3254" s="13">
        <v>44651</v>
      </c>
      <c r="AF3254" t="s">
        <v>451</v>
      </c>
      <c r="AG3254" t="s">
        <v>3216</v>
      </c>
      <c r="AI3254">
        <v>-361</v>
      </c>
      <c r="AL3254" t="s">
        <v>3217</v>
      </c>
      <c r="AN3254" t="s">
        <v>31</v>
      </c>
      <c r="AO3254">
        <v>0</v>
      </c>
      <c r="AS3254" t="s">
        <v>538</v>
      </c>
      <c r="AX3254" t="s">
        <v>57</v>
      </c>
      <c r="AY3254" t="s">
        <v>386</v>
      </c>
      <c r="AZ3254" t="s">
        <v>3218</v>
      </c>
      <c r="BF3254">
        <v>0</v>
      </c>
      <c r="BK3254" t="s">
        <v>31</v>
      </c>
      <c r="BS3254" t="s">
        <v>419</v>
      </c>
      <c r="BT3254" t="s">
        <v>419</v>
      </c>
      <c r="CI3254" t="s">
        <v>388</v>
      </c>
      <c r="CJ3254" s="14">
        <v>45016</v>
      </c>
      <c r="CK3254">
        <v>1</v>
      </c>
    </row>
    <row r="3255" spans="1:89">
      <c r="A3255" t="s">
        <v>1579</v>
      </c>
      <c r="B3255" t="s">
        <v>374</v>
      </c>
      <c r="C3255" t="s">
        <v>1580</v>
      </c>
      <c r="D3255" t="s">
        <v>3219</v>
      </c>
      <c r="E3255" t="s">
        <v>3220</v>
      </c>
      <c r="F3255" s="13">
        <v>44606.692835648151</v>
      </c>
      <c r="G3255" t="s">
        <v>1583</v>
      </c>
      <c r="H3255" t="s">
        <v>1584</v>
      </c>
      <c r="I3255" s="13">
        <v>45012.04378472222</v>
      </c>
      <c r="K3255" t="s">
        <v>415</v>
      </c>
      <c r="M3255" s="13">
        <v>44712</v>
      </c>
      <c r="R3255">
        <v>0</v>
      </c>
      <c r="S3255" t="s">
        <v>380</v>
      </c>
      <c r="T3255" t="s">
        <v>57</v>
      </c>
      <c r="V3255" t="s">
        <v>478</v>
      </c>
      <c r="W3255" t="s">
        <v>3142</v>
      </c>
      <c r="X3255" t="s">
        <v>3142</v>
      </c>
      <c r="AF3255" t="s">
        <v>451</v>
      </c>
      <c r="AI3255">
        <v>-300</v>
      </c>
      <c r="AL3255" t="s">
        <v>3221</v>
      </c>
      <c r="AN3255" t="s">
        <v>31</v>
      </c>
      <c r="AO3255">
        <v>0</v>
      </c>
      <c r="AS3255" t="s">
        <v>526</v>
      </c>
      <c r="AX3255" t="s">
        <v>31</v>
      </c>
      <c r="AY3255" t="s">
        <v>442</v>
      </c>
      <c r="AZ3255" t="s">
        <v>3222</v>
      </c>
      <c r="BF3255">
        <v>0</v>
      </c>
      <c r="BK3255" t="s">
        <v>31</v>
      </c>
      <c r="BS3255" t="s">
        <v>419</v>
      </c>
      <c r="BT3255" t="s">
        <v>419</v>
      </c>
      <c r="CI3255" t="s">
        <v>388</v>
      </c>
      <c r="CJ3255" s="14">
        <v>45016</v>
      </c>
      <c r="CK3255">
        <v>1</v>
      </c>
    </row>
    <row r="3256" spans="1:89">
      <c r="A3256" t="s">
        <v>3198</v>
      </c>
      <c r="B3256" t="s">
        <v>374</v>
      </c>
      <c r="C3256" t="s">
        <v>3199</v>
      </c>
      <c r="D3256" t="s">
        <v>3223</v>
      </c>
      <c r="E3256" t="s">
        <v>3224</v>
      </c>
      <c r="F3256" s="13">
        <v>44606.676724537036</v>
      </c>
      <c r="G3256" t="s">
        <v>3202</v>
      </c>
      <c r="H3256" t="s">
        <v>3203</v>
      </c>
      <c r="I3256" s="13">
        <v>45012.04378472222</v>
      </c>
      <c r="K3256" t="s">
        <v>415</v>
      </c>
      <c r="M3256" s="13">
        <v>44651</v>
      </c>
      <c r="R3256">
        <v>50</v>
      </c>
      <c r="S3256" t="s">
        <v>380</v>
      </c>
      <c r="T3256" t="s">
        <v>57</v>
      </c>
      <c r="V3256" t="s">
        <v>478</v>
      </c>
      <c r="W3256" t="s">
        <v>3209</v>
      </c>
      <c r="X3256" t="s">
        <v>3209</v>
      </c>
      <c r="AC3256" s="13">
        <v>44651</v>
      </c>
      <c r="AD3256" s="13">
        <v>44651</v>
      </c>
      <c r="AF3256" t="s">
        <v>451</v>
      </c>
      <c r="AG3256" t="s">
        <v>3225</v>
      </c>
      <c r="AI3256">
        <v>-361</v>
      </c>
      <c r="AL3256" t="s">
        <v>3226</v>
      </c>
      <c r="AN3256" t="s">
        <v>57</v>
      </c>
      <c r="AO3256">
        <v>0</v>
      </c>
      <c r="AS3256" t="s">
        <v>461</v>
      </c>
      <c r="AX3256" t="s">
        <v>57</v>
      </c>
      <c r="AY3256" t="s">
        <v>386</v>
      </c>
      <c r="AZ3256" t="s">
        <v>3227</v>
      </c>
      <c r="BF3256">
        <v>0</v>
      </c>
      <c r="BK3256" t="s">
        <v>31</v>
      </c>
      <c r="BS3256" t="s">
        <v>419</v>
      </c>
      <c r="BT3256" t="s">
        <v>419</v>
      </c>
      <c r="CI3256" t="s">
        <v>388</v>
      </c>
      <c r="CJ3256" s="14">
        <v>45016</v>
      </c>
      <c r="CK3256">
        <v>1</v>
      </c>
    </row>
    <row r="3257" spans="1:89">
      <c r="A3257" t="s">
        <v>2368</v>
      </c>
      <c r="B3257" t="s">
        <v>374</v>
      </c>
      <c r="C3257" t="s">
        <v>2369</v>
      </c>
      <c r="D3257" t="s">
        <v>3228</v>
      </c>
      <c r="E3257" t="s">
        <v>3229</v>
      </c>
      <c r="F3257" s="13">
        <v>44606.51221064815</v>
      </c>
      <c r="G3257" t="s">
        <v>3155</v>
      </c>
      <c r="H3257" t="s">
        <v>3156</v>
      </c>
      <c r="I3257" s="13">
        <v>45012.043773148151</v>
      </c>
      <c r="K3257" t="s">
        <v>415</v>
      </c>
      <c r="M3257" s="13">
        <v>44651</v>
      </c>
      <c r="R3257">
        <v>40</v>
      </c>
      <c r="S3257" t="s">
        <v>380</v>
      </c>
      <c r="T3257" t="s">
        <v>57</v>
      </c>
      <c r="V3257" t="s">
        <v>478</v>
      </c>
      <c r="W3257" t="s">
        <v>2374</v>
      </c>
      <c r="X3257" t="s">
        <v>2374</v>
      </c>
      <c r="AF3257" t="s">
        <v>451</v>
      </c>
      <c r="AG3257" t="s">
        <v>3230</v>
      </c>
      <c r="AH3257" t="s">
        <v>57</v>
      </c>
      <c r="AI3257">
        <v>-271</v>
      </c>
      <c r="AL3257" t="s">
        <v>3231</v>
      </c>
      <c r="AN3257" t="s">
        <v>31</v>
      </c>
      <c r="AO3257">
        <v>1</v>
      </c>
      <c r="AS3257" t="s">
        <v>730</v>
      </c>
      <c r="AX3257" t="s">
        <v>31</v>
      </c>
      <c r="AY3257" t="s">
        <v>442</v>
      </c>
      <c r="AZ3257" t="s">
        <v>3232</v>
      </c>
      <c r="BF3257">
        <v>0</v>
      </c>
      <c r="BK3257" t="s">
        <v>31</v>
      </c>
      <c r="BS3257" t="s">
        <v>419</v>
      </c>
      <c r="BT3257" t="s">
        <v>3233</v>
      </c>
      <c r="CI3257" t="s">
        <v>388</v>
      </c>
      <c r="CJ3257" s="14">
        <v>45016</v>
      </c>
      <c r="CK3257">
        <v>1</v>
      </c>
    </row>
    <row r="3258" spans="1:89">
      <c r="A3258" t="s">
        <v>3198</v>
      </c>
      <c r="B3258" t="s">
        <v>374</v>
      </c>
      <c r="C3258" t="s">
        <v>3199</v>
      </c>
      <c r="D3258" t="s">
        <v>3234</v>
      </c>
      <c r="E3258" t="s">
        <v>3235</v>
      </c>
      <c r="F3258" s="13">
        <v>44606.471655092595</v>
      </c>
      <c r="G3258" t="s">
        <v>3202</v>
      </c>
      <c r="H3258" t="s">
        <v>3203</v>
      </c>
      <c r="I3258" s="13">
        <v>45012.043773148151</v>
      </c>
      <c r="K3258" t="s">
        <v>415</v>
      </c>
      <c r="M3258" s="13">
        <v>44651</v>
      </c>
      <c r="R3258">
        <v>50</v>
      </c>
      <c r="S3258" t="s">
        <v>380</v>
      </c>
      <c r="T3258" t="s">
        <v>57</v>
      </c>
      <c r="V3258" t="s">
        <v>478</v>
      </c>
      <c r="W3258" t="s">
        <v>3209</v>
      </c>
      <c r="X3258" t="s">
        <v>3209</v>
      </c>
      <c r="AC3258" s="13">
        <v>44651</v>
      </c>
      <c r="AD3258" s="13">
        <v>44651</v>
      </c>
      <c r="AF3258" t="s">
        <v>451</v>
      </c>
      <c r="AG3258" t="s">
        <v>3225</v>
      </c>
      <c r="AI3258">
        <v>-361</v>
      </c>
      <c r="AL3258" t="s">
        <v>3236</v>
      </c>
      <c r="AN3258" t="s">
        <v>57</v>
      </c>
      <c r="AO3258">
        <v>0</v>
      </c>
      <c r="AS3258" t="s">
        <v>461</v>
      </c>
      <c r="AX3258" t="s">
        <v>57</v>
      </c>
      <c r="AY3258" t="s">
        <v>386</v>
      </c>
      <c r="AZ3258" t="s">
        <v>3237</v>
      </c>
      <c r="BF3258">
        <v>0</v>
      </c>
      <c r="BK3258" t="s">
        <v>31</v>
      </c>
      <c r="BS3258" t="s">
        <v>419</v>
      </c>
      <c r="BT3258" t="s">
        <v>419</v>
      </c>
      <c r="CI3258" t="s">
        <v>388</v>
      </c>
      <c r="CJ3258" s="14">
        <v>45016</v>
      </c>
      <c r="CK3258">
        <v>1</v>
      </c>
    </row>
    <row r="3259" spans="1:89">
      <c r="A3259" t="s">
        <v>3198</v>
      </c>
      <c r="B3259" t="s">
        <v>374</v>
      </c>
      <c r="C3259" t="s">
        <v>3199</v>
      </c>
      <c r="D3259" t="s">
        <v>3238</v>
      </c>
      <c r="E3259" t="s">
        <v>3239</v>
      </c>
      <c r="F3259" s="13">
        <v>44606.396562499998</v>
      </c>
      <c r="G3259" t="s">
        <v>3202</v>
      </c>
      <c r="H3259" t="s">
        <v>3203</v>
      </c>
      <c r="I3259" s="13">
        <v>45012.043773148151</v>
      </c>
      <c r="K3259" t="s">
        <v>415</v>
      </c>
      <c r="M3259" s="13">
        <v>44651</v>
      </c>
      <c r="R3259">
        <v>0</v>
      </c>
      <c r="S3259" t="s">
        <v>380</v>
      </c>
      <c r="T3259" t="s">
        <v>57</v>
      </c>
      <c r="V3259" t="s">
        <v>478</v>
      </c>
      <c r="W3259" t="s">
        <v>3209</v>
      </c>
      <c r="X3259" t="s">
        <v>3209</v>
      </c>
      <c r="AC3259" s="13">
        <v>44651</v>
      </c>
      <c r="AD3259" s="13">
        <v>44651</v>
      </c>
      <c r="AF3259" t="s">
        <v>451</v>
      </c>
      <c r="AG3259" t="s">
        <v>3210</v>
      </c>
      <c r="AI3259">
        <v>-361</v>
      </c>
      <c r="AL3259" t="s">
        <v>3240</v>
      </c>
      <c r="AN3259" t="s">
        <v>57</v>
      </c>
      <c r="AO3259">
        <v>0</v>
      </c>
      <c r="AS3259" t="s">
        <v>392</v>
      </c>
      <c r="AX3259" t="s">
        <v>57</v>
      </c>
      <c r="AY3259" t="s">
        <v>386</v>
      </c>
      <c r="AZ3259" t="s">
        <v>3241</v>
      </c>
      <c r="BF3259">
        <v>0</v>
      </c>
      <c r="BK3259" t="s">
        <v>31</v>
      </c>
      <c r="BS3259" t="s">
        <v>419</v>
      </c>
      <c r="BT3259" t="s">
        <v>419</v>
      </c>
      <c r="CI3259" t="s">
        <v>388</v>
      </c>
      <c r="CJ3259" s="14">
        <v>45016</v>
      </c>
      <c r="CK3259">
        <v>1</v>
      </c>
    </row>
    <row r="3260" spans="1:89">
      <c r="A3260" t="s">
        <v>3088</v>
      </c>
      <c r="B3260" t="s">
        <v>374</v>
      </c>
      <c r="C3260" t="s">
        <v>3089</v>
      </c>
      <c r="D3260" t="s">
        <v>3242</v>
      </c>
      <c r="E3260" t="s">
        <v>3243</v>
      </c>
      <c r="F3260" s="13">
        <v>44604.950104166666</v>
      </c>
      <c r="G3260" t="s">
        <v>3092</v>
      </c>
      <c r="H3260" t="s">
        <v>3093</v>
      </c>
      <c r="I3260" s="13">
        <v>44620.642569444448</v>
      </c>
      <c r="K3260" t="s">
        <v>409</v>
      </c>
      <c r="R3260">
        <v>0</v>
      </c>
      <c r="S3260" t="s">
        <v>416</v>
      </c>
      <c r="T3260" t="s">
        <v>57</v>
      </c>
      <c r="V3260" t="s">
        <v>381</v>
      </c>
      <c r="W3260" t="s">
        <v>3244</v>
      </c>
      <c r="X3260" t="s">
        <v>3244</v>
      </c>
      <c r="AC3260" s="13">
        <v>44834</v>
      </c>
      <c r="AD3260" s="13">
        <v>44742</v>
      </c>
      <c r="AI3260">
        <v>503</v>
      </c>
      <c r="AL3260" t="s">
        <v>3245</v>
      </c>
      <c r="AN3260" t="s">
        <v>31</v>
      </c>
      <c r="AO3260">
        <v>0</v>
      </c>
      <c r="AS3260" t="s">
        <v>392</v>
      </c>
      <c r="AX3260" t="s">
        <v>31</v>
      </c>
      <c r="AY3260" t="s">
        <v>442</v>
      </c>
      <c r="AZ3260" t="s">
        <v>3246</v>
      </c>
      <c r="BF3260">
        <v>0</v>
      </c>
      <c r="BK3260" t="s">
        <v>31</v>
      </c>
      <c r="BS3260" t="s">
        <v>409</v>
      </c>
      <c r="BT3260" t="s">
        <v>409</v>
      </c>
      <c r="CI3260" t="s">
        <v>388</v>
      </c>
      <c r="CJ3260" s="14">
        <v>45016</v>
      </c>
      <c r="CK3260">
        <v>1</v>
      </c>
    </row>
    <row r="3261" spans="1:89">
      <c r="A3261" t="s">
        <v>3088</v>
      </c>
      <c r="B3261" t="s">
        <v>374</v>
      </c>
      <c r="C3261" t="s">
        <v>3089</v>
      </c>
      <c r="D3261" t="s">
        <v>3247</v>
      </c>
      <c r="E3261" t="s">
        <v>3248</v>
      </c>
      <c r="F3261" s="13">
        <v>44604.892106481479</v>
      </c>
      <c r="G3261" t="s">
        <v>3092</v>
      </c>
      <c r="H3261" t="s">
        <v>3093</v>
      </c>
      <c r="I3261" s="13">
        <v>45012.043773148151</v>
      </c>
      <c r="K3261" t="s">
        <v>415</v>
      </c>
      <c r="M3261" s="13">
        <v>44651</v>
      </c>
      <c r="R3261">
        <v>30</v>
      </c>
      <c r="S3261" t="s">
        <v>380</v>
      </c>
      <c r="T3261" t="s">
        <v>57</v>
      </c>
      <c r="V3261" t="s">
        <v>478</v>
      </c>
      <c r="W3261" t="s">
        <v>3249</v>
      </c>
      <c r="X3261" t="s">
        <v>3249</v>
      </c>
      <c r="AC3261" s="13">
        <v>44651</v>
      </c>
      <c r="AD3261" s="13">
        <v>44651</v>
      </c>
      <c r="AF3261" t="s">
        <v>451</v>
      </c>
      <c r="AG3261" t="s">
        <v>3250</v>
      </c>
      <c r="AI3261">
        <v>-361</v>
      </c>
      <c r="AL3261" t="s">
        <v>3251</v>
      </c>
      <c r="AN3261" t="s">
        <v>31</v>
      </c>
      <c r="AO3261">
        <v>0</v>
      </c>
      <c r="AS3261" t="s">
        <v>392</v>
      </c>
      <c r="AX3261" t="s">
        <v>31</v>
      </c>
      <c r="AY3261" t="s">
        <v>386</v>
      </c>
      <c r="AZ3261" t="s">
        <v>3252</v>
      </c>
      <c r="BF3261">
        <v>0</v>
      </c>
      <c r="BK3261" t="s">
        <v>31</v>
      </c>
      <c r="BS3261" t="s">
        <v>419</v>
      </c>
      <c r="BT3261" t="s">
        <v>419</v>
      </c>
      <c r="CI3261" t="s">
        <v>388</v>
      </c>
      <c r="CJ3261" s="14">
        <v>45016</v>
      </c>
      <c r="CK3261">
        <v>1</v>
      </c>
    </row>
    <row r="3262" spans="1:89">
      <c r="A3262" t="s">
        <v>3088</v>
      </c>
      <c r="B3262" t="s">
        <v>374</v>
      </c>
      <c r="C3262" t="s">
        <v>3089</v>
      </c>
      <c r="D3262" t="s">
        <v>3253</v>
      </c>
      <c r="E3262" t="s">
        <v>3254</v>
      </c>
      <c r="F3262" s="13">
        <v>44603.497627314813</v>
      </c>
      <c r="G3262" t="s">
        <v>3092</v>
      </c>
      <c r="H3262" t="s">
        <v>3093</v>
      </c>
      <c r="I3262" s="13">
        <v>45012.043761574074</v>
      </c>
      <c r="K3262" t="s">
        <v>415</v>
      </c>
      <c r="M3262" s="13">
        <v>44651</v>
      </c>
      <c r="R3262">
        <v>0</v>
      </c>
      <c r="S3262" t="s">
        <v>380</v>
      </c>
      <c r="T3262" t="s">
        <v>57</v>
      </c>
      <c r="V3262" t="s">
        <v>478</v>
      </c>
      <c r="W3262" t="s">
        <v>3255</v>
      </c>
      <c r="X3262" t="s">
        <v>3255</v>
      </c>
      <c r="AF3262" t="s">
        <v>451</v>
      </c>
      <c r="AG3262" t="s">
        <v>451</v>
      </c>
      <c r="AI3262">
        <v>-361</v>
      </c>
      <c r="AL3262" t="s">
        <v>3256</v>
      </c>
      <c r="AN3262" t="s">
        <v>31</v>
      </c>
      <c r="AO3262">
        <v>0</v>
      </c>
      <c r="AS3262" t="s">
        <v>392</v>
      </c>
      <c r="AX3262" t="s">
        <v>31</v>
      </c>
      <c r="AY3262" t="s">
        <v>442</v>
      </c>
      <c r="AZ3262" t="s">
        <v>3257</v>
      </c>
      <c r="BF3262">
        <v>0</v>
      </c>
      <c r="BK3262" t="s">
        <v>31</v>
      </c>
      <c r="BS3262" t="s">
        <v>419</v>
      </c>
      <c r="BT3262" t="s">
        <v>419</v>
      </c>
      <c r="CI3262" t="s">
        <v>388</v>
      </c>
      <c r="CJ3262" s="14">
        <v>45016</v>
      </c>
      <c r="CK3262">
        <v>1</v>
      </c>
    </row>
    <row r="3263" spans="1:89">
      <c r="A3263" t="s">
        <v>3258</v>
      </c>
      <c r="B3263" t="s">
        <v>374</v>
      </c>
      <c r="C3263" t="s">
        <v>3259</v>
      </c>
      <c r="D3263" t="s">
        <v>3260</v>
      </c>
      <c r="E3263" t="s">
        <v>3261</v>
      </c>
      <c r="F3263" s="13">
        <v>44603.412349537037</v>
      </c>
      <c r="G3263" t="s">
        <v>3262</v>
      </c>
      <c r="H3263" t="s">
        <v>3263</v>
      </c>
      <c r="I3263" s="13">
        <v>44603.412986111114</v>
      </c>
      <c r="K3263" t="s">
        <v>412</v>
      </c>
      <c r="R3263">
        <v>0</v>
      </c>
      <c r="S3263" t="s">
        <v>380</v>
      </c>
      <c r="T3263" t="s">
        <v>57</v>
      </c>
      <c r="V3263" t="s">
        <v>381</v>
      </c>
      <c r="W3263" t="s">
        <v>3264</v>
      </c>
      <c r="X3263" t="s">
        <v>3264</v>
      </c>
      <c r="AI3263">
        <v>17</v>
      </c>
      <c r="AL3263" t="s">
        <v>3265</v>
      </c>
      <c r="AN3263" t="s">
        <v>31</v>
      </c>
      <c r="AO3263">
        <v>0</v>
      </c>
      <c r="AS3263" t="s">
        <v>538</v>
      </c>
      <c r="AU3263" t="s">
        <v>57</v>
      </c>
      <c r="AX3263" t="s">
        <v>31</v>
      </c>
      <c r="AY3263" t="s">
        <v>442</v>
      </c>
      <c r="AZ3263" t="s">
        <v>3266</v>
      </c>
      <c r="BF3263">
        <v>0</v>
      </c>
      <c r="BK3263" t="s">
        <v>31</v>
      </c>
      <c r="BS3263" t="s">
        <v>412</v>
      </c>
      <c r="BT3263" t="s">
        <v>412</v>
      </c>
      <c r="CI3263" t="s">
        <v>388</v>
      </c>
      <c r="CJ3263" s="14">
        <v>45016</v>
      </c>
      <c r="CK3263">
        <v>1</v>
      </c>
    </row>
    <row r="3264" spans="1:89">
      <c r="A3264" t="s">
        <v>2797</v>
      </c>
      <c r="B3264" t="s">
        <v>374</v>
      </c>
      <c r="C3264" t="s">
        <v>2798</v>
      </c>
      <c r="D3264" t="s">
        <v>3267</v>
      </c>
      <c r="E3264" t="s">
        <v>3268</v>
      </c>
      <c r="F3264" s="13">
        <v>44602.737974537034</v>
      </c>
      <c r="G3264" t="s">
        <v>3269</v>
      </c>
      <c r="H3264" t="s">
        <v>3270</v>
      </c>
      <c r="I3264" s="13">
        <v>45012.043761574074</v>
      </c>
      <c r="K3264" t="s">
        <v>415</v>
      </c>
      <c r="M3264" s="13">
        <v>44651</v>
      </c>
      <c r="R3264">
        <v>0</v>
      </c>
      <c r="S3264" t="s">
        <v>416</v>
      </c>
      <c r="T3264" t="s">
        <v>57</v>
      </c>
      <c r="V3264" t="s">
        <v>478</v>
      </c>
      <c r="W3264" t="s">
        <v>3271</v>
      </c>
      <c r="X3264" t="s">
        <v>3271</v>
      </c>
      <c r="Y3264" t="s">
        <v>480</v>
      </c>
      <c r="AC3264" s="13">
        <v>44561</v>
      </c>
      <c r="AD3264" s="13">
        <v>44561</v>
      </c>
      <c r="AF3264" t="s">
        <v>451</v>
      </c>
      <c r="AG3264" t="s">
        <v>3272</v>
      </c>
      <c r="AI3264">
        <v>-361</v>
      </c>
      <c r="AL3264" t="s">
        <v>3273</v>
      </c>
      <c r="AN3264" t="s">
        <v>31</v>
      </c>
      <c r="AO3264">
        <v>0</v>
      </c>
      <c r="AS3264" t="s">
        <v>385</v>
      </c>
      <c r="AT3264" t="s">
        <v>31</v>
      </c>
      <c r="AX3264" t="s">
        <v>31</v>
      </c>
      <c r="AY3264" t="s">
        <v>386</v>
      </c>
      <c r="AZ3264" t="s">
        <v>3274</v>
      </c>
      <c r="BF3264">
        <v>0</v>
      </c>
      <c r="BK3264" t="s">
        <v>31</v>
      </c>
      <c r="BS3264" t="s">
        <v>484</v>
      </c>
      <c r="BT3264" t="s">
        <v>484</v>
      </c>
      <c r="CI3264" t="s">
        <v>388</v>
      </c>
      <c r="CJ3264" s="14">
        <v>45016</v>
      </c>
      <c r="CK3264">
        <v>1</v>
      </c>
    </row>
    <row r="3265" spans="1:89">
      <c r="A3265" t="s">
        <v>2797</v>
      </c>
      <c r="B3265" t="s">
        <v>374</v>
      </c>
      <c r="C3265" t="s">
        <v>2798</v>
      </c>
      <c r="D3265" t="s">
        <v>3275</v>
      </c>
      <c r="E3265" t="s">
        <v>3276</v>
      </c>
      <c r="F3265" s="13">
        <v>44602.663553240738</v>
      </c>
      <c r="G3265" t="s">
        <v>3269</v>
      </c>
      <c r="H3265" t="s">
        <v>3270</v>
      </c>
      <c r="I3265" s="13">
        <v>45012.043761574074</v>
      </c>
      <c r="K3265" t="s">
        <v>415</v>
      </c>
      <c r="M3265" s="13">
        <v>44651</v>
      </c>
      <c r="R3265">
        <v>0</v>
      </c>
      <c r="S3265" t="s">
        <v>380</v>
      </c>
      <c r="T3265" t="s">
        <v>57</v>
      </c>
      <c r="V3265" t="s">
        <v>478</v>
      </c>
      <c r="W3265" t="s">
        <v>3271</v>
      </c>
      <c r="X3265" t="s">
        <v>3271</v>
      </c>
      <c r="AC3265" s="13">
        <v>44561</v>
      </c>
      <c r="AD3265" s="13">
        <v>44561</v>
      </c>
      <c r="AF3265" t="s">
        <v>451</v>
      </c>
      <c r="AI3265">
        <v>-361</v>
      </c>
      <c r="AL3265" t="s">
        <v>3277</v>
      </c>
      <c r="AN3265" t="s">
        <v>31</v>
      </c>
      <c r="AO3265">
        <v>0</v>
      </c>
      <c r="AS3265" t="s">
        <v>730</v>
      </c>
      <c r="AX3265" t="s">
        <v>31</v>
      </c>
      <c r="AY3265" t="s">
        <v>386</v>
      </c>
      <c r="AZ3265" t="s">
        <v>3278</v>
      </c>
      <c r="BF3265">
        <v>0</v>
      </c>
      <c r="BK3265" t="s">
        <v>31</v>
      </c>
      <c r="BS3265" t="s">
        <v>419</v>
      </c>
      <c r="BT3265" t="s">
        <v>419</v>
      </c>
      <c r="CI3265" t="s">
        <v>388</v>
      </c>
      <c r="CJ3265" s="14">
        <v>45016</v>
      </c>
      <c r="CK3265">
        <v>1</v>
      </c>
    </row>
    <row r="3266" spans="1:89">
      <c r="A3266" t="s">
        <v>2797</v>
      </c>
      <c r="B3266" t="s">
        <v>374</v>
      </c>
      <c r="C3266" t="s">
        <v>2798</v>
      </c>
      <c r="D3266" t="s">
        <v>3279</v>
      </c>
      <c r="E3266" t="s">
        <v>3280</v>
      </c>
      <c r="F3266" s="13">
        <v>44602.649826388886</v>
      </c>
      <c r="G3266" t="s">
        <v>3269</v>
      </c>
      <c r="H3266" t="s">
        <v>3270</v>
      </c>
      <c r="I3266" s="13">
        <v>45012.043749999997</v>
      </c>
      <c r="K3266" t="s">
        <v>415</v>
      </c>
      <c r="M3266" s="13">
        <v>44651</v>
      </c>
      <c r="R3266">
        <v>0</v>
      </c>
      <c r="S3266" t="s">
        <v>380</v>
      </c>
      <c r="T3266" t="s">
        <v>57</v>
      </c>
      <c r="V3266" t="s">
        <v>478</v>
      </c>
      <c r="W3266" t="s">
        <v>2828</v>
      </c>
      <c r="X3266" t="s">
        <v>2828</v>
      </c>
      <c r="AC3266" s="13">
        <v>44561</v>
      </c>
      <c r="AD3266" s="13">
        <v>44561</v>
      </c>
      <c r="AF3266" t="s">
        <v>451</v>
      </c>
      <c r="AI3266">
        <v>-361</v>
      </c>
      <c r="AL3266" t="s">
        <v>3281</v>
      </c>
      <c r="AN3266" t="s">
        <v>31</v>
      </c>
      <c r="AO3266">
        <v>0</v>
      </c>
      <c r="AS3266" t="s">
        <v>385</v>
      </c>
      <c r="AX3266" t="s">
        <v>31</v>
      </c>
      <c r="AY3266" t="s">
        <v>442</v>
      </c>
      <c r="AZ3266" t="s">
        <v>3282</v>
      </c>
      <c r="BF3266">
        <v>0</v>
      </c>
      <c r="BK3266" t="s">
        <v>31</v>
      </c>
      <c r="BS3266" t="s">
        <v>419</v>
      </c>
      <c r="BT3266" t="s">
        <v>419</v>
      </c>
      <c r="CI3266" t="s">
        <v>388</v>
      </c>
      <c r="CJ3266" s="14">
        <v>45016</v>
      </c>
      <c r="CK3266">
        <v>1</v>
      </c>
    </row>
    <row r="3267" spans="1:89">
      <c r="A3267" t="s">
        <v>2797</v>
      </c>
      <c r="B3267" t="s">
        <v>374</v>
      </c>
      <c r="C3267" t="s">
        <v>2798</v>
      </c>
      <c r="D3267" t="s">
        <v>3283</v>
      </c>
      <c r="E3267" t="s">
        <v>3284</v>
      </c>
      <c r="F3267" s="13">
        <v>44602.637650462966</v>
      </c>
      <c r="G3267" t="s">
        <v>3269</v>
      </c>
      <c r="H3267" t="s">
        <v>3270</v>
      </c>
      <c r="I3267" s="13">
        <v>45012.043749999997</v>
      </c>
      <c r="K3267" t="s">
        <v>415</v>
      </c>
      <c r="M3267" s="13">
        <v>44651</v>
      </c>
      <c r="R3267">
        <v>0</v>
      </c>
      <c r="S3267" t="s">
        <v>380</v>
      </c>
      <c r="T3267" t="s">
        <v>57</v>
      </c>
      <c r="V3267" t="s">
        <v>478</v>
      </c>
      <c r="W3267" t="s">
        <v>2828</v>
      </c>
      <c r="X3267" t="s">
        <v>2828</v>
      </c>
      <c r="AC3267" s="13">
        <v>44561</v>
      </c>
      <c r="AD3267" s="13">
        <v>44561</v>
      </c>
      <c r="AF3267" t="s">
        <v>451</v>
      </c>
      <c r="AI3267">
        <v>-361</v>
      </c>
      <c r="AL3267" t="s">
        <v>3285</v>
      </c>
      <c r="AN3267" t="s">
        <v>31</v>
      </c>
      <c r="AO3267">
        <v>0</v>
      </c>
      <c r="AS3267" t="s">
        <v>730</v>
      </c>
      <c r="AX3267" t="s">
        <v>31</v>
      </c>
      <c r="AY3267" t="s">
        <v>386</v>
      </c>
      <c r="AZ3267" t="s">
        <v>3286</v>
      </c>
      <c r="BF3267">
        <v>0</v>
      </c>
      <c r="BK3267" t="s">
        <v>31</v>
      </c>
      <c r="BS3267" t="s">
        <v>419</v>
      </c>
      <c r="BT3267" t="s">
        <v>419</v>
      </c>
      <c r="CI3267" t="s">
        <v>388</v>
      </c>
      <c r="CJ3267" s="14">
        <v>45016</v>
      </c>
      <c r="CK3267">
        <v>1</v>
      </c>
    </row>
    <row r="3268" spans="1:89">
      <c r="A3268" t="s">
        <v>2797</v>
      </c>
      <c r="B3268" t="s">
        <v>374</v>
      </c>
      <c r="C3268" t="s">
        <v>2798</v>
      </c>
      <c r="D3268" t="s">
        <v>3287</v>
      </c>
      <c r="E3268" t="s">
        <v>3288</v>
      </c>
      <c r="F3268" s="13">
        <v>44602.590196759258</v>
      </c>
      <c r="G3268" t="s">
        <v>3289</v>
      </c>
      <c r="H3268" t="s">
        <v>3290</v>
      </c>
      <c r="I3268" s="13">
        <v>45012.043749999997</v>
      </c>
      <c r="K3268" t="s">
        <v>415</v>
      </c>
      <c r="M3268" s="13">
        <v>44651</v>
      </c>
      <c r="R3268">
        <v>0</v>
      </c>
      <c r="S3268" t="s">
        <v>380</v>
      </c>
      <c r="T3268" t="s">
        <v>57</v>
      </c>
      <c r="V3268" t="s">
        <v>478</v>
      </c>
      <c r="W3268" t="s">
        <v>3271</v>
      </c>
      <c r="X3268" t="s">
        <v>3271</v>
      </c>
      <c r="AC3268" s="13">
        <v>44561</v>
      </c>
      <c r="AD3268" s="13">
        <v>44561</v>
      </c>
      <c r="AF3268" t="s">
        <v>451</v>
      </c>
      <c r="AI3268">
        <v>-361</v>
      </c>
      <c r="AL3268" t="s">
        <v>3291</v>
      </c>
      <c r="AN3268" t="s">
        <v>31</v>
      </c>
      <c r="AO3268">
        <v>0</v>
      </c>
      <c r="AS3268" t="s">
        <v>730</v>
      </c>
      <c r="AX3268" t="s">
        <v>31</v>
      </c>
      <c r="AY3268" t="s">
        <v>386</v>
      </c>
      <c r="AZ3268" t="s">
        <v>3292</v>
      </c>
      <c r="BF3268">
        <v>0</v>
      </c>
      <c r="BK3268" t="s">
        <v>31</v>
      </c>
      <c r="BS3268" t="s">
        <v>419</v>
      </c>
      <c r="BT3268" t="s">
        <v>419</v>
      </c>
      <c r="CI3268" t="s">
        <v>388</v>
      </c>
      <c r="CJ3268" s="14">
        <v>45016</v>
      </c>
      <c r="CK3268">
        <v>1</v>
      </c>
    </row>
    <row r="3269" spans="1:89">
      <c r="A3269" t="s">
        <v>2797</v>
      </c>
      <c r="B3269" t="s">
        <v>374</v>
      </c>
      <c r="C3269" t="s">
        <v>2798</v>
      </c>
      <c r="D3269" t="s">
        <v>3293</v>
      </c>
      <c r="E3269" t="s">
        <v>3294</v>
      </c>
      <c r="F3269" s="13">
        <v>44602.577986111108</v>
      </c>
      <c r="G3269" t="s">
        <v>3289</v>
      </c>
      <c r="H3269" t="s">
        <v>3290</v>
      </c>
      <c r="I3269" s="13">
        <v>45012.043749999997</v>
      </c>
      <c r="K3269" t="s">
        <v>415</v>
      </c>
      <c r="M3269" s="13">
        <v>44651</v>
      </c>
      <c r="R3269">
        <v>0</v>
      </c>
      <c r="S3269" t="s">
        <v>380</v>
      </c>
      <c r="T3269" t="s">
        <v>57</v>
      </c>
      <c r="V3269" t="s">
        <v>478</v>
      </c>
      <c r="W3269" t="s">
        <v>3271</v>
      </c>
      <c r="X3269" t="s">
        <v>3271</v>
      </c>
      <c r="AC3269" s="13">
        <v>44561</v>
      </c>
      <c r="AD3269" s="13">
        <v>44561</v>
      </c>
      <c r="AF3269" t="s">
        <v>451</v>
      </c>
      <c r="AI3269">
        <v>-361</v>
      </c>
      <c r="AL3269" t="s">
        <v>3295</v>
      </c>
      <c r="AN3269" t="s">
        <v>31</v>
      </c>
      <c r="AO3269">
        <v>0</v>
      </c>
      <c r="AS3269" t="s">
        <v>702</v>
      </c>
      <c r="AX3269" t="s">
        <v>31</v>
      </c>
      <c r="AY3269" t="s">
        <v>386</v>
      </c>
      <c r="AZ3269" t="s">
        <v>3296</v>
      </c>
      <c r="BF3269">
        <v>0</v>
      </c>
      <c r="BK3269" t="s">
        <v>31</v>
      </c>
      <c r="BS3269" t="s">
        <v>419</v>
      </c>
      <c r="BT3269" t="s">
        <v>419</v>
      </c>
      <c r="CI3269" t="s">
        <v>388</v>
      </c>
      <c r="CJ3269" s="14">
        <v>45016</v>
      </c>
      <c r="CK3269">
        <v>1</v>
      </c>
    </row>
    <row r="3270" spans="1:89">
      <c r="A3270" t="s">
        <v>2797</v>
      </c>
      <c r="B3270" t="s">
        <v>374</v>
      </c>
      <c r="C3270" t="s">
        <v>2798</v>
      </c>
      <c r="D3270" t="s">
        <v>3297</v>
      </c>
      <c r="E3270" t="s">
        <v>3298</v>
      </c>
      <c r="F3270" s="13">
        <v>44602.567696759259</v>
      </c>
      <c r="G3270" t="s">
        <v>3269</v>
      </c>
      <c r="H3270" t="s">
        <v>3270</v>
      </c>
      <c r="I3270" s="13">
        <v>44602.740231481483</v>
      </c>
      <c r="K3270" t="s">
        <v>409</v>
      </c>
      <c r="R3270">
        <v>0</v>
      </c>
      <c r="S3270" t="s">
        <v>416</v>
      </c>
      <c r="T3270" t="s">
        <v>57</v>
      </c>
      <c r="V3270" t="s">
        <v>381</v>
      </c>
      <c r="W3270" t="s">
        <v>3271</v>
      </c>
      <c r="X3270" t="s">
        <v>3271</v>
      </c>
      <c r="AC3270" s="13">
        <v>44561</v>
      </c>
      <c r="AD3270" s="13">
        <v>44561</v>
      </c>
      <c r="AI3270">
        <v>49</v>
      </c>
      <c r="AL3270" t="s">
        <v>3299</v>
      </c>
      <c r="AN3270" t="s">
        <v>31</v>
      </c>
      <c r="AO3270">
        <v>0</v>
      </c>
      <c r="AS3270" t="s">
        <v>730</v>
      </c>
      <c r="AX3270" t="s">
        <v>31</v>
      </c>
      <c r="AY3270" t="s">
        <v>386</v>
      </c>
      <c r="AZ3270" t="s">
        <v>3274</v>
      </c>
      <c r="BF3270">
        <v>0</v>
      </c>
      <c r="BK3270" t="s">
        <v>31</v>
      </c>
      <c r="BS3270" t="s">
        <v>409</v>
      </c>
      <c r="BT3270" t="s">
        <v>409</v>
      </c>
      <c r="CI3270" t="s">
        <v>388</v>
      </c>
      <c r="CJ3270" s="14">
        <v>45016</v>
      </c>
      <c r="CK3270">
        <v>1</v>
      </c>
    </row>
    <row r="3271" spans="1:89">
      <c r="A3271" t="s">
        <v>2797</v>
      </c>
      <c r="B3271" t="s">
        <v>374</v>
      </c>
      <c r="C3271" t="s">
        <v>2798</v>
      </c>
      <c r="D3271" t="s">
        <v>3300</v>
      </c>
      <c r="E3271" t="s">
        <v>3301</v>
      </c>
      <c r="F3271" s="13">
        <v>44602.562256944446</v>
      </c>
      <c r="G3271" t="s">
        <v>3289</v>
      </c>
      <c r="H3271" t="s">
        <v>3290</v>
      </c>
      <c r="I3271" s="13">
        <v>45012.043738425928</v>
      </c>
      <c r="K3271" t="s">
        <v>415</v>
      </c>
      <c r="M3271" s="13">
        <v>44651</v>
      </c>
      <c r="R3271">
        <v>0</v>
      </c>
      <c r="S3271" t="s">
        <v>380</v>
      </c>
      <c r="T3271" t="s">
        <v>57</v>
      </c>
      <c r="V3271" t="s">
        <v>478</v>
      </c>
      <c r="W3271" t="s">
        <v>3271</v>
      </c>
      <c r="X3271" t="s">
        <v>3271</v>
      </c>
      <c r="AC3271" s="13">
        <v>44561</v>
      </c>
      <c r="AD3271" s="13">
        <v>44561</v>
      </c>
      <c r="AF3271" t="s">
        <v>451</v>
      </c>
      <c r="AI3271">
        <v>-361</v>
      </c>
      <c r="AL3271" t="s">
        <v>3302</v>
      </c>
      <c r="AN3271" t="s">
        <v>31</v>
      </c>
      <c r="AO3271">
        <v>0</v>
      </c>
      <c r="AS3271" t="s">
        <v>730</v>
      </c>
      <c r="AX3271" t="s">
        <v>31</v>
      </c>
      <c r="AY3271" t="s">
        <v>386</v>
      </c>
      <c r="AZ3271" t="s">
        <v>3303</v>
      </c>
      <c r="BF3271">
        <v>0</v>
      </c>
      <c r="BK3271" t="s">
        <v>31</v>
      </c>
      <c r="BS3271" t="s">
        <v>419</v>
      </c>
      <c r="BT3271" t="s">
        <v>419</v>
      </c>
      <c r="CI3271" t="s">
        <v>388</v>
      </c>
      <c r="CJ3271" s="14">
        <v>45016</v>
      </c>
      <c r="CK3271">
        <v>1</v>
      </c>
    </row>
    <row r="3272" spans="1:89">
      <c r="A3272" t="s">
        <v>2797</v>
      </c>
      <c r="B3272" t="s">
        <v>374</v>
      </c>
      <c r="C3272" t="s">
        <v>2798</v>
      </c>
      <c r="D3272" t="s">
        <v>3304</v>
      </c>
      <c r="E3272" t="s">
        <v>3305</v>
      </c>
      <c r="F3272" s="13">
        <v>44602.553194444445</v>
      </c>
      <c r="G3272" t="s">
        <v>3269</v>
      </c>
      <c r="H3272" t="s">
        <v>3270</v>
      </c>
      <c r="I3272" s="13">
        <v>45012.043738425928</v>
      </c>
      <c r="K3272" t="s">
        <v>415</v>
      </c>
      <c r="M3272" s="13">
        <v>44651</v>
      </c>
      <c r="R3272">
        <v>0</v>
      </c>
      <c r="S3272" t="s">
        <v>380</v>
      </c>
      <c r="T3272" t="s">
        <v>57</v>
      </c>
      <c r="V3272" t="s">
        <v>478</v>
      </c>
      <c r="W3272" t="s">
        <v>3306</v>
      </c>
      <c r="X3272" t="s">
        <v>3306</v>
      </c>
      <c r="AC3272" s="13">
        <v>44561</v>
      </c>
      <c r="AD3272" s="13">
        <v>44561</v>
      </c>
      <c r="AF3272" t="s">
        <v>451</v>
      </c>
      <c r="AI3272">
        <v>-361</v>
      </c>
      <c r="AL3272" t="s">
        <v>3307</v>
      </c>
      <c r="AN3272" t="s">
        <v>31</v>
      </c>
      <c r="AO3272">
        <v>0</v>
      </c>
      <c r="AS3272" t="s">
        <v>730</v>
      </c>
      <c r="AX3272" t="s">
        <v>31</v>
      </c>
      <c r="AY3272" t="s">
        <v>386</v>
      </c>
      <c r="AZ3272" t="s">
        <v>3308</v>
      </c>
      <c r="BF3272">
        <v>0</v>
      </c>
      <c r="BK3272" t="s">
        <v>31</v>
      </c>
      <c r="BS3272" t="s">
        <v>419</v>
      </c>
      <c r="BT3272" t="s">
        <v>419</v>
      </c>
      <c r="CI3272" t="s">
        <v>388</v>
      </c>
      <c r="CJ3272" s="14">
        <v>45016</v>
      </c>
      <c r="CK3272">
        <v>1</v>
      </c>
    </row>
    <row r="3273" spans="1:89">
      <c r="A3273" t="s">
        <v>2797</v>
      </c>
      <c r="B3273" t="s">
        <v>374</v>
      </c>
      <c r="C3273" t="s">
        <v>2798</v>
      </c>
      <c r="D3273" t="s">
        <v>3309</v>
      </c>
      <c r="E3273" t="s">
        <v>3310</v>
      </c>
      <c r="F3273" s="13">
        <v>44602.55060185185</v>
      </c>
      <c r="G3273" t="s">
        <v>3289</v>
      </c>
      <c r="H3273" t="s">
        <v>3290</v>
      </c>
      <c r="I3273" s="13">
        <v>45012.043738425928</v>
      </c>
      <c r="K3273" t="s">
        <v>415</v>
      </c>
      <c r="M3273" s="13">
        <v>44651</v>
      </c>
      <c r="R3273">
        <v>0</v>
      </c>
      <c r="S3273" t="s">
        <v>380</v>
      </c>
      <c r="T3273" t="s">
        <v>57</v>
      </c>
      <c r="V3273" t="s">
        <v>478</v>
      </c>
      <c r="W3273" t="s">
        <v>3271</v>
      </c>
      <c r="X3273" t="s">
        <v>3271</v>
      </c>
      <c r="AC3273" s="13">
        <v>44561</v>
      </c>
      <c r="AD3273" s="13">
        <v>44561</v>
      </c>
      <c r="AF3273" t="s">
        <v>451</v>
      </c>
      <c r="AI3273">
        <v>-361</v>
      </c>
      <c r="AL3273" t="s">
        <v>3311</v>
      </c>
      <c r="AN3273" t="s">
        <v>31</v>
      </c>
      <c r="AO3273">
        <v>0</v>
      </c>
      <c r="AS3273" t="s">
        <v>702</v>
      </c>
      <c r="AX3273" t="s">
        <v>57</v>
      </c>
      <c r="AY3273" t="s">
        <v>386</v>
      </c>
      <c r="AZ3273" t="s">
        <v>3278</v>
      </c>
      <c r="BF3273">
        <v>0</v>
      </c>
      <c r="BK3273" t="s">
        <v>31</v>
      </c>
      <c r="BS3273" t="s">
        <v>419</v>
      </c>
      <c r="BT3273" t="s">
        <v>419</v>
      </c>
      <c r="CI3273" t="s">
        <v>388</v>
      </c>
      <c r="CJ3273" s="14">
        <v>45016</v>
      </c>
      <c r="CK3273">
        <v>1</v>
      </c>
    </row>
    <row r="3274" spans="1:89">
      <c r="A3274" t="s">
        <v>2797</v>
      </c>
      <c r="B3274" t="s">
        <v>374</v>
      </c>
      <c r="C3274" t="s">
        <v>2798</v>
      </c>
      <c r="D3274" t="s">
        <v>3312</v>
      </c>
      <c r="E3274" t="s">
        <v>3313</v>
      </c>
      <c r="F3274" s="13">
        <v>44602.534166666665</v>
      </c>
      <c r="G3274" t="s">
        <v>3289</v>
      </c>
      <c r="H3274" t="s">
        <v>3290</v>
      </c>
      <c r="I3274" s="13">
        <v>45012.043738425928</v>
      </c>
      <c r="K3274" t="s">
        <v>415</v>
      </c>
      <c r="M3274" s="13">
        <v>44651</v>
      </c>
      <c r="R3274">
        <v>0</v>
      </c>
      <c r="S3274" t="s">
        <v>380</v>
      </c>
      <c r="T3274" t="s">
        <v>57</v>
      </c>
      <c r="V3274" t="s">
        <v>478</v>
      </c>
      <c r="W3274" t="s">
        <v>3271</v>
      </c>
      <c r="X3274" t="s">
        <v>3271</v>
      </c>
      <c r="AC3274" s="13">
        <v>44561</v>
      </c>
      <c r="AD3274" s="13">
        <v>44561</v>
      </c>
      <c r="AF3274" t="s">
        <v>451</v>
      </c>
      <c r="AI3274">
        <v>-361</v>
      </c>
      <c r="AL3274" t="s">
        <v>3314</v>
      </c>
      <c r="AN3274" t="s">
        <v>31</v>
      </c>
      <c r="AO3274">
        <v>0</v>
      </c>
      <c r="AS3274" t="s">
        <v>730</v>
      </c>
      <c r="AX3274" t="s">
        <v>31</v>
      </c>
      <c r="AY3274" t="s">
        <v>386</v>
      </c>
      <c r="AZ3274" t="s">
        <v>3315</v>
      </c>
      <c r="BF3274">
        <v>0</v>
      </c>
      <c r="BK3274" t="s">
        <v>31</v>
      </c>
      <c r="BS3274" t="s">
        <v>419</v>
      </c>
      <c r="BT3274" t="s">
        <v>419</v>
      </c>
      <c r="CI3274" t="s">
        <v>388</v>
      </c>
      <c r="CJ3274" s="14">
        <v>45016</v>
      </c>
      <c r="CK3274">
        <v>1</v>
      </c>
    </row>
    <row r="3275" spans="1:89">
      <c r="A3275" t="s">
        <v>2797</v>
      </c>
      <c r="B3275" t="s">
        <v>374</v>
      </c>
      <c r="C3275" t="s">
        <v>2798</v>
      </c>
      <c r="D3275" t="s">
        <v>3316</v>
      </c>
      <c r="E3275" t="s">
        <v>3313</v>
      </c>
      <c r="F3275" s="13">
        <v>44602.499560185184</v>
      </c>
      <c r="G3275" t="s">
        <v>3289</v>
      </c>
      <c r="H3275" t="s">
        <v>3290</v>
      </c>
      <c r="I3275" s="13">
        <v>45012.043726851851</v>
      </c>
      <c r="K3275" t="s">
        <v>415</v>
      </c>
      <c r="M3275" s="13">
        <v>44651</v>
      </c>
      <c r="R3275">
        <v>0</v>
      </c>
      <c r="S3275" t="s">
        <v>380</v>
      </c>
      <c r="T3275" t="s">
        <v>57</v>
      </c>
      <c r="V3275" t="s">
        <v>478</v>
      </c>
      <c r="W3275" t="s">
        <v>3271</v>
      </c>
      <c r="X3275" t="s">
        <v>3271</v>
      </c>
      <c r="AC3275" s="13">
        <v>44561</v>
      </c>
      <c r="AD3275" s="13">
        <v>44561</v>
      </c>
      <c r="AF3275" t="s">
        <v>451</v>
      </c>
      <c r="AI3275">
        <v>-361</v>
      </c>
      <c r="AL3275" t="s">
        <v>3317</v>
      </c>
      <c r="AN3275" t="s">
        <v>31</v>
      </c>
      <c r="AO3275">
        <v>0</v>
      </c>
      <c r="AS3275" t="s">
        <v>730</v>
      </c>
      <c r="AX3275" t="s">
        <v>31</v>
      </c>
      <c r="AY3275" t="s">
        <v>386</v>
      </c>
      <c r="AZ3275" t="s">
        <v>3318</v>
      </c>
      <c r="BF3275">
        <v>0</v>
      </c>
      <c r="BK3275" t="s">
        <v>31</v>
      </c>
      <c r="BS3275" t="s">
        <v>419</v>
      </c>
      <c r="BT3275" t="s">
        <v>419</v>
      </c>
      <c r="CI3275" t="s">
        <v>388</v>
      </c>
      <c r="CJ3275" s="14">
        <v>45016</v>
      </c>
      <c r="CK3275">
        <v>1</v>
      </c>
    </row>
    <row r="3276" spans="1:89">
      <c r="A3276" t="s">
        <v>2797</v>
      </c>
      <c r="B3276" t="s">
        <v>374</v>
      </c>
      <c r="C3276" t="s">
        <v>2798</v>
      </c>
      <c r="D3276" t="s">
        <v>3319</v>
      </c>
      <c r="E3276" t="s">
        <v>3320</v>
      </c>
      <c r="F3276" s="13">
        <v>44602.482789351852</v>
      </c>
      <c r="G3276" t="s">
        <v>3269</v>
      </c>
      <c r="H3276" t="s">
        <v>3270</v>
      </c>
      <c r="I3276" s="13">
        <v>45012.043726851851</v>
      </c>
      <c r="K3276" t="s">
        <v>415</v>
      </c>
      <c r="M3276" s="13">
        <v>44651</v>
      </c>
      <c r="R3276">
        <v>0</v>
      </c>
      <c r="S3276" t="s">
        <v>380</v>
      </c>
      <c r="T3276" t="s">
        <v>57</v>
      </c>
      <c r="V3276" t="s">
        <v>478</v>
      </c>
      <c r="W3276" t="s">
        <v>3306</v>
      </c>
      <c r="X3276" t="s">
        <v>3306</v>
      </c>
      <c r="AC3276" s="13">
        <v>44561</v>
      </c>
      <c r="AD3276" s="13">
        <v>44561</v>
      </c>
      <c r="AF3276" t="s">
        <v>451</v>
      </c>
      <c r="AI3276">
        <v>-361</v>
      </c>
      <c r="AL3276" t="s">
        <v>3321</v>
      </c>
      <c r="AN3276" t="s">
        <v>31</v>
      </c>
      <c r="AO3276">
        <v>0</v>
      </c>
      <c r="AS3276" t="s">
        <v>730</v>
      </c>
      <c r="AX3276" t="s">
        <v>31</v>
      </c>
      <c r="AY3276" t="s">
        <v>386</v>
      </c>
      <c r="AZ3276" t="s">
        <v>2819</v>
      </c>
      <c r="BF3276">
        <v>0</v>
      </c>
      <c r="BK3276" t="s">
        <v>31</v>
      </c>
      <c r="BS3276" t="s">
        <v>419</v>
      </c>
      <c r="BT3276" t="s">
        <v>419</v>
      </c>
      <c r="CI3276" t="s">
        <v>388</v>
      </c>
      <c r="CJ3276" s="14">
        <v>45016</v>
      </c>
      <c r="CK3276">
        <v>1</v>
      </c>
    </row>
    <row r="3277" spans="1:89">
      <c r="A3277" t="s">
        <v>2797</v>
      </c>
      <c r="B3277" t="s">
        <v>374</v>
      </c>
      <c r="C3277" t="s">
        <v>2798</v>
      </c>
      <c r="D3277" t="s">
        <v>3322</v>
      </c>
      <c r="E3277" t="s">
        <v>2812</v>
      </c>
      <c r="F3277" s="13">
        <v>44602.404409722221</v>
      </c>
      <c r="G3277" t="s">
        <v>2801</v>
      </c>
      <c r="H3277" t="s">
        <v>2802</v>
      </c>
      <c r="I3277" s="13">
        <v>44617.662986111114</v>
      </c>
      <c r="K3277" t="s">
        <v>409</v>
      </c>
      <c r="R3277">
        <v>0</v>
      </c>
      <c r="S3277" t="s">
        <v>416</v>
      </c>
      <c r="T3277" t="s">
        <v>57</v>
      </c>
      <c r="V3277" t="s">
        <v>381</v>
      </c>
      <c r="W3277" t="s">
        <v>2828</v>
      </c>
      <c r="X3277" t="s">
        <v>2828</v>
      </c>
      <c r="AC3277" s="13">
        <v>44561</v>
      </c>
      <c r="AD3277" s="13">
        <v>44561</v>
      </c>
      <c r="AI3277">
        <v>49</v>
      </c>
      <c r="AL3277" t="s">
        <v>3323</v>
      </c>
      <c r="AN3277" t="s">
        <v>31</v>
      </c>
      <c r="AO3277">
        <v>0</v>
      </c>
      <c r="AS3277" t="s">
        <v>385</v>
      </c>
      <c r="AX3277" t="s">
        <v>31</v>
      </c>
      <c r="AY3277" t="s">
        <v>442</v>
      </c>
      <c r="AZ3277" t="s">
        <v>2814</v>
      </c>
      <c r="BF3277">
        <v>0</v>
      </c>
      <c r="BK3277" t="s">
        <v>31</v>
      </c>
      <c r="BS3277" t="s">
        <v>409</v>
      </c>
      <c r="BT3277" t="s">
        <v>409</v>
      </c>
      <c r="CI3277" t="s">
        <v>388</v>
      </c>
      <c r="CJ3277" s="14">
        <v>45016</v>
      </c>
      <c r="CK3277">
        <v>1</v>
      </c>
    </row>
    <row r="3278" spans="1:89">
      <c r="A3278" t="s">
        <v>3191</v>
      </c>
      <c r="B3278" t="s">
        <v>374</v>
      </c>
      <c r="C3278" t="s">
        <v>3192</v>
      </c>
      <c r="D3278" t="s">
        <v>3324</v>
      </c>
      <c r="E3278" t="s">
        <v>3325</v>
      </c>
      <c r="F3278" s="13">
        <v>44602.388935185183</v>
      </c>
      <c r="G3278" t="s">
        <v>1472</v>
      </c>
      <c r="H3278" t="s">
        <v>1473</v>
      </c>
      <c r="I3278" s="13">
        <v>44608.540983796294</v>
      </c>
      <c r="K3278" t="s">
        <v>379</v>
      </c>
      <c r="M3278" s="13">
        <v>44628</v>
      </c>
      <c r="R3278">
        <v>100</v>
      </c>
      <c r="S3278" t="s">
        <v>416</v>
      </c>
      <c r="T3278" t="s">
        <v>57</v>
      </c>
      <c r="V3278" t="s">
        <v>381</v>
      </c>
      <c r="W3278" t="s">
        <v>3195</v>
      </c>
      <c r="X3278" t="s">
        <v>3195</v>
      </c>
      <c r="AC3278" s="13">
        <v>44418</v>
      </c>
      <c r="AD3278" s="13">
        <v>44326</v>
      </c>
      <c r="AF3278" t="s">
        <v>382</v>
      </c>
      <c r="AG3278" t="s">
        <v>3326</v>
      </c>
      <c r="AI3278">
        <v>20</v>
      </c>
      <c r="AL3278" t="s">
        <v>3196</v>
      </c>
      <c r="AM3278">
        <v>1</v>
      </c>
      <c r="AN3278" t="s">
        <v>31</v>
      </c>
      <c r="AO3278">
        <v>0</v>
      </c>
      <c r="AS3278" t="s">
        <v>702</v>
      </c>
      <c r="AX3278" t="s">
        <v>31</v>
      </c>
      <c r="AY3278" t="s">
        <v>442</v>
      </c>
      <c r="AZ3278" t="s">
        <v>3327</v>
      </c>
      <c r="BE3278" t="s">
        <v>3328</v>
      </c>
      <c r="BF3278">
        <v>0</v>
      </c>
      <c r="BK3278" t="s">
        <v>31</v>
      </c>
      <c r="BS3278" t="s">
        <v>379</v>
      </c>
      <c r="BT3278" t="s">
        <v>379</v>
      </c>
      <c r="CI3278" t="s">
        <v>388</v>
      </c>
      <c r="CJ3278" s="14">
        <v>45016</v>
      </c>
      <c r="CK3278">
        <v>1</v>
      </c>
    </row>
    <row r="3279" spans="1:89">
      <c r="A3279" t="s">
        <v>2797</v>
      </c>
      <c r="B3279" t="s">
        <v>374</v>
      </c>
      <c r="C3279" t="s">
        <v>2798</v>
      </c>
      <c r="D3279" t="s">
        <v>3329</v>
      </c>
      <c r="E3279" t="s">
        <v>2816</v>
      </c>
      <c r="F3279" s="13">
        <v>44601.818622685183</v>
      </c>
      <c r="G3279" t="s">
        <v>2801</v>
      </c>
      <c r="H3279" t="s">
        <v>2802</v>
      </c>
      <c r="I3279" s="13">
        <v>44617.662800925929</v>
      </c>
      <c r="K3279" t="s">
        <v>409</v>
      </c>
      <c r="R3279">
        <v>0</v>
      </c>
      <c r="S3279" t="s">
        <v>416</v>
      </c>
      <c r="T3279" t="s">
        <v>57</v>
      </c>
      <c r="V3279" t="s">
        <v>381</v>
      </c>
      <c r="W3279" t="s">
        <v>3271</v>
      </c>
      <c r="X3279" t="s">
        <v>3271</v>
      </c>
      <c r="AC3279" s="13">
        <v>44561</v>
      </c>
      <c r="AD3279" s="13">
        <v>44561</v>
      </c>
      <c r="AI3279">
        <v>50</v>
      </c>
      <c r="AL3279" t="s">
        <v>3330</v>
      </c>
      <c r="AN3279" t="s">
        <v>31</v>
      </c>
      <c r="AO3279">
        <v>0</v>
      </c>
      <c r="AS3279" t="s">
        <v>385</v>
      </c>
      <c r="AX3279" t="s">
        <v>31</v>
      </c>
      <c r="AY3279" t="s">
        <v>442</v>
      </c>
      <c r="AZ3279" t="s">
        <v>2819</v>
      </c>
      <c r="BF3279">
        <v>0</v>
      </c>
      <c r="BK3279" t="s">
        <v>31</v>
      </c>
      <c r="BS3279" t="s">
        <v>409</v>
      </c>
      <c r="BT3279" t="s">
        <v>409</v>
      </c>
      <c r="CI3279" t="s">
        <v>388</v>
      </c>
      <c r="CJ3279" s="14">
        <v>45016</v>
      </c>
      <c r="CK3279">
        <v>1</v>
      </c>
    </row>
    <row r="3280" spans="1:89">
      <c r="A3280" t="s">
        <v>2797</v>
      </c>
      <c r="B3280" t="s">
        <v>374</v>
      </c>
      <c r="C3280" t="s">
        <v>2798</v>
      </c>
      <c r="D3280" t="s">
        <v>3331</v>
      </c>
      <c r="E3280" t="s">
        <v>2827</v>
      </c>
      <c r="F3280" s="13">
        <v>44601.802094907405</v>
      </c>
      <c r="G3280" t="s">
        <v>2801</v>
      </c>
      <c r="H3280" t="s">
        <v>2802</v>
      </c>
      <c r="I3280" s="13">
        <v>44617.662557870368</v>
      </c>
      <c r="K3280" t="s">
        <v>409</v>
      </c>
      <c r="R3280">
        <v>0</v>
      </c>
      <c r="S3280" t="s">
        <v>416</v>
      </c>
      <c r="T3280" t="s">
        <v>57</v>
      </c>
      <c r="V3280" t="s">
        <v>381</v>
      </c>
      <c r="W3280" t="s">
        <v>2828</v>
      </c>
      <c r="X3280" t="s">
        <v>2828</v>
      </c>
      <c r="AC3280" s="13">
        <v>44561</v>
      </c>
      <c r="AD3280" s="13">
        <v>44561</v>
      </c>
      <c r="AI3280">
        <v>50</v>
      </c>
      <c r="AL3280" t="s">
        <v>3332</v>
      </c>
      <c r="AN3280" t="s">
        <v>31</v>
      </c>
      <c r="AO3280">
        <v>0</v>
      </c>
      <c r="AS3280" t="s">
        <v>526</v>
      </c>
      <c r="AX3280" t="s">
        <v>31</v>
      </c>
      <c r="AY3280" t="s">
        <v>442</v>
      </c>
      <c r="AZ3280" t="s">
        <v>2830</v>
      </c>
      <c r="BF3280">
        <v>0</v>
      </c>
      <c r="BK3280" t="s">
        <v>31</v>
      </c>
      <c r="BS3280" t="s">
        <v>409</v>
      </c>
      <c r="BT3280" t="s">
        <v>409</v>
      </c>
      <c r="CI3280" t="s">
        <v>388</v>
      </c>
      <c r="CJ3280" s="14">
        <v>45016</v>
      </c>
      <c r="CK3280">
        <v>1</v>
      </c>
    </row>
    <row r="3281" spans="1:89">
      <c r="A3281" t="s">
        <v>3258</v>
      </c>
      <c r="B3281" t="s">
        <v>374</v>
      </c>
      <c r="C3281" t="s">
        <v>3259</v>
      </c>
      <c r="D3281" t="s">
        <v>3333</v>
      </c>
      <c r="E3281" t="s">
        <v>3334</v>
      </c>
      <c r="F3281" s="13">
        <v>44601.778796296298</v>
      </c>
      <c r="G3281" t="s">
        <v>3262</v>
      </c>
      <c r="H3281" t="s">
        <v>3263</v>
      </c>
      <c r="I3281" s="13">
        <v>45012.043726851851</v>
      </c>
      <c r="K3281" t="s">
        <v>415</v>
      </c>
      <c r="M3281" s="13">
        <v>45138</v>
      </c>
      <c r="R3281">
        <v>0</v>
      </c>
      <c r="S3281" t="s">
        <v>380</v>
      </c>
      <c r="T3281" t="s">
        <v>57</v>
      </c>
      <c r="V3281" t="s">
        <v>381</v>
      </c>
      <c r="W3281" t="s">
        <v>3335</v>
      </c>
      <c r="X3281" t="s">
        <v>3335</v>
      </c>
      <c r="AF3281" t="s">
        <v>451</v>
      </c>
      <c r="AI3281">
        <v>126</v>
      </c>
      <c r="AL3281" t="s">
        <v>3336</v>
      </c>
      <c r="AN3281" t="s">
        <v>31</v>
      </c>
      <c r="AO3281">
        <v>0</v>
      </c>
      <c r="AS3281" t="s">
        <v>538</v>
      </c>
      <c r="AX3281" t="s">
        <v>31</v>
      </c>
      <c r="AY3281" t="s">
        <v>442</v>
      </c>
      <c r="AZ3281" t="s">
        <v>3337</v>
      </c>
      <c r="BF3281">
        <v>0</v>
      </c>
      <c r="BK3281" t="s">
        <v>31</v>
      </c>
      <c r="BS3281" t="s">
        <v>419</v>
      </c>
      <c r="BT3281" t="s">
        <v>419</v>
      </c>
      <c r="CI3281" t="s">
        <v>388</v>
      </c>
      <c r="CJ3281" s="14">
        <v>45016</v>
      </c>
      <c r="CK3281">
        <v>1</v>
      </c>
    </row>
    <row r="3282" spans="1:89">
      <c r="A3282" t="s">
        <v>2797</v>
      </c>
      <c r="B3282" t="s">
        <v>374</v>
      </c>
      <c r="C3282" t="s">
        <v>2798</v>
      </c>
      <c r="D3282" t="s">
        <v>3338</v>
      </c>
      <c r="E3282" t="s">
        <v>2807</v>
      </c>
      <c r="F3282" s="13">
        <v>44601.725578703707</v>
      </c>
      <c r="G3282" t="s">
        <v>2801</v>
      </c>
      <c r="H3282" t="s">
        <v>2802</v>
      </c>
      <c r="I3282" s="13">
        <v>44617.662372685183</v>
      </c>
      <c r="K3282" t="s">
        <v>409</v>
      </c>
      <c r="R3282">
        <v>0</v>
      </c>
      <c r="S3282" t="s">
        <v>416</v>
      </c>
      <c r="T3282" t="s">
        <v>57</v>
      </c>
      <c r="V3282" t="s">
        <v>381</v>
      </c>
      <c r="W3282" t="s">
        <v>2828</v>
      </c>
      <c r="X3282" t="s">
        <v>2828</v>
      </c>
      <c r="AC3282" s="13">
        <v>44561</v>
      </c>
      <c r="AD3282" s="13">
        <v>44561</v>
      </c>
      <c r="AI3282">
        <v>50</v>
      </c>
      <c r="AL3282" t="s">
        <v>3339</v>
      </c>
      <c r="AN3282" t="s">
        <v>31</v>
      </c>
      <c r="AO3282">
        <v>0</v>
      </c>
      <c r="AS3282" t="s">
        <v>385</v>
      </c>
      <c r="AX3282" t="s">
        <v>31</v>
      </c>
      <c r="AY3282" t="s">
        <v>442</v>
      </c>
      <c r="AZ3282" t="s">
        <v>2810</v>
      </c>
      <c r="BF3282">
        <v>0</v>
      </c>
      <c r="BK3282" t="s">
        <v>31</v>
      </c>
      <c r="BS3282" t="s">
        <v>409</v>
      </c>
      <c r="BT3282" t="s">
        <v>409</v>
      </c>
      <c r="CI3282" t="s">
        <v>388</v>
      </c>
      <c r="CJ3282" s="14">
        <v>45016</v>
      </c>
      <c r="CK3282">
        <v>1</v>
      </c>
    </row>
    <row r="3283" spans="1:89">
      <c r="A3283" t="s">
        <v>2797</v>
      </c>
      <c r="B3283" t="s">
        <v>374</v>
      </c>
      <c r="C3283" t="s">
        <v>2798</v>
      </c>
      <c r="D3283" t="s">
        <v>3340</v>
      </c>
      <c r="E3283" t="s">
        <v>2800</v>
      </c>
      <c r="F3283" s="13">
        <v>44601.692164351851</v>
      </c>
      <c r="G3283" t="s">
        <v>2801</v>
      </c>
      <c r="H3283" t="s">
        <v>2802</v>
      </c>
      <c r="I3283" s="13">
        <v>44617.662141203706</v>
      </c>
      <c r="K3283" t="s">
        <v>409</v>
      </c>
      <c r="R3283">
        <v>0</v>
      </c>
      <c r="S3283" t="s">
        <v>416</v>
      </c>
      <c r="V3283" t="s">
        <v>381</v>
      </c>
      <c r="W3283" t="s">
        <v>2828</v>
      </c>
      <c r="X3283" t="s">
        <v>2828</v>
      </c>
      <c r="AI3283">
        <v>50</v>
      </c>
      <c r="AL3283" t="s">
        <v>3341</v>
      </c>
      <c r="AN3283" t="s">
        <v>31</v>
      </c>
      <c r="AO3283">
        <v>0</v>
      </c>
      <c r="AZ3283" t="s">
        <v>2805</v>
      </c>
      <c r="BF3283">
        <v>0</v>
      </c>
      <c r="BK3283" t="s">
        <v>31</v>
      </c>
      <c r="BS3283" t="s">
        <v>409</v>
      </c>
      <c r="BT3283" t="s">
        <v>409</v>
      </c>
      <c r="CI3283" t="s">
        <v>388</v>
      </c>
      <c r="CJ3283" s="14">
        <v>45016</v>
      </c>
      <c r="CK3283">
        <v>1</v>
      </c>
    </row>
    <row r="3284" spans="1:89">
      <c r="A3284" t="s">
        <v>2797</v>
      </c>
      <c r="B3284" t="s">
        <v>374</v>
      </c>
      <c r="C3284" t="s">
        <v>2798</v>
      </c>
      <c r="D3284" t="s">
        <v>3342</v>
      </c>
      <c r="E3284" t="s">
        <v>2832</v>
      </c>
      <c r="F3284" s="13">
        <v>44601.633240740739</v>
      </c>
      <c r="G3284" t="s">
        <v>2801</v>
      </c>
      <c r="H3284" t="s">
        <v>2802</v>
      </c>
      <c r="I3284" s="13">
        <v>44617.661782407406</v>
      </c>
      <c r="K3284" t="s">
        <v>409</v>
      </c>
      <c r="R3284">
        <v>0</v>
      </c>
      <c r="S3284" t="s">
        <v>380</v>
      </c>
      <c r="V3284" t="s">
        <v>381</v>
      </c>
      <c r="W3284" t="s">
        <v>2828</v>
      </c>
      <c r="X3284" t="s">
        <v>2828</v>
      </c>
      <c r="AI3284">
        <v>50</v>
      </c>
      <c r="AL3284" t="s">
        <v>3343</v>
      </c>
      <c r="AN3284" t="s">
        <v>31</v>
      </c>
      <c r="AO3284">
        <v>0</v>
      </c>
      <c r="AZ3284" t="s">
        <v>2834</v>
      </c>
      <c r="BF3284">
        <v>0</v>
      </c>
      <c r="BK3284" t="s">
        <v>31</v>
      </c>
      <c r="BS3284" t="s">
        <v>409</v>
      </c>
      <c r="BT3284" t="s">
        <v>409</v>
      </c>
      <c r="CI3284" t="s">
        <v>388</v>
      </c>
      <c r="CJ3284" s="14">
        <v>45016</v>
      </c>
      <c r="CK3284">
        <v>1</v>
      </c>
    </row>
    <row r="3285" spans="1:89">
      <c r="A3285" t="s">
        <v>2797</v>
      </c>
      <c r="B3285" t="s">
        <v>374</v>
      </c>
      <c r="C3285" t="s">
        <v>2798</v>
      </c>
      <c r="D3285" t="s">
        <v>3344</v>
      </c>
      <c r="E3285" t="s">
        <v>3345</v>
      </c>
      <c r="F3285" s="13">
        <v>44601.477152777778</v>
      </c>
      <c r="G3285" t="s">
        <v>3346</v>
      </c>
      <c r="H3285" t="s">
        <v>3347</v>
      </c>
      <c r="I3285" s="13">
        <v>45012.043715277781</v>
      </c>
      <c r="K3285" t="s">
        <v>415</v>
      </c>
      <c r="M3285" s="13">
        <v>44651</v>
      </c>
      <c r="R3285">
        <v>0</v>
      </c>
      <c r="S3285" t="s">
        <v>380</v>
      </c>
      <c r="T3285" t="s">
        <v>57</v>
      </c>
      <c r="V3285" t="s">
        <v>478</v>
      </c>
      <c r="W3285" t="s">
        <v>2808</v>
      </c>
      <c r="X3285" t="s">
        <v>2808</v>
      </c>
      <c r="AC3285" s="13">
        <v>44651</v>
      </c>
      <c r="AD3285" s="13">
        <v>44592</v>
      </c>
      <c r="AF3285" t="s">
        <v>451</v>
      </c>
      <c r="AI3285">
        <v>-361</v>
      </c>
      <c r="AL3285" t="s">
        <v>3348</v>
      </c>
      <c r="AN3285" t="s">
        <v>31</v>
      </c>
      <c r="AO3285">
        <v>0</v>
      </c>
      <c r="AS3285" t="s">
        <v>538</v>
      </c>
      <c r="AX3285" t="s">
        <v>57</v>
      </c>
      <c r="AY3285" t="s">
        <v>386</v>
      </c>
      <c r="AZ3285" t="s">
        <v>3349</v>
      </c>
      <c r="BF3285">
        <v>0</v>
      </c>
      <c r="BK3285" t="s">
        <v>31</v>
      </c>
      <c r="BS3285" t="s">
        <v>419</v>
      </c>
      <c r="BT3285" t="s">
        <v>419</v>
      </c>
      <c r="CI3285" t="s">
        <v>388</v>
      </c>
      <c r="CJ3285" s="14">
        <v>45016</v>
      </c>
      <c r="CK3285">
        <v>1</v>
      </c>
    </row>
    <row r="3286" spans="1:89">
      <c r="A3286" t="s">
        <v>2797</v>
      </c>
      <c r="B3286" t="s">
        <v>374</v>
      </c>
      <c r="C3286" t="s">
        <v>2798</v>
      </c>
      <c r="D3286" t="s">
        <v>3350</v>
      </c>
      <c r="E3286" t="s">
        <v>3351</v>
      </c>
      <c r="F3286" s="13">
        <v>44601.463576388887</v>
      </c>
      <c r="G3286" t="s">
        <v>3346</v>
      </c>
      <c r="H3286" t="s">
        <v>3347</v>
      </c>
      <c r="I3286" s="13">
        <v>45012.043715277781</v>
      </c>
      <c r="K3286" t="s">
        <v>415</v>
      </c>
      <c r="M3286" s="13">
        <v>44651</v>
      </c>
      <c r="R3286">
        <v>0</v>
      </c>
      <c r="S3286" t="s">
        <v>380</v>
      </c>
      <c r="T3286" t="s">
        <v>57</v>
      </c>
      <c r="V3286" t="s">
        <v>478</v>
      </c>
      <c r="W3286" t="s">
        <v>2817</v>
      </c>
      <c r="X3286" t="s">
        <v>2817</v>
      </c>
      <c r="AC3286" s="13">
        <v>44651</v>
      </c>
      <c r="AD3286" s="13">
        <v>44592</v>
      </c>
      <c r="AF3286" t="s">
        <v>451</v>
      </c>
      <c r="AI3286">
        <v>-361</v>
      </c>
      <c r="AL3286" t="s">
        <v>3352</v>
      </c>
      <c r="AN3286" t="s">
        <v>31</v>
      </c>
      <c r="AO3286">
        <v>0</v>
      </c>
      <c r="AS3286" t="s">
        <v>385</v>
      </c>
      <c r="AX3286" t="s">
        <v>57</v>
      </c>
      <c r="AY3286" t="s">
        <v>386</v>
      </c>
      <c r="AZ3286" t="s">
        <v>3353</v>
      </c>
      <c r="BF3286">
        <v>0</v>
      </c>
      <c r="BK3286" t="s">
        <v>31</v>
      </c>
      <c r="BS3286" t="s">
        <v>419</v>
      </c>
      <c r="BT3286" t="s">
        <v>419</v>
      </c>
      <c r="CI3286" t="s">
        <v>388</v>
      </c>
      <c r="CJ3286" s="14">
        <v>45016</v>
      </c>
      <c r="CK3286">
        <v>1</v>
      </c>
    </row>
    <row r="3287" spans="1:89">
      <c r="A3287" t="s">
        <v>2797</v>
      </c>
      <c r="B3287" t="s">
        <v>374</v>
      </c>
      <c r="C3287" t="s">
        <v>2798</v>
      </c>
      <c r="D3287" t="s">
        <v>3354</v>
      </c>
      <c r="E3287" t="s">
        <v>3355</v>
      </c>
      <c r="F3287" s="13">
        <v>44601.438483796293</v>
      </c>
      <c r="G3287" t="s">
        <v>3346</v>
      </c>
      <c r="H3287" t="s">
        <v>3347</v>
      </c>
      <c r="I3287" s="13">
        <v>45012.043715277781</v>
      </c>
      <c r="K3287" t="s">
        <v>415</v>
      </c>
      <c r="M3287" s="13">
        <v>44651</v>
      </c>
      <c r="R3287">
        <v>0</v>
      </c>
      <c r="S3287" t="s">
        <v>380</v>
      </c>
      <c r="T3287" t="s">
        <v>57</v>
      </c>
      <c r="V3287" t="s">
        <v>478</v>
      </c>
      <c r="W3287" t="s">
        <v>3356</v>
      </c>
      <c r="X3287" t="s">
        <v>3356</v>
      </c>
      <c r="AC3287" s="13">
        <v>44651</v>
      </c>
      <c r="AD3287" s="13">
        <v>44592</v>
      </c>
      <c r="AF3287" t="s">
        <v>451</v>
      </c>
      <c r="AI3287">
        <v>-361</v>
      </c>
      <c r="AL3287" t="s">
        <v>3357</v>
      </c>
      <c r="AN3287" t="s">
        <v>31</v>
      </c>
      <c r="AO3287">
        <v>0</v>
      </c>
      <c r="AS3287" t="s">
        <v>385</v>
      </c>
      <c r="AX3287" t="s">
        <v>57</v>
      </c>
      <c r="AY3287" t="s">
        <v>386</v>
      </c>
      <c r="AZ3287" t="s">
        <v>3358</v>
      </c>
      <c r="BF3287">
        <v>0</v>
      </c>
      <c r="BK3287" t="s">
        <v>31</v>
      </c>
      <c r="BS3287" t="s">
        <v>419</v>
      </c>
      <c r="BT3287" t="s">
        <v>419</v>
      </c>
      <c r="CI3287" t="s">
        <v>388</v>
      </c>
      <c r="CJ3287" s="14">
        <v>45016</v>
      </c>
      <c r="CK3287">
        <v>1</v>
      </c>
    </row>
    <row r="3288" spans="1:89">
      <c r="A3288" t="s">
        <v>1559</v>
      </c>
      <c r="B3288" t="s">
        <v>374</v>
      </c>
      <c r="C3288" t="s">
        <v>1560</v>
      </c>
      <c r="D3288" t="s">
        <v>3359</v>
      </c>
      <c r="E3288" t="s">
        <v>3360</v>
      </c>
      <c r="F3288" s="13">
        <v>44600.690810185188</v>
      </c>
      <c r="G3288" t="s">
        <v>1563</v>
      </c>
      <c r="H3288" t="s">
        <v>1564</v>
      </c>
      <c r="I3288" s="13">
        <v>45012.043715277781</v>
      </c>
      <c r="K3288" t="s">
        <v>415</v>
      </c>
      <c r="M3288" s="13">
        <v>44651</v>
      </c>
      <c r="R3288">
        <v>90</v>
      </c>
      <c r="S3288" t="s">
        <v>416</v>
      </c>
      <c r="T3288" t="s">
        <v>57</v>
      </c>
      <c r="V3288" t="s">
        <v>478</v>
      </c>
      <c r="W3288" t="s">
        <v>1573</v>
      </c>
      <c r="X3288" t="s">
        <v>1573</v>
      </c>
      <c r="AF3288" t="s">
        <v>451</v>
      </c>
      <c r="AG3288" t="s">
        <v>3361</v>
      </c>
      <c r="AI3288">
        <v>-361</v>
      </c>
      <c r="AL3288" t="s">
        <v>1566</v>
      </c>
      <c r="AN3288" t="s">
        <v>31</v>
      </c>
      <c r="AO3288">
        <v>0</v>
      </c>
      <c r="AS3288" t="s">
        <v>526</v>
      </c>
      <c r="AX3288" t="s">
        <v>31</v>
      </c>
      <c r="AY3288" t="s">
        <v>442</v>
      </c>
      <c r="AZ3288" t="s">
        <v>1570</v>
      </c>
      <c r="BF3288">
        <v>0</v>
      </c>
      <c r="BK3288" t="s">
        <v>31</v>
      </c>
      <c r="BS3288" t="s">
        <v>419</v>
      </c>
      <c r="BT3288" t="s">
        <v>419</v>
      </c>
      <c r="CI3288" t="s">
        <v>388</v>
      </c>
      <c r="CJ3288" s="14">
        <v>45016</v>
      </c>
      <c r="CK3288">
        <v>1</v>
      </c>
    </row>
    <row r="3289" spans="1:89">
      <c r="A3289" t="s">
        <v>1559</v>
      </c>
      <c r="B3289" t="s">
        <v>374</v>
      </c>
      <c r="C3289" t="s">
        <v>1560</v>
      </c>
      <c r="D3289" t="s">
        <v>3362</v>
      </c>
      <c r="E3289" t="s">
        <v>3363</v>
      </c>
      <c r="F3289" s="13">
        <v>44600.681909722225</v>
      </c>
      <c r="G3289" t="s">
        <v>1563</v>
      </c>
      <c r="H3289" t="s">
        <v>1564</v>
      </c>
      <c r="I3289" s="13">
        <v>45012.043703703705</v>
      </c>
      <c r="K3289" t="s">
        <v>415</v>
      </c>
      <c r="M3289" s="13">
        <v>44651</v>
      </c>
      <c r="R3289">
        <v>80</v>
      </c>
      <c r="S3289" t="s">
        <v>416</v>
      </c>
      <c r="T3289" t="s">
        <v>57</v>
      </c>
      <c r="V3289" t="s">
        <v>478</v>
      </c>
      <c r="W3289" t="s">
        <v>1573</v>
      </c>
      <c r="X3289" t="s">
        <v>1573</v>
      </c>
      <c r="AF3289" t="s">
        <v>451</v>
      </c>
      <c r="AG3289" t="s">
        <v>3364</v>
      </c>
      <c r="AI3289">
        <v>-361</v>
      </c>
      <c r="AL3289" t="s">
        <v>3365</v>
      </c>
      <c r="AN3289" t="s">
        <v>31</v>
      </c>
      <c r="AO3289">
        <v>0</v>
      </c>
      <c r="AS3289" t="s">
        <v>385</v>
      </c>
      <c r="AX3289" t="s">
        <v>31</v>
      </c>
      <c r="AY3289" t="s">
        <v>386</v>
      </c>
      <c r="AZ3289" t="s">
        <v>3366</v>
      </c>
      <c r="BF3289">
        <v>0</v>
      </c>
      <c r="BK3289" t="s">
        <v>31</v>
      </c>
      <c r="BS3289" t="s">
        <v>419</v>
      </c>
      <c r="BT3289" t="s">
        <v>419</v>
      </c>
      <c r="CI3289" t="s">
        <v>388</v>
      </c>
      <c r="CJ3289" s="14">
        <v>45016</v>
      </c>
      <c r="CK3289">
        <v>1</v>
      </c>
    </row>
    <row r="3290" spans="1:89">
      <c r="A3290" t="s">
        <v>1559</v>
      </c>
      <c r="B3290" t="s">
        <v>374</v>
      </c>
      <c r="C3290" t="s">
        <v>1560</v>
      </c>
      <c r="D3290" t="s">
        <v>3367</v>
      </c>
      <c r="E3290" t="s">
        <v>3368</v>
      </c>
      <c r="F3290" s="13">
        <v>44600.676886574074</v>
      </c>
      <c r="G3290" t="s">
        <v>1563</v>
      </c>
      <c r="H3290" t="s">
        <v>1564</v>
      </c>
      <c r="I3290" s="13">
        <v>44833.685474537036</v>
      </c>
      <c r="K3290" t="s">
        <v>409</v>
      </c>
      <c r="R3290">
        <v>0</v>
      </c>
      <c r="S3290" t="s">
        <v>380</v>
      </c>
      <c r="T3290" t="s">
        <v>57</v>
      </c>
      <c r="V3290" t="s">
        <v>381</v>
      </c>
      <c r="W3290" t="s">
        <v>1573</v>
      </c>
      <c r="X3290" t="s">
        <v>1573</v>
      </c>
      <c r="AI3290">
        <v>51</v>
      </c>
      <c r="AL3290" t="s">
        <v>3365</v>
      </c>
      <c r="AN3290" t="s">
        <v>31</v>
      </c>
      <c r="AO3290">
        <v>0</v>
      </c>
      <c r="AS3290" t="s">
        <v>385</v>
      </c>
      <c r="AX3290" t="s">
        <v>31</v>
      </c>
      <c r="AY3290" t="s">
        <v>386</v>
      </c>
      <c r="AZ3290" t="s">
        <v>3366</v>
      </c>
      <c r="BF3290">
        <v>0</v>
      </c>
      <c r="BK3290" t="s">
        <v>31</v>
      </c>
      <c r="BS3290" t="s">
        <v>409</v>
      </c>
      <c r="BT3290" t="s">
        <v>409</v>
      </c>
      <c r="CI3290" t="s">
        <v>388</v>
      </c>
      <c r="CJ3290" s="14">
        <v>45016</v>
      </c>
      <c r="CK3290">
        <v>1</v>
      </c>
    </row>
    <row r="3291" spans="1:89">
      <c r="A3291" t="s">
        <v>3191</v>
      </c>
      <c r="B3291" t="s">
        <v>374</v>
      </c>
      <c r="C3291" t="s">
        <v>3192</v>
      </c>
      <c r="D3291" t="s">
        <v>3369</v>
      </c>
      <c r="E3291" t="s">
        <v>3194</v>
      </c>
      <c r="F3291" s="13">
        <v>44600.554120370369</v>
      </c>
      <c r="G3291" t="s">
        <v>1472</v>
      </c>
      <c r="H3291" t="s">
        <v>1473</v>
      </c>
      <c r="I3291" s="13">
        <v>44607.615613425929</v>
      </c>
      <c r="K3291" t="s">
        <v>379</v>
      </c>
      <c r="M3291" s="13">
        <v>44755</v>
      </c>
      <c r="R3291">
        <v>100</v>
      </c>
      <c r="S3291" t="s">
        <v>380</v>
      </c>
      <c r="T3291" t="s">
        <v>57</v>
      </c>
      <c r="V3291" t="s">
        <v>381</v>
      </c>
      <c r="W3291" t="s">
        <v>3195</v>
      </c>
      <c r="X3291" t="s">
        <v>3195</v>
      </c>
      <c r="AC3291" s="13">
        <v>44792</v>
      </c>
      <c r="AD3291" s="13">
        <v>44657</v>
      </c>
      <c r="AF3291" t="s">
        <v>382</v>
      </c>
      <c r="AG3291" t="s">
        <v>3370</v>
      </c>
      <c r="AI3291">
        <v>148</v>
      </c>
      <c r="AL3291" t="s">
        <v>3196</v>
      </c>
      <c r="AN3291" t="s">
        <v>31</v>
      </c>
      <c r="AO3291">
        <v>0</v>
      </c>
      <c r="AS3291" t="s">
        <v>385</v>
      </c>
      <c r="AX3291" t="s">
        <v>57</v>
      </c>
      <c r="AY3291" t="s">
        <v>386</v>
      </c>
      <c r="AZ3291" t="s">
        <v>3197</v>
      </c>
      <c r="BF3291">
        <v>0</v>
      </c>
      <c r="BK3291" t="s">
        <v>31</v>
      </c>
      <c r="BS3291" t="s">
        <v>379</v>
      </c>
      <c r="BT3291" t="s">
        <v>379</v>
      </c>
      <c r="CI3291" t="s">
        <v>388</v>
      </c>
      <c r="CJ3291" s="14">
        <v>45016</v>
      </c>
      <c r="CK3291">
        <v>1</v>
      </c>
    </row>
    <row r="3292" spans="1:89">
      <c r="A3292" t="s">
        <v>1415</v>
      </c>
      <c r="B3292" t="s">
        <v>374</v>
      </c>
      <c r="C3292" t="s">
        <v>1416</v>
      </c>
      <c r="D3292" t="s">
        <v>3371</v>
      </c>
      <c r="E3292" t="s">
        <v>3372</v>
      </c>
      <c r="F3292" s="13">
        <v>44600.48033564815</v>
      </c>
      <c r="G3292" t="s">
        <v>1418</v>
      </c>
      <c r="H3292" t="s">
        <v>1419</v>
      </c>
      <c r="I3292" s="13">
        <v>45012.043703703705</v>
      </c>
      <c r="K3292" t="s">
        <v>415</v>
      </c>
      <c r="M3292" s="13">
        <v>44926</v>
      </c>
      <c r="R3292">
        <v>0</v>
      </c>
      <c r="S3292" t="s">
        <v>380</v>
      </c>
      <c r="T3292" t="s">
        <v>57</v>
      </c>
      <c r="V3292" t="s">
        <v>478</v>
      </c>
      <c r="W3292" t="s">
        <v>3373</v>
      </c>
      <c r="X3292" t="s">
        <v>3373</v>
      </c>
      <c r="AF3292" t="s">
        <v>451</v>
      </c>
      <c r="AI3292">
        <v>-86</v>
      </c>
      <c r="AL3292" t="s">
        <v>3374</v>
      </c>
      <c r="AN3292" t="s">
        <v>31</v>
      </c>
      <c r="AO3292">
        <v>0</v>
      </c>
      <c r="AS3292" t="s">
        <v>526</v>
      </c>
      <c r="AX3292" t="s">
        <v>31</v>
      </c>
      <c r="AY3292" t="s">
        <v>442</v>
      </c>
      <c r="AZ3292" t="s">
        <v>3375</v>
      </c>
      <c r="BF3292">
        <v>0</v>
      </c>
      <c r="BK3292" t="s">
        <v>31</v>
      </c>
      <c r="BS3292" t="s">
        <v>419</v>
      </c>
      <c r="BT3292" t="s">
        <v>419</v>
      </c>
      <c r="CI3292" t="s">
        <v>388</v>
      </c>
      <c r="CJ3292" s="14">
        <v>45016</v>
      </c>
      <c r="CK3292">
        <v>1</v>
      </c>
    </row>
    <row r="3293" spans="1:89">
      <c r="A3293" t="s">
        <v>3376</v>
      </c>
      <c r="B3293" t="s">
        <v>374</v>
      </c>
      <c r="C3293" t="s">
        <v>3377</v>
      </c>
      <c r="D3293" t="s">
        <v>3378</v>
      </c>
      <c r="E3293" t="s">
        <v>3379</v>
      </c>
      <c r="F3293" s="13">
        <v>44600.476365740738</v>
      </c>
      <c r="G3293" t="s">
        <v>3380</v>
      </c>
      <c r="H3293" t="s">
        <v>3381</v>
      </c>
      <c r="I3293" s="13">
        <v>44972.532002314816</v>
      </c>
      <c r="K3293" t="s">
        <v>379</v>
      </c>
      <c r="M3293" s="13">
        <v>44600</v>
      </c>
      <c r="R3293">
        <v>100</v>
      </c>
      <c r="S3293" t="s">
        <v>380</v>
      </c>
      <c r="T3293" t="s">
        <v>57</v>
      </c>
      <c r="V3293" t="s">
        <v>381</v>
      </c>
      <c r="W3293" t="s">
        <v>3381</v>
      </c>
      <c r="X3293" t="s">
        <v>3381</v>
      </c>
      <c r="AF3293" t="s">
        <v>382</v>
      </c>
      <c r="AG3293" t="s">
        <v>3382</v>
      </c>
      <c r="AI3293">
        <v>0</v>
      </c>
      <c r="AL3293" t="s">
        <v>3383</v>
      </c>
      <c r="AN3293" t="s">
        <v>31</v>
      </c>
      <c r="AO3293">
        <v>0</v>
      </c>
      <c r="AS3293" t="s">
        <v>538</v>
      </c>
      <c r="AX3293" t="s">
        <v>31</v>
      </c>
      <c r="AY3293" t="s">
        <v>386</v>
      </c>
      <c r="AZ3293" t="s">
        <v>3384</v>
      </c>
      <c r="BF3293">
        <v>0</v>
      </c>
      <c r="BK3293" t="s">
        <v>31</v>
      </c>
      <c r="BS3293" t="s">
        <v>379</v>
      </c>
      <c r="BT3293" t="s">
        <v>379</v>
      </c>
      <c r="CI3293" t="s">
        <v>388</v>
      </c>
      <c r="CJ3293" s="14">
        <v>45016</v>
      </c>
      <c r="CK3293">
        <v>1</v>
      </c>
    </row>
    <row r="3294" spans="1:89">
      <c r="A3294" t="s">
        <v>1415</v>
      </c>
      <c r="B3294" t="s">
        <v>374</v>
      </c>
      <c r="C3294" t="s">
        <v>1416</v>
      </c>
      <c r="D3294" t="s">
        <v>3385</v>
      </c>
      <c r="E3294" t="s">
        <v>3386</v>
      </c>
      <c r="F3294" s="13">
        <v>44600.443043981482</v>
      </c>
      <c r="G3294" t="s">
        <v>1418</v>
      </c>
      <c r="H3294" t="s">
        <v>1419</v>
      </c>
      <c r="I3294" s="13">
        <v>44620.686620370368</v>
      </c>
      <c r="K3294" t="s">
        <v>379</v>
      </c>
      <c r="M3294" s="13">
        <v>44651</v>
      </c>
      <c r="R3294">
        <v>100</v>
      </c>
      <c r="S3294" t="s">
        <v>380</v>
      </c>
      <c r="T3294" t="s">
        <v>57</v>
      </c>
      <c r="V3294" t="s">
        <v>381</v>
      </c>
      <c r="W3294" t="s">
        <v>3387</v>
      </c>
      <c r="X3294" t="s">
        <v>3387</v>
      </c>
      <c r="AF3294" t="s">
        <v>382</v>
      </c>
      <c r="AG3294" t="s">
        <v>3388</v>
      </c>
      <c r="AI3294">
        <v>31</v>
      </c>
      <c r="AL3294" t="s">
        <v>3389</v>
      </c>
      <c r="AN3294" t="s">
        <v>31</v>
      </c>
      <c r="AO3294">
        <v>0</v>
      </c>
      <c r="AS3294" t="s">
        <v>385</v>
      </c>
      <c r="AX3294" t="s">
        <v>31</v>
      </c>
      <c r="AY3294" t="s">
        <v>386</v>
      </c>
      <c r="AZ3294" t="s">
        <v>3390</v>
      </c>
      <c r="BF3294">
        <v>0</v>
      </c>
      <c r="BK3294" t="s">
        <v>31</v>
      </c>
      <c r="BS3294" t="s">
        <v>379</v>
      </c>
      <c r="BT3294" t="s">
        <v>379</v>
      </c>
      <c r="CI3294" t="s">
        <v>388</v>
      </c>
      <c r="CJ3294" s="14">
        <v>45016</v>
      </c>
      <c r="CK3294">
        <v>1</v>
      </c>
    </row>
    <row r="3295" spans="1:89">
      <c r="A3295" t="s">
        <v>1415</v>
      </c>
      <c r="B3295" t="s">
        <v>374</v>
      </c>
      <c r="C3295" t="s">
        <v>1416</v>
      </c>
      <c r="D3295" t="s">
        <v>3391</v>
      </c>
      <c r="E3295" t="s">
        <v>1628</v>
      </c>
      <c r="F3295" s="13">
        <v>44600.429201388892</v>
      </c>
      <c r="G3295" t="s">
        <v>1418</v>
      </c>
      <c r="H3295" t="s">
        <v>1419</v>
      </c>
      <c r="I3295" s="13">
        <v>44600.433298611111</v>
      </c>
      <c r="K3295" t="s">
        <v>379</v>
      </c>
      <c r="M3295" s="13">
        <v>44620</v>
      </c>
      <c r="R3295">
        <v>100</v>
      </c>
      <c r="S3295" t="s">
        <v>380</v>
      </c>
      <c r="T3295" t="s">
        <v>57</v>
      </c>
      <c r="V3295" t="s">
        <v>381</v>
      </c>
      <c r="W3295" t="s">
        <v>3392</v>
      </c>
      <c r="X3295" t="s">
        <v>3392</v>
      </c>
      <c r="AF3295" t="s">
        <v>382</v>
      </c>
      <c r="AG3295" t="s">
        <v>3382</v>
      </c>
      <c r="AI3295">
        <v>20</v>
      </c>
      <c r="AL3295" t="s">
        <v>3393</v>
      </c>
      <c r="AN3295" t="s">
        <v>31</v>
      </c>
      <c r="AO3295">
        <v>0</v>
      </c>
      <c r="AS3295" t="s">
        <v>392</v>
      </c>
      <c r="AX3295" t="s">
        <v>31</v>
      </c>
      <c r="AY3295" t="s">
        <v>386</v>
      </c>
      <c r="AZ3295" t="s">
        <v>1632</v>
      </c>
      <c r="BF3295">
        <v>0</v>
      </c>
      <c r="BK3295" t="s">
        <v>31</v>
      </c>
      <c r="BS3295" t="s">
        <v>379</v>
      </c>
      <c r="BT3295" t="s">
        <v>379</v>
      </c>
      <c r="CI3295" t="s">
        <v>388</v>
      </c>
      <c r="CJ3295" s="14">
        <v>45016</v>
      </c>
      <c r="CK3295">
        <v>1</v>
      </c>
    </row>
    <row r="3296" spans="1:89">
      <c r="A3296" t="s">
        <v>2797</v>
      </c>
      <c r="B3296" t="s">
        <v>374</v>
      </c>
      <c r="C3296" t="s">
        <v>2798</v>
      </c>
      <c r="D3296" t="s">
        <v>3394</v>
      </c>
      <c r="E3296" t="s">
        <v>3395</v>
      </c>
      <c r="F3296" s="13">
        <v>44600.399872685186</v>
      </c>
      <c r="G3296" t="s">
        <v>3396</v>
      </c>
      <c r="H3296" t="s">
        <v>3397</v>
      </c>
      <c r="I3296" s="13">
        <v>45012.043703703705</v>
      </c>
      <c r="K3296" t="s">
        <v>415</v>
      </c>
      <c r="M3296" s="13">
        <v>44651</v>
      </c>
      <c r="R3296">
        <v>0</v>
      </c>
      <c r="S3296" t="s">
        <v>380</v>
      </c>
      <c r="T3296" t="s">
        <v>57</v>
      </c>
      <c r="V3296" t="s">
        <v>478</v>
      </c>
      <c r="W3296" t="s">
        <v>2828</v>
      </c>
      <c r="X3296" t="s">
        <v>2828</v>
      </c>
      <c r="AC3296" s="13">
        <v>44561</v>
      </c>
      <c r="AD3296" s="13">
        <v>44561</v>
      </c>
      <c r="AF3296" t="s">
        <v>451</v>
      </c>
      <c r="AG3296" t="s">
        <v>3250</v>
      </c>
      <c r="AI3296">
        <v>-361</v>
      </c>
      <c r="AL3296" t="s">
        <v>3398</v>
      </c>
      <c r="AN3296" t="s">
        <v>31</v>
      </c>
      <c r="AO3296">
        <v>0</v>
      </c>
      <c r="AS3296" t="s">
        <v>538</v>
      </c>
      <c r="AX3296" t="s">
        <v>31</v>
      </c>
      <c r="AY3296" t="s">
        <v>386</v>
      </c>
      <c r="AZ3296" t="s">
        <v>3399</v>
      </c>
      <c r="BF3296">
        <v>0</v>
      </c>
      <c r="BK3296" t="s">
        <v>31</v>
      </c>
      <c r="BS3296" t="s">
        <v>419</v>
      </c>
      <c r="BT3296" t="s">
        <v>419</v>
      </c>
      <c r="CI3296" t="s">
        <v>388</v>
      </c>
      <c r="CJ3296" s="14">
        <v>45016</v>
      </c>
      <c r="CK3296">
        <v>1</v>
      </c>
    </row>
    <row r="3297" spans="1:89">
      <c r="A3297" t="s">
        <v>2797</v>
      </c>
      <c r="B3297" t="s">
        <v>374</v>
      </c>
      <c r="C3297" t="s">
        <v>2798</v>
      </c>
      <c r="D3297" t="s">
        <v>3400</v>
      </c>
      <c r="E3297" t="s">
        <v>3401</v>
      </c>
      <c r="F3297" s="13">
        <v>44600.387615740743</v>
      </c>
      <c r="G3297" t="s">
        <v>3396</v>
      </c>
      <c r="H3297" t="s">
        <v>3397</v>
      </c>
      <c r="I3297" s="13">
        <v>45012.043703703705</v>
      </c>
      <c r="K3297" t="s">
        <v>415</v>
      </c>
      <c r="M3297" s="13">
        <v>44651</v>
      </c>
      <c r="R3297">
        <v>0</v>
      </c>
      <c r="S3297" t="s">
        <v>380</v>
      </c>
      <c r="T3297" t="s">
        <v>57</v>
      </c>
      <c r="V3297" t="s">
        <v>478</v>
      </c>
      <c r="W3297" t="s">
        <v>2828</v>
      </c>
      <c r="X3297" t="s">
        <v>2828</v>
      </c>
      <c r="AC3297" s="13">
        <v>44561</v>
      </c>
      <c r="AD3297" s="13">
        <v>44561</v>
      </c>
      <c r="AF3297" t="s">
        <v>451</v>
      </c>
      <c r="AI3297">
        <v>-361</v>
      </c>
      <c r="AL3297" t="s">
        <v>3402</v>
      </c>
      <c r="AN3297" t="s">
        <v>31</v>
      </c>
      <c r="AO3297">
        <v>0</v>
      </c>
      <c r="AS3297" t="s">
        <v>538</v>
      </c>
      <c r="AX3297" t="s">
        <v>31</v>
      </c>
      <c r="AY3297" t="s">
        <v>386</v>
      </c>
      <c r="AZ3297" t="s">
        <v>3403</v>
      </c>
      <c r="BF3297">
        <v>0</v>
      </c>
      <c r="BK3297" t="s">
        <v>31</v>
      </c>
      <c r="BS3297" t="s">
        <v>419</v>
      </c>
      <c r="BT3297" t="s">
        <v>419</v>
      </c>
      <c r="CI3297" t="s">
        <v>388</v>
      </c>
      <c r="CJ3297" s="14">
        <v>45016</v>
      </c>
      <c r="CK3297">
        <v>1</v>
      </c>
    </row>
    <row r="3298" spans="1:89">
      <c r="A3298" t="s">
        <v>2797</v>
      </c>
      <c r="B3298" t="s">
        <v>374</v>
      </c>
      <c r="C3298" t="s">
        <v>2798</v>
      </c>
      <c r="D3298" t="s">
        <v>3404</v>
      </c>
      <c r="E3298" t="s">
        <v>3405</v>
      </c>
      <c r="F3298" s="13">
        <v>44599.851678240739</v>
      </c>
      <c r="G3298" t="s">
        <v>3396</v>
      </c>
      <c r="H3298" t="s">
        <v>3397</v>
      </c>
      <c r="I3298" s="13">
        <v>44637.833645833336</v>
      </c>
      <c r="K3298" t="s">
        <v>379</v>
      </c>
      <c r="M3298" s="13">
        <v>44651</v>
      </c>
      <c r="R3298">
        <v>100</v>
      </c>
      <c r="S3298" t="s">
        <v>380</v>
      </c>
      <c r="T3298" t="s">
        <v>57</v>
      </c>
      <c r="V3298" t="s">
        <v>381</v>
      </c>
      <c r="W3298" t="s">
        <v>3406</v>
      </c>
      <c r="X3298" t="s">
        <v>3406</v>
      </c>
      <c r="AC3298" s="13">
        <v>44561</v>
      </c>
      <c r="AD3298" s="13">
        <v>44561</v>
      </c>
      <c r="AF3298" t="s">
        <v>382</v>
      </c>
      <c r="AG3298" t="s">
        <v>1387</v>
      </c>
      <c r="AI3298">
        <v>14</v>
      </c>
      <c r="AL3298" t="s">
        <v>3407</v>
      </c>
      <c r="AN3298" t="s">
        <v>31</v>
      </c>
      <c r="AO3298">
        <v>0</v>
      </c>
      <c r="AS3298" t="s">
        <v>538</v>
      </c>
      <c r="AX3298" t="s">
        <v>31</v>
      </c>
      <c r="AY3298" t="s">
        <v>386</v>
      </c>
      <c r="AZ3298" t="s">
        <v>3408</v>
      </c>
      <c r="BF3298">
        <v>0</v>
      </c>
      <c r="BK3298" t="s">
        <v>31</v>
      </c>
      <c r="BS3298" t="s">
        <v>379</v>
      </c>
      <c r="BT3298" t="s">
        <v>379</v>
      </c>
      <c r="CI3298" t="s">
        <v>388</v>
      </c>
      <c r="CJ3298" s="14">
        <v>45016</v>
      </c>
      <c r="CK3298">
        <v>1</v>
      </c>
    </row>
    <row r="3299" spans="1:89">
      <c r="A3299" t="s">
        <v>2797</v>
      </c>
      <c r="B3299" t="s">
        <v>374</v>
      </c>
      <c r="C3299" t="s">
        <v>2798</v>
      </c>
      <c r="D3299" t="s">
        <v>3409</v>
      </c>
      <c r="E3299" t="s">
        <v>3410</v>
      </c>
      <c r="F3299" s="13">
        <v>44599.717141203706</v>
      </c>
      <c r="G3299" t="s">
        <v>3396</v>
      </c>
      <c r="H3299" t="s">
        <v>3397</v>
      </c>
      <c r="I3299" s="13">
        <v>45012.043692129628</v>
      </c>
      <c r="K3299" t="s">
        <v>415</v>
      </c>
      <c r="M3299" s="13">
        <v>44651</v>
      </c>
      <c r="R3299">
        <v>0</v>
      </c>
      <c r="S3299" t="s">
        <v>380</v>
      </c>
      <c r="T3299" t="s">
        <v>57</v>
      </c>
      <c r="V3299" t="s">
        <v>478</v>
      </c>
      <c r="W3299" t="s">
        <v>2828</v>
      </c>
      <c r="X3299" t="s">
        <v>2828</v>
      </c>
      <c r="AC3299" s="13">
        <v>44561</v>
      </c>
      <c r="AD3299" s="13">
        <v>44561</v>
      </c>
      <c r="AF3299" t="s">
        <v>451</v>
      </c>
      <c r="AI3299">
        <v>-361</v>
      </c>
      <c r="AL3299" t="s">
        <v>3411</v>
      </c>
      <c r="AN3299" t="s">
        <v>31</v>
      </c>
      <c r="AO3299">
        <v>0</v>
      </c>
      <c r="AS3299" t="s">
        <v>730</v>
      </c>
      <c r="AX3299" t="s">
        <v>31</v>
      </c>
      <c r="AY3299" t="s">
        <v>386</v>
      </c>
      <c r="AZ3299" t="s">
        <v>3412</v>
      </c>
      <c r="BF3299">
        <v>0</v>
      </c>
      <c r="BK3299" t="s">
        <v>31</v>
      </c>
      <c r="BS3299" t="s">
        <v>419</v>
      </c>
      <c r="BT3299" t="s">
        <v>419</v>
      </c>
      <c r="CI3299" t="s">
        <v>388</v>
      </c>
      <c r="CJ3299" s="14">
        <v>45016</v>
      </c>
      <c r="CK3299">
        <v>1</v>
      </c>
    </row>
    <row r="3300" spans="1:89">
      <c r="A3300" t="s">
        <v>2797</v>
      </c>
      <c r="B3300" t="s">
        <v>374</v>
      </c>
      <c r="C3300" t="s">
        <v>2798</v>
      </c>
      <c r="D3300" t="s">
        <v>3413</v>
      </c>
      <c r="E3300" t="s">
        <v>3414</v>
      </c>
      <c r="F3300" s="13">
        <v>44599.528090277781</v>
      </c>
      <c r="G3300" t="s">
        <v>3396</v>
      </c>
      <c r="H3300" t="s">
        <v>3397</v>
      </c>
      <c r="I3300" s="13">
        <v>45012.043692129628</v>
      </c>
      <c r="K3300" t="s">
        <v>415</v>
      </c>
      <c r="M3300" s="13">
        <v>44651</v>
      </c>
      <c r="R3300">
        <v>0</v>
      </c>
      <c r="S3300" t="s">
        <v>380</v>
      </c>
      <c r="T3300" t="s">
        <v>57</v>
      </c>
      <c r="V3300" t="s">
        <v>478</v>
      </c>
      <c r="W3300" t="s">
        <v>2828</v>
      </c>
      <c r="X3300" t="s">
        <v>2828</v>
      </c>
      <c r="AC3300" s="13">
        <v>44651</v>
      </c>
      <c r="AD3300" s="13">
        <v>44651</v>
      </c>
      <c r="AF3300" t="s">
        <v>451</v>
      </c>
      <c r="AG3300" t="s">
        <v>3415</v>
      </c>
      <c r="AI3300">
        <v>-361</v>
      </c>
      <c r="AL3300" t="s">
        <v>3416</v>
      </c>
      <c r="AN3300" t="s">
        <v>31</v>
      </c>
      <c r="AO3300">
        <v>0</v>
      </c>
      <c r="AS3300" t="s">
        <v>385</v>
      </c>
      <c r="AX3300" t="s">
        <v>31</v>
      </c>
      <c r="AY3300" t="s">
        <v>386</v>
      </c>
      <c r="AZ3300" t="s">
        <v>3417</v>
      </c>
      <c r="BF3300">
        <v>0</v>
      </c>
      <c r="BK3300" t="s">
        <v>31</v>
      </c>
      <c r="BS3300" t="s">
        <v>419</v>
      </c>
      <c r="BT3300" t="s">
        <v>419</v>
      </c>
      <c r="CI3300" t="s">
        <v>388</v>
      </c>
      <c r="CJ3300" s="14">
        <v>45016</v>
      </c>
      <c r="CK3300">
        <v>1</v>
      </c>
    </row>
    <row r="3301" spans="1:89">
      <c r="A3301" t="s">
        <v>454</v>
      </c>
      <c r="B3301" t="s">
        <v>374</v>
      </c>
      <c r="C3301" t="s">
        <v>455</v>
      </c>
      <c r="D3301" t="s">
        <v>3418</v>
      </c>
      <c r="E3301" t="s">
        <v>3419</v>
      </c>
      <c r="F3301" s="13">
        <v>44596.673472222225</v>
      </c>
      <c r="G3301" t="s">
        <v>2399</v>
      </c>
      <c r="H3301" t="s">
        <v>2400</v>
      </c>
      <c r="I3301" s="13">
        <v>44635.499062499999</v>
      </c>
      <c r="K3301" t="s">
        <v>379</v>
      </c>
      <c r="M3301" s="13">
        <v>44620</v>
      </c>
      <c r="R3301">
        <v>100</v>
      </c>
      <c r="S3301" t="s">
        <v>416</v>
      </c>
      <c r="T3301" t="s">
        <v>57</v>
      </c>
      <c r="V3301" t="s">
        <v>478</v>
      </c>
      <c r="W3301" t="s">
        <v>2401</v>
      </c>
      <c r="X3301" t="s">
        <v>2401</v>
      </c>
      <c r="AF3301" t="s">
        <v>382</v>
      </c>
      <c r="AG3301" t="s">
        <v>3420</v>
      </c>
      <c r="AI3301">
        <v>-15</v>
      </c>
      <c r="AL3301" t="s">
        <v>2402</v>
      </c>
      <c r="AM3301">
        <v>1</v>
      </c>
      <c r="AN3301" t="s">
        <v>31</v>
      </c>
      <c r="AO3301">
        <v>0</v>
      </c>
      <c r="AS3301" t="s">
        <v>385</v>
      </c>
      <c r="AX3301" t="s">
        <v>57</v>
      </c>
      <c r="AY3301" t="s">
        <v>386</v>
      </c>
      <c r="AZ3301" t="s">
        <v>3421</v>
      </c>
      <c r="BE3301" t="s">
        <v>3422</v>
      </c>
      <c r="BF3301">
        <v>0</v>
      </c>
      <c r="BK3301" t="s">
        <v>31</v>
      </c>
      <c r="BS3301" t="s">
        <v>379</v>
      </c>
      <c r="BT3301" t="s">
        <v>379</v>
      </c>
      <c r="CI3301" t="s">
        <v>388</v>
      </c>
      <c r="CJ3301" s="14">
        <v>45016</v>
      </c>
      <c r="CK3301">
        <v>1</v>
      </c>
    </row>
    <row r="3302" spans="1:89">
      <c r="A3302" t="s">
        <v>454</v>
      </c>
      <c r="B3302" t="s">
        <v>374</v>
      </c>
      <c r="C3302" t="s">
        <v>455</v>
      </c>
      <c r="D3302" t="s">
        <v>3423</v>
      </c>
      <c r="E3302" t="s">
        <v>3424</v>
      </c>
      <c r="F3302" s="13">
        <v>44596.660891203705</v>
      </c>
      <c r="G3302" t="s">
        <v>2399</v>
      </c>
      <c r="H3302" t="s">
        <v>2400</v>
      </c>
      <c r="I3302" s="13">
        <v>44635.498391203706</v>
      </c>
      <c r="K3302" t="s">
        <v>379</v>
      </c>
      <c r="M3302" s="13">
        <v>44620</v>
      </c>
      <c r="R3302">
        <v>100</v>
      </c>
      <c r="S3302" t="s">
        <v>416</v>
      </c>
      <c r="T3302" t="s">
        <v>57</v>
      </c>
      <c r="V3302" t="s">
        <v>478</v>
      </c>
      <c r="W3302" t="s">
        <v>2401</v>
      </c>
      <c r="X3302" t="s">
        <v>2401</v>
      </c>
      <c r="AF3302" t="s">
        <v>382</v>
      </c>
      <c r="AG3302" t="s">
        <v>3425</v>
      </c>
      <c r="AI3302">
        <v>-15</v>
      </c>
      <c r="AL3302" t="s">
        <v>2407</v>
      </c>
      <c r="AM3302">
        <v>1</v>
      </c>
      <c r="AN3302" t="s">
        <v>31</v>
      </c>
      <c r="AO3302">
        <v>0</v>
      </c>
      <c r="AS3302" t="s">
        <v>385</v>
      </c>
      <c r="AX3302" t="s">
        <v>57</v>
      </c>
      <c r="AY3302" t="s">
        <v>442</v>
      </c>
      <c r="AZ3302" t="s">
        <v>3426</v>
      </c>
      <c r="BF3302">
        <v>0</v>
      </c>
      <c r="BK3302" t="s">
        <v>31</v>
      </c>
      <c r="BS3302" t="s">
        <v>379</v>
      </c>
      <c r="BT3302" t="s">
        <v>379</v>
      </c>
      <c r="CI3302" t="s">
        <v>388</v>
      </c>
      <c r="CJ3302" s="14">
        <v>45016</v>
      </c>
      <c r="CK3302">
        <v>1</v>
      </c>
    </row>
    <row r="3303" spans="1:89">
      <c r="A3303" t="s">
        <v>454</v>
      </c>
      <c r="B3303" t="s">
        <v>374</v>
      </c>
      <c r="C3303" t="s">
        <v>455</v>
      </c>
      <c r="D3303" t="s">
        <v>3427</v>
      </c>
      <c r="E3303" t="s">
        <v>3428</v>
      </c>
      <c r="F3303" s="13">
        <v>44596.634814814817</v>
      </c>
      <c r="G3303" t="s">
        <v>2399</v>
      </c>
      <c r="H3303" t="s">
        <v>2400</v>
      </c>
      <c r="I3303" s="13">
        <v>44635.497800925928</v>
      </c>
      <c r="K3303" t="s">
        <v>379</v>
      </c>
      <c r="M3303" s="13">
        <v>44620</v>
      </c>
      <c r="R3303">
        <v>100</v>
      </c>
      <c r="S3303" t="s">
        <v>416</v>
      </c>
      <c r="T3303" t="s">
        <v>57</v>
      </c>
      <c r="V3303" t="s">
        <v>478</v>
      </c>
      <c r="W3303" t="s">
        <v>2401</v>
      </c>
      <c r="X3303" t="s">
        <v>2401</v>
      </c>
      <c r="AF3303" t="s">
        <v>382</v>
      </c>
      <c r="AG3303" t="s">
        <v>3429</v>
      </c>
      <c r="AI3303">
        <v>-15</v>
      </c>
      <c r="AL3303" t="s">
        <v>2412</v>
      </c>
      <c r="AM3303">
        <v>1</v>
      </c>
      <c r="AN3303" t="s">
        <v>31</v>
      </c>
      <c r="AO3303">
        <v>0</v>
      </c>
      <c r="AS3303" t="s">
        <v>385</v>
      </c>
      <c r="AX3303" t="s">
        <v>57</v>
      </c>
      <c r="AY3303" t="s">
        <v>442</v>
      </c>
      <c r="AZ3303" t="s">
        <v>3430</v>
      </c>
      <c r="BE3303" t="s">
        <v>2414</v>
      </c>
      <c r="BF3303">
        <v>0</v>
      </c>
      <c r="BK3303" t="s">
        <v>31</v>
      </c>
      <c r="BS3303" t="s">
        <v>379</v>
      </c>
      <c r="BT3303" t="s">
        <v>379</v>
      </c>
      <c r="CI3303" t="s">
        <v>388</v>
      </c>
      <c r="CJ3303" s="14">
        <v>45016</v>
      </c>
      <c r="CK3303">
        <v>1</v>
      </c>
    </row>
    <row r="3304" spans="1:89">
      <c r="A3304" t="s">
        <v>454</v>
      </c>
      <c r="B3304" t="s">
        <v>374</v>
      </c>
      <c r="C3304" t="s">
        <v>455</v>
      </c>
      <c r="D3304" t="s">
        <v>3431</v>
      </c>
      <c r="E3304" t="s">
        <v>3432</v>
      </c>
      <c r="F3304" s="13">
        <v>44596.491365740738</v>
      </c>
      <c r="G3304" t="s">
        <v>2399</v>
      </c>
      <c r="H3304" t="s">
        <v>2400</v>
      </c>
      <c r="I3304" s="13">
        <v>44635.496354166666</v>
      </c>
      <c r="K3304" t="s">
        <v>379</v>
      </c>
      <c r="M3304" s="13">
        <v>44620</v>
      </c>
      <c r="R3304">
        <v>100</v>
      </c>
      <c r="S3304" t="s">
        <v>416</v>
      </c>
      <c r="T3304" t="s">
        <v>57</v>
      </c>
      <c r="V3304" t="s">
        <v>478</v>
      </c>
      <c r="W3304" t="s">
        <v>2417</v>
      </c>
      <c r="X3304" t="s">
        <v>2417</v>
      </c>
      <c r="AF3304" t="s">
        <v>382</v>
      </c>
      <c r="AG3304" t="s">
        <v>3433</v>
      </c>
      <c r="AI3304">
        <v>-15</v>
      </c>
      <c r="AL3304" t="s">
        <v>2418</v>
      </c>
      <c r="AM3304">
        <v>1</v>
      </c>
      <c r="AN3304" t="s">
        <v>31</v>
      </c>
      <c r="AO3304">
        <v>0</v>
      </c>
      <c r="AS3304" t="s">
        <v>385</v>
      </c>
      <c r="AX3304" t="s">
        <v>57</v>
      </c>
      <c r="AY3304" t="s">
        <v>442</v>
      </c>
      <c r="AZ3304" t="s">
        <v>3434</v>
      </c>
      <c r="BE3304" t="s">
        <v>2420</v>
      </c>
      <c r="BF3304">
        <v>0</v>
      </c>
      <c r="BK3304" t="s">
        <v>31</v>
      </c>
      <c r="BS3304" t="s">
        <v>379</v>
      </c>
      <c r="BT3304" t="s">
        <v>379</v>
      </c>
      <c r="CI3304" t="s">
        <v>388</v>
      </c>
      <c r="CJ3304" s="14">
        <v>45016</v>
      </c>
      <c r="CK3304">
        <v>1</v>
      </c>
    </row>
    <row r="3305" spans="1:89">
      <c r="A3305" t="s">
        <v>454</v>
      </c>
      <c r="B3305" t="s">
        <v>374</v>
      </c>
      <c r="C3305" t="s">
        <v>455</v>
      </c>
      <c r="D3305" t="s">
        <v>3435</v>
      </c>
      <c r="E3305" t="s">
        <v>3436</v>
      </c>
      <c r="F3305" s="13">
        <v>44596.472245370373</v>
      </c>
      <c r="G3305" t="s">
        <v>2399</v>
      </c>
      <c r="H3305" t="s">
        <v>2400</v>
      </c>
      <c r="I3305" s="13">
        <v>44635.495439814818</v>
      </c>
      <c r="K3305" t="s">
        <v>379</v>
      </c>
      <c r="M3305" s="13">
        <v>44620</v>
      </c>
      <c r="R3305">
        <v>100</v>
      </c>
      <c r="S3305" t="s">
        <v>416</v>
      </c>
      <c r="T3305" t="s">
        <v>57</v>
      </c>
      <c r="V3305" t="s">
        <v>478</v>
      </c>
      <c r="W3305" t="s">
        <v>2417</v>
      </c>
      <c r="X3305" t="s">
        <v>2417</v>
      </c>
      <c r="AF3305" t="s">
        <v>382</v>
      </c>
      <c r="AG3305" t="s">
        <v>3437</v>
      </c>
      <c r="AI3305">
        <v>-15</v>
      </c>
      <c r="AL3305" t="s">
        <v>2434</v>
      </c>
      <c r="AM3305">
        <v>1</v>
      </c>
      <c r="AN3305" t="s">
        <v>31</v>
      </c>
      <c r="AO3305">
        <v>0</v>
      </c>
      <c r="AS3305" t="s">
        <v>385</v>
      </c>
      <c r="AX3305" t="s">
        <v>57</v>
      </c>
      <c r="AY3305" t="s">
        <v>442</v>
      </c>
      <c r="AZ3305" t="s">
        <v>3438</v>
      </c>
      <c r="BF3305">
        <v>0</v>
      </c>
      <c r="BK3305" t="s">
        <v>31</v>
      </c>
      <c r="BS3305" t="s">
        <v>379</v>
      </c>
      <c r="BT3305" t="s">
        <v>379</v>
      </c>
      <c r="CI3305" t="s">
        <v>388</v>
      </c>
      <c r="CJ3305" s="14">
        <v>45016</v>
      </c>
      <c r="CK3305">
        <v>1</v>
      </c>
    </row>
    <row r="3306" spans="1:89">
      <c r="A3306" t="s">
        <v>454</v>
      </c>
      <c r="B3306" t="s">
        <v>374</v>
      </c>
      <c r="C3306" t="s">
        <v>455</v>
      </c>
      <c r="D3306" t="s">
        <v>3439</v>
      </c>
      <c r="E3306" t="s">
        <v>3440</v>
      </c>
      <c r="F3306" s="13">
        <v>44596.432037037041</v>
      </c>
      <c r="G3306" t="s">
        <v>2399</v>
      </c>
      <c r="H3306" t="s">
        <v>2400</v>
      </c>
      <c r="I3306" s="13">
        <v>44635.867037037038</v>
      </c>
      <c r="K3306" t="s">
        <v>379</v>
      </c>
      <c r="M3306" s="13">
        <v>44620</v>
      </c>
      <c r="R3306">
        <v>100</v>
      </c>
      <c r="S3306" t="s">
        <v>416</v>
      </c>
      <c r="T3306" t="s">
        <v>57</v>
      </c>
      <c r="V3306" t="s">
        <v>478</v>
      </c>
      <c r="W3306" t="s">
        <v>2417</v>
      </c>
      <c r="X3306" t="s">
        <v>2417</v>
      </c>
      <c r="AF3306" t="s">
        <v>382</v>
      </c>
      <c r="AG3306" t="s">
        <v>3441</v>
      </c>
      <c r="AI3306">
        <v>-15</v>
      </c>
      <c r="AL3306" t="s">
        <v>2476</v>
      </c>
      <c r="AM3306">
        <v>1</v>
      </c>
      <c r="AN3306" t="s">
        <v>31</v>
      </c>
      <c r="AO3306">
        <v>0</v>
      </c>
      <c r="AS3306" t="s">
        <v>385</v>
      </c>
      <c r="AX3306" t="s">
        <v>57</v>
      </c>
      <c r="AY3306" t="s">
        <v>442</v>
      </c>
      <c r="AZ3306" t="s">
        <v>3442</v>
      </c>
      <c r="BF3306">
        <v>0</v>
      </c>
      <c r="BK3306" t="s">
        <v>31</v>
      </c>
      <c r="BS3306" t="s">
        <v>379</v>
      </c>
      <c r="BT3306" t="s">
        <v>379</v>
      </c>
      <c r="CI3306" t="s">
        <v>388</v>
      </c>
      <c r="CJ3306" s="14">
        <v>45016</v>
      </c>
      <c r="CK3306">
        <v>1</v>
      </c>
    </row>
    <row r="3307" spans="1:89">
      <c r="A3307" t="s">
        <v>454</v>
      </c>
      <c r="B3307" t="s">
        <v>374</v>
      </c>
      <c r="C3307" t="s">
        <v>455</v>
      </c>
      <c r="D3307" t="s">
        <v>3443</v>
      </c>
      <c r="E3307" t="s">
        <v>3444</v>
      </c>
      <c r="F3307" s="13">
        <v>44596.399224537039</v>
      </c>
      <c r="G3307" t="s">
        <v>2399</v>
      </c>
      <c r="H3307" t="s">
        <v>2400</v>
      </c>
      <c r="I3307" s="13">
        <v>44635.490023148152</v>
      </c>
      <c r="K3307" t="s">
        <v>379</v>
      </c>
      <c r="M3307" s="13">
        <v>44620</v>
      </c>
      <c r="R3307">
        <v>100</v>
      </c>
      <c r="S3307" t="s">
        <v>416</v>
      </c>
      <c r="T3307" t="s">
        <v>57</v>
      </c>
      <c r="V3307" t="s">
        <v>478</v>
      </c>
      <c r="W3307" t="s">
        <v>2417</v>
      </c>
      <c r="X3307" t="s">
        <v>2417</v>
      </c>
      <c r="AF3307" t="s">
        <v>382</v>
      </c>
      <c r="AG3307" t="s">
        <v>3445</v>
      </c>
      <c r="AI3307">
        <v>-15</v>
      </c>
      <c r="AL3307" t="s">
        <v>2532</v>
      </c>
      <c r="AM3307">
        <v>1</v>
      </c>
      <c r="AN3307" t="s">
        <v>31</v>
      </c>
      <c r="AO3307">
        <v>0</v>
      </c>
      <c r="AS3307" t="s">
        <v>385</v>
      </c>
      <c r="AX3307" t="s">
        <v>57</v>
      </c>
      <c r="AY3307" t="s">
        <v>442</v>
      </c>
      <c r="AZ3307" t="s">
        <v>3438</v>
      </c>
      <c r="BF3307">
        <v>0</v>
      </c>
      <c r="BK3307" t="s">
        <v>31</v>
      </c>
      <c r="BS3307" t="s">
        <v>379</v>
      </c>
      <c r="BT3307" t="s">
        <v>379</v>
      </c>
      <c r="CI3307" t="s">
        <v>388</v>
      </c>
      <c r="CJ3307" s="14">
        <v>45016</v>
      </c>
      <c r="CK3307">
        <v>1</v>
      </c>
    </row>
    <row r="3308" spans="1:89">
      <c r="A3308" t="s">
        <v>454</v>
      </c>
      <c r="B3308" t="s">
        <v>374</v>
      </c>
      <c r="C3308" t="s">
        <v>455</v>
      </c>
      <c r="D3308" t="s">
        <v>3446</v>
      </c>
      <c r="E3308" t="s">
        <v>3447</v>
      </c>
      <c r="F3308" s="13">
        <v>44595.73369212963</v>
      </c>
      <c r="G3308" t="s">
        <v>2399</v>
      </c>
      <c r="H3308" t="s">
        <v>2400</v>
      </c>
      <c r="I3308" s="13">
        <v>44635.48883101852</v>
      </c>
      <c r="K3308" t="s">
        <v>379</v>
      </c>
      <c r="M3308" s="13">
        <v>44620</v>
      </c>
      <c r="R3308">
        <v>100</v>
      </c>
      <c r="S3308" t="s">
        <v>416</v>
      </c>
      <c r="T3308" t="s">
        <v>57</v>
      </c>
      <c r="V3308" t="s">
        <v>478</v>
      </c>
      <c r="W3308" t="s">
        <v>2417</v>
      </c>
      <c r="X3308" t="s">
        <v>2417</v>
      </c>
      <c r="AF3308" t="s">
        <v>382</v>
      </c>
      <c r="AG3308" t="s">
        <v>3448</v>
      </c>
      <c r="AI3308">
        <v>-15</v>
      </c>
      <c r="AL3308" t="s">
        <v>2595</v>
      </c>
      <c r="AM3308">
        <v>1</v>
      </c>
      <c r="AN3308" t="s">
        <v>31</v>
      </c>
      <c r="AO3308">
        <v>0</v>
      </c>
      <c r="AS3308" t="s">
        <v>392</v>
      </c>
      <c r="AX3308" t="s">
        <v>57</v>
      </c>
      <c r="AY3308" t="s">
        <v>442</v>
      </c>
      <c r="AZ3308" t="s">
        <v>3449</v>
      </c>
      <c r="BF3308">
        <v>0</v>
      </c>
      <c r="BK3308" t="s">
        <v>31</v>
      </c>
      <c r="BS3308" t="s">
        <v>379</v>
      </c>
      <c r="BT3308" t="s">
        <v>379</v>
      </c>
      <c r="CI3308" t="s">
        <v>388</v>
      </c>
      <c r="CJ3308" s="14">
        <v>45016</v>
      </c>
      <c r="CK3308">
        <v>1</v>
      </c>
    </row>
    <row r="3309" spans="1:89">
      <c r="A3309" t="s">
        <v>454</v>
      </c>
      <c r="B3309" t="s">
        <v>374</v>
      </c>
      <c r="C3309" t="s">
        <v>455</v>
      </c>
      <c r="D3309" t="s">
        <v>3450</v>
      </c>
      <c r="E3309" t="s">
        <v>3451</v>
      </c>
      <c r="F3309" s="13">
        <v>44595.729166666664</v>
      </c>
      <c r="G3309" t="s">
        <v>2399</v>
      </c>
      <c r="H3309" t="s">
        <v>2400</v>
      </c>
      <c r="I3309" s="13">
        <v>44624.468576388892</v>
      </c>
      <c r="K3309" t="s">
        <v>379</v>
      </c>
      <c r="M3309" s="13">
        <v>44620</v>
      </c>
      <c r="R3309">
        <v>100</v>
      </c>
      <c r="S3309" t="s">
        <v>416</v>
      </c>
      <c r="T3309" t="s">
        <v>57</v>
      </c>
      <c r="V3309" t="s">
        <v>478</v>
      </c>
      <c r="W3309" t="s">
        <v>2417</v>
      </c>
      <c r="X3309" t="s">
        <v>2417</v>
      </c>
      <c r="AF3309" t="s">
        <v>382</v>
      </c>
      <c r="AG3309" t="s">
        <v>3452</v>
      </c>
      <c r="AI3309">
        <v>-4</v>
      </c>
      <c r="AL3309" t="s">
        <v>2558</v>
      </c>
      <c r="AM3309">
        <v>1</v>
      </c>
      <c r="AN3309" t="s">
        <v>31</v>
      </c>
      <c r="AO3309">
        <v>0</v>
      </c>
      <c r="AS3309" t="s">
        <v>385</v>
      </c>
      <c r="AX3309" t="s">
        <v>57</v>
      </c>
      <c r="AY3309" t="s">
        <v>442</v>
      </c>
      <c r="AZ3309" t="s">
        <v>3453</v>
      </c>
      <c r="BF3309">
        <v>0</v>
      </c>
      <c r="BK3309" t="s">
        <v>31</v>
      </c>
      <c r="BS3309" t="s">
        <v>379</v>
      </c>
      <c r="BT3309" t="s">
        <v>379</v>
      </c>
      <c r="CI3309" t="s">
        <v>388</v>
      </c>
      <c r="CJ3309" s="14">
        <v>45016</v>
      </c>
      <c r="CK3309">
        <v>1</v>
      </c>
    </row>
    <row r="3310" spans="1:89">
      <c r="A3310" t="s">
        <v>454</v>
      </c>
      <c r="B3310" t="s">
        <v>374</v>
      </c>
      <c r="C3310" t="s">
        <v>455</v>
      </c>
      <c r="D3310" t="s">
        <v>3454</v>
      </c>
      <c r="E3310" t="s">
        <v>3455</v>
      </c>
      <c r="F3310" s="13">
        <v>44595.601770833331</v>
      </c>
      <c r="G3310" t="s">
        <v>1264</v>
      </c>
      <c r="H3310" t="s">
        <v>1265</v>
      </c>
      <c r="I3310" s="13">
        <v>44620.69295138889</v>
      </c>
      <c r="K3310" t="s">
        <v>409</v>
      </c>
      <c r="R3310">
        <v>0</v>
      </c>
      <c r="S3310" t="s">
        <v>380</v>
      </c>
      <c r="T3310" t="s">
        <v>57</v>
      </c>
      <c r="V3310" t="s">
        <v>381</v>
      </c>
      <c r="W3310" t="s">
        <v>3456</v>
      </c>
      <c r="X3310" t="s">
        <v>3456</v>
      </c>
      <c r="AC3310" s="13">
        <v>44620</v>
      </c>
      <c r="AD3310" s="13">
        <v>44620</v>
      </c>
      <c r="AI3310">
        <v>25</v>
      </c>
      <c r="AL3310" t="s">
        <v>2463</v>
      </c>
      <c r="AN3310" t="s">
        <v>31</v>
      </c>
      <c r="AO3310">
        <v>0</v>
      </c>
      <c r="AS3310" t="s">
        <v>385</v>
      </c>
      <c r="AX3310" t="s">
        <v>57</v>
      </c>
      <c r="AY3310" t="s">
        <v>386</v>
      </c>
      <c r="AZ3310" t="s">
        <v>3457</v>
      </c>
      <c r="BE3310" t="s">
        <v>3458</v>
      </c>
      <c r="BF3310">
        <v>0</v>
      </c>
      <c r="BK3310" t="s">
        <v>31</v>
      </c>
      <c r="BS3310" t="s">
        <v>409</v>
      </c>
      <c r="BT3310" t="s">
        <v>409</v>
      </c>
      <c r="CI3310" t="s">
        <v>388</v>
      </c>
      <c r="CJ3310" s="14">
        <v>45016</v>
      </c>
      <c r="CK3310">
        <v>1</v>
      </c>
    </row>
    <row r="3311" spans="1:89">
      <c r="A3311" t="s">
        <v>454</v>
      </c>
      <c r="B3311" t="s">
        <v>374</v>
      </c>
      <c r="C3311" t="s">
        <v>455</v>
      </c>
      <c r="D3311" t="s">
        <v>3459</v>
      </c>
      <c r="E3311" t="s">
        <v>3460</v>
      </c>
      <c r="F3311" s="13">
        <v>44595.594456018516</v>
      </c>
      <c r="G3311" t="s">
        <v>1264</v>
      </c>
      <c r="H3311" t="s">
        <v>1265</v>
      </c>
      <c r="I3311" s="13">
        <v>45012.043692129628</v>
      </c>
      <c r="K3311" t="s">
        <v>415</v>
      </c>
      <c r="M3311" s="13">
        <v>44727</v>
      </c>
      <c r="R3311">
        <v>0</v>
      </c>
      <c r="S3311" t="s">
        <v>380</v>
      </c>
      <c r="T3311" t="s">
        <v>57</v>
      </c>
      <c r="V3311" t="s">
        <v>478</v>
      </c>
      <c r="W3311" t="s">
        <v>2306</v>
      </c>
      <c r="X3311" t="s">
        <v>2306</v>
      </c>
      <c r="AF3311" t="s">
        <v>451</v>
      </c>
      <c r="AI3311">
        <v>-285</v>
      </c>
      <c r="AL3311" t="s">
        <v>3461</v>
      </c>
      <c r="AN3311" t="s">
        <v>31</v>
      </c>
      <c r="AO3311">
        <v>0</v>
      </c>
      <c r="AS3311" t="s">
        <v>392</v>
      </c>
      <c r="AX3311" t="s">
        <v>57</v>
      </c>
      <c r="AY3311" t="s">
        <v>442</v>
      </c>
      <c r="AZ3311" t="s">
        <v>3462</v>
      </c>
      <c r="BE3311" t="s">
        <v>3463</v>
      </c>
      <c r="BF3311">
        <v>0</v>
      </c>
      <c r="BK3311" t="s">
        <v>31</v>
      </c>
      <c r="BS3311" t="s">
        <v>419</v>
      </c>
      <c r="BT3311" t="s">
        <v>419</v>
      </c>
      <c r="CI3311" t="s">
        <v>388</v>
      </c>
      <c r="CJ3311" s="14">
        <v>45016</v>
      </c>
      <c r="CK3311">
        <v>1</v>
      </c>
    </row>
    <row r="3312" spans="1:89">
      <c r="A3312" t="s">
        <v>454</v>
      </c>
      <c r="B3312" t="s">
        <v>374</v>
      </c>
      <c r="C3312" t="s">
        <v>455</v>
      </c>
      <c r="D3312" t="s">
        <v>3464</v>
      </c>
      <c r="E3312" t="s">
        <v>3465</v>
      </c>
      <c r="F3312" s="13">
        <v>44595.564745370371</v>
      </c>
      <c r="G3312" t="s">
        <v>1264</v>
      </c>
      <c r="H3312" t="s">
        <v>1265</v>
      </c>
      <c r="I3312" s="13">
        <v>45012.043680555558</v>
      </c>
      <c r="K3312" t="s">
        <v>415</v>
      </c>
      <c r="M3312" s="13">
        <v>44666</v>
      </c>
      <c r="R3312">
        <v>0</v>
      </c>
      <c r="S3312" t="s">
        <v>380</v>
      </c>
      <c r="T3312" t="s">
        <v>57</v>
      </c>
      <c r="V3312" t="s">
        <v>478</v>
      </c>
      <c r="W3312" t="s">
        <v>2306</v>
      </c>
      <c r="X3312" t="s">
        <v>2306</v>
      </c>
      <c r="AC3312" s="13">
        <v>44666</v>
      </c>
      <c r="AD3312" s="13">
        <v>44666</v>
      </c>
      <c r="AF3312" t="s">
        <v>451</v>
      </c>
      <c r="AI3312">
        <v>-346</v>
      </c>
      <c r="AL3312" t="s">
        <v>3466</v>
      </c>
      <c r="AN3312" t="s">
        <v>57</v>
      </c>
      <c r="AO3312">
        <v>0</v>
      </c>
      <c r="AS3312" t="s">
        <v>526</v>
      </c>
      <c r="AX3312" t="s">
        <v>57</v>
      </c>
      <c r="AY3312" t="s">
        <v>442</v>
      </c>
      <c r="AZ3312" t="s">
        <v>3467</v>
      </c>
      <c r="BE3312" t="s">
        <v>3468</v>
      </c>
      <c r="BF3312">
        <v>0</v>
      </c>
      <c r="BK3312" t="s">
        <v>31</v>
      </c>
      <c r="BS3312" t="s">
        <v>419</v>
      </c>
      <c r="BT3312" t="s">
        <v>419</v>
      </c>
      <c r="CI3312" t="s">
        <v>388</v>
      </c>
      <c r="CJ3312" s="14">
        <v>45016</v>
      </c>
      <c r="CK3312">
        <v>1</v>
      </c>
    </row>
    <row r="3313" spans="1:89">
      <c r="A3313" t="s">
        <v>454</v>
      </c>
      <c r="B3313" t="s">
        <v>374</v>
      </c>
      <c r="C3313" t="s">
        <v>455</v>
      </c>
      <c r="D3313" t="s">
        <v>3469</v>
      </c>
      <c r="E3313" t="s">
        <v>3470</v>
      </c>
      <c r="F3313" s="13">
        <v>44595.532986111109</v>
      </c>
      <c r="G3313" t="s">
        <v>1264</v>
      </c>
      <c r="H3313" t="s">
        <v>1265</v>
      </c>
      <c r="I3313" s="13">
        <v>44624.473298611112</v>
      </c>
      <c r="K3313" t="s">
        <v>379</v>
      </c>
      <c r="M3313" s="13">
        <v>44621</v>
      </c>
      <c r="R3313">
        <v>100</v>
      </c>
      <c r="S3313" t="s">
        <v>416</v>
      </c>
      <c r="T3313" t="s">
        <v>57</v>
      </c>
      <c r="V3313" t="s">
        <v>478</v>
      </c>
      <c r="W3313" t="s">
        <v>2306</v>
      </c>
      <c r="X3313" t="s">
        <v>2306</v>
      </c>
      <c r="AF3313" t="s">
        <v>382</v>
      </c>
      <c r="AG3313" t="s">
        <v>3471</v>
      </c>
      <c r="AI3313">
        <v>-3</v>
      </c>
      <c r="AL3313" t="s">
        <v>2307</v>
      </c>
      <c r="AM3313">
        <v>1</v>
      </c>
      <c r="AN3313" t="s">
        <v>31</v>
      </c>
      <c r="AO3313">
        <v>0</v>
      </c>
      <c r="AS3313" t="s">
        <v>392</v>
      </c>
      <c r="AX3313" t="s">
        <v>57</v>
      </c>
      <c r="AY3313" t="s">
        <v>386</v>
      </c>
      <c r="AZ3313" t="s">
        <v>3472</v>
      </c>
      <c r="BE3313" t="s">
        <v>3473</v>
      </c>
      <c r="BF3313">
        <v>0</v>
      </c>
      <c r="BK3313" t="s">
        <v>31</v>
      </c>
      <c r="BS3313" t="s">
        <v>379</v>
      </c>
      <c r="BT3313" t="s">
        <v>379</v>
      </c>
      <c r="CI3313" t="s">
        <v>388</v>
      </c>
      <c r="CJ3313" s="14">
        <v>45016</v>
      </c>
      <c r="CK3313">
        <v>1</v>
      </c>
    </row>
    <row r="3314" spans="1:89">
      <c r="A3314" t="s">
        <v>3474</v>
      </c>
      <c r="B3314" t="s">
        <v>374</v>
      </c>
      <c r="C3314" t="s">
        <v>3475</v>
      </c>
      <c r="D3314" t="s">
        <v>3476</v>
      </c>
      <c r="E3314" t="s">
        <v>3477</v>
      </c>
      <c r="F3314" s="13">
        <v>44594.652569444443</v>
      </c>
      <c r="G3314" t="s">
        <v>2506</v>
      </c>
      <c r="H3314" t="s">
        <v>2507</v>
      </c>
      <c r="I3314" s="13">
        <v>44624.521481481483</v>
      </c>
      <c r="K3314" t="s">
        <v>379</v>
      </c>
      <c r="M3314" s="13">
        <v>44651</v>
      </c>
      <c r="R3314">
        <v>100</v>
      </c>
      <c r="S3314" t="s">
        <v>380</v>
      </c>
      <c r="T3314" t="s">
        <v>57</v>
      </c>
      <c r="V3314" t="s">
        <v>381</v>
      </c>
      <c r="W3314" t="s">
        <v>3478</v>
      </c>
      <c r="X3314" t="s">
        <v>3478</v>
      </c>
      <c r="AF3314" t="s">
        <v>382</v>
      </c>
      <c r="AG3314" t="s">
        <v>3479</v>
      </c>
      <c r="AI3314">
        <v>27</v>
      </c>
      <c r="AL3314" t="s">
        <v>3480</v>
      </c>
      <c r="AN3314" t="s">
        <v>31</v>
      </c>
      <c r="AO3314">
        <v>0</v>
      </c>
      <c r="AS3314" t="s">
        <v>648</v>
      </c>
      <c r="AX3314" t="s">
        <v>57</v>
      </c>
      <c r="AY3314" t="s">
        <v>386</v>
      </c>
      <c r="AZ3314" t="s">
        <v>3481</v>
      </c>
      <c r="BF3314">
        <v>0</v>
      </c>
      <c r="BK3314" t="s">
        <v>31</v>
      </c>
      <c r="BS3314" t="s">
        <v>379</v>
      </c>
      <c r="BT3314" t="s">
        <v>379</v>
      </c>
      <c r="CI3314" t="s">
        <v>388</v>
      </c>
      <c r="CJ3314" s="14">
        <v>45016</v>
      </c>
      <c r="CK3314">
        <v>1</v>
      </c>
    </row>
    <row r="3315" spans="1:89">
      <c r="A3315" t="s">
        <v>3482</v>
      </c>
      <c r="B3315" t="s">
        <v>374</v>
      </c>
      <c r="C3315" t="s">
        <v>3483</v>
      </c>
      <c r="D3315" t="s">
        <v>3484</v>
      </c>
      <c r="E3315" t="s">
        <v>3485</v>
      </c>
      <c r="F3315" s="13">
        <v>44593.627511574072</v>
      </c>
      <c r="G3315" t="s">
        <v>3486</v>
      </c>
      <c r="H3315" t="s">
        <v>3487</v>
      </c>
      <c r="I3315" s="13">
        <v>45012.043680555558</v>
      </c>
      <c r="K3315" t="s">
        <v>415</v>
      </c>
      <c r="M3315" s="13">
        <v>44658</v>
      </c>
      <c r="R3315">
        <v>0</v>
      </c>
      <c r="S3315" t="s">
        <v>380</v>
      </c>
      <c r="T3315" t="s">
        <v>57</v>
      </c>
      <c r="V3315" t="s">
        <v>478</v>
      </c>
      <c r="W3315" t="s">
        <v>3488</v>
      </c>
      <c r="X3315" t="s">
        <v>3488</v>
      </c>
      <c r="AF3315" t="s">
        <v>451</v>
      </c>
      <c r="AG3315" t="s">
        <v>3489</v>
      </c>
      <c r="AI3315">
        <v>-354</v>
      </c>
      <c r="AL3315" t="s">
        <v>3490</v>
      </c>
      <c r="AN3315" t="s">
        <v>31</v>
      </c>
      <c r="AO3315">
        <v>0</v>
      </c>
      <c r="AS3315" t="s">
        <v>385</v>
      </c>
      <c r="AX3315" t="s">
        <v>31</v>
      </c>
      <c r="AY3315" t="s">
        <v>442</v>
      </c>
      <c r="AZ3315" t="s">
        <v>3491</v>
      </c>
      <c r="BE3315" t="s">
        <v>3492</v>
      </c>
      <c r="BF3315">
        <v>0</v>
      </c>
      <c r="BK3315" t="s">
        <v>31</v>
      </c>
      <c r="BS3315" t="s">
        <v>419</v>
      </c>
      <c r="BT3315" t="s">
        <v>419</v>
      </c>
      <c r="CI3315" t="s">
        <v>388</v>
      </c>
      <c r="CJ3315" s="14">
        <v>45016</v>
      </c>
      <c r="CK3315">
        <v>1</v>
      </c>
    </row>
    <row r="3316" spans="1:89">
      <c r="A3316" t="s">
        <v>2075</v>
      </c>
      <c r="B3316" t="s">
        <v>374</v>
      </c>
      <c r="C3316" t="s">
        <v>2076</v>
      </c>
      <c r="D3316" t="s">
        <v>3493</v>
      </c>
      <c r="E3316" t="s">
        <v>3494</v>
      </c>
      <c r="F3316" s="13">
        <v>44593.508912037039</v>
      </c>
      <c r="G3316" t="s">
        <v>2079</v>
      </c>
      <c r="H3316" t="s">
        <v>2080</v>
      </c>
      <c r="I3316" s="13">
        <v>44645.339571759258</v>
      </c>
      <c r="K3316" t="s">
        <v>379</v>
      </c>
      <c r="M3316" s="13">
        <v>44620</v>
      </c>
      <c r="R3316">
        <v>100</v>
      </c>
      <c r="S3316" t="s">
        <v>416</v>
      </c>
      <c r="T3316" t="s">
        <v>57</v>
      </c>
      <c r="V3316" t="s">
        <v>478</v>
      </c>
      <c r="W3316" t="s">
        <v>3495</v>
      </c>
      <c r="X3316" t="s">
        <v>3495</v>
      </c>
      <c r="AF3316" t="s">
        <v>382</v>
      </c>
      <c r="AG3316" t="s">
        <v>3496</v>
      </c>
      <c r="AI3316">
        <v>-25</v>
      </c>
      <c r="AJ3316" s="13">
        <v>44673</v>
      </c>
      <c r="AL3316" t="s">
        <v>2082</v>
      </c>
      <c r="AM3316">
        <v>1</v>
      </c>
      <c r="AN3316" t="s">
        <v>31</v>
      </c>
      <c r="AO3316">
        <v>0</v>
      </c>
      <c r="AR3316" t="s">
        <v>3497</v>
      </c>
      <c r="AS3316" t="s">
        <v>385</v>
      </c>
      <c r="AX3316" t="s">
        <v>57</v>
      </c>
      <c r="AY3316" t="s">
        <v>386</v>
      </c>
      <c r="AZ3316" t="s">
        <v>3498</v>
      </c>
      <c r="BF3316">
        <v>0</v>
      </c>
      <c r="BK3316" t="s">
        <v>31</v>
      </c>
      <c r="BS3316" t="s">
        <v>379</v>
      </c>
      <c r="BT3316" t="s">
        <v>379</v>
      </c>
      <c r="CI3316" t="s">
        <v>388</v>
      </c>
      <c r="CJ3316" s="14">
        <v>45016</v>
      </c>
      <c r="CK3316">
        <v>1</v>
      </c>
    </row>
    <row r="3317" spans="1:89">
      <c r="A3317" t="s">
        <v>2089</v>
      </c>
      <c r="B3317" t="s">
        <v>374</v>
      </c>
      <c r="C3317" t="s">
        <v>2090</v>
      </c>
      <c r="D3317" t="s">
        <v>3499</v>
      </c>
      <c r="E3317" t="s">
        <v>3500</v>
      </c>
      <c r="F3317" s="13">
        <v>44593.432650462964</v>
      </c>
      <c r="G3317" t="s">
        <v>2079</v>
      </c>
      <c r="H3317" t="s">
        <v>2080</v>
      </c>
      <c r="I3317" s="13">
        <v>44645.338842592595</v>
      </c>
      <c r="K3317" t="s">
        <v>379</v>
      </c>
      <c r="M3317" s="13">
        <v>44620</v>
      </c>
      <c r="R3317">
        <v>100</v>
      </c>
      <c r="S3317" t="s">
        <v>416</v>
      </c>
      <c r="T3317" t="s">
        <v>57</v>
      </c>
      <c r="V3317" t="s">
        <v>478</v>
      </c>
      <c r="W3317" t="s">
        <v>3501</v>
      </c>
      <c r="X3317" t="s">
        <v>3501</v>
      </c>
      <c r="AF3317" t="s">
        <v>382</v>
      </c>
      <c r="AG3317" t="s">
        <v>3502</v>
      </c>
      <c r="AI3317">
        <v>-25</v>
      </c>
      <c r="AL3317" t="s">
        <v>2094</v>
      </c>
      <c r="AM3317">
        <v>1</v>
      </c>
      <c r="AN3317" t="s">
        <v>31</v>
      </c>
      <c r="AO3317">
        <v>0</v>
      </c>
      <c r="AS3317" t="s">
        <v>522</v>
      </c>
      <c r="AX3317" t="s">
        <v>57</v>
      </c>
      <c r="AY3317" t="s">
        <v>386</v>
      </c>
      <c r="AZ3317" t="s">
        <v>3503</v>
      </c>
      <c r="BF3317">
        <v>0</v>
      </c>
      <c r="BK3317" t="s">
        <v>31</v>
      </c>
      <c r="BS3317" t="s">
        <v>379</v>
      </c>
      <c r="BT3317" t="s">
        <v>379</v>
      </c>
      <c r="CI3317" t="s">
        <v>388</v>
      </c>
      <c r="CJ3317" s="14">
        <v>45016</v>
      </c>
      <c r="CK3317">
        <v>1</v>
      </c>
    </row>
    <row r="3318" spans="1:89">
      <c r="A3318" t="s">
        <v>3504</v>
      </c>
      <c r="B3318" t="s">
        <v>374</v>
      </c>
      <c r="C3318" t="s">
        <v>3505</v>
      </c>
      <c r="D3318" t="s">
        <v>3506</v>
      </c>
      <c r="E3318" t="s">
        <v>3507</v>
      </c>
      <c r="F3318" s="13">
        <v>44592.727453703701</v>
      </c>
      <c r="G3318" t="s">
        <v>2271</v>
      </c>
      <c r="H3318" t="s">
        <v>2272</v>
      </c>
      <c r="I3318" s="13">
        <v>45012.043680555558</v>
      </c>
      <c r="K3318" t="s">
        <v>415</v>
      </c>
      <c r="M3318" s="13">
        <v>44680</v>
      </c>
      <c r="R3318">
        <v>0</v>
      </c>
      <c r="S3318" t="s">
        <v>380</v>
      </c>
      <c r="T3318" t="s">
        <v>57</v>
      </c>
      <c r="V3318" t="s">
        <v>478</v>
      </c>
      <c r="W3318" t="s">
        <v>3508</v>
      </c>
      <c r="X3318" t="s">
        <v>3508</v>
      </c>
      <c r="AF3318" t="s">
        <v>451</v>
      </c>
      <c r="AI3318">
        <v>-332</v>
      </c>
      <c r="AL3318" t="s">
        <v>3509</v>
      </c>
      <c r="AN3318" t="s">
        <v>31</v>
      </c>
      <c r="AO3318">
        <v>0</v>
      </c>
      <c r="AS3318" t="s">
        <v>702</v>
      </c>
      <c r="AX3318" t="s">
        <v>31</v>
      </c>
      <c r="AY3318" t="s">
        <v>386</v>
      </c>
      <c r="AZ3318" t="s">
        <v>3510</v>
      </c>
      <c r="BF3318">
        <v>0</v>
      </c>
      <c r="BK3318" t="s">
        <v>31</v>
      </c>
      <c r="BS3318" t="s">
        <v>419</v>
      </c>
      <c r="BT3318" t="s">
        <v>419</v>
      </c>
      <c r="CI3318" t="s">
        <v>388</v>
      </c>
      <c r="CJ3318" s="14">
        <v>45016</v>
      </c>
      <c r="CK3318">
        <v>1</v>
      </c>
    </row>
    <row r="3319" spans="1:89">
      <c r="A3319" t="s">
        <v>2368</v>
      </c>
      <c r="B3319" t="s">
        <v>374</v>
      </c>
      <c r="C3319" t="s">
        <v>2369</v>
      </c>
      <c r="D3319" t="s">
        <v>3511</v>
      </c>
      <c r="E3319" t="s">
        <v>3512</v>
      </c>
      <c r="F3319" s="13">
        <v>44592.681157407409</v>
      </c>
      <c r="G3319" t="s">
        <v>3155</v>
      </c>
      <c r="H3319" t="s">
        <v>3156</v>
      </c>
      <c r="I3319" s="13">
        <v>45012.043680555558</v>
      </c>
      <c r="K3319" t="s">
        <v>415</v>
      </c>
      <c r="M3319" s="13">
        <v>44680</v>
      </c>
      <c r="R3319">
        <v>70</v>
      </c>
      <c r="S3319" t="s">
        <v>380</v>
      </c>
      <c r="T3319" t="s">
        <v>57</v>
      </c>
      <c r="V3319" t="s">
        <v>478</v>
      </c>
      <c r="W3319" t="s">
        <v>3513</v>
      </c>
      <c r="X3319" t="s">
        <v>3513</v>
      </c>
      <c r="AE3319" t="s">
        <v>3514</v>
      </c>
      <c r="AF3319" t="s">
        <v>451</v>
      </c>
      <c r="AG3319" t="s">
        <v>3515</v>
      </c>
      <c r="AI3319">
        <v>-332</v>
      </c>
      <c r="AL3319" t="s">
        <v>3516</v>
      </c>
      <c r="AN3319" t="s">
        <v>31</v>
      </c>
      <c r="AO3319">
        <v>0</v>
      </c>
      <c r="AS3319" t="s">
        <v>538</v>
      </c>
      <c r="AX3319" t="s">
        <v>31</v>
      </c>
      <c r="AY3319" t="s">
        <v>442</v>
      </c>
      <c r="AZ3319" t="s">
        <v>3517</v>
      </c>
      <c r="BF3319">
        <v>0</v>
      </c>
      <c r="BK3319" t="s">
        <v>31</v>
      </c>
      <c r="BS3319" t="s">
        <v>419</v>
      </c>
      <c r="BT3319" t="s">
        <v>419</v>
      </c>
      <c r="CI3319" t="s">
        <v>388</v>
      </c>
      <c r="CJ3319" s="14">
        <v>45016</v>
      </c>
      <c r="CK3319">
        <v>1</v>
      </c>
    </row>
    <row r="3320" spans="1:89">
      <c r="A3320" t="s">
        <v>2227</v>
      </c>
      <c r="B3320" t="s">
        <v>374</v>
      </c>
      <c r="C3320" t="s">
        <v>2228</v>
      </c>
      <c r="D3320" t="s">
        <v>3518</v>
      </c>
      <c r="E3320" t="s">
        <v>3519</v>
      </c>
      <c r="F3320" s="13">
        <v>44589.319340277776</v>
      </c>
      <c r="G3320" t="s">
        <v>2231</v>
      </c>
      <c r="H3320" t="s">
        <v>2232</v>
      </c>
      <c r="I3320" s="13">
        <v>44972.596226851849</v>
      </c>
      <c r="K3320" t="s">
        <v>379</v>
      </c>
      <c r="M3320" s="13">
        <v>44620</v>
      </c>
      <c r="R3320">
        <v>100</v>
      </c>
      <c r="S3320" t="s">
        <v>380</v>
      </c>
      <c r="T3320" t="s">
        <v>57</v>
      </c>
      <c r="V3320" t="s">
        <v>381</v>
      </c>
      <c r="W3320" t="s">
        <v>3520</v>
      </c>
      <c r="X3320" t="s">
        <v>3520</v>
      </c>
      <c r="AF3320" t="s">
        <v>382</v>
      </c>
      <c r="AG3320" t="s">
        <v>3519</v>
      </c>
      <c r="AI3320">
        <v>28</v>
      </c>
      <c r="AL3320" t="s">
        <v>3521</v>
      </c>
      <c r="AN3320" t="s">
        <v>31</v>
      </c>
      <c r="AO3320">
        <v>0</v>
      </c>
      <c r="AS3320" t="s">
        <v>385</v>
      </c>
      <c r="AX3320" t="s">
        <v>31</v>
      </c>
      <c r="AY3320" t="s">
        <v>442</v>
      </c>
      <c r="AZ3320" t="s">
        <v>3522</v>
      </c>
      <c r="BF3320">
        <v>0</v>
      </c>
      <c r="BK3320" t="s">
        <v>31</v>
      </c>
      <c r="BS3320" t="s">
        <v>379</v>
      </c>
      <c r="BT3320" t="s">
        <v>379</v>
      </c>
      <c r="CI3320" t="s">
        <v>388</v>
      </c>
      <c r="CJ3320" s="14">
        <v>45016</v>
      </c>
      <c r="CK3320">
        <v>1</v>
      </c>
    </row>
    <row r="3321" spans="1:89">
      <c r="A3321" t="s">
        <v>2227</v>
      </c>
      <c r="B3321" t="s">
        <v>374</v>
      </c>
      <c r="C3321" t="s">
        <v>2228</v>
      </c>
      <c r="D3321" t="s">
        <v>3523</v>
      </c>
      <c r="E3321" t="s">
        <v>3524</v>
      </c>
      <c r="F3321" s="13">
        <v>44589.313692129632</v>
      </c>
      <c r="G3321" t="s">
        <v>2231</v>
      </c>
      <c r="H3321" t="s">
        <v>2232</v>
      </c>
      <c r="I3321" s="13">
        <v>44972.596226851849</v>
      </c>
      <c r="K3321" t="s">
        <v>409</v>
      </c>
      <c r="R3321">
        <v>0</v>
      </c>
      <c r="S3321" t="s">
        <v>380</v>
      </c>
      <c r="T3321" t="s">
        <v>57</v>
      </c>
      <c r="V3321" t="s">
        <v>381</v>
      </c>
      <c r="W3321" t="s">
        <v>2233</v>
      </c>
      <c r="X3321" t="s">
        <v>2233</v>
      </c>
      <c r="AI3321">
        <v>31</v>
      </c>
      <c r="AL3321" t="s">
        <v>3521</v>
      </c>
      <c r="AN3321" t="s">
        <v>31</v>
      </c>
      <c r="AO3321">
        <v>0</v>
      </c>
      <c r="AS3321" t="s">
        <v>385</v>
      </c>
      <c r="AX3321" t="s">
        <v>31</v>
      </c>
      <c r="AY3321" t="s">
        <v>442</v>
      </c>
      <c r="AZ3321" t="s">
        <v>3525</v>
      </c>
      <c r="BF3321">
        <v>0</v>
      </c>
      <c r="BK3321" t="s">
        <v>31</v>
      </c>
      <c r="BS3321" t="s">
        <v>409</v>
      </c>
      <c r="BT3321" t="s">
        <v>409</v>
      </c>
      <c r="CI3321" t="s">
        <v>388</v>
      </c>
      <c r="CJ3321" s="14">
        <v>45016</v>
      </c>
      <c r="CK3321">
        <v>1</v>
      </c>
    </row>
    <row r="3322" spans="1:89">
      <c r="A3322" t="s">
        <v>2227</v>
      </c>
      <c r="B3322" t="s">
        <v>374</v>
      </c>
      <c r="C3322" t="s">
        <v>2228</v>
      </c>
      <c r="D3322" t="s">
        <v>3526</v>
      </c>
      <c r="E3322" t="s">
        <v>3527</v>
      </c>
      <c r="F3322" s="13">
        <v>44588.675081018519</v>
      </c>
      <c r="G3322" t="s">
        <v>2231</v>
      </c>
      <c r="H3322" t="s">
        <v>2232</v>
      </c>
      <c r="I3322" s="13">
        <v>44972.596226851849</v>
      </c>
      <c r="K3322" t="s">
        <v>379</v>
      </c>
      <c r="M3322" s="13">
        <v>44589</v>
      </c>
      <c r="R3322">
        <v>100</v>
      </c>
      <c r="S3322" t="s">
        <v>380</v>
      </c>
      <c r="T3322" t="s">
        <v>57</v>
      </c>
      <c r="V3322" t="s">
        <v>478</v>
      </c>
      <c r="W3322" t="s">
        <v>3528</v>
      </c>
      <c r="X3322" t="s">
        <v>3528</v>
      </c>
      <c r="AF3322" t="s">
        <v>382</v>
      </c>
      <c r="AG3322" t="s">
        <v>3529</v>
      </c>
      <c r="AI3322">
        <v>-13</v>
      </c>
      <c r="AJ3322" s="13">
        <v>44602</v>
      </c>
      <c r="AL3322" t="s">
        <v>3530</v>
      </c>
      <c r="AN3322" t="s">
        <v>31</v>
      </c>
      <c r="AO3322">
        <v>0</v>
      </c>
      <c r="AR3322" t="s">
        <v>3531</v>
      </c>
      <c r="AS3322" t="s">
        <v>392</v>
      </c>
      <c r="AX3322" t="s">
        <v>31</v>
      </c>
      <c r="AY3322" t="s">
        <v>442</v>
      </c>
      <c r="AZ3322" t="s">
        <v>3532</v>
      </c>
      <c r="BF3322">
        <v>0</v>
      </c>
      <c r="BK3322" t="s">
        <v>31</v>
      </c>
      <c r="BS3322" t="s">
        <v>379</v>
      </c>
      <c r="BT3322" t="s">
        <v>379</v>
      </c>
      <c r="CI3322" t="s">
        <v>388</v>
      </c>
      <c r="CJ3322" s="14">
        <v>45016</v>
      </c>
      <c r="CK3322">
        <v>1</v>
      </c>
    </row>
    <row r="3323" spans="1:89">
      <c r="A3323" t="s">
        <v>673</v>
      </c>
      <c r="B3323" t="s">
        <v>374</v>
      </c>
      <c r="C3323" t="s">
        <v>674</v>
      </c>
      <c r="D3323" t="s">
        <v>3533</v>
      </c>
      <c r="E3323" t="s">
        <v>3534</v>
      </c>
      <c r="F3323" s="13">
        <v>44588.51185185185</v>
      </c>
      <c r="G3323" t="s">
        <v>3535</v>
      </c>
      <c r="H3323" t="s">
        <v>3536</v>
      </c>
      <c r="I3323" s="13">
        <v>44588.563263888886</v>
      </c>
      <c r="K3323" t="s">
        <v>379</v>
      </c>
      <c r="M3323" s="13">
        <v>44593</v>
      </c>
      <c r="R3323">
        <v>100</v>
      </c>
      <c r="S3323" t="s">
        <v>380</v>
      </c>
      <c r="T3323" t="s">
        <v>57</v>
      </c>
      <c r="V3323" t="s">
        <v>381</v>
      </c>
      <c r="W3323" t="s">
        <v>3537</v>
      </c>
      <c r="X3323" t="s">
        <v>3537</v>
      </c>
      <c r="AC3323" s="13">
        <v>44593</v>
      </c>
      <c r="AD3323" s="13">
        <v>44593</v>
      </c>
      <c r="AF3323" t="s">
        <v>382</v>
      </c>
      <c r="AG3323" t="s">
        <v>3538</v>
      </c>
      <c r="AI3323">
        <v>5</v>
      </c>
      <c r="AL3323" t="s">
        <v>3539</v>
      </c>
      <c r="AN3323" t="s">
        <v>31</v>
      </c>
      <c r="AO3323">
        <v>0</v>
      </c>
      <c r="AS3323" t="s">
        <v>385</v>
      </c>
      <c r="AX3323" t="s">
        <v>31</v>
      </c>
      <c r="AY3323" t="s">
        <v>442</v>
      </c>
      <c r="AZ3323" t="s">
        <v>3540</v>
      </c>
      <c r="BF3323">
        <v>0</v>
      </c>
      <c r="BK3323" t="s">
        <v>31</v>
      </c>
      <c r="BS3323" t="s">
        <v>379</v>
      </c>
      <c r="BT3323" t="s">
        <v>379</v>
      </c>
      <c r="CI3323" t="s">
        <v>388</v>
      </c>
      <c r="CJ3323" s="14">
        <v>45016</v>
      </c>
      <c r="CK3323">
        <v>1</v>
      </c>
    </row>
    <row r="3324" spans="1:89">
      <c r="A3324" t="s">
        <v>3541</v>
      </c>
      <c r="B3324" t="s">
        <v>374</v>
      </c>
      <c r="C3324" t="s">
        <v>3542</v>
      </c>
      <c r="D3324" t="s">
        <v>3543</v>
      </c>
      <c r="E3324" t="s">
        <v>3544</v>
      </c>
      <c r="F3324" s="13">
        <v>44587.414942129632</v>
      </c>
      <c r="G3324" t="s">
        <v>3346</v>
      </c>
      <c r="H3324" t="s">
        <v>3347</v>
      </c>
      <c r="I3324" s="13">
        <v>44610.689918981479</v>
      </c>
      <c r="K3324" t="s">
        <v>379</v>
      </c>
      <c r="M3324" s="13">
        <v>44592</v>
      </c>
      <c r="R3324">
        <v>100</v>
      </c>
      <c r="S3324" t="s">
        <v>380</v>
      </c>
      <c r="T3324" t="s">
        <v>57</v>
      </c>
      <c r="V3324" t="s">
        <v>381</v>
      </c>
      <c r="W3324" t="s">
        <v>2817</v>
      </c>
      <c r="X3324" t="s">
        <v>2817</v>
      </c>
      <c r="AF3324" t="s">
        <v>382</v>
      </c>
      <c r="AG3324" t="s">
        <v>1387</v>
      </c>
      <c r="AI3324">
        <v>0</v>
      </c>
      <c r="AK3324" t="s">
        <v>480</v>
      </c>
      <c r="AL3324" t="s">
        <v>3545</v>
      </c>
      <c r="AN3324" t="s">
        <v>31</v>
      </c>
      <c r="AO3324">
        <v>0</v>
      </c>
      <c r="AS3324" t="s">
        <v>730</v>
      </c>
      <c r="AX3324" t="s">
        <v>57</v>
      </c>
      <c r="AY3324" t="s">
        <v>386</v>
      </c>
      <c r="AZ3324" t="s">
        <v>3546</v>
      </c>
      <c r="BF3324">
        <v>0</v>
      </c>
      <c r="BK3324" t="s">
        <v>31</v>
      </c>
      <c r="BS3324" t="s">
        <v>379</v>
      </c>
      <c r="BT3324" t="s">
        <v>379</v>
      </c>
      <c r="CI3324" t="s">
        <v>388</v>
      </c>
      <c r="CJ3324" s="14">
        <v>45016</v>
      </c>
      <c r="CK3324">
        <v>1</v>
      </c>
    </row>
    <row r="3325" spans="1:89">
      <c r="A3325" t="s">
        <v>1415</v>
      </c>
      <c r="B3325" t="s">
        <v>374</v>
      </c>
      <c r="C3325" t="s">
        <v>1416</v>
      </c>
      <c r="D3325" t="s">
        <v>3547</v>
      </c>
      <c r="E3325" t="s">
        <v>3548</v>
      </c>
      <c r="F3325" s="13">
        <v>44585.422210648147</v>
      </c>
      <c r="G3325" t="s">
        <v>1418</v>
      </c>
      <c r="H3325" t="s">
        <v>1419</v>
      </c>
      <c r="I3325" s="13">
        <v>45012.043668981481</v>
      </c>
      <c r="K3325" t="s">
        <v>415</v>
      </c>
      <c r="M3325" s="13">
        <v>44742</v>
      </c>
      <c r="R3325">
        <v>0</v>
      </c>
      <c r="S3325" t="s">
        <v>380</v>
      </c>
      <c r="T3325" t="s">
        <v>57</v>
      </c>
      <c r="V3325" t="s">
        <v>478</v>
      </c>
      <c r="W3325" t="s">
        <v>3549</v>
      </c>
      <c r="X3325" t="s">
        <v>3549</v>
      </c>
      <c r="AF3325" t="s">
        <v>451</v>
      </c>
      <c r="AI3325">
        <v>-270</v>
      </c>
      <c r="AL3325" t="s">
        <v>3550</v>
      </c>
      <c r="AN3325" t="s">
        <v>31</v>
      </c>
      <c r="AO3325">
        <v>0</v>
      </c>
      <c r="AS3325" t="s">
        <v>385</v>
      </c>
      <c r="AX3325" t="s">
        <v>31</v>
      </c>
      <c r="AY3325" t="s">
        <v>442</v>
      </c>
      <c r="AZ3325" t="s">
        <v>3551</v>
      </c>
      <c r="BF3325">
        <v>0</v>
      </c>
      <c r="BK3325" t="s">
        <v>31</v>
      </c>
      <c r="BS3325" t="s">
        <v>419</v>
      </c>
      <c r="BT3325" t="s">
        <v>419</v>
      </c>
      <c r="CI3325" t="s">
        <v>388</v>
      </c>
      <c r="CJ3325" s="14">
        <v>45016</v>
      </c>
      <c r="CK3325">
        <v>1</v>
      </c>
    </row>
    <row r="3326" spans="1:89">
      <c r="A3326" t="s">
        <v>3552</v>
      </c>
      <c r="B3326" t="s">
        <v>374</v>
      </c>
      <c r="C3326" t="s">
        <v>3553</v>
      </c>
      <c r="D3326" t="s">
        <v>3554</v>
      </c>
      <c r="E3326" t="s">
        <v>3555</v>
      </c>
      <c r="F3326" s="13">
        <v>44585.318055555559</v>
      </c>
      <c r="G3326" t="s">
        <v>377</v>
      </c>
      <c r="H3326" t="s">
        <v>378</v>
      </c>
      <c r="I3326" s="13">
        <v>44585.325486111113</v>
      </c>
      <c r="K3326" t="s">
        <v>409</v>
      </c>
      <c r="R3326">
        <v>0</v>
      </c>
      <c r="S3326" t="s">
        <v>380</v>
      </c>
      <c r="T3326" t="s">
        <v>57</v>
      </c>
      <c r="V3326" t="s">
        <v>381</v>
      </c>
      <c r="W3326" t="s">
        <v>3556</v>
      </c>
      <c r="X3326" t="s">
        <v>3556</v>
      </c>
      <c r="AI3326">
        <v>7</v>
      </c>
      <c r="AL3326" t="s">
        <v>3557</v>
      </c>
      <c r="AN3326" t="s">
        <v>31</v>
      </c>
      <c r="AO3326">
        <v>0</v>
      </c>
      <c r="AS3326" t="s">
        <v>730</v>
      </c>
      <c r="AX3326" t="s">
        <v>57</v>
      </c>
      <c r="AY3326" t="s">
        <v>386</v>
      </c>
      <c r="AZ3326" t="s">
        <v>3558</v>
      </c>
      <c r="BF3326">
        <v>0</v>
      </c>
      <c r="BK3326" t="s">
        <v>31</v>
      </c>
      <c r="BS3326" t="s">
        <v>409</v>
      </c>
      <c r="BT3326" t="s">
        <v>409</v>
      </c>
      <c r="CI3326" t="s">
        <v>388</v>
      </c>
      <c r="CJ3326" s="14">
        <v>45016</v>
      </c>
      <c r="CK3326">
        <v>1</v>
      </c>
    </row>
    <row r="3327" spans="1:89">
      <c r="A3327" t="s">
        <v>2267</v>
      </c>
      <c r="B3327" t="s">
        <v>374</v>
      </c>
      <c r="C3327" t="s">
        <v>2268</v>
      </c>
      <c r="D3327" t="s">
        <v>3559</v>
      </c>
      <c r="E3327" t="s">
        <v>3560</v>
      </c>
      <c r="F3327" s="13">
        <v>44571.72</v>
      </c>
      <c r="G3327" t="s">
        <v>2271</v>
      </c>
      <c r="H3327" t="s">
        <v>2272</v>
      </c>
      <c r="I3327" s="13">
        <v>45012.043668981481</v>
      </c>
      <c r="K3327" t="s">
        <v>415</v>
      </c>
      <c r="M3327" s="13">
        <v>44631</v>
      </c>
      <c r="R3327">
        <v>0</v>
      </c>
      <c r="S3327" t="s">
        <v>416</v>
      </c>
      <c r="T3327" t="s">
        <v>57</v>
      </c>
      <c r="V3327" t="s">
        <v>478</v>
      </c>
      <c r="W3327" t="s">
        <v>3561</v>
      </c>
      <c r="X3327" t="s">
        <v>3561</v>
      </c>
      <c r="AF3327" t="s">
        <v>451</v>
      </c>
      <c r="AI3327">
        <v>-381</v>
      </c>
      <c r="AL3327" t="s">
        <v>3562</v>
      </c>
      <c r="AN3327" t="s">
        <v>31</v>
      </c>
      <c r="AO3327">
        <v>0</v>
      </c>
      <c r="AS3327" t="s">
        <v>385</v>
      </c>
      <c r="AX3327" t="s">
        <v>31</v>
      </c>
      <c r="AY3327" t="s">
        <v>386</v>
      </c>
      <c r="AZ3327" t="s">
        <v>3563</v>
      </c>
      <c r="BF3327">
        <v>0</v>
      </c>
      <c r="BK3327" t="s">
        <v>31</v>
      </c>
      <c r="BS3327" t="s">
        <v>419</v>
      </c>
      <c r="BT3327" t="s">
        <v>419</v>
      </c>
      <c r="CI3327" t="s">
        <v>388</v>
      </c>
      <c r="CJ3327" s="14">
        <v>45016</v>
      </c>
      <c r="CK3327">
        <v>1</v>
      </c>
    </row>
    <row r="3328" spans="1:89">
      <c r="A3328" t="s">
        <v>454</v>
      </c>
      <c r="B3328" t="s">
        <v>374</v>
      </c>
      <c r="C3328" t="s">
        <v>455</v>
      </c>
      <c r="D3328" t="s">
        <v>3564</v>
      </c>
      <c r="E3328" t="s">
        <v>3565</v>
      </c>
      <c r="F3328" s="13">
        <v>44559.565185185187</v>
      </c>
      <c r="G3328" t="s">
        <v>1264</v>
      </c>
      <c r="H3328" t="s">
        <v>1265</v>
      </c>
      <c r="I3328" s="13">
        <v>44624.44866898148</v>
      </c>
      <c r="K3328" t="s">
        <v>379</v>
      </c>
      <c r="M3328" s="13">
        <v>44620</v>
      </c>
      <c r="R3328">
        <v>100</v>
      </c>
      <c r="S3328" t="s">
        <v>416</v>
      </c>
      <c r="T3328" t="s">
        <v>57</v>
      </c>
      <c r="V3328" t="s">
        <v>478</v>
      </c>
      <c r="W3328" t="s">
        <v>2306</v>
      </c>
      <c r="X3328" t="s">
        <v>2306</v>
      </c>
      <c r="AF3328" t="s">
        <v>382</v>
      </c>
      <c r="AG3328" t="s">
        <v>3566</v>
      </c>
      <c r="AI3328">
        <v>-4</v>
      </c>
      <c r="AL3328" t="s">
        <v>2389</v>
      </c>
      <c r="AM3328">
        <v>1</v>
      </c>
      <c r="AN3328" t="s">
        <v>31</v>
      </c>
      <c r="AO3328">
        <v>0</v>
      </c>
      <c r="AS3328" t="s">
        <v>385</v>
      </c>
      <c r="AX3328" t="s">
        <v>57</v>
      </c>
      <c r="AY3328" t="s">
        <v>442</v>
      </c>
      <c r="AZ3328" t="s">
        <v>3567</v>
      </c>
      <c r="BE3328" t="s">
        <v>2391</v>
      </c>
      <c r="BF3328">
        <v>0</v>
      </c>
      <c r="BK3328" t="s">
        <v>31</v>
      </c>
      <c r="BS3328" t="s">
        <v>379</v>
      </c>
      <c r="BT3328" t="s">
        <v>379</v>
      </c>
      <c r="CI3328" t="s">
        <v>388</v>
      </c>
      <c r="CJ3328" s="14">
        <v>45016</v>
      </c>
      <c r="CK3328">
        <v>1</v>
      </c>
    </row>
    <row r="3329" spans="1:89">
      <c r="A3329" t="s">
        <v>454</v>
      </c>
      <c r="B3329" t="s">
        <v>374</v>
      </c>
      <c r="C3329" t="s">
        <v>455</v>
      </c>
      <c r="D3329" t="s">
        <v>3568</v>
      </c>
      <c r="E3329" t="s">
        <v>3569</v>
      </c>
      <c r="F3329" s="13">
        <v>44559.564780092594</v>
      </c>
      <c r="G3329" t="s">
        <v>3570</v>
      </c>
      <c r="H3329" t="s">
        <v>3571</v>
      </c>
      <c r="I3329" s="13">
        <v>44624.454050925924</v>
      </c>
      <c r="K3329" t="s">
        <v>379</v>
      </c>
      <c r="M3329" s="13">
        <v>44620</v>
      </c>
      <c r="R3329">
        <v>100</v>
      </c>
      <c r="S3329" t="s">
        <v>416</v>
      </c>
      <c r="T3329" t="s">
        <v>57</v>
      </c>
      <c r="V3329" t="s">
        <v>478</v>
      </c>
      <c r="W3329" t="s">
        <v>2306</v>
      </c>
      <c r="X3329" t="s">
        <v>2306</v>
      </c>
      <c r="AF3329" t="s">
        <v>382</v>
      </c>
      <c r="AG3329" t="s">
        <v>3572</v>
      </c>
      <c r="AI3329">
        <v>-4</v>
      </c>
      <c r="AL3329" t="s">
        <v>2394</v>
      </c>
      <c r="AM3329">
        <v>1</v>
      </c>
      <c r="AN3329" t="s">
        <v>31</v>
      </c>
      <c r="AO3329">
        <v>0</v>
      </c>
      <c r="AS3329" t="s">
        <v>385</v>
      </c>
      <c r="AX3329" t="s">
        <v>57</v>
      </c>
      <c r="AY3329" t="s">
        <v>386</v>
      </c>
      <c r="AZ3329" t="s">
        <v>3573</v>
      </c>
      <c r="BE3329" t="s">
        <v>2396</v>
      </c>
      <c r="BF3329">
        <v>0</v>
      </c>
      <c r="BK3329" t="s">
        <v>31</v>
      </c>
      <c r="BS3329" t="s">
        <v>379</v>
      </c>
      <c r="BT3329" t="s">
        <v>379</v>
      </c>
      <c r="CI3329" t="s">
        <v>388</v>
      </c>
      <c r="CJ3329" s="14">
        <v>45016</v>
      </c>
      <c r="CK3329">
        <v>1</v>
      </c>
    </row>
    <row r="3330" spans="1:89">
      <c r="A3330" t="s">
        <v>3574</v>
      </c>
      <c r="B3330" t="s">
        <v>374</v>
      </c>
      <c r="C3330" t="s">
        <v>3575</v>
      </c>
      <c r="D3330" t="s">
        <v>3576</v>
      </c>
      <c r="E3330" t="s">
        <v>3577</v>
      </c>
      <c r="F3330" s="13">
        <v>44559.560624999998</v>
      </c>
      <c r="G3330" t="s">
        <v>1264</v>
      </c>
      <c r="H3330" t="s">
        <v>1265</v>
      </c>
      <c r="I3330" s="13">
        <v>45012.043668981481</v>
      </c>
      <c r="K3330" t="s">
        <v>415</v>
      </c>
      <c r="M3330" s="13">
        <v>44742</v>
      </c>
      <c r="R3330">
        <v>0</v>
      </c>
      <c r="S3330" t="s">
        <v>380</v>
      </c>
      <c r="T3330" t="s">
        <v>57</v>
      </c>
      <c r="V3330" t="s">
        <v>478</v>
      </c>
      <c r="W3330" t="s">
        <v>3578</v>
      </c>
      <c r="X3330" t="s">
        <v>3578</v>
      </c>
      <c r="AF3330" t="s">
        <v>451</v>
      </c>
      <c r="AI3330">
        <v>-270</v>
      </c>
      <c r="AL3330" t="s">
        <v>3579</v>
      </c>
      <c r="AN3330" t="s">
        <v>31</v>
      </c>
      <c r="AO3330">
        <v>0</v>
      </c>
      <c r="AS3330" t="s">
        <v>385</v>
      </c>
      <c r="AX3330" t="s">
        <v>57</v>
      </c>
      <c r="AY3330" t="s">
        <v>442</v>
      </c>
      <c r="AZ3330" t="s">
        <v>1460</v>
      </c>
      <c r="BE3330" t="s">
        <v>3580</v>
      </c>
      <c r="BF3330">
        <v>0</v>
      </c>
      <c r="BK3330" t="s">
        <v>31</v>
      </c>
      <c r="BS3330" t="s">
        <v>419</v>
      </c>
      <c r="BT3330" t="s">
        <v>419</v>
      </c>
      <c r="CI3330" t="s">
        <v>388</v>
      </c>
      <c r="CJ3330" s="14">
        <v>45016</v>
      </c>
      <c r="CK3330">
        <v>1</v>
      </c>
    </row>
    <row r="3331" spans="1:89">
      <c r="A3331" t="s">
        <v>454</v>
      </c>
      <c r="B3331" t="s">
        <v>374</v>
      </c>
      <c r="C3331" t="s">
        <v>455</v>
      </c>
      <c r="D3331" t="s">
        <v>3581</v>
      </c>
      <c r="E3331" t="s">
        <v>3582</v>
      </c>
      <c r="F3331" s="13">
        <v>44559.55505787037</v>
      </c>
      <c r="G3331" t="s">
        <v>1264</v>
      </c>
      <c r="H3331" t="s">
        <v>1265</v>
      </c>
      <c r="I3331" s="13">
        <v>45012.043668981481</v>
      </c>
      <c r="K3331" t="s">
        <v>415</v>
      </c>
      <c r="M3331" s="13">
        <v>44910</v>
      </c>
      <c r="R3331">
        <v>0</v>
      </c>
      <c r="S3331" t="s">
        <v>380</v>
      </c>
      <c r="T3331" t="s">
        <v>57</v>
      </c>
      <c r="V3331" t="s">
        <v>478</v>
      </c>
      <c r="W3331" t="s">
        <v>2306</v>
      </c>
      <c r="X3331" t="s">
        <v>2306</v>
      </c>
      <c r="AF3331" t="s">
        <v>451</v>
      </c>
      <c r="AI3331">
        <v>-102</v>
      </c>
      <c r="AL3331" t="s">
        <v>3583</v>
      </c>
      <c r="AN3331" t="s">
        <v>31</v>
      </c>
      <c r="AO3331">
        <v>0</v>
      </c>
      <c r="AS3331" t="s">
        <v>385</v>
      </c>
      <c r="AX3331" t="s">
        <v>57</v>
      </c>
      <c r="AY3331" t="s">
        <v>442</v>
      </c>
      <c r="AZ3331" t="s">
        <v>3584</v>
      </c>
      <c r="BE3331" t="s">
        <v>3585</v>
      </c>
      <c r="BF3331">
        <v>0</v>
      </c>
      <c r="BK3331" t="s">
        <v>31</v>
      </c>
      <c r="BS3331" t="s">
        <v>419</v>
      </c>
      <c r="BT3331" t="s">
        <v>419</v>
      </c>
      <c r="CI3331" t="s">
        <v>388</v>
      </c>
      <c r="CJ3331" s="14">
        <v>45016</v>
      </c>
      <c r="CK3331">
        <v>1</v>
      </c>
    </row>
    <row r="3332" spans="1:89">
      <c r="A3332" t="s">
        <v>3574</v>
      </c>
      <c r="B3332" t="s">
        <v>374</v>
      </c>
      <c r="C3332" t="s">
        <v>3575</v>
      </c>
      <c r="D3332" t="s">
        <v>3586</v>
      </c>
      <c r="E3332" t="s">
        <v>3587</v>
      </c>
      <c r="F3332" s="13">
        <v>44559.549722222226</v>
      </c>
      <c r="G3332" t="s">
        <v>1264</v>
      </c>
      <c r="H3332" t="s">
        <v>1265</v>
      </c>
      <c r="I3332" s="13">
        <v>45012.043657407405</v>
      </c>
      <c r="K3332" t="s">
        <v>415</v>
      </c>
      <c r="M3332" s="13">
        <v>44804</v>
      </c>
      <c r="R3332">
        <v>0</v>
      </c>
      <c r="S3332" t="s">
        <v>380</v>
      </c>
      <c r="T3332" t="s">
        <v>57</v>
      </c>
      <c r="V3332" t="s">
        <v>478</v>
      </c>
      <c r="W3332" t="s">
        <v>3578</v>
      </c>
      <c r="X3332" t="s">
        <v>3578</v>
      </c>
      <c r="AF3332" t="s">
        <v>451</v>
      </c>
      <c r="AI3332">
        <v>-208</v>
      </c>
      <c r="AL3332" t="s">
        <v>3588</v>
      </c>
      <c r="AN3332" t="s">
        <v>31</v>
      </c>
      <c r="AO3332">
        <v>0</v>
      </c>
      <c r="AS3332" t="s">
        <v>385</v>
      </c>
      <c r="AX3332" t="s">
        <v>57</v>
      </c>
      <c r="AY3332" t="s">
        <v>386</v>
      </c>
      <c r="AZ3332" t="s">
        <v>3589</v>
      </c>
      <c r="BE3332" t="s">
        <v>3590</v>
      </c>
      <c r="BF3332">
        <v>0</v>
      </c>
      <c r="BK3332" t="s">
        <v>31</v>
      </c>
      <c r="BS3332" t="s">
        <v>419</v>
      </c>
      <c r="BT3332" t="s">
        <v>419</v>
      </c>
      <c r="CI3332" t="s">
        <v>388</v>
      </c>
      <c r="CJ3332" s="14">
        <v>45016</v>
      </c>
      <c r="CK3332">
        <v>1</v>
      </c>
    </row>
    <row r="3333" spans="1:89">
      <c r="A3333" t="s">
        <v>3591</v>
      </c>
      <c r="B3333" t="s">
        <v>374</v>
      </c>
      <c r="C3333" t="s">
        <v>3592</v>
      </c>
      <c r="D3333" t="s">
        <v>3593</v>
      </c>
      <c r="E3333" t="s">
        <v>3594</v>
      </c>
      <c r="F3333" s="13">
        <v>44559.504583333335</v>
      </c>
      <c r="G3333" t="s">
        <v>3570</v>
      </c>
      <c r="H3333" t="s">
        <v>3571</v>
      </c>
      <c r="I3333" s="13">
        <v>45012.043657407405</v>
      </c>
      <c r="K3333" t="s">
        <v>415</v>
      </c>
      <c r="M3333" s="13">
        <v>44680</v>
      </c>
      <c r="R3333">
        <v>0</v>
      </c>
      <c r="S3333" t="s">
        <v>380</v>
      </c>
      <c r="T3333" t="s">
        <v>57</v>
      </c>
      <c r="V3333" t="s">
        <v>478</v>
      </c>
      <c r="W3333" t="s">
        <v>3595</v>
      </c>
      <c r="X3333" t="s">
        <v>3595</v>
      </c>
      <c r="AF3333" t="s">
        <v>451</v>
      </c>
      <c r="AI3333">
        <v>-332</v>
      </c>
      <c r="AL3333" t="s">
        <v>3596</v>
      </c>
      <c r="AN3333" t="s">
        <v>31</v>
      </c>
      <c r="AO3333">
        <v>0</v>
      </c>
      <c r="AS3333" t="s">
        <v>385</v>
      </c>
      <c r="AX3333" t="s">
        <v>57</v>
      </c>
      <c r="AY3333" t="s">
        <v>442</v>
      </c>
      <c r="AZ3333" t="s">
        <v>3597</v>
      </c>
      <c r="BE3333" t="s">
        <v>3598</v>
      </c>
      <c r="BF3333">
        <v>0</v>
      </c>
      <c r="BK3333" t="s">
        <v>31</v>
      </c>
      <c r="BS3333" t="s">
        <v>419</v>
      </c>
      <c r="BT3333" t="s">
        <v>419</v>
      </c>
      <c r="CI3333" t="s">
        <v>388</v>
      </c>
      <c r="CJ3333" s="14">
        <v>45016</v>
      </c>
      <c r="CK3333">
        <v>1</v>
      </c>
    </row>
    <row r="3334" spans="1:89">
      <c r="A3334" t="s">
        <v>454</v>
      </c>
      <c r="B3334" t="s">
        <v>374</v>
      </c>
      <c r="C3334" t="s">
        <v>455</v>
      </c>
      <c r="D3334" t="s">
        <v>3599</v>
      </c>
      <c r="E3334" t="s">
        <v>3600</v>
      </c>
      <c r="F3334" s="13">
        <v>44559.495370370372</v>
      </c>
      <c r="G3334" t="s">
        <v>3570</v>
      </c>
      <c r="H3334" t="s">
        <v>3571</v>
      </c>
      <c r="I3334" s="13">
        <v>45012.043657407405</v>
      </c>
      <c r="K3334" t="s">
        <v>415</v>
      </c>
      <c r="M3334" s="13">
        <v>44651</v>
      </c>
      <c r="R3334">
        <v>0</v>
      </c>
      <c r="S3334" t="s">
        <v>380</v>
      </c>
      <c r="T3334" t="s">
        <v>57</v>
      </c>
      <c r="V3334" t="s">
        <v>478</v>
      </c>
      <c r="W3334" t="s">
        <v>2306</v>
      </c>
      <c r="X3334" t="s">
        <v>2306</v>
      </c>
      <c r="AF3334" t="s">
        <v>451</v>
      </c>
      <c r="AI3334">
        <v>-361</v>
      </c>
      <c r="AL3334" t="s">
        <v>3601</v>
      </c>
      <c r="AN3334" t="s">
        <v>31</v>
      </c>
      <c r="AO3334">
        <v>0</v>
      </c>
      <c r="AS3334" t="s">
        <v>385</v>
      </c>
      <c r="AX3334" t="s">
        <v>57</v>
      </c>
      <c r="AY3334" t="s">
        <v>442</v>
      </c>
      <c r="AZ3334" t="s">
        <v>3602</v>
      </c>
      <c r="BE3334" t="s">
        <v>3603</v>
      </c>
      <c r="BF3334">
        <v>0</v>
      </c>
      <c r="BK3334" t="s">
        <v>31</v>
      </c>
      <c r="BS3334" t="s">
        <v>419</v>
      </c>
      <c r="BT3334" t="s">
        <v>419</v>
      </c>
      <c r="CI3334" t="s">
        <v>388</v>
      </c>
      <c r="CJ3334" s="14">
        <v>45016</v>
      </c>
      <c r="CK3334">
        <v>1</v>
      </c>
    </row>
    <row r="3335" spans="1:89">
      <c r="A3335" t="s">
        <v>454</v>
      </c>
      <c r="B3335" t="s">
        <v>374</v>
      </c>
      <c r="C3335" t="s">
        <v>455</v>
      </c>
      <c r="D3335" t="s">
        <v>3604</v>
      </c>
      <c r="E3335" t="s">
        <v>3605</v>
      </c>
      <c r="F3335" s="13">
        <v>44558.728958333333</v>
      </c>
      <c r="G3335" t="s">
        <v>3570</v>
      </c>
      <c r="H3335" t="s">
        <v>3571</v>
      </c>
      <c r="I3335" s="13">
        <v>45012.043657407405</v>
      </c>
      <c r="K3335" t="s">
        <v>415</v>
      </c>
      <c r="M3335" s="13">
        <v>44651</v>
      </c>
      <c r="R3335">
        <v>0</v>
      </c>
      <c r="S3335" t="s">
        <v>416</v>
      </c>
      <c r="T3335" t="s">
        <v>57</v>
      </c>
      <c r="V3335" t="s">
        <v>478</v>
      </c>
      <c r="W3335" t="s">
        <v>3606</v>
      </c>
      <c r="X3335" t="s">
        <v>3606</v>
      </c>
      <c r="AF3335" t="s">
        <v>451</v>
      </c>
      <c r="AI3335">
        <v>-361</v>
      </c>
      <c r="AL3335" t="s">
        <v>3607</v>
      </c>
      <c r="AN3335" t="s">
        <v>31</v>
      </c>
      <c r="AO3335">
        <v>0</v>
      </c>
      <c r="AS3335" t="s">
        <v>385</v>
      </c>
      <c r="AX3335" t="s">
        <v>57</v>
      </c>
      <c r="AY3335" t="s">
        <v>386</v>
      </c>
      <c r="AZ3335" t="s">
        <v>3608</v>
      </c>
      <c r="BE3335" t="s">
        <v>3609</v>
      </c>
      <c r="BF3335">
        <v>0</v>
      </c>
      <c r="BK3335" t="s">
        <v>31</v>
      </c>
      <c r="BS3335" t="s">
        <v>419</v>
      </c>
      <c r="BT3335" t="s">
        <v>419</v>
      </c>
      <c r="CI3335" t="s">
        <v>388</v>
      </c>
      <c r="CJ3335" s="14">
        <v>45016</v>
      </c>
      <c r="CK3335">
        <v>1</v>
      </c>
    </row>
    <row r="3336" spans="1:89">
      <c r="A3336" t="s">
        <v>454</v>
      </c>
      <c r="B3336" t="s">
        <v>374</v>
      </c>
      <c r="C3336" t="s">
        <v>455</v>
      </c>
      <c r="D3336" t="s">
        <v>3610</v>
      </c>
      <c r="E3336" t="s">
        <v>3611</v>
      </c>
      <c r="F3336" s="13">
        <v>44558.691643518519</v>
      </c>
      <c r="G3336" t="s">
        <v>3570</v>
      </c>
      <c r="H3336" t="s">
        <v>3571</v>
      </c>
      <c r="I3336" s="13">
        <v>45012.043645833335</v>
      </c>
      <c r="K3336" t="s">
        <v>415</v>
      </c>
      <c r="M3336" s="13">
        <v>44645</v>
      </c>
      <c r="R3336">
        <v>100</v>
      </c>
      <c r="S3336" t="s">
        <v>380</v>
      </c>
      <c r="T3336" t="s">
        <v>57</v>
      </c>
      <c r="V3336" t="s">
        <v>478</v>
      </c>
      <c r="W3336" t="s">
        <v>2306</v>
      </c>
      <c r="X3336" t="s">
        <v>2306</v>
      </c>
      <c r="AB3336" t="s">
        <v>57</v>
      </c>
      <c r="AF3336" t="s">
        <v>382</v>
      </c>
      <c r="AG3336" t="s">
        <v>3612</v>
      </c>
      <c r="AI3336">
        <v>-367</v>
      </c>
      <c r="AL3336" t="s">
        <v>3613</v>
      </c>
      <c r="AN3336" t="s">
        <v>57</v>
      </c>
      <c r="AO3336">
        <v>0</v>
      </c>
      <c r="AS3336" t="s">
        <v>385</v>
      </c>
      <c r="AX3336" t="s">
        <v>57</v>
      </c>
      <c r="AY3336" t="s">
        <v>386</v>
      </c>
      <c r="AZ3336" t="s">
        <v>3614</v>
      </c>
      <c r="BE3336" t="s">
        <v>3615</v>
      </c>
      <c r="BF3336">
        <v>0</v>
      </c>
      <c r="BK3336" t="s">
        <v>31</v>
      </c>
      <c r="BS3336" t="s">
        <v>1201</v>
      </c>
      <c r="BT3336" t="s">
        <v>1202</v>
      </c>
      <c r="CI3336" t="s">
        <v>388</v>
      </c>
      <c r="CJ3336" s="14">
        <v>45016</v>
      </c>
      <c r="CK3336">
        <v>1</v>
      </c>
    </row>
    <row r="3337" spans="1:89">
      <c r="A3337" t="s">
        <v>454</v>
      </c>
      <c r="B3337" t="s">
        <v>374</v>
      </c>
      <c r="C3337" t="s">
        <v>455</v>
      </c>
      <c r="D3337" t="s">
        <v>3616</v>
      </c>
      <c r="E3337" t="s">
        <v>3617</v>
      </c>
      <c r="F3337" s="13">
        <v>44558.680104166669</v>
      </c>
      <c r="G3337" t="s">
        <v>1264</v>
      </c>
      <c r="H3337" t="s">
        <v>1265</v>
      </c>
      <c r="I3337" s="13">
        <v>45015.371793981481</v>
      </c>
      <c r="K3337" t="s">
        <v>415</v>
      </c>
      <c r="M3337" s="13">
        <v>45107</v>
      </c>
      <c r="R3337">
        <v>0</v>
      </c>
      <c r="S3337" t="s">
        <v>380</v>
      </c>
      <c r="T3337" t="s">
        <v>57</v>
      </c>
      <c r="V3337" t="s">
        <v>381</v>
      </c>
      <c r="W3337" t="s">
        <v>3255</v>
      </c>
      <c r="X3337" t="s">
        <v>3255</v>
      </c>
      <c r="Y3337" t="s">
        <v>480</v>
      </c>
      <c r="AF3337" t="s">
        <v>451</v>
      </c>
      <c r="AI3337">
        <v>95</v>
      </c>
      <c r="AL3337" t="s">
        <v>3618</v>
      </c>
      <c r="AN3337" t="s">
        <v>31</v>
      </c>
      <c r="AO3337">
        <v>0</v>
      </c>
      <c r="AS3337" t="s">
        <v>522</v>
      </c>
      <c r="AT3337" t="s">
        <v>31</v>
      </c>
      <c r="AX3337" t="s">
        <v>57</v>
      </c>
      <c r="AY3337" t="s">
        <v>386</v>
      </c>
      <c r="AZ3337" t="s">
        <v>3619</v>
      </c>
      <c r="BE3337" t="s">
        <v>3620</v>
      </c>
      <c r="BF3337">
        <v>0</v>
      </c>
      <c r="BK3337" t="s">
        <v>31</v>
      </c>
      <c r="BS3337" t="s">
        <v>484</v>
      </c>
      <c r="BT3337" t="s">
        <v>484</v>
      </c>
      <c r="CI3337" t="s">
        <v>388</v>
      </c>
      <c r="CJ3337" s="14">
        <v>45016</v>
      </c>
      <c r="CK3337">
        <v>1</v>
      </c>
    </row>
    <row r="3338" spans="1:89">
      <c r="A3338" t="s">
        <v>454</v>
      </c>
      <c r="B3338" t="s">
        <v>374</v>
      </c>
      <c r="C3338" t="s">
        <v>455</v>
      </c>
      <c r="D3338" t="s">
        <v>3621</v>
      </c>
      <c r="E3338" t="s">
        <v>3622</v>
      </c>
      <c r="F3338" s="13">
        <v>44558.639861111114</v>
      </c>
      <c r="G3338" t="s">
        <v>1264</v>
      </c>
      <c r="H3338" t="s">
        <v>1265</v>
      </c>
      <c r="I3338" s="13">
        <v>45012.043645833335</v>
      </c>
      <c r="K3338" t="s">
        <v>415</v>
      </c>
      <c r="M3338" s="13">
        <v>44757</v>
      </c>
      <c r="R3338">
        <v>0</v>
      </c>
      <c r="S3338" t="s">
        <v>380</v>
      </c>
      <c r="T3338" t="s">
        <v>57</v>
      </c>
      <c r="V3338" t="s">
        <v>478</v>
      </c>
      <c r="W3338" t="s">
        <v>2306</v>
      </c>
      <c r="X3338" t="s">
        <v>2306</v>
      </c>
      <c r="AF3338" t="s">
        <v>451</v>
      </c>
      <c r="AI3338">
        <v>-255</v>
      </c>
      <c r="AL3338" t="s">
        <v>3623</v>
      </c>
      <c r="AN3338" t="s">
        <v>31</v>
      </c>
      <c r="AO3338">
        <v>0</v>
      </c>
      <c r="AS3338" t="s">
        <v>385</v>
      </c>
      <c r="AX3338" t="s">
        <v>57</v>
      </c>
      <c r="AY3338" t="s">
        <v>386</v>
      </c>
      <c r="AZ3338" t="s">
        <v>3624</v>
      </c>
      <c r="BF3338">
        <v>0</v>
      </c>
      <c r="BK3338" t="s">
        <v>31</v>
      </c>
      <c r="BS3338" t="s">
        <v>419</v>
      </c>
      <c r="BT3338" t="s">
        <v>419</v>
      </c>
      <c r="CI3338" t="s">
        <v>388</v>
      </c>
      <c r="CJ3338" s="14">
        <v>45016</v>
      </c>
      <c r="CK3338">
        <v>1</v>
      </c>
    </row>
    <row r="3339" spans="1:89">
      <c r="A3339" t="s">
        <v>454</v>
      </c>
      <c r="B3339" t="s">
        <v>374</v>
      </c>
      <c r="C3339" t="s">
        <v>455</v>
      </c>
      <c r="D3339" t="s">
        <v>3625</v>
      </c>
      <c r="E3339" t="s">
        <v>3626</v>
      </c>
      <c r="F3339" s="13">
        <v>44558.563657407409</v>
      </c>
      <c r="G3339" t="s">
        <v>1264</v>
      </c>
      <c r="H3339" t="s">
        <v>1265</v>
      </c>
      <c r="I3339" s="13">
        <v>44616.442569444444</v>
      </c>
      <c r="K3339" t="s">
        <v>379</v>
      </c>
      <c r="M3339" s="13">
        <v>44615</v>
      </c>
      <c r="R3339">
        <v>100</v>
      </c>
      <c r="S3339" t="s">
        <v>380</v>
      </c>
      <c r="T3339" t="s">
        <v>57</v>
      </c>
      <c r="V3339" t="s">
        <v>478</v>
      </c>
      <c r="W3339" t="s">
        <v>3627</v>
      </c>
      <c r="X3339" t="s">
        <v>3627</v>
      </c>
      <c r="AF3339" t="s">
        <v>382</v>
      </c>
      <c r="AG3339" t="s">
        <v>3628</v>
      </c>
      <c r="AI3339">
        <v>-1</v>
      </c>
      <c r="AJ3339" s="13">
        <v>44616</v>
      </c>
      <c r="AL3339" t="s">
        <v>3629</v>
      </c>
      <c r="AN3339" t="s">
        <v>31</v>
      </c>
      <c r="AO3339">
        <v>0</v>
      </c>
      <c r="AR3339" t="s">
        <v>3630</v>
      </c>
      <c r="AS3339" t="s">
        <v>385</v>
      </c>
      <c r="AX3339" t="s">
        <v>57</v>
      </c>
      <c r="AY3339" t="s">
        <v>386</v>
      </c>
      <c r="AZ3339" t="s">
        <v>3631</v>
      </c>
      <c r="BE3339" t="s">
        <v>3632</v>
      </c>
      <c r="BF3339">
        <v>0</v>
      </c>
      <c r="BK3339" t="s">
        <v>31</v>
      </c>
      <c r="BS3339" t="s">
        <v>379</v>
      </c>
      <c r="BT3339" t="s">
        <v>379</v>
      </c>
      <c r="CI3339" t="s">
        <v>388</v>
      </c>
      <c r="CJ3339" s="14">
        <v>45016</v>
      </c>
      <c r="CK3339">
        <v>1</v>
      </c>
    </row>
    <row r="3340" spans="1:89">
      <c r="A3340" t="s">
        <v>454</v>
      </c>
      <c r="B3340" t="s">
        <v>374</v>
      </c>
      <c r="C3340" t="s">
        <v>455</v>
      </c>
      <c r="D3340" t="s">
        <v>3633</v>
      </c>
      <c r="E3340" t="s">
        <v>3634</v>
      </c>
      <c r="F3340" s="13">
        <v>44558.563611111109</v>
      </c>
      <c r="G3340" t="s">
        <v>3570</v>
      </c>
      <c r="H3340" t="s">
        <v>3571</v>
      </c>
      <c r="I3340" s="13">
        <v>45012.043634259258</v>
      </c>
      <c r="K3340" t="s">
        <v>415</v>
      </c>
      <c r="M3340" s="13">
        <v>44615</v>
      </c>
      <c r="R3340">
        <v>100</v>
      </c>
      <c r="S3340" t="s">
        <v>380</v>
      </c>
      <c r="T3340" t="s">
        <v>57</v>
      </c>
      <c r="V3340" t="s">
        <v>478</v>
      </c>
      <c r="W3340" t="s">
        <v>3627</v>
      </c>
      <c r="X3340" t="s">
        <v>3627</v>
      </c>
      <c r="AF3340" t="s">
        <v>382</v>
      </c>
      <c r="AG3340" t="s">
        <v>3635</v>
      </c>
      <c r="AI3340">
        <v>-397</v>
      </c>
      <c r="AL3340" t="s">
        <v>3636</v>
      </c>
      <c r="AN3340" t="s">
        <v>31</v>
      </c>
      <c r="AO3340">
        <v>0</v>
      </c>
      <c r="AS3340" t="s">
        <v>385</v>
      </c>
      <c r="AX3340" t="s">
        <v>57</v>
      </c>
      <c r="AY3340" t="s">
        <v>386</v>
      </c>
      <c r="AZ3340" t="s">
        <v>3637</v>
      </c>
      <c r="BE3340" t="s">
        <v>3638</v>
      </c>
      <c r="BF3340">
        <v>0</v>
      </c>
      <c r="BK3340" t="s">
        <v>31</v>
      </c>
      <c r="BS3340" t="s">
        <v>622</v>
      </c>
      <c r="BT3340" t="s">
        <v>419</v>
      </c>
      <c r="CI3340" t="s">
        <v>388</v>
      </c>
      <c r="CJ3340" s="14">
        <v>45016</v>
      </c>
      <c r="CK3340">
        <v>1</v>
      </c>
    </row>
    <row r="3341" spans="1:89">
      <c r="A3341" t="s">
        <v>454</v>
      </c>
      <c r="B3341" t="s">
        <v>374</v>
      </c>
      <c r="C3341" t="s">
        <v>455</v>
      </c>
      <c r="D3341" t="s">
        <v>3639</v>
      </c>
      <c r="E3341" t="s">
        <v>3640</v>
      </c>
      <c r="F3341" s="13">
        <v>44558.466145833336</v>
      </c>
      <c r="G3341" t="s">
        <v>3570</v>
      </c>
      <c r="H3341" t="s">
        <v>3571</v>
      </c>
      <c r="I3341" s="13">
        <v>45012.043634259258</v>
      </c>
      <c r="K3341" t="s">
        <v>415</v>
      </c>
      <c r="M3341" s="13">
        <v>44792</v>
      </c>
      <c r="R3341">
        <v>0</v>
      </c>
      <c r="S3341" t="s">
        <v>380</v>
      </c>
      <c r="T3341" t="s">
        <v>57</v>
      </c>
      <c r="V3341" t="s">
        <v>478</v>
      </c>
      <c r="W3341" t="s">
        <v>2306</v>
      </c>
      <c r="X3341" t="s">
        <v>2306</v>
      </c>
      <c r="AF3341" t="s">
        <v>451</v>
      </c>
      <c r="AI3341">
        <v>-220</v>
      </c>
      <c r="AL3341" t="s">
        <v>3641</v>
      </c>
      <c r="AN3341" t="s">
        <v>31</v>
      </c>
      <c r="AO3341">
        <v>0</v>
      </c>
      <c r="AS3341" t="s">
        <v>385</v>
      </c>
      <c r="AX3341" t="s">
        <v>57</v>
      </c>
      <c r="AY3341" t="s">
        <v>386</v>
      </c>
      <c r="AZ3341" t="s">
        <v>3642</v>
      </c>
      <c r="BE3341" t="s">
        <v>3643</v>
      </c>
      <c r="BF3341">
        <v>0</v>
      </c>
      <c r="BK3341" t="s">
        <v>31</v>
      </c>
      <c r="BS3341" t="s">
        <v>419</v>
      </c>
      <c r="BT3341" t="s">
        <v>419</v>
      </c>
      <c r="CI3341" t="s">
        <v>388</v>
      </c>
      <c r="CJ3341" s="14">
        <v>45016</v>
      </c>
      <c r="CK3341">
        <v>1</v>
      </c>
    </row>
    <row r="3342" spans="1:89">
      <c r="A3342" t="s">
        <v>454</v>
      </c>
      <c r="B3342" t="s">
        <v>374</v>
      </c>
      <c r="C3342" t="s">
        <v>455</v>
      </c>
      <c r="D3342" t="s">
        <v>3644</v>
      </c>
      <c r="E3342" t="s">
        <v>3645</v>
      </c>
      <c r="F3342" s="13">
        <v>44558.397546296299</v>
      </c>
      <c r="G3342" t="s">
        <v>3570</v>
      </c>
      <c r="H3342" t="s">
        <v>3571</v>
      </c>
      <c r="I3342" s="13">
        <v>45012.043634259258</v>
      </c>
      <c r="K3342" t="s">
        <v>415</v>
      </c>
      <c r="M3342" s="13">
        <v>44558</v>
      </c>
      <c r="R3342">
        <v>0</v>
      </c>
      <c r="S3342" t="s">
        <v>416</v>
      </c>
      <c r="T3342" t="s">
        <v>57</v>
      </c>
      <c r="V3342" t="s">
        <v>478</v>
      </c>
      <c r="W3342" t="s">
        <v>2306</v>
      </c>
      <c r="X3342" t="s">
        <v>2306</v>
      </c>
      <c r="AF3342" t="s">
        <v>451</v>
      </c>
      <c r="AI3342">
        <v>-454</v>
      </c>
      <c r="AL3342" t="s">
        <v>3646</v>
      </c>
      <c r="AN3342" t="s">
        <v>31</v>
      </c>
      <c r="AO3342">
        <v>0</v>
      </c>
      <c r="AS3342" t="s">
        <v>385</v>
      </c>
      <c r="AX3342" t="s">
        <v>57</v>
      </c>
      <c r="AY3342" t="s">
        <v>442</v>
      </c>
      <c r="AZ3342" t="s">
        <v>3647</v>
      </c>
      <c r="BE3342" t="s">
        <v>3648</v>
      </c>
      <c r="BF3342">
        <v>0</v>
      </c>
      <c r="BK3342" t="s">
        <v>31</v>
      </c>
      <c r="BS3342" t="s">
        <v>419</v>
      </c>
      <c r="BT3342" t="s">
        <v>419</v>
      </c>
      <c r="CI3342" t="s">
        <v>388</v>
      </c>
      <c r="CJ3342" s="14">
        <v>45016</v>
      </c>
      <c r="CK3342">
        <v>1</v>
      </c>
    </row>
    <row r="3343" spans="1:89">
      <c r="A3343" t="s">
        <v>454</v>
      </c>
      <c r="B3343" t="s">
        <v>374</v>
      </c>
      <c r="C3343" t="s">
        <v>455</v>
      </c>
      <c r="D3343" t="s">
        <v>3649</v>
      </c>
      <c r="E3343" t="s">
        <v>3650</v>
      </c>
      <c r="F3343" s="13">
        <v>44553.51085648148</v>
      </c>
      <c r="G3343" t="s">
        <v>3570</v>
      </c>
      <c r="H3343" t="s">
        <v>3571</v>
      </c>
      <c r="I3343" s="13">
        <v>45012.043622685182</v>
      </c>
      <c r="K3343" t="s">
        <v>415</v>
      </c>
      <c r="M3343" s="13">
        <v>44651</v>
      </c>
      <c r="R3343">
        <v>0</v>
      </c>
      <c r="S3343" t="s">
        <v>380</v>
      </c>
      <c r="T3343" t="s">
        <v>57</v>
      </c>
      <c r="V3343" t="s">
        <v>478</v>
      </c>
      <c r="W3343" t="s">
        <v>3651</v>
      </c>
      <c r="X3343" t="s">
        <v>3651</v>
      </c>
      <c r="AF3343" t="s">
        <v>451</v>
      </c>
      <c r="AI3343">
        <v>-361</v>
      </c>
      <c r="AL3343" t="s">
        <v>3652</v>
      </c>
      <c r="AN3343" t="s">
        <v>31</v>
      </c>
      <c r="AO3343">
        <v>0</v>
      </c>
      <c r="AS3343" t="s">
        <v>538</v>
      </c>
      <c r="AX3343" t="s">
        <v>31</v>
      </c>
      <c r="AY3343" t="s">
        <v>386</v>
      </c>
      <c r="AZ3343" t="s">
        <v>3653</v>
      </c>
      <c r="BE3343" t="s">
        <v>3654</v>
      </c>
      <c r="BF3343">
        <v>0</v>
      </c>
      <c r="BK3343" t="s">
        <v>31</v>
      </c>
      <c r="BS3343" t="s">
        <v>419</v>
      </c>
      <c r="BT3343" t="s">
        <v>419</v>
      </c>
      <c r="CI3343" t="s">
        <v>388</v>
      </c>
      <c r="CJ3343" s="14">
        <v>45016</v>
      </c>
      <c r="CK3343">
        <v>1</v>
      </c>
    </row>
    <row r="3344" spans="1:89">
      <c r="A3344" t="s">
        <v>3258</v>
      </c>
      <c r="B3344" t="s">
        <v>374</v>
      </c>
      <c r="C3344" t="s">
        <v>3259</v>
      </c>
      <c r="D3344" t="s">
        <v>3655</v>
      </c>
      <c r="E3344" t="s">
        <v>3334</v>
      </c>
      <c r="F3344" s="13">
        <v>44552.562476851854</v>
      </c>
      <c r="G3344" t="s">
        <v>3262</v>
      </c>
      <c r="H3344" t="s">
        <v>3263</v>
      </c>
      <c r="I3344" s="13">
        <v>45012.043622685182</v>
      </c>
      <c r="K3344" t="s">
        <v>415</v>
      </c>
      <c r="M3344" s="13">
        <v>44608</v>
      </c>
      <c r="R3344">
        <v>100</v>
      </c>
      <c r="S3344" t="s">
        <v>416</v>
      </c>
      <c r="T3344" t="s">
        <v>57</v>
      </c>
      <c r="V3344" t="s">
        <v>478</v>
      </c>
      <c r="W3344" t="s">
        <v>3264</v>
      </c>
      <c r="X3344" t="s">
        <v>3264</v>
      </c>
      <c r="AF3344" t="s">
        <v>382</v>
      </c>
      <c r="AG3344" t="s">
        <v>3656</v>
      </c>
      <c r="AI3344">
        <v>-404</v>
      </c>
      <c r="AL3344" t="s">
        <v>3265</v>
      </c>
      <c r="AM3344">
        <v>1</v>
      </c>
      <c r="AN3344" t="s">
        <v>31</v>
      </c>
      <c r="AO3344">
        <v>0</v>
      </c>
      <c r="AS3344" t="s">
        <v>538</v>
      </c>
      <c r="AU3344" t="s">
        <v>57</v>
      </c>
      <c r="AX3344" t="s">
        <v>31</v>
      </c>
      <c r="AY3344" t="s">
        <v>442</v>
      </c>
      <c r="AZ3344" t="s">
        <v>3657</v>
      </c>
      <c r="BF3344">
        <v>0</v>
      </c>
      <c r="BK3344" t="s">
        <v>31</v>
      </c>
      <c r="BS3344" t="s">
        <v>418</v>
      </c>
      <c r="BT3344" t="s">
        <v>419</v>
      </c>
      <c r="CI3344" t="s">
        <v>388</v>
      </c>
      <c r="CJ3344" s="14">
        <v>45016</v>
      </c>
      <c r="CK3344">
        <v>1</v>
      </c>
    </row>
    <row r="3345" spans="1:89">
      <c r="A3345" t="s">
        <v>3658</v>
      </c>
      <c r="B3345" t="s">
        <v>374</v>
      </c>
      <c r="C3345" t="s">
        <v>3659</v>
      </c>
      <c r="D3345" t="s">
        <v>3660</v>
      </c>
      <c r="E3345" t="s">
        <v>3534</v>
      </c>
      <c r="F3345" s="13">
        <v>44550.647627314815</v>
      </c>
      <c r="G3345" t="s">
        <v>3535</v>
      </c>
      <c r="H3345" t="s">
        <v>3536</v>
      </c>
      <c r="I3345" s="13">
        <v>44550.655023148145</v>
      </c>
      <c r="K3345" t="s">
        <v>409</v>
      </c>
      <c r="R3345">
        <v>0</v>
      </c>
      <c r="S3345" t="s">
        <v>380</v>
      </c>
      <c r="V3345" t="s">
        <v>381</v>
      </c>
      <c r="W3345" t="s">
        <v>3661</v>
      </c>
      <c r="X3345" t="s">
        <v>3661</v>
      </c>
      <c r="AI3345">
        <v>1</v>
      </c>
      <c r="AL3345" t="s">
        <v>3662</v>
      </c>
      <c r="AN3345" t="s">
        <v>31</v>
      </c>
      <c r="AO3345">
        <v>0</v>
      </c>
      <c r="AZ3345" t="s">
        <v>3663</v>
      </c>
      <c r="BF3345">
        <v>0</v>
      </c>
      <c r="BK3345" t="s">
        <v>31</v>
      </c>
      <c r="BS3345" t="s">
        <v>409</v>
      </c>
      <c r="BT3345" t="s">
        <v>409</v>
      </c>
      <c r="CI3345" t="s">
        <v>388</v>
      </c>
      <c r="CJ3345" s="14">
        <v>45016</v>
      </c>
      <c r="CK3345">
        <v>1</v>
      </c>
    </row>
    <row r="3346" spans="1:89">
      <c r="A3346" t="s">
        <v>435</v>
      </c>
      <c r="B3346" t="s">
        <v>374</v>
      </c>
      <c r="C3346" t="s">
        <v>436</v>
      </c>
      <c r="D3346" t="s">
        <v>3664</v>
      </c>
      <c r="E3346" t="s">
        <v>3665</v>
      </c>
      <c r="F3346" s="13">
        <v>44547.485127314816</v>
      </c>
      <c r="G3346" t="s">
        <v>3666</v>
      </c>
      <c r="H3346" t="s">
        <v>3667</v>
      </c>
      <c r="I3346" s="13">
        <v>44547.485659722224</v>
      </c>
      <c r="K3346" t="s">
        <v>412</v>
      </c>
      <c r="R3346">
        <v>0</v>
      </c>
      <c r="S3346" t="s">
        <v>416</v>
      </c>
      <c r="T3346" t="s">
        <v>57</v>
      </c>
      <c r="V3346" t="s">
        <v>381</v>
      </c>
      <c r="W3346" t="s">
        <v>3668</v>
      </c>
      <c r="X3346" t="s">
        <v>3668</v>
      </c>
      <c r="AI3346">
        <v>0</v>
      </c>
      <c r="AL3346" t="s">
        <v>3669</v>
      </c>
      <c r="AN3346" t="s">
        <v>31</v>
      </c>
      <c r="AO3346">
        <v>0</v>
      </c>
      <c r="AS3346" t="s">
        <v>526</v>
      </c>
      <c r="AX3346" t="s">
        <v>57</v>
      </c>
      <c r="AY3346" t="s">
        <v>442</v>
      </c>
      <c r="AZ3346" t="s">
        <v>3670</v>
      </c>
      <c r="BF3346">
        <v>0</v>
      </c>
      <c r="BK3346" t="s">
        <v>31</v>
      </c>
      <c r="BS3346" t="s">
        <v>412</v>
      </c>
      <c r="BT3346" t="s">
        <v>412</v>
      </c>
      <c r="CI3346" t="s">
        <v>388</v>
      </c>
      <c r="CJ3346" s="14">
        <v>45016</v>
      </c>
      <c r="CK3346">
        <v>1</v>
      </c>
    </row>
    <row r="3347" spans="1:89">
      <c r="A3347" t="s">
        <v>2927</v>
      </c>
      <c r="B3347" t="s">
        <v>374</v>
      </c>
      <c r="C3347" t="s">
        <v>2928</v>
      </c>
      <c r="D3347" t="s">
        <v>3671</v>
      </c>
      <c r="E3347" t="s">
        <v>3672</v>
      </c>
      <c r="F3347" s="13">
        <v>44545.600243055553</v>
      </c>
      <c r="G3347" t="s">
        <v>3535</v>
      </c>
      <c r="H3347" t="s">
        <v>3536</v>
      </c>
      <c r="I3347" s="13">
        <v>44581.439618055556</v>
      </c>
      <c r="K3347" t="s">
        <v>379</v>
      </c>
      <c r="M3347" s="13">
        <v>44546</v>
      </c>
      <c r="R3347">
        <v>100</v>
      </c>
      <c r="S3347" t="s">
        <v>380</v>
      </c>
      <c r="T3347" t="s">
        <v>57</v>
      </c>
      <c r="V3347" t="s">
        <v>478</v>
      </c>
      <c r="W3347" t="s">
        <v>3673</v>
      </c>
      <c r="X3347" t="s">
        <v>3673</v>
      </c>
      <c r="AF3347" t="s">
        <v>382</v>
      </c>
      <c r="AG3347" t="s">
        <v>3674</v>
      </c>
      <c r="AI3347">
        <v>-35</v>
      </c>
      <c r="AJ3347" s="13">
        <v>44599</v>
      </c>
      <c r="AL3347" t="s">
        <v>3675</v>
      </c>
      <c r="AN3347" t="s">
        <v>31</v>
      </c>
      <c r="AO3347">
        <v>0</v>
      </c>
      <c r="AR3347" t="s">
        <v>3676</v>
      </c>
      <c r="AS3347" t="s">
        <v>385</v>
      </c>
      <c r="AX3347" t="s">
        <v>31</v>
      </c>
      <c r="AY3347" t="s">
        <v>386</v>
      </c>
      <c r="AZ3347" t="s">
        <v>3677</v>
      </c>
      <c r="BF3347">
        <v>0</v>
      </c>
      <c r="BK3347" t="s">
        <v>31</v>
      </c>
      <c r="BS3347" t="s">
        <v>379</v>
      </c>
      <c r="BT3347" t="s">
        <v>379</v>
      </c>
      <c r="CI3347" t="s">
        <v>388</v>
      </c>
      <c r="CJ3347" s="14">
        <v>45016</v>
      </c>
      <c r="CK3347">
        <v>1</v>
      </c>
    </row>
    <row r="3348" spans="1:89">
      <c r="A3348" t="s">
        <v>1675</v>
      </c>
      <c r="B3348" t="s">
        <v>374</v>
      </c>
      <c r="C3348" t="s">
        <v>1676</v>
      </c>
      <c r="D3348" t="s">
        <v>3678</v>
      </c>
      <c r="E3348" t="s">
        <v>3665</v>
      </c>
      <c r="F3348" s="13">
        <v>44545.435243055559</v>
      </c>
      <c r="G3348" t="s">
        <v>3666</v>
      </c>
      <c r="H3348" t="s">
        <v>3667</v>
      </c>
      <c r="I3348" s="13">
        <v>44545.436145833337</v>
      </c>
      <c r="K3348" t="s">
        <v>409</v>
      </c>
      <c r="R3348">
        <v>0</v>
      </c>
      <c r="S3348" t="s">
        <v>380</v>
      </c>
      <c r="T3348" t="s">
        <v>57</v>
      </c>
      <c r="V3348" t="s">
        <v>381</v>
      </c>
      <c r="W3348" t="s">
        <v>3679</v>
      </c>
      <c r="X3348" t="s">
        <v>3679</v>
      </c>
      <c r="AI3348">
        <v>2</v>
      </c>
      <c r="AL3348" t="s">
        <v>3680</v>
      </c>
      <c r="AN3348" t="s">
        <v>31</v>
      </c>
      <c r="AO3348">
        <v>0</v>
      </c>
      <c r="AS3348" t="s">
        <v>392</v>
      </c>
      <c r="AX3348" t="s">
        <v>31</v>
      </c>
      <c r="AY3348" t="s">
        <v>442</v>
      </c>
      <c r="AZ3348" t="s">
        <v>3681</v>
      </c>
      <c r="BF3348">
        <v>0</v>
      </c>
      <c r="BK3348" t="s">
        <v>31</v>
      </c>
      <c r="BS3348" t="s">
        <v>409</v>
      </c>
      <c r="BT3348" t="s">
        <v>409</v>
      </c>
      <c r="CI3348" t="s">
        <v>388</v>
      </c>
      <c r="CJ3348" s="14">
        <v>45016</v>
      </c>
      <c r="CK3348">
        <v>1</v>
      </c>
    </row>
    <row r="3349" spans="1:89">
      <c r="A3349" t="s">
        <v>1579</v>
      </c>
      <c r="B3349" t="s">
        <v>374</v>
      </c>
      <c r="C3349" t="s">
        <v>1580</v>
      </c>
      <c r="D3349" t="s">
        <v>3682</v>
      </c>
      <c r="E3349" t="s">
        <v>3683</v>
      </c>
      <c r="F3349" s="13">
        <v>44544.647905092592</v>
      </c>
      <c r="G3349" t="s">
        <v>2271</v>
      </c>
      <c r="H3349" t="s">
        <v>2272</v>
      </c>
      <c r="I3349" s="13">
        <v>44586.725057870368</v>
      </c>
      <c r="K3349" t="s">
        <v>379</v>
      </c>
      <c r="M3349" s="13">
        <v>44560</v>
      </c>
      <c r="R3349">
        <v>100</v>
      </c>
      <c r="S3349" t="s">
        <v>380</v>
      </c>
      <c r="T3349" t="s">
        <v>57</v>
      </c>
      <c r="V3349" t="s">
        <v>478</v>
      </c>
      <c r="W3349" t="s">
        <v>3684</v>
      </c>
      <c r="X3349" t="s">
        <v>3684</v>
      </c>
      <c r="AC3349" s="13">
        <v>44561</v>
      </c>
      <c r="AD3349" s="13">
        <v>44561</v>
      </c>
      <c r="AF3349" t="s">
        <v>382</v>
      </c>
      <c r="AG3349" t="s">
        <v>3685</v>
      </c>
      <c r="AI3349">
        <v>-26</v>
      </c>
      <c r="AJ3349" s="13">
        <v>44586</v>
      </c>
      <c r="AL3349" t="s">
        <v>3686</v>
      </c>
      <c r="AN3349" t="s">
        <v>31</v>
      </c>
      <c r="AO3349">
        <v>0</v>
      </c>
      <c r="AR3349" t="s">
        <v>3687</v>
      </c>
      <c r="AS3349" t="s">
        <v>526</v>
      </c>
      <c r="AX3349" t="s">
        <v>31</v>
      </c>
      <c r="AY3349" t="s">
        <v>386</v>
      </c>
      <c r="AZ3349" t="s">
        <v>3688</v>
      </c>
      <c r="BF3349">
        <v>0</v>
      </c>
      <c r="BK3349" t="s">
        <v>31</v>
      </c>
      <c r="BS3349" t="s">
        <v>379</v>
      </c>
      <c r="BT3349" t="s">
        <v>379</v>
      </c>
      <c r="CI3349" t="s">
        <v>388</v>
      </c>
      <c r="CJ3349" s="14">
        <v>45016</v>
      </c>
      <c r="CK3349">
        <v>1</v>
      </c>
    </row>
    <row r="3350" spans="1:89">
      <c r="A3350" t="s">
        <v>3504</v>
      </c>
      <c r="B3350" t="s">
        <v>374</v>
      </c>
      <c r="C3350" t="s">
        <v>3505</v>
      </c>
      <c r="D3350" t="s">
        <v>3689</v>
      </c>
      <c r="E3350" t="s">
        <v>3690</v>
      </c>
      <c r="F3350" s="13">
        <v>44530.854363425926</v>
      </c>
      <c r="G3350" t="s">
        <v>2271</v>
      </c>
      <c r="H3350" t="s">
        <v>2272</v>
      </c>
      <c r="I3350" s="13">
        <v>44715.502106481479</v>
      </c>
      <c r="K3350" t="s">
        <v>379</v>
      </c>
      <c r="M3350" s="13">
        <v>44592</v>
      </c>
      <c r="R3350">
        <v>100</v>
      </c>
      <c r="S3350" t="s">
        <v>416</v>
      </c>
      <c r="T3350" t="s">
        <v>57</v>
      </c>
      <c r="V3350" t="s">
        <v>478</v>
      </c>
      <c r="W3350" t="s">
        <v>3691</v>
      </c>
      <c r="X3350" t="s">
        <v>3691</v>
      </c>
      <c r="AF3350" t="s">
        <v>382</v>
      </c>
      <c r="AG3350" t="s">
        <v>3692</v>
      </c>
      <c r="AI3350">
        <v>-1</v>
      </c>
      <c r="AL3350" t="s">
        <v>3509</v>
      </c>
      <c r="AM3350">
        <v>1</v>
      </c>
      <c r="AN3350" t="s">
        <v>31</v>
      </c>
      <c r="AO3350">
        <v>0</v>
      </c>
      <c r="AS3350" t="s">
        <v>526</v>
      </c>
      <c r="AX3350" t="s">
        <v>31</v>
      </c>
      <c r="AY3350" t="s">
        <v>386</v>
      </c>
      <c r="AZ3350" t="s">
        <v>3693</v>
      </c>
      <c r="BF3350">
        <v>0</v>
      </c>
      <c r="BK3350" t="s">
        <v>31</v>
      </c>
      <c r="BS3350" t="s">
        <v>379</v>
      </c>
      <c r="BT3350" t="s">
        <v>379</v>
      </c>
      <c r="CI3350" t="s">
        <v>388</v>
      </c>
      <c r="CJ3350" s="14">
        <v>45016</v>
      </c>
      <c r="CK3350">
        <v>1</v>
      </c>
    </row>
    <row r="3351" spans="1:89">
      <c r="A3351" t="s">
        <v>3504</v>
      </c>
      <c r="B3351" t="s">
        <v>374</v>
      </c>
      <c r="C3351" t="s">
        <v>3505</v>
      </c>
      <c r="D3351" t="s">
        <v>3694</v>
      </c>
      <c r="E3351" t="s">
        <v>3695</v>
      </c>
      <c r="F3351" s="13">
        <v>44530.571886574071</v>
      </c>
      <c r="G3351" t="s">
        <v>2271</v>
      </c>
      <c r="H3351" t="s">
        <v>2272</v>
      </c>
      <c r="I3351" s="13">
        <v>45012.043622685182</v>
      </c>
      <c r="K3351" t="s">
        <v>415</v>
      </c>
      <c r="M3351" s="13">
        <v>44645</v>
      </c>
      <c r="R3351">
        <v>0</v>
      </c>
      <c r="S3351" t="s">
        <v>416</v>
      </c>
      <c r="T3351" t="s">
        <v>57</v>
      </c>
      <c r="V3351" t="s">
        <v>478</v>
      </c>
      <c r="W3351" t="s">
        <v>3696</v>
      </c>
      <c r="X3351" t="s">
        <v>3696</v>
      </c>
      <c r="AF3351" t="s">
        <v>451</v>
      </c>
      <c r="AI3351">
        <v>-367</v>
      </c>
      <c r="AL3351" t="s">
        <v>3697</v>
      </c>
      <c r="AN3351" t="s">
        <v>31</v>
      </c>
      <c r="AO3351">
        <v>0</v>
      </c>
      <c r="AS3351" t="s">
        <v>526</v>
      </c>
      <c r="AX3351" t="s">
        <v>31</v>
      </c>
      <c r="AY3351" t="s">
        <v>386</v>
      </c>
      <c r="AZ3351" t="s">
        <v>3698</v>
      </c>
      <c r="BF3351">
        <v>0</v>
      </c>
      <c r="BK3351" t="s">
        <v>31</v>
      </c>
      <c r="BS3351" t="s">
        <v>419</v>
      </c>
      <c r="BT3351" t="s">
        <v>419</v>
      </c>
      <c r="CI3351" t="s">
        <v>388</v>
      </c>
      <c r="CJ3351" s="14">
        <v>45016</v>
      </c>
      <c r="CK3351">
        <v>1</v>
      </c>
    </row>
    <row r="3352" spans="1:89">
      <c r="A3352" t="s">
        <v>3504</v>
      </c>
      <c r="B3352" t="s">
        <v>374</v>
      </c>
      <c r="C3352" t="s">
        <v>3505</v>
      </c>
      <c r="D3352" t="s">
        <v>3699</v>
      </c>
      <c r="E3352" t="s">
        <v>3700</v>
      </c>
      <c r="F3352" s="13">
        <v>44530.560115740744</v>
      </c>
      <c r="G3352" t="s">
        <v>2271</v>
      </c>
      <c r="H3352" t="s">
        <v>2272</v>
      </c>
      <c r="I3352" s="13">
        <v>44715.502106481479</v>
      </c>
      <c r="K3352" t="s">
        <v>379</v>
      </c>
      <c r="M3352" s="13">
        <v>44592</v>
      </c>
      <c r="R3352">
        <v>100</v>
      </c>
      <c r="S3352" t="s">
        <v>380</v>
      </c>
      <c r="T3352" t="s">
        <v>57</v>
      </c>
      <c r="V3352" t="s">
        <v>381</v>
      </c>
      <c r="W3352" t="s">
        <v>3701</v>
      </c>
      <c r="X3352" t="s">
        <v>3701</v>
      </c>
      <c r="AF3352" t="s">
        <v>382</v>
      </c>
      <c r="AG3352" t="s">
        <v>3702</v>
      </c>
      <c r="AI3352">
        <v>6</v>
      </c>
      <c r="AK3352" t="s">
        <v>480</v>
      </c>
      <c r="AL3352" t="s">
        <v>3703</v>
      </c>
      <c r="AN3352" t="s">
        <v>31</v>
      </c>
      <c r="AO3352">
        <v>0</v>
      </c>
      <c r="AS3352" t="s">
        <v>392</v>
      </c>
      <c r="AX3352" t="s">
        <v>31</v>
      </c>
      <c r="AY3352" t="s">
        <v>442</v>
      </c>
      <c r="AZ3352" t="s">
        <v>3704</v>
      </c>
      <c r="BF3352">
        <v>0</v>
      </c>
      <c r="BK3352" t="s">
        <v>31</v>
      </c>
      <c r="BS3352" t="s">
        <v>379</v>
      </c>
      <c r="BT3352" t="s">
        <v>379</v>
      </c>
      <c r="CI3352" t="s">
        <v>388</v>
      </c>
      <c r="CJ3352" s="14">
        <v>45016</v>
      </c>
      <c r="CK3352">
        <v>1</v>
      </c>
    </row>
    <row r="3353" spans="1:89">
      <c r="A3353" t="s">
        <v>2164</v>
      </c>
      <c r="B3353" t="s">
        <v>374</v>
      </c>
      <c r="C3353" t="s">
        <v>2165</v>
      </c>
      <c r="D3353" t="s">
        <v>3705</v>
      </c>
      <c r="E3353" t="s">
        <v>3706</v>
      </c>
      <c r="F3353" s="13">
        <v>44530.541377314818</v>
      </c>
      <c r="G3353" t="s">
        <v>2271</v>
      </c>
      <c r="H3353" t="s">
        <v>2272</v>
      </c>
      <c r="I3353" s="13">
        <v>45012.043622685182</v>
      </c>
      <c r="K3353" t="s">
        <v>415</v>
      </c>
      <c r="M3353" s="13">
        <v>44533</v>
      </c>
      <c r="R3353">
        <v>100</v>
      </c>
      <c r="S3353" t="s">
        <v>416</v>
      </c>
      <c r="T3353" t="s">
        <v>57</v>
      </c>
      <c r="V3353" t="s">
        <v>478</v>
      </c>
      <c r="W3353" t="s">
        <v>3707</v>
      </c>
      <c r="X3353" t="s">
        <v>3707</v>
      </c>
      <c r="AF3353" t="s">
        <v>382</v>
      </c>
      <c r="AG3353" t="s">
        <v>3708</v>
      </c>
      <c r="AI3353">
        <v>-479</v>
      </c>
      <c r="AJ3353" s="13">
        <v>44587</v>
      </c>
      <c r="AL3353" t="s">
        <v>3709</v>
      </c>
      <c r="AN3353" t="s">
        <v>31</v>
      </c>
      <c r="AO3353">
        <v>0</v>
      </c>
      <c r="AR3353" t="s">
        <v>3710</v>
      </c>
      <c r="AS3353" t="s">
        <v>392</v>
      </c>
      <c r="AX3353" t="s">
        <v>31</v>
      </c>
      <c r="AY3353" t="s">
        <v>386</v>
      </c>
      <c r="AZ3353" t="s">
        <v>3711</v>
      </c>
      <c r="BF3353">
        <v>0</v>
      </c>
      <c r="BK3353" t="s">
        <v>31</v>
      </c>
      <c r="BS3353" t="s">
        <v>419</v>
      </c>
      <c r="BT3353" t="s">
        <v>419</v>
      </c>
      <c r="CI3353" t="s">
        <v>388</v>
      </c>
      <c r="CJ3353" s="14">
        <v>45016</v>
      </c>
      <c r="CK3353">
        <v>1</v>
      </c>
    </row>
    <row r="3354" spans="1:89">
      <c r="A3354" t="s">
        <v>1415</v>
      </c>
      <c r="B3354" t="s">
        <v>374</v>
      </c>
      <c r="C3354" t="s">
        <v>1416</v>
      </c>
      <c r="D3354" t="s">
        <v>3712</v>
      </c>
      <c r="E3354" t="s">
        <v>3713</v>
      </c>
      <c r="F3354" s="13">
        <v>44529.648229166669</v>
      </c>
      <c r="G3354" t="s">
        <v>1418</v>
      </c>
      <c r="H3354" t="s">
        <v>1419</v>
      </c>
      <c r="I3354" s="13">
        <v>45012.043611111112</v>
      </c>
      <c r="K3354" t="s">
        <v>415</v>
      </c>
      <c r="M3354" s="13">
        <v>44681</v>
      </c>
      <c r="R3354">
        <v>0</v>
      </c>
      <c r="S3354" t="s">
        <v>380</v>
      </c>
      <c r="T3354" t="s">
        <v>57</v>
      </c>
      <c r="V3354" t="s">
        <v>478</v>
      </c>
      <c r="W3354" t="s">
        <v>3714</v>
      </c>
      <c r="X3354" t="s">
        <v>3714</v>
      </c>
      <c r="AF3354" t="s">
        <v>451</v>
      </c>
      <c r="AI3354">
        <v>-331</v>
      </c>
      <c r="AL3354" t="s">
        <v>3715</v>
      </c>
      <c r="AN3354" t="s">
        <v>31</v>
      </c>
      <c r="AO3354">
        <v>0</v>
      </c>
      <c r="AS3354" t="s">
        <v>385</v>
      </c>
      <c r="AX3354" t="s">
        <v>31</v>
      </c>
      <c r="AY3354" t="s">
        <v>442</v>
      </c>
      <c r="AZ3354" t="s">
        <v>3716</v>
      </c>
      <c r="BF3354">
        <v>0</v>
      </c>
      <c r="BK3354" t="s">
        <v>31</v>
      </c>
      <c r="BS3354" t="s">
        <v>419</v>
      </c>
      <c r="BT3354" t="s">
        <v>419</v>
      </c>
      <c r="CI3354" t="s">
        <v>388</v>
      </c>
      <c r="CJ3354" s="14">
        <v>45016</v>
      </c>
      <c r="CK3354">
        <v>1</v>
      </c>
    </row>
    <row r="3355" spans="1:89">
      <c r="A3355" t="s">
        <v>1415</v>
      </c>
      <c r="B3355" t="s">
        <v>374</v>
      </c>
      <c r="C3355" t="s">
        <v>1416</v>
      </c>
      <c r="D3355" t="s">
        <v>3717</v>
      </c>
      <c r="E3355" t="s">
        <v>3718</v>
      </c>
      <c r="F3355" s="13">
        <v>44529.623252314814</v>
      </c>
      <c r="G3355" t="s">
        <v>1418</v>
      </c>
      <c r="H3355" t="s">
        <v>1419</v>
      </c>
      <c r="I3355" s="13">
        <v>45012.043611111112</v>
      </c>
      <c r="K3355" t="s">
        <v>415</v>
      </c>
      <c r="M3355" s="13">
        <v>44742</v>
      </c>
      <c r="R3355">
        <v>100</v>
      </c>
      <c r="S3355" t="s">
        <v>380</v>
      </c>
      <c r="T3355" t="s">
        <v>57</v>
      </c>
      <c r="V3355" t="s">
        <v>478</v>
      </c>
      <c r="W3355" t="s">
        <v>3719</v>
      </c>
      <c r="X3355" t="s">
        <v>3719</v>
      </c>
      <c r="AF3355" t="s">
        <v>382</v>
      </c>
      <c r="AG3355" t="s">
        <v>3720</v>
      </c>
      <c r="AI3355">
        <v>-270</v>
      </c>
      <c r="AL3355" t="s">
        <v>3721</v>
      </c>
      <c r="AN3355" t="s">
        <v>31</v>
      </c>
      <c r="AO3355">
        <v>0</v>
      </c>
      <c r="AS3355" t="s">
        <v>385</v>
      </c>
      <c r="AX3355" t="s">
        <v>31</v>
      </c>
      <c r="AY3355" t="s">
        <v>442</v>
      </c>
      <c r="AZ3355" t="s">
        <v>3722</v>
      </c>
      <c r="BF3355">
        <v>0</v>
      </c>
      <c r="BK3355" t="s">
        <v>31</v>
      </c>
      <c r="BS3355" t="s">
        <v>622</v>
      </c>
      <c r="BT3355" t="s">
        <v>419</v>
      </c>
      <c r="CI3355" t="s">
        <v>388</v>
      </c>
      <c r="CJ3355" s="14">
        <v>45016</v>
      </c>
      <c r="CK3355">
        <v>1</v>
      </c>
    </row>
    <row r="3356" spans="1:89">
      <c r="A3356" t="s">
        <v>1415</v>
      </c>
      <c r="B3356" t="s">
        <v>374</v>
      </c>
      <c r="C3356" t="s">
        <v>1416</v>
      </c>
      <c r="D3356" t="s">
        <v>3723</v>
      </c>
      <c r="E3356" t="s">
        <v>3724</v>
      </c>
      <c r="F3356" s="13">
        <v>44529.615752314814</v>
      </c>
      <c r="G3356" t="s">
        <v>1418</v>
      </c>
      <c r="H3356" t="s">
        <v>1419</v>
      </c>
      <c r="I3356" s="13">
        <v>44580.338912037034</v>
      </c>
      <c r="K3356" t="s">
        <v>379</v>
      </c>
      <c r="M3356" s="13">
        <v>44592</v>
      </c>
      <c r="R3356">
        <v>100</v>
      </c>
      <c r="S3356" t="s">
        <v>380</v>
      </c>
      <c r="T3356" t="s">
        <v>57</v>
      </c>
      <c r="V3356" t="s">
        <v>381</v>
      </c>
      <c r="W3356" t="s">
        <v>3725</v>
      </c>
      <c r="X3356" t="s">
        <v>3725</v>
      </c>
      <c r="AF3356" t="s">
        <v>382</v>
      </c>
      <c r="AG3356" t="s">
        <v>3726</v>
      </c>
      <c r="AI3356">
        <v>12</v>
      </c>
      <c r="AL3356" t="s">
        <v>3727</v>
      </c>
      <c r="AN3356" t="s">
        <v>31</v>
      </c>
      <c r="AO3356">
        <v>0</v>
      </c>
      <c r="AS3356" t="s">
        <v>385</v>
      </c>
      <c r="AX3356" t="s">
        <v>31</v>
      </c>
      <c r="AY3356" t="s">
        <v>442</v>
      </c>
      <c r="AZ3356" t="s">
        <v>3728</v>
      </c>
      <c r="BF3356">
        <v>0</v>
      </c>
      <c r="BK3356" t="s">
        <v>31</v>
      </c>
      <c r="BS3356" t="s">
        <v>379</v>
      </c>
      <c r="BT3356" t="s">
        <v>379</v>
      </c>
      <c r="CI3356" t="s">
        <v>388</v>
      </c>
      <c r="CJ3356" s="14">
        <v>45016</v>
      </c>
      <c r="CK3356">
        <v>1</v>
      </c>
    </row>
    <row r="3357" spans="1:89">
      <c r="A3357" t="s">
        <v>1415</v>
      </c>
      <c r="B3357" t="s">
        <v>374</v>
      </c>
      <c r="C3357" t="s">
        <v>1416</v>
      </c>
      <c r="D3357" t="s">
        <v>3729</v>
      </c>
      <c r="E3357" t="s">
        <v>3730</v>
      </c>
      <c r="F3357" s="13">
        <v>44529.572013888886</v>
      </c>
      <c r="G3357" t="s">
        <v>1418</v>
      </c>
      <c r="H3357" t="s">
        <v>1419</v>
      </c>
      <c r="I3357" s="13">
        <v>45012.043611111112</v>
      </c>
      <c r="K3357" t="s">
        <v>415</v>
      </c>
      <c r="M3357" s="13">
        <v>44926</v>
      </c>
      <c r="R3357">
        <v>100</v>
      </c>
      <c r="S3357" t="s">
        <v>380</v>
      </c>
      <c r="T3357" t="s">
        <v>57</v>
      </c>
      <c r="V3357" t="s">
        <v>478</v>
      </c>
      <c r="W3357" t="s">
        <v>3714</v>
      </c>
      <c r="X3357" t="s">
        <v>3714</v>
      </c>
      <c r="AF3357" t="s">
        <v>382</v>
      </c>
      <c r="AG3357" t="s">
        <v>3731</v>
      </c>
      <c r="AI3357">
        <v>-86</v>
      </c>
      <c r="AL3357" t="s">
        <v>3732</v>
      </c>
      <c r="AN3357" t="s">
        <v>31</v>
      </c>
      <c r="AO3357">
        <v>0</v>
      </c>
      <c r="AS3357" t="s">
        <v>385</v>
      </c>
      <c r="AX3357" t="s">
        <v>31</v>
      </c>
      <c r="AY3357" t="s">
        <v>442</v>
      </c>
      <c r="AZ3357" t="s">
        <v>3733</v>
      </c>
      <c r="BF3357">
        <v>0</v>
      </c>
      <c r="BK3357" t="s">
        <v>31</v>
      </c>
      <c r="BS3357" t="s">
        <v>622</v>
      </c>
      <c r="BT3357" t="s">
        <v>419</v>
      </c>
      <c r="CI3357" t="s">
        <v>388</v>
      </c>
      <c r="CJ3357" s="14">
        <v>45016</v>
      </c>
      <c r="CK3357">
        <v>1</v>
      </c>
    </row>
    <row r="3358" spans="1:89">
      <c r="A3358" t="s">
        <v>1415</v>
      </c>
      <c r="B3358" t="s">
        <v>374</v>
      </c>
      <c r="C3358" t="s">
        <v>1416</v>
      </c>
      <c r="D3358" t="s">
        <v>3734</v>
      </c>
      <c r="E3358" t="s">
        <v>3735</v>
      </c>
      <c r="F3358" s="13">
        <v>44529.546620370369</v>
      </c>
      <c r="G3358" t="s">
        <v>1418</v>
      </c>
      <c r="H3358" t="s">
        <v>1419</v>
      </c>
      <c r="I3358" s="13">
        <v>44587.742175925923</v>
      </c>
      <c r="K3358" t="s">
        <v>379</v>
      </c>
      <c r="M3358" s="13">
        <v>44712</v>
      </c>
      <c r="R3358">
        <v>100</v>
      </c>
      <c r="S3358" t="s">
        <v>380</v>
      </c>
      <c r="T3358" t="s">
        <v>57</v>
      </c>
      <c r="V3358" t="s">
        <v>381</v>
      </c>
      <c r="W3358" t="s">
        <v>3736</v>
      </c>
      <c r="X3358" t="s">
        <v>3736</v>
      </c>
      <c r="AF3358" t="s">
        <v>382</v>
      </c>
      <c r="AG3358" t="s">
        <v>3737</v>
      </c>
      <c r="AI3358">
        <v>125</v>
      </c>
      <c r="AL3358" t="s">
        <v>3738</v>
      </c>
      <c r="AN3358" t="s">
        <v>31</v>
      </c>
      <c r="AO3358">
        <v>0</v>
      </c>
      <c r="AS3358" t="s">
        <v>392</v>
      </c>
      <c r="AX3358" t="s">
        <v>31</v>
      </c>
      <c r="AY3358" t="s">
        <v>386</v>
      </c>
      <c r="AZ3358" t="s">
        <v>3739</v>
      </c>
      <c r="BF3358">
        <v>0</v>
      </c>
      <c r="BK3358" t="s">
        <v>31</v>
      </c>
      <c r="BS3358" t="s">
        <v>379</v>
      </c>
      <c r="BT3358" t="s">
        <v>379</v>
      </c>
      <c r="CI3358" t="s">
        <v>388</v>
      </c>
      <c r="CJ3358" s="14">
        <v>45016</v>
      </c>
      <c r="CK3358">
        <v>1</v>
      </c>
    </row>
    <row r="3359" spans="1:89">
      <c r="A3359" t="s">
        <v>1415</v>
      </c>
      <c r="B3359" t="s">
        <v>374</v>
      </c>
      <c r="C3359" t="s">
        <v>1416</v>
      </c>
      <c r="D3359" t="s">
        <v>3740</v>
      </c>
      <c r="E3359" t="s">
        <v>3741</v>
      </c>
      <c r="F3359" s="13">
        <v>44529.445648148147</v>
      </c>
      <c r="G3359" t="s">
        <v>1418</v>
      </c>
      <c r="H3359" t="s">
        <v>1419</v>
      </c>
      <c r="I3359" s="13">
        <v>44544.575613425928</v>
      </c>
      <c r="K3359" t="s">
        <v>379</v>
      </c>
      <c r="M3359" s="13">
        <v>44561</v>
      </c>
      <c r="R3359">
        <v>100</v>
      </c>
      <c r="S3359" t="s">
        <v>380</v>
      </c>
      <c r="T3359" t="s">
        <v>57</v>
      </c>
      <c r="V3359" t="s">
        <v>381</v>
      </c>
      <c r="W3359" t="s">
        <v>3387</v>
      </c>
      <c r="X3359" t="s">
        <v>3387</v>
      </c>
      <c r="AF3359" t="s">
        <v>382</v>
      </c>
      <c r="AG3359" t="s">
        <v>3742</v>
      </c>
      <c r="AI3359">
        <v>17</v>
      </c>
      <c r="AL3359" t="s">
        <v>3743</v>
      </c>
      <c r="AN3359" t="s">
        <v>31</v>
      </c>
      <c r="AO3359">
        <v>0</v>
      </c>
      <c r="AS3359" t="s">
        <v>461</v>
      </c>
      <c r="AX3359" t="s">
        <v>31</v>
      </c>
      <c r="AY3359" t="s">
        <v>386</v>
      </c>
      <c r="AZ3359" t="s">
        <v>3744</v>
      </c>
      <c r="BF3359">
        <v>0</v>
      </c>
      <c r="BK3359" t="s">
        <v>31</v>
      </c>
      <c r="BS3359" t="s">
        <v>379</v>
      </c>
      <c r="BT3359" t="s">
        <v>379</v>
      </c>
      <c r="CI3359" t="s">
        <v>388</v>
      </c>
      <c r="CJ3359" s="14">
        <v>45016</v>
      </c>
      <c r="CK3359">
        <v>1</v>
      </c>
    </row>
    <row r="3360" spans="1:89">
      <c r="A3360" t="s">
        <v>1415</v>
      </c>
      <c r="B3360" t="s">
        <v>374</v>
      </c>
      <c r="C3360" t="s">
        <v>1416</v>
      </c>
      <c r="D3360" t="s">
        <v>3745</v>
      </c>
      <c r="E3360" t="s">
        <v>3746</v>
      </c>
      <c r="F3360" s="13">
        <v>44529.430960648147</v>
      </c>
      <c r="G3360" t="s">
        <v>1418</v>
      </c>
      <c r="H3360" t="s">
        <v>1419</v>
      </c>
      <c r="I3360" s="13">
        <v>44529.433958333335</v>
      </c>
      <c r="K3360" t="s">
        <v>409</v>
      </c>
      <c r="R3360">
        <v>0</v>
      </c>
      <c r="S3360" t="s">
        <v>380</v>
      </c>
      <c r="T3360" t="s">
        <v>57</v>
      </c>
      <c r="V3360" t="s">
        <v>381</v>
      </c>
      <c r="W3360" t="s">
        <v>3747</v>
      </c>
      <c r="X3360" t="s">
        <v>3747</v>
      </c>
      <c r="AI3360">
        <v>63</v>
      </c>
      <c r="AL3360" t="s">
        <v>3748</v>
      </c>
      <c r="AN3360" t="s">
        <v>31</v>
      </c>
      <c r="AO3360">
        <v>0</v>
      </c>
      <c r="AS3360" t="s">
        <v>385</v>
      </c>
      <c r="AX3360" t="s">
        <v>31</v>
      </c>
      <c r="AY3360" t="s">
        <v>386</v>
      </c>
      <c r="AZ3360" t="s">
        <v>3749</v>
      </c>
      <c r="BF3360">
        <v>0</v>
      </c>
      <c r="BK3360" t="s">
        <v>31</v>
      </c>
      <c r="BS3360" t="s">
        <v>409</v>
      </c>
      <c r="BT3360" t="s">
        <v>409</v>
      </c>
      <c r="CI3360" t="s">
        <v>388</v>
      </c>
      <c r="CJ3360" s="14">
        <v>45016</v>
      </c>
      <c r="CK3360">
        <v>1</v>
      </c>
    </row>
    <row r="3361" spans="1:89">
      <c r="A3361" t="s">
        <v>2267</v>
      </c>
      <c r="B3361" t="s">
        <v>374</v>
      </c>
      <c r="C3361" t="s">
        <v>2268</v>
      </c>
      <c r="D3361" t="s">
        <v>3750</v>
      </c>
      <c r="E3361" t="s">
        <v>3751</v>
      </c>
      <c r="F3361" s="13">
        <v>44529.413923611108</v>
      </c>
      <c r="G3361" t="s">
        <v>2271</v>
      </c>
      <c r="H3361" t="s">
        <v>2272</v>
      </c>
      <c r="I3361" s="13">
        <v>45012.043599537035</v>
      </c>
      <c r="K3361" t="s">
        <v>415</v>
      </c>
      <c r="M3361" s="13">
        <v>44645</v>
      </c>
      <c r="R3361">
        <v>95</v>
      </c>
      <c r="S3361" t="s">
        <v>380</v>
      </c>
      <c r="T3361" t="s">
        <v>57</v>
      </c>
      <c r="V3361" t="s">
        <v>478</v>
      </c>
      <c r="W3361" t="s">
        <v>3752</v>
      </c>
      <c r="X3361" t="s">
        <v>3752</v>
      </c>
      <c r="AF3361" t="s">
        <v>1301</v>
      </c>
      <c r="AG3361" t="s">
        <v>3753</v>
      </c>
      <c r="AI3361">
        <v>-367</v>
      </c>
      <c r="AL3361" t="s">
        <v>3754</v>
      </c>
      <c r="AN3361" t="s">
        <v>31</v>
      </c>
      <c r="AO3361">
        <v>0</v>
      </c>
      <c r="AS3361" t="s">
        <v>392</v>
      </c>
      <c r="AT3361" t="s">
        <v>31</v>
      </c>
      <c r="AX3361" t="s">
        <v>31</v>
      </c>
      <c r="AY3361" t="s">
        <v>442</v>
      </c>
      <c r="AZ3361" t="s">
        <v>3755</v>
      </c>
      <c r="BF3361">
        <v>0</v>
      </c>
      <c r="BK3361" t="s">
        <v>31</v>
      </c>
      <c r="BS3361" t="s">
        <v>484</v>
      </c>
      <c r="BT3361" t="s">
        <v>484</v>
      </c>
      <c r="CI3361" t="s">
        <v>388</v>
      </c>
      <c r="CJ3361" s="14">
        <v>45016</v>
      </c>
      <c r="CK3361">
        <v>1</v>
      </c>
    </row>
    <row r="3362" spans="1:89">
      <c r="A3362" t="s">
        <v>2267</v>
      </c>
      <c r="B3362" t="s">
        <v>374</v>
      </c>
      <c r="C3362" t="s">
        <v>2268</v>
      </c>
      <c r="D3362" t="s">
        <v>3756</v>
      </c>
      <c r="E3362" t="s">
        <v>3757</v>
      </c>
      <c r="F3362" s="13">
        <v>44529.400810185187</v>
      </c>
      <c r="G3362" t="s">
        <v>2271</v>
      </c>
      <c r="H3362" t="s">
        <v>2272</v>
      </c>
      <c r="I3362" s="13">
        <v>44715.499756944446</v>
      </c>
      <c r="K3362" t="s">
        <v>379</v>
      </c>
      <c r="M3362" s="13">
        <v>44530</v>
      </c>
      <c r="R3362">
        <v>100</v>
      </c>
      <c r="S3362" t="s">
        <v>380</v>
      </c>
      <c r="T3362" t="s">
        <v>57</v>
      </c>
      <c r="V3362" t="s">
        <v>478</v>
      </c>
      <c r="W3362" t="s">
        <v>3758</v>
      </c>
      <c r="X3362" t="s">
        <v>3758</v>
      </c>
      <c r="AF3362" t="s">
        <v>382</v>
      </c>
      <c r="AG3362" t="s">
        <v>3759</v>
      </c>
      <c r="AI3362">
        <v>-41</v>
      </c>
      <c r="AJ3362" s="13">
        <v>44571</v>
      </c>
      <c r="AL3362" t="s">
        <v>3760</v>
      </c>
      <c r="AN3362" t="s">
        <v>31</v>
      </c>
      <c r="AO3362">
        <v>0</v>
      </c>
      <c r="AR3362" t="s">
        <v>3761</v>
      </c>
      <c r="AS3362" t="s">
        <v>702</v>
      </c>
      <c r="AX3362" t="s">
        <v>31</v>
      </c>
      <c r="AY3362" t="s">
        <v>386</v>
      </c>
      <c r="AZ3362" t="s">
        <v>3762</v>
      </c>
      <c r="BF3362">
        <v>0</v>
      </c>
      <c r="BK3362" t="s">
        <v>31</v>
      </c>
      <c r="BS3362" t="s">
        <v>379</v>
      </c>
      <c r="BT3362" t="s">
        <v>379</v>
      </c>
      <c r="CI3362" t="s">
        <v>388</v>
      </c>
      <c r="CJ3362" s="14">
        <v>45016</v>
      </c>
      <c r="CK3362">
        <v>1</v>
      </c>
    </row>
    <row r="3363" spans="1:89">
      <c r="A3363" t="s">
        <v>1415</v>
      </c>
      <c r="B3363" t="s">
        <v>374</v>
      </c>
      <c r="C3363" t="s">
        <v>1416</v>
      </c>
      <c r="D3363" t="s">
        <v>3763</v>
      </c>
      <c r="E3363" t="s">
        <v>3764</v>
      </c>
      <c r="F3363" s="13">
        <v>44526.669270833336</v>
      </c>
      <c r="G3363" t="s">
        <v>1418</v>
      </c>
      <c r="H3363" t="s">
        <v>1419</v>
      </c>
      <c r="I3363" s="13">
        <v>45012.043599537035</v>
      </c>
      <c r="K3363" t="s">
        <v>415</v>
      </c>
      <c r="M3363" s="13">
        <v>44742</v>
      </c>
      <c r="R3363">
        <v>0</v>
      </c>
      <c r="S3363" t="s">
        <v>380</v>
      </c>
      <c r="T3363" t="s">
        <v>57</v>
      </c>
      <c r="V3363" t="s">
        <v>478</v>
      </c>
      <c r="W3363" t="s">
        <v>3701</v>
      </c>
      <c r="X3363" t="s">
        <v>3701</v>
      </c>
      <c r="AF3363" t="s">
        <v>451</v>
      </c>
      <c r="AI3363">
        <v>-270</v>
      </c>
      <c r="AL3363" t="s">
        <v>3765</v>
      </c>
      <c r="AN3363" t="s">
        <v>31</v>
      </c>
      <c r="AO3363">
        <v>0</v>
      </c>
      <c r="AS3363" t="s">
        <v>392</v>
      </c>
      <c r="AX3363" t="s">
        <v>31</v>
      </c>
      <c r="AY3363" t="s">
        <v>442</v>
      </c>
      <c r="AZ3363" t="s">
        <v>3766</v>
      </c>
      <c r="BF3363">
        <v>0</v>
      </c>
      <c r="BK3363" t="s">
        <v>31</v>
      </c>
      <c r="BS3363" t="s">
        <v>419</v>
      </c>
      <c r="BT3363" t="s">
        <v>419</v>
      </c>
      <c r="CI3363" t="s">
        <v>388</v>
      </c>
      <c r="CJ3363" s="14">
        <v>45016</v>
      </c>
      <c r="CK3363">
        <v>1</v>
      </c>
    </row>
    <row r="3364" spans="1:89">
      <c r="A3364" t="s">
        <v>1415</v>
      </c>
      <c r="B3364" t="s">
        <v>374</v>
      </c>
      <c r="C3364" t="s">
        <v>1416</v>
      </c>
      <c r="D3364" t="s">
        <v>3767</v>
      </c>
      <c r="E3364" t="s">
        <v>3768</v>
      </c>
      <c r="F3364" s="13">
        <v>44526.54210648148</v>
      </c>
      <c r="G3364" t="s">
        <v>1418</v>
      </c>
      <c r="H3364" t="s">
        <v>1419</v>
      </c>
      <c r="I3364" s="13">
        <v>44544.572581018518</v>
      </c>
      <c r="K3364" t="s">
        <v>379</v>
      </c>
      <c r="M3364" s="13">
        <v>44561</v>
      </c>
      <c r="R3364">
        <v>100</v>
      </c>
      <c r="S3364" t="s">
        <v>380</v>
      </c>
      <c r="T3364" t="s">
        <v>57</v>
      </c>
      <c r="V3364" t="s">
        <v>381</v>
      </c>
      <c r="W3364" t="s">
        <v>3769</v>
      </c>
      <c r="X3364" t="s">
        <v>3769</v>
      </c>
      <c r="AF3364" t="s">
        <v>382</v>
      </c>
      <c r="AG3364" t="s">
        <v>3770</v>
      </c>
      <c r="AI3364">
        <v>17</v>
      </c>
      <c r="AL3364" t="s">
        <v>3771</v>
      </c>
      <c r="AN3364" t="s">
        <v>31</v>
      </c>
      <c r="AO3364">
        <v>0</v>
      </c>
      <c r="AS3364" t="s">
        <v>461</v>
      </c>
      <c r="AX3364" t="s">
        <v>31</v>
      </c>
      <c r="AY3364" t="s">
        <v>386</v>
      </c>
      <c r="AZ3364" t="s">
        <v>3772</v>
      </c>
      <c r="BF3364">
        <v>0</v>
      </c>
      <c r="BK3364" t="s">
        <v>31</v>
      </c>
      <c r="BS3364" t="s">
        <v>379</v>
      </c>
      <c r="BT3364" t="s">
        <v>379</v>
      </c>
      <c r="CI3364" t="s">
        <v>388</v>
      </c>
      <c r="CJ3364" s="14">
        <v>45016</v>
      </c>
      <c r="CK3364">
        <v>1</v>
      </c>
    </row>
    <row r="3365" spans="1:89">
      <c r="A3365" t="s">
        <v>1415</v>
      </c>
      <c r="B3365" t="s">
        <v>374</v>
      </c>
      <c r="C3365" t="s">
        <v>1416</v>
      </c>
      <c r="D3365" t="s">
        <v>3773</v>
      </c>
      <c r="E3365" t="s">
        <v>3774</v>
      </c>
      <c r="F3365" s="13">
        <v>44526.491319444445</v>
      </c>
      <c r="G3365" t="s">
        <v>1418</v>
      </c>
      <c r="H3365" t="s">
        <v>1419</v>
      </c>
      <c r="I3365" s="13">
        <v>44544.560127314813</v>
      </c>
      <c r="K3365" t="s">
        <v>379</v>
      </c>
      <c r="M3365" s="13">
        <v>44561</v>
      </c>
      <c r="R3365">
        <v>100</v>
      </c>
      <c r="S3365" t="s">
        <v>380</v>
      </c>
      <c r="T3365" t="s">
        <v>57</v>
      </c>
      <c r="V3365" t="s">
        <v>381</v>
      </c>
      <c r="W3365" t="s">
        <v>3769</v>
      </c>
      <c r="X3365" t="s">
        <v>3769</v>
      </c>
      <c r="AF3365" t="s">
        <v>382</v>
      </c>
      <c r="AG3365" t="s">
        <v>3775</v>
      </c>
      <c r="AI3365">
        <v>17</v>
      </c>
      <c r="AL3365" t="s">
        <v>3776</v>
      </c>
      <c r="AN3365" t="s">
        <v>31</v>
      </c>
      <c r="AO3365">
        <v>0</v>
      </c>
      <c r="AS3365" t="s">
        <v>702</v>
      </c>
      <c r="AX3365" t="s">
        <v>31</v>
      </c>
      <c r="AY3365" t="s">
        <v>386</v>
      </c>
      <c r="AZ3365" t="s">
        <v>3777</v>
      </c>
      <c r="BF3365">
        <v>0</v>
      </c>
      <c r="BK3365" t="s">
        <v>31</v>
      </c>
      <c r="BS3365" t="s">
        <v>379</v>
      </c>
      <c r="BT3365" t="s">
        <v>379</v>
      </c>
      <c r="CI3365" t="s">
        <v>388</v>
      </c>
      <c r="CJ3365" s="14">
        <v>45016</v>
      </c>
      <c r="CK3365">
        <v>1</v>
      </c>
    </row>
    <row r="3366" spans="1:89">
      <c r="A3366" t="s">
        <v>1415</v>
      </c>
      <c r="B3366" t="s">
        <v>374</v>
      </c>
      <c r="C3366" t="s">
        <v>1416</v>
      </c>
      <c r="D3366" t="s">
        <v>3778</v>
      </c>
      <c r="E3366" t="s">
        <v>3779</v>
      </c>
      <c r="F3366" s="13">
        <v>44524.658634259256</v>
      </c>
      <c r="G3366" t="s">
        <v>1418</v>
      </c>
      <c r="H3366" t="s">
        <v>1419</v>
      </c>
      <c r="I3366" s="13">
        <v>44529.661574074074</v>
      </c>
      <c r="K3366" t="s">
        <v>379</v>
      </c>
      <c r="M3366" s="13">
        <v>44530</v>
      </c>
      <c r="R3366">
        <v>100</v>
      </c>
      <c r="S3366" t="s">
        <v>416</v>
      </c>
      <c r="T3366" t="s">
        <v>57</v>
      </c>
      <c r="V3366" t="s">
        <v>381</v>
      </c>
      <c r="W3366" t="s">
        <v>3736</v>
      </c>
      <c r="X3366" t="s">
        <v>3736</v>
      </c>
      <c r="AF3366" t="s">
        <v>382</v>
      </c>
      <c r="AG3366" t="s">
        <v>3780</v>
      </c>
      <c r="AI3366">
        <v>1</v>
      </c>
      <c r="AL3366" t="s">
        <v>3738</v>
      </c>
      <c r="AM3366">
        <v>1</v>
      </c>
      <c r="AN3366" t="s">
        <v>31</v>
      </c>
      <c r="AO3366">
        <v>0</v>
      </c>
      <c r="AS3366" t="s">
        <v>1720</v>
      </c>
      <c r="AX3366" t="s">
        <v>31</v>
      </c>
      <c r="AY3366" t="s">
        <v>386</v>
      </c>
      <c r="AZ3366" t="s">
        <v>3781</v>
      </c>
      <c r="BF3366">
        <v>0</v>
      </c>
      <c r="BK3366" t="s">
        <v>31</v>
      </c>
      <c r="BS3366" t="s">
        <v>379</v>
      </c>
      <c r="BT3366" t="s">
        <v>379</v>
      </c>
      <c r="CI3366" t="s">
        <v>388</v>
      </c>
      <c r="CJ3366" s="14">
        <v>45016</v>
      </c>
      <c r="CK3366">
        <v>1</v>
      </c>
    </row>
    <row r="3367" spans="1:89">
      <c r="A3367" t="s">
        <v>3782</v>
      </c>
      <c r="B3367" t="s">
        <v>374</v>
      </c>
      <c r="C3367" t="s">
        <v>3783</v>
      </c>
      <c r="D3367" t="s">
        <v>3784</v>
      </c>
      <c r="E3367" t="s">
        <v>3785</v>
      </c>
      <c r="F3367" s="13">
        <v>44524.604131944441</v>
      </c>
      <c r="G3367" t="s">
        <v>2271</v>
      </c>
      <c r="H3367" t="s">
        <v>2272</v>
      </c>
      <c r="I3367" s="13">
        <v>44543.440949074073</v>
      </c>
      <c r="K3367" t="s">
        <v>379</v>
      </c>
      <c r="M3367" s="13">
        <v>44545</v>
      </c>
      <c r="R3367">
        <v>100</v>
      </c>
      <c r="S3367" t="s">
        <v>380</v>
      </c>
      <c r="T3367" t="s">
        <v>57</v>
      </c>
      <c r="V3367" t="s">
        <v>381</v>
      </c>
      <c r="W3367" t="s">
        <v>3786</v>
      </c>
      <c r="X3367" t="s">
        <v>3786</v>
      </c>
      <c r="AF3367" t="s">
        <v>382</v>
      </c>
      <c r="AG3367" t="s">
        <v>3787</v>
      </c>
      <c r="AI3367">
        <v>2</v>
      </c>
      <c r="AL3367" t="s">
        <v>3788</v>
      </c>
      <c r="AN3367" t="s">
        <v>31</v>
      </c>
      <c r="AO3367">
        <v>0</v>
      </c>
      <c r="AS3367" t="s">
        <v>702</v>
      </c>
      <c r="AX3367" t="s">
        <v>57</v>
      </c>
      <c r="AY3367" t="s">
        <v>442</v>
      </c>
      <c r="AZ3367" t="s">
        <v>3789</v>
      </c>
      <c r="BE3367" t="s">
        <v>3790</v>
      </c>
      <c r="BF3367">
        <v>0</v>
      </c>
      <c r="BK3367" t="s">
        <v>31</v>
      </c>
      <c r="BS3367" t="s">
        <v>379</v>
      </c>
      <c r="BT3367" t="s">
        <v>379</v>
      </c>
      <c r="CI3367" t="s">
        <v>388</v>
      </c>
      <c r="CJ3367" s="14">
        <v>45016</v>
      </c>
      <c r="CK3367">
        <v>1</v>
      </c>
    </row>
    <row r="3368" spans="1:89">
      <c r="A3368" t="s">
        <v>2502</v>
      </c>
      <c r="B3368" t="s">
        <v>374</v>
      </c>
      <c r="C3368" t="s">
        <v>2503</v>
      </c>
      <c r="D3368" t="s">
        <v>3791</v>
      </c>
      <c r="E3368" t="s">
        <v>3792</v>
      </c>
      <c r="F3368" s="13">
        <v>44518.478993055556</v>
      </c>
      <c r="G3368" t="s">
        <v>2506</v>
      </c>
      <c r="H3368" t="s">
        <v>2507</v>
      </c>
      <c r="I3368" s="13">
        <v>44518.479942129627</v>
      </c>
      <c r="K3368" t="s">
        <v>412</v>
      </c>
      <c r="R3368">
        <v>0</v>
      </c>
      <c r="S3368" t="s">
        <v>380</v>
      </c>
      <c r="T3368" t="s">
        <v>57</v>
      </c>
      <c r="V3368" t="s">
        <v>381</v>
      </c>
      <c r="W3368" t="s">
        <v>3793</v>
      </c>
      <c r="X3368" t="s">
        <v>3793</v>
      </c>
      <c r="AC3368" s="13">
        <v>44651</v>
      </c>
      <c r="AD3368" s="13">
        <v>44651</v>
      </c>
      <c r="AI3368">
        <v>133</v>
      </c>
      <c r="AL3368" t="s">
        <v>3794</v>
      </c>
      <c r="AN3368" t="s">
        <v>31</v>
      </c>
      <c r="AO3368">
        <v>0</v>
      </c>
      <c r="AS3368" t="s">
        <v>385</v>
      </c>
      <c r="AX3368" t="s">
        <v>31</v>
      </c>
      <c r="AY3368" t="s">
        <v>442</v>
      </c>
      <c r="AZ3368" t="s">
        <v>3795</v>
      </c>
      <c r="BF3368">
        <v>0</v>
      </c>
      <c r="BK3368" t="s">
        <v>31</v>
      </c>
      <c r="BS3368" t="s">
        <v>412</v>
      </c>
      <c r="BT3368" t="s">
        <v>412</v>
      </c>
      <c r="CI3368" t="s">
        <v>388</v>
      </c>
      <c r="CJ3368" s="14">
        <v>45016</v>
      </c>
      <c r="CK3368">
        <v>1</v>
      </c>
    </row>
    <row r="3369" spans="1:89">
      <c r="A3369" t="s">
        <v>2227</v>
      </c>
      <c r="B3369" t="s">
        <v>374</v>
      </c>
      <c r="C3369" t="s">
        <v>2228</v>
      </c>
      <c r="D3369" t="s">
        <v>3796</v>
      </c>
      <c r="E3369" t="s">
        <v>3797</v>
      </c>
      <c r="F3369" s="13">
        <v>44516.551932870374</v>
      </c>
      <c r="G3369" t="s">
        <v>2231</v>
      </c>
      <c r="H3369" t="s">
        <v>2232</v>
      </c>
      <c r="I3369" s="13">
        <v>44972.596226851849</v>
      </c>
      <c r="K3369" t="s">
        <v>379</v>
      </c>
      <c r="M3369" s="13">
        <v>44606</v>
      </c>
      <c r="R3369">
        <v>100</v>
      </c>
      <c r="S3369" t="s">
        <v>416</v>
      </c>
      <c r="T3369" t="s">
        <v>57</v>
      </c>
      <c r="V3369" t="s">
        <v>478</v>
      </c>
      <c r="W3369" t="s">
        <v>2233</v>
      </c>
      <c r="X3369" t="s">
        <v>2233</v>
      </c>
      <c r="Y3369" t="s">
        <v>480</v>
      </c>
      <c r="AF3369" t="s">
        <v>382</v>
      </c>
      <c r="AG3369" t="s">
        <v>3798</v>
      </c>
      <c r="AI3369">
        <v>-14</v>
      </c>
      <c r="AL3369" t="s">
        <v>2518</v>
      </c>
      <c r="AM3369">
        <v>1</v>
      </c>
      <c r="AN3369" t="s">
        <v>31</v>
      </c>
      <c r="AO3369">
        <v>0</v>
      </c>
      <c r="AS3369" t="s">
        <v>385</v>
      </c>
      <c r="AX3369" t="s">
        <v>31</v>
      </c>
      <c r="AY3369" t="s">
        <v>442</v>
      </c>
      <c r="AZ3369" t="s">
        <v>3799</v>
      </c>
      <c r="BE3369" t="s">
        <v>1404</v>
      </c>
      <c r="BF3369">
        <v>0</v>
      </c>
      <c r="BK3369" t="s">
        <v>31</v>
      </c>
      <c r="BS3369" t="s">
        <v>379</v>
      </c>
      <c r="BT3369" t="s">
        <v>379</v>
      </c>
      <c r="CI3369" t="s">
        <v>388</v>
      </c>
      <c r="CJ3369" s="14">
        <v>45016</v>
      </c>
      <c r="CK3369">
        <v>1</v>
      </c>
    </row>
    <row r="3370" spans="1:89">
      <c r="A3370" t="s">
        <v>2227</v>
      </c>
      <c r="B3370" t="s">
        <v>374</v>
      </c>
      <c r="C3370" t="s">
        <v>2228</v>
      </c>
      <c r="D3370" t="s">
        <v>3800</v>
      </c>
      <c r="E3370" t="s">
        <v>3801</v>
      </c>
      <c r="F3370" s="13">
        <v>44516.431805555556</v>
      </c>
      <c r="G3370" t="s">
        <v>2231</v>
      </c>
      <c r="H3370" t="s">
        <v>2232</v>
      </c>
      <c r="I3370" s="13">
        <v>44972.596226851849</v>
      </c>
      <c r="K3370" t="s">
        <v>379</v>
      </c>
      <c r="M3370" s="13">
        <v>44592</v>
      </c>
      <c r="R3370">
        <v>100</v>
      </c>
      <c r="S3370" t="s">
        <v>416</v>
      </c>
      <c r="T3370" t="s">
        <v>57</v>
      </c>
      <c r="V3370" t="s">
        <v>381</v>
      </c>
      <c r="W3370" t="s">
        <v>2233</v>
      </c>
      <c r="X3370" t="s">
        <v>2233</v>
      </c>
      <c r="AF3370" t="s">
        <v>382</v>
      </c>
      <c r="AG3370" t="s">
        <v>3802</v>
      </c>
      <c r="AI3370">
        <v>3</v>
      </c>
      <c r="AL3370" t="s">
        <v>3521</v>
      </c>
      <c r="AM3370">
        <v>1</v>
      </c>
      <c r="AN3370" t="s">
        <v>31</v>
      </c>
      <c r="AO3370">
        <v>0</v>
      </c>
      <c r="AS3370" t="s">
        <v>385</v>
      </c>
      <c r="AX3370" t="s">
        <v>31</v>
      </c>
      <c r="AY3370" t="s">
        <v>442</v>
      </c>
      <c r="AZ3370" t="s">
        <v>3522</v>
      </c>
      <c r="BE3370" t="s">
        <v>1404</v>
      </c>
      <c r="BF3370">
        <v>0</v>
      </c>
      <c r="BK3370" t="s">
        <v>31</v>
      </c>
      <c r="BS3370" t="s">
        <v>379</v>
      </c>
      <c r="BT3370" t="s">
        <v>379</v>
      </c>
      <c r="CI3370" t="s">
        <v>388</v>
      </c>
      <c r="CJ3370" s="14">
        <v>45016</v>
      </c>
      <c r="CK3370">
        <v>1</v>
      </c>
    </row>
    <row r="3371" spans="1:89">
      <c r="A3371" t="s">
        <v>2227</v>
      </c>
      <c r="B3371" t="s">
        <v>374</v>
      </c>
      <c r="C3371" t="s">
        <v>2228</v>
      </c>
      <c r="D3371" t="s">
        <v>3803</v>
      </c>
      <c r="E3371" t="s">
        <v>3804</v>
      </c>
      <c r="F3371" s="13">
        <v>44516.40116898148</v>
      </c>
      <c r="G3371" t="s">
        <v>2231</v>
      </c>
      <c r="H3371" t="s">
        <v>2232</v>
      </c>
      <c r="I3371" s="13">
        <v>44972.596226851849</v>
      </c>
      <c r="K3371" t="s">
        <v>379</v>
      </c>
      <c r="M3371" s="13">
        <v>44561</v>
      </c>
      <c r="R3371">
        <v>100</v>
      </c>
      <c r="S3371" t="s">
        <v>416</v>
      </c>
      <c r="T3371" t="s">
        <v>57</v>
      </c>
      <c r="V3371" t="s">
        <v>478</v>
      </c>
      <c r="W3371" t="s">
        <v>3528</v>
      </c>
      <c r="X3371" t="s">
        <v>3528</v>
      </c>
      <c r="AE3371" t="s">
        <v>3805</v>
      </c>
      <c r="AF3371" t="s">
        <v>382</v>
      </c>
      <c r="AG3371" t="s">
        <v>3806</v>
      </c>
      <c r="AI3371">
        <v>-40</v>
      </c>
      <c r="AJ3371" s="13">
        <v>44592</v>
      </c>
      <c r="AL3371" t="s">
        <v>3530</v>
      </c>
      <c r="AM3371">
        <v>1</v>
      </c>
      <c r="AN3371" t="s">
        <v>31</v>
      </c>
      <c r="AO3371">
        <v>0</v>
      </c>
      <c r="AR3371" t="s">
        <v>3806</v>
      </c>
      <c r="AS3371" t="s">
        <v>385</v>
      </c>
      <c r="AX3371" t="s">
        <v>31</v>
      </c>
      <c r="AY3371" t="s">
        <v>442</v>
      </c>
      <c r="AZ3371" t="s">
        <v>3532</v>
      </c>
      <c r="BE3371" t="s">
        <v>1404</v>
      </c>
      <c r="BF3371">
        <v>0</v>
      </c>
      <c r="BK3371" t="s">
        <v>31</v>
      </c>
      <c r="BS3371" t="s">
        <v>379</v>
      </c>
      <c r="BT3371" t="s">
        <v>379</v>
      </c>
      <c r="CI3371" t="s">
        <v>388</v>
      </c>
      <c r="CJ3371" s="14">
        <v>45016</v>
      </c>
      <c r="CK3371">
        <v>1</v>
      </c>
    </row>
    <row r="3372" spans="1:89">
      <c r="A3372" t="s">
        <v>1497</v>
      </c>
      <c r="B3372" t="s">
        <v>374</v>
      </c>
      <c r="C3372" t="s">
        <v>1498</v>
      </c>
      <c r="D3372" t="s">
        <v>3807</v>
      </c>
      <c r="E3372" t="s">
        <v>3808</v>
      </c>
      <c r="F3372" s="13">
        <v>44503.556354166663</v>
      </c>
      <c r="G3372" t="s">
        <v>1501</v>
      </c>
      <c r="H3372" t="s">
        <v>1502</v>
      </c>
      <c r="I3372" s="13">
        <v>45012.043599537035</v>
      </c>
      <c r="K3372" t="s">
        <v>415</v>
      </c>
      <c r="M3372" s="13">
        <v>44895</v>
      </c>
      <c r="R3372">
        <v>0</v>
      </c>
      <c r="S3372" t="s">
        <v>380</v>
      </c>
      <c r="T3372" t="s">
        <v>57</v>
      </c>
      <c r="V3372" t="s">
        <v>478</v>
      </c>
      <c r="W3372" t="s">
        <v>1684</v>
      </c>
      <c r="X3372" t="s">
        <v>1684</v>
      </c>
      <c r="AF3372" t="s">
        <v>451</v>
      </c>
      <c r="AI3372">
        <v>-117</v>
      </c>
      <c r="AL3372" t="s">
        <v>3809</v>
      </c>
      <c r="AN3372" t="s">
        <v>57</v>
      </c>
      <c r="AO3372">
        <v>0</v>
      </c>
      <c r="AS3372" t="s">
        <v>392</v>
      </c>
      <c r="AX3372" t="s">
        <v>57</v>
      </c>
      <c r="AY3372" t="s">
        <v>442</v>
      </c>
      <c r="AZ3372" t="s">
        <v>3810</v>
      </c>
      <c r="BF3372">
        <v>0</v>
      </c>
      <c r="BK3372" t="s">
        <v>31</v>
      </c>
      <c r="BS3372" t="s">
        <v>419</v>
      </c>
      <c r="BT3372" t="s">
        <v>419</v>
      </c>
      <c r="CI3372" t="s">
        <v>388</v>
      </c>
      <c r="CJ3372" s="14">
        <v>45016</v>
      </c>
      <c r="CK3372">
        <v>1</v>
      </c>
    </row>
    <row r="3373" spans="1:89">
      <c r="A3373" t="s">
        <v>2227</v>
      </c>
      <c r="B3373" t="s">
        <v>374</v>
      </c>
      <c r="C3373" t="s">
        <v>2228</v>
      </c>
      <c r="D3373" t="s">
        <v>3811</v>
      </c>
      <c r="E3373" t="s">
        <v>3812</v>
      </c>
      <c r="F3373" s="13">
        <v>44503.398298611108</v>
      </c>
      <c r="G3373" t="s">
        <v>2231</v>
      </c>
      <c r="H3373" t="s">
        <v>2232</v>
      </c>
      <c r="I3373" s="13">
        <v>45012.043599537035</v>
      </c>
      <c r="K3373" t="s">
        <v>415</v>
      </c>
      <c r="M3373" s="13">
        <v>44666</v>
      </c>
      <c r="R3373">
        <v>0</v>
      </c>
      <c r="S3373" t="s">
        <v>380</v>
      </c>
      <c r="T3373" t="s">
        <v>57</v>
      </c>
      <c r="V3373" t="s">
        <v>478</v>
      </c>
      <c r="W3373" t="s">
        <v>3528</v>
      </c>
      <c r="X3373" t="s">
        <v>3528</v>
      </c>
      <c r="AF3373" t="s">
        <v>451</v>
      </c>
      <c r="AG3373" t="s">
        <v>3813</v>
      </c>
      <c r="AI3373">
        <v>-346</v>
      </c>
      <c r="AL3373" t="s">
        <v>3814</v>
      </c>
      <c r="AN3373" t="s">
        <v>31</v>
      </c>
      <c r="AO3373">
        <v>0</v>
      </c>
      <c r="AS3373" t="s">
        <v>385</v>
      </c>
      <c r="AX3373" t="s">
        <v>31</v>
      </c>
      <c r="AY3373" t="s">
        <v>386</v>
      </c>
      <c r="AZ3373" t="s">
        <v>3815</v>
      </c>
      <c r="BF3373">
        <v>0</v>
      </c>
      <c r="BK3373" t="s">
        <v>31</v>
      </c>
      <c r="BS3373" t="s">
        <v>419</v>
      </c>
      <c r="BT3373" t="s">
        <v>419</v>
      </c>
      <c r="CI3373" t="s">
        <v>388</v>
      </c>
      <c r="CJ3373" s="14">
        <v>45016</v>
      </c>
      <c r="CK3373">
        <v>1</v>
      </c>
    </row>
    <row r="3374" spans="1:89">
      <c r="A3374" t="s">
        <v>2502</v>
      </c>
      <c r="B3374" t="s">
        <v>374</v>
      </c>
      <c r="C3374" t="s">
        <v>2503</v>
      </c>
      <c r="D3374" t="s">
        <v>3816</v>
      </c>
      <c r="E3374" t="s">
        <v>3817</v>
      </c>
      <c r="F3374" s="13">
        <v>44502.819351851853</v>
      </c>
      <c r="G3374" t="s">
        <v>2506</v>
      </c>
      <c r="H3374" t="s">
        <v>2507</v>
      </c>
      <c r="I3374" s="13">
        <v>44524.765069444446</v>
      </c>
      <c r="K3374" t="s">
        <v>379</v>
      </c>
      <c r="M3374" s="13">
        <v>44505</v>
      </c>
      <c r="R3374">
        <v>100</v>
      </c>
      <c r="S3374" t="s">
        <v>380</v>
      </c>
      <c r="T3374" t="s">
        <v>57</v>
      </c>
      <c r="V3374" t="s">
        <v>381</v>
      </c>
      <c r="W3374" t="s">
        <v>3793</v>
      </c>
      <c r="X3374" t="s">
        <v>3793</v>
      </c>
      <c r="AC3374" s="13">
        <v>44505</v>
      </c>
      <c r="AD3374" s="13">
        <v>44505</v>
      </c>
      <c r="AF3374" t="s">
        <v>382</v>
      </c>
      <c r="AG3374" t="s">
        <v>3818</v>
      </c>
      <c r="AI3374">
        <v>-19</v>
      </c>
      <c r="AL3374" t="s">
        <v>3819</v>
      </c>
      <c r="AN3374" t="s">
        <v>31</v>
      </c>
      <c r="AO3374">
        <v>0</v>
      </c>
      <c r="AS3374" t="s">
        <v>730</v>
      </c>
      <c r="AX3374" t="s">
        <v>57</v>
      </c>
      <c r="AY3374" t="s">
        <v>386</v>
      </c>
      <c r="AZ3374" t="s">
        <v>3820</v>
      </c>
      <c r="BF3374">
        <v>0</v>
      </c>
      <c r="BK3374" t="s">
        <v>31</v>
      </c>
      <c r="BS3374" t="s">
        <v>379</v>
      </c>
      <c r="BT3374" t="s">
        <v>379</v>
      </c>
      <c r="CI3374" t="s">
        <v>388</v>
      </c>
      <c r="CJ3374" s="14">
        <v>45016</v>
      </c>
      <c r="CK3374">
        <v>1</v>
      </c>
    </row>
    <row r="3375" spans="1:89">
      <c r="A3375" t="s">
        <v>1415</v>
      </c>
      <c r="B3375" t="s">
        <v>374</v>
      </c>
      <c r="C3375" t="s">
        <v>1416</v>
      </c>
      <c r="D3375" t="s">
        <v>3821</v>
      </c>
      <c r="E3375" t="s">
        <v>3822</v>
      </c>
      <c r="F3375" s="13">
        <v>44502.636817129627</v>
      </c>
      <c r="G3375" t="s">
        <v>1418</v>
      </c>
      <c r="H3375" t="s">
        <v>1419</v>
      </c>
      <c r="I3375" s="13">
        <v>45012.043587962966</v>
      </c>
      <c r="K3375" t="s">
        <v>415</v>
      </c>
      <c r="M3375" s="13">
        <v>44651</v>
      </c>
      <c r="R3375">
        <v>0</v>
      </c>
      <c r="S3375" t="s">
        <v>380</v>
      </c>
      <c r="T3375" t="s">
        <v>57</v>
      </c>
      <c r="V3375" t="s">
        <v>478</v>
      </c>
      <c r="W3375" t="s">
        <v>3823</v>
      </c>
      <c r="X3375" t="s">
        <v>3823</v>
      </c>
      <c r="AF3375" t="s">
        <v>451</v>
      </c>
      <c r="AI3375">
        <v>-361</v>
      </c>
      <c r="AL3375" t="s">
        <v>3824</v>
      </c>
      <c r="AN3375" t="s">
        <v>57</v>
      </c>
      <c r="AO3375">
        <v>0</v>
      </c>
      <c r="AS3375" t="s">
        <v>392</v>
      </c>
      <c r="AX3375" t="s">
        <v>57</v>
      </c>
      <c r="AY3375" t="s">
        <v>442</v>
      </c>
      <c r="AZ3375" t="s">
        <v>3825</v>
      </c>
      <c r="BF3375">
        <v>0</v>
      </c>
      <c r="BK3375" t="s">
        <v>31</v>
      </c>
      <c r="BS3375" t="s">
        <v>419</v>
      </c>
      <c r="BT3375" t="s">
        <v>419</v>
      </c>
      <c r="CI3375" t="s">
        <v>388</v>
      </c>
      <c r="CJ3375" s="14">
        <v>45016</v>
      </c>
      <c r="CK3375">
        <v>1</v>
      </c>
    </row>
    <row r="3376" spans="1:89">
      <c r="A3376" t="s">
        <v>2121</v>
      </c>
      <c r="B3376" t="s">
        <v>374</v>
      </c>
      <c r="C3376" t="s">
        <v>2122</v>
      </c>
      <c r="D3376" t="s">
        <v>3826</v>
      </c>
      <c r="E3376" t="s">
        <v>3827</v>
      </c>
      <c r="F3376" s="13">
        <v>44498.655023148145</v>
      </c>
      <c r="G3376" t="s">
        <v>1501</v>
      </c>
      <c r="H3376" t="s">
        <v>1502</v>
      </c>
      <c r="I3376" s="13">
        <v>44509.620266203703</v>
      </c>
      <c r="K3376" t="s">
        <v>379</v>
      </c>
      <c r="M3376" s="13">
        <v>44502</v>
      </c>
      <c r="R3376">
        <v>100</v>
      </c>
      <c r="S3376" t="s">
        <v>380</v>
      </c>
      <c r="T3376" t="s">
        <v>57</v>
      </c>
      <c r="V3376" t="s">
        <v>478</v>
      </c>
      <c r="W3376" t="s">
        <v>3828</v>
      </c>
      <c r="X3376" t="s">
        <v>3828</v>
      </c>
      <c r="AF3376" t="s">
        <v>382</v>
      </c>
      <c r="AG3376" t="s">
        <v>3829</v>
      </c>
      <c r="AI3376">
        <v>-7</v>
      </c>
      <c r="AJ3376" s="13">
        <v>44512</v>
      </c>
      <c r="AL3376" t="s">
        <v>3830</v>
      </c>
      <c r="AN3376" t="s">
        <v>31</v>
      </c>
      <c r="AO3376">
        <v>0</v>
      </c>
      <c r="AR3376" t="s">
        <v>3831</v>
      </c>
      <c r="AS3376" t="s">
        <v>385</v>
      </c>
      <c r="AX3376" t="s">
        <v>57</v>
      </c>
      <c r="AY3376" t="s">
        <v>386</v>
      </c>
      <c r="AZ3376" t="s">
        <v>3832</v>
      </c>
      <c r="BF3376">
        <v>0</v>
      </c>
      <c r="BK3376" t="s">
        <v>31</v>
      </c>
      <c r="BS3376" t="s">
        <v>379</v>
      </c>
      <c r="BT3376" t="s">
        <v>379</v>
      </c>
      <c r="CI3376" t="s">
        <v>388</v>
      </c>
      <c r="CJ3376" s="14">
        <v>45016</v>
      </c>
      <c r="CK3376">
        <v>1</v>
      </c>
    </row>
    <row r="3377" spans="1:89">
      <c r="A3377" t="s">
        <v>1497</v>
      </c>
      <c r="B3377" t="s">
        <v>374</v>
      </c>
      <c r="C3377" t="s">
        <v>1498</v>
      </c>
      <c r="D3377" t="s">
        <v>3833</v>
      </c>
      <c r="E3377" t="s">
        <v>3834</v>
      </c>
      <c r="F3377" s="13">
        <v>44495.703460648147</v>
      </c>
      <c r="G3377" t="s">
        <v>1501</v>
      </c>
      <c r="H3377" t="s">
        <v>1502</v>
      </c>
      <c r="I3377" s="13">
        <v>44587.395960648151</v>
      </c>
      <c r="K3377" t="s">
        <v>379</v>
      </c>
      <c r="M3377" s="13">
        <v>44498</v>
      </c>
      <c r="R3377">
        <v>100</v>
      </c>
      <c r="S3377" t="s">
        <v>380</v>
      </c>
      <c r="T3377" t="s">
        <v>57</v>
      </c>
      <c r="V3377" t="s">
        <v>478</v>
      </c>
      <c r="W3377" t="s">
        <v>3835</v>
      </c>
      <c r="X3377" t="s">
        <v>3835</v>
      </c>
      <c r="AB3377" t="s">
        <v>57</v>
      </c>
      <c r="AF3377" t="s">
        <v>382</v>
      </c>
      <c r="AG3377" t="s">
        <v>3836</v>
      </c>
      <c r="AI3377">
        <v>-89</v>
      </c>
      <c r="AJ3377" s="13">
        <v>44568</v>
      </c>
      <c r="AL3377" t="s">
        <v>3837</v>
      </c>
      <c r="AN3377" t="s">
        <v>57</v>
      </c>
      <c r="AO3377">
        <v>0</v>
      </c>
      <c r="AR3377" t="s">
        <v>3838</v>
      </c>
      <c r="AS3377" t="s">
        <v>392</v>
      </c>
      <c r="AX3377" t="s">
        <v>57</v>
      </c>
      <c r="AY3377" t="s">
        <v>386</v>
      </c>
      <c r="AZ3377" t="s">
        <v>3839</v>
      </c>
      <c r="BC3377" t="s">
        <v>480</v>
      </c>
      <c r="BD3377" t="s">
        <v>3840</v>
      </c>
      <c r="BF3377">
        <v>0</v>
      </c>
      <c r="BK3377" t="s">
        <v>31</v>
      </c>
      <c r="BS3377" t="s">
        <v>379</v>
      </c>
      <c r="BT3377" t="s">
        <v>379</v>
      </c>
      <c r="CC3377" t="s">
        <v>3841</v>
      </c>
      <c r="CI3377" t="s">
        <v>388</v>
      </c>
      <c r="CJ3377" s="14">
        <v>45016</v>
      </c>
      <c r="CK3377">
        <v>1</v>
      </c>
    </row>
    <row r="3378" spans="1:89">
      <c r="A3378" t="s">
        <v>1497</v>
      </c>
      <c r="B3378" t="s">
        <v>374</v>
      </c>
      <c r="C3378" t="s">
        <v>1498</v>
      </c>
      <c r="D3378" t="s">
        <v>3842</v>
      </c>
      <c r="E3378" t="s">
        <v>3843</v>
      </c>
      <c r="F3378" s="13">
        <v>44495.408101851855</v>
      </c>
      <c r="G3378" t="s">
        <v>1501</v>
      </c>
      <c r="H3378" t="s">
        <v>1502</v>
      </c>
      <c r="I3378" s="13">
        <v>45012.043587962966</v>
      </c>
      <c r="K3378" t="s">
        <v>415</v>
      </c>
      <c r="M3378" s="13">
        <v>44895</v>
      </c>
      <c r="R3378">
        <v>0</v>
      </c>
      <c r="S3378" t="s">
        <v>380</v>
      </c>
      <c r="T3378" t="s">
        <v>57</v>
      </c>
      <c r="V3378" t="s">
        <v>478</v>
      </c>
      <c r="W3378" t="s">
        <v>1684</v>
      </c>
      <c r="X3378" t="s">
        <v>1684</v>
      </c>
      <c r="AF3378" t="s">
        <v>451</v>
      </c>
      <c r="AI3378">
        <v>-117</v>
      </c>
      <c r="AL3378" t="s">
        <v>3844</v>
      </c>
      <c r="AN3378" t="s">
        <v>57</v>
      </c>
      <c r="AO3378">
        <v>0</v>
      </c>
      <c r="AS3378" t="s">
        <v>392</v>
      </c>
      <c r="AX3378" t="s">
        <v>57</v>
      </c>
      <c r="AY3378" t="s">
        <v>442</v>
      </c>
      <c r="AZ3378" t="s">
        <v>3845</v>
      </c>
      <c r="BF3378">
        <v>0</v>
      </c>
      <c r="BK3378" t="s">
        <v>31</v>
      </c>
      <c r="BS3378" t="s">
        <v>419</v>
      </c>
      <c r="BT3378" t="s">
        <v>419</v>
      </c>
      <c r="CI3378" t="s">
        <v>388</v>
      </c>
      <c r="CJ3378" s="14">
        <v>45016</v>
      </c>
      <c r="CK3378">
        <v>1</v>
      </c>
    </row>
    <row r="3379" spans="1:89">
      <c r="A3379" t="s">
        <v>1497</v>
      </c>
      <c r="B3379" t="s">
        <v>374</v>
      </c>
      <c r="C3379" t="s">
        <v>1498</v>
      </c>
      <c r="D3379" t="s">
        <v>3846</v>
      </c>
      <c r="E3379" t="s">
        <v>3847</v>
      </c>
      <c r="F3379" s="13">
        <v>44495.390868055554</v>
      </c>
      <c r="G3379" t="s">
        <v>1501</v>
      </c>
      <c r="H3379" t="s">
        <v>1502</v>
      </c>
      <c r="I3379" s="13">
        <v>45012.043587962966</v>
      </c>
      <c r="K3379" t="s">
        <v>415</v>
      </c>
      <c r="M3379" s="13">
        <v>44895</v>
      </c>
      <c r="R3379">
        <v>0</v>
      </c>
      <c r="S3379" t="s">
        <v>380</v>
      </c>
      <c r="T3379" t="s">
        <v>57</v>
      </c>
      <c r="V3379" t="s">
        <v>478</v>
      </c>
      <c r="W3379" t="s">
        <v>3848</v>
      </c>
      <c r="X3379" t="s">
        <v>3848</v>
      </c>
      <c r="AF3379" t="s">
        <v>451</v>
      </c>
      <c r="AI3379">
        <v>-117</v>
      </c>
      <c r="AL3379" t="s">
        <v>3849</v>
      </c>
      <c r="AN3379" t="s">
        <v>57</v>
      </c>
      <c r="AO3379">
        <v>0</v>
      </c>
      <c r="AS3379" t="s">
        <v>392</v>
      </c>
      <c r="AX3379" t="s">
        <v>57</v>
      </c>
      <c r="AY3379" t="s">
        <v>442</v>
      </c>
      <c r="AZ3379" t="s">
        <v>3850</v>
      </c>
      <c r="BF3379">
        <v>0</v>
      </c>
      <c r="BK3379" t="s">
        <v>31</v>
      </c>
      <c r="BS3379" t="s">
        <v>419</v>
      </c>
      <c r="BT3379" t="s">
        <v>419</v>
      </c>
      <c r="CI3379" t="s">
        <v>388</v>
      </c>
      <c r="CJ3379" s="14">
        <v>45016</v>
      </c>
      <c r="CK3379">
        <v>1</v>
      </c>
    </row>
    <row r="3380" spans="1:89">
      <c r="A3380" t="s">
        <v>1497</v>
      </c>
      <c r="B3380" t="s">
        <v>374</v>
      </c>
      <c r="C3380" t="s">
        <v>1498</v>
      </c>
      <c r="D3380" t="s">
        <v>3851</v>
      </c>
      <c r="E3380" t="s">
        <v>3852</v>
      </c>
      <c r="F3380" s="13">
        <v>44490.643877314818</v>
      </c>
      <c r="G3380" t="s">
        <v>1501</v>
      </c>
      <c r="H3380" t="s">
        <v>1502</v>
      </c>
      <c r="I3380" s="13">
        <v>44496.361898148149</v>
      </c>
      <c r="K3380" t="s">
        <v>379</v>
      </c>
      <c r="M3380" s="13">
        <v>44498</v>
      </c>
      <c r="R3380">
        <v>100</v>
      </c>
      <c r="S3380" t="s">
        <v>380</v>
      </c>
      <c r="T3380" t="s">
        <v>57</v>
      </c>
      <c r="V3380" t="s">
        <v>381</v>
      </c>
      <c r="W3380" t="s">
        <v>3853</v>
      </c>
      <c r="X3380" t="s">
        <v>3853</v>
      </c>
      <c r="AF3380" t="s">
        <v>382</v>
      </c>
      <c r="AG3380" t="s">
        <v>3854</v>
      </c>
      <c r="AI3380">
        <v>2</v>
      </c>
      <c r="AL3380" t="s">
        <v>3855</v>
      </c>
      <c r="AN3380" t="s">
        <v>31</v>
      </c>
      <c r="AO3380">
        <v>0</v>
      </c>
      <c r="AS3380" t="s">
        <v>385</v>
      </c>
      <c r="AX3380" t="s">
        <v>57</v>
      </c>
      <c r="AY3380" t="s">
        <v>386</v>
      </c>
      <c r="AZ3380" t="s">
        <v>3856</v>
      </c>
      <c r="BF3380">
        <v>0</v>
      </c>
      <c r="BK3380" t="s">
        <v>31</v>
      </c>
      <c r="BS3380" t="s">
        <v>379</v>
      </c>
      <c r="BT3380" t="s">
        <v>379</v>
      </c>
      <c r="CI3380" t="s">
        <v>388</v>
      </c>
      <c r="CJ3380" s="14">
        <v>45016</v>
      </c>
      <c r="CK3380">
        <v>1</v>
      </c>
    </row>
    <row r="3381" spans="1:89">
      <c r="A3381" t="s">
        <v>1497</v>
      </c>
      <c r="B3381" t="s">
        <v>374</v>
      </c>
      <c r="C3381" t="s">
        <v>1498</v>
      </c>
      <c r="D3381" t="s">
        <v>3857</v>
      </c>
      <c r="E3381" t="s">
        <v>3858</v>
      </c>
      <c r="F3381" s="13">
        <v>44490.597384259258</v>
      </c>
      <c r="G3381" t="s">
        <v>1501</v>
      </c>
      <c r="H3381" t="s">
        <v>1502</v>
      </c>
      <c r="I3381" s="13">
        <v>44529.599583333336</v>
      </c>
      <c r="K3381" t="s">
        <v>379</v>
      </c>
      <c r="M3381" s="13">
        <v>44498</v>
      </c>
      <c r="R3381">
        <v>100</v>
      </c>
      <c r="S3381" t="s">
        <v>416</v>
      </c>
      <c r="T3381" t="s">
        <v>57</v>
      </c>
      <c r="V3381" t="s">
        <v>478</v>
      </c>
      <c r="W3381" t="s">
        <v>3835</v>
      </c>
      <c r="X3381" t="s">
        <v>3835</v>
      </c>
      <c r="AF3381" t="s">
        <v>382</v>
      </c>
      <c r="AG3381" t="s">
        <v>3859</v>
      </c>
      <c r="AI3381">
        <v>-31</v>
      </c>
      <c r="AL3381" t="s">
        <v>3837</v>
      </c>
      <c r="AM3381">
        <v>1</v>
      </c>
      <c r="AN3381" t="s">
        <v>31</v>
      </c>
      <c r="AO3381">
        <v>0</v>
      </c>
      <c r="AS3381" t="s">
        <v>392</v>
      </c>
      <c r="AX3381" t="s">
        <v>57</v>
      </c>
      <c r="AY3381" t="s">
        <v>386</v>
      </c>
      <c r="AZ3381" t="s">
        <v>3860</v>
      </c>
      <c r="BF3381">
        <v>0</v>
      </c>
      <c r="BK3381" t="s">
        <v>31</v>
      </c>
      <c r="BS3381" t="s">
        <v>379</v>
      </c>
      <c r="BT3381" t="s">
        <v>379</v>
      </c>
      <c r="CI3381" t="s">
        <v>388</v>
      </c>
      <c r="CJ3381" s="14">
        <v>45016</v>
      </c>
      <c r="CK3381">
        <v>1</v>
      </c>
    </row>
    <row r="3382" spans="1:89">
      <c r="A3382" t="s">
        <v>1675</v>
      </c>
      <c r="B3382" t="s">
        <v>374</v>
      </c>
      <c r="C3382" t="s">
        <v>1676</v>
      </c>
      <c r="D3382" t="s">
        <v>3861</v>
      </c>
      <c r="E3382" t="s">
        <v>3862</v>
      </c>
      <c r="F3382" s="13">
        <v>44488.564467592594</v>
      </c>
      <c r="G3382" t="s">
        <v>1501</v>
      </c>
      <c r="H3382" t="s">
        <v>1502</v>
      </c>
      <c r="I3382" s="13">
        <v>45012.043587962966</v>
      </c>
      <c r="K3382" t="s">
        <v>415</v>
      </c>
      <c r="M3382" s="13">
        <v>44895</v>
      </c>
      <c r="R3382">
        <v>0</v>
      </c>
      <c r="S3382" t="s">
        <v>380</v>
      </c>
      <c r="T3382" t="s">
        <v>57</v>
      </c>
      <c r="V3382" t="s">
        <v>478</v>
      </c>
      <c r="W3382" t="s">
        <v>3863</v>
      </c>
      <c r="X3382" t="s">
        <v>3863</v>
      </c>
      <c r="AF3382" t="s">
        <v>451</v>
      </c>
      <c r="AI3382">
        <v>-117</v>
      </c>
      <c r="AL3382" t="s">
        <v>3864</v>
      </c>
      <c r="AN3382" t="s">
        <v>31</v>
      </c>
      <c r="AO3382">
        <v>0</v>
      </c>
      <c r="AS3382" t="s">
        <v>392</v>
      </c>
      <c r="AX3382" t="s">
        <v>57</v>
      </c>
      <c r="AY3382" t="s">
        <v>442</v>
      </c>
      <c r="AZ3382" t="s">
        <v>3865</v>
      </c>
      <c r="BF3382">
        <v>0</v>
      </c>
      <c r="BK3382" t="s">
        <v>31</v>
      </c>
      <c r="BS3382" t="s">
        <v>419</v>
      </c>
      <c r="BT3382" t="s">
        <v>419</v>
      </c>
      <c r="CI3382" t="s">
        <v>388</v>
      </c>
      <c r="CJ3382" s="14">
        <v>45016</v>
      </c>
      <c r="CK3382">
        <v>1</v>
      </c>
    </row>
    <row r="3383" spans="1:89">
      <c r="A3383" t="s">
        <v>1675</v>
      </c>
      <c r="B3383" t="s">
        <v>374</v>
      </c>
      <c r="C3383" t="s">
        <v>1676</v>
      </c>
      <c r="D3383" t="s">
        <v>3866</v>
      </c>
      <c r="E3383" t="s">
        <v>3867</v>
      </c>
      <c r="F3383" s="13">
        <v>44488.56009259259</v>
      </c>
      <c r="G3383" t="s">
        <v>1501</v>
      </c>
      <c r="H3383" t="s">
        <v>1502</v>
      </c>
      <c r="I3383" s="13">
        <v>45012.043576388889</v>
      </c>
      <c r="K3383" t="s">
        <v>415</v>
      </c>
      <c r="M3383" s="13">
        <v>44895</v>
      </c>
      <c r="R3383">
        <v>0</v>
      </c>
      <c r="S3383" t="s">
        <v>380</v>
      </c>
      <c r="T3383" t="s">
        <v>57</v>
      </c>
      <c r="V3383" t="s">
        <v>478</v>
      </c>
      <c r="W3383" t="s">
        <v>440</v>
      </c>
      <c r="X3383" t="s">
        <v>440</v>
      </c>
      <c r="AF3383" t="s">
        <v>451</v>
      </c>
      <c r="AI3383">
        <v>-117</v>
      </c>
      <c r="AL3383" t="s">
        <v>3864</v>
      </c>
      <c r="AN3383" t="s">
        <v>31</v>
      </c>
      <c r="AO3383">
        <v>0</v>
      </c>
      <c r="AS3383" t="s">
        <v>392</v>
      </c>
      <c r="AX3383" t="s">
        <v>57</v>
      </c>
      <c r="AY3383" t="s">
        <v>442</v>
      </c>
      <c r="AZ3383" t="s">
        <v>3868</v>
      </c>
      <c r="BF3383">
        <v>0</v>
      </c>
      <c r="BK3383" t="s">
        <v>31</v>
      </c>
      <c r="BS3383" t="s">
        <v>419</v>
      </c>
      <c r="BT3383" t="s">
        <v>419</v>
      </c>
      <c r="CI3383" t="s">
        <v>388</v>
      </c>
      <c r="CJ3383" s="14">
        <v>45016</v>
      </c>
      <c r="CK3383">
        <v>1</v>
      </c>
    </row>
    <row r="3384" spans="1:89">
      <c r="A3384" t="s">
        <v>1497</v>
      </c>
      <c r="B3384" t="s">
        <v>374</v>
      </c>
      <c r="C3384" t="s">
        <v>1498</v>
      </c>
      <c r="D3384" t="s">
        <v>3869</v>
      </c>
      <c r="E3384" t="s">
        <v>3870</v>
      </c>
      <c r="F3384" s="13">
        <v>44487.409502314818</v>
      </c>
      <c r="G3384" t="s">
        <v>1501</v>
      </c>
      <c r="H3384" t="s">
        <v>1502</v>
      </c>
      <c r="I3384" s="13">
        <v>45012.043576388889</v>
      </c>
      <c r="K3384" t="s">
        <v>415</v>
      </c>
      <c r="M3384" s="13">
        <v>44651</v>
      </c>
      <c r="R3384">
        <v>0</v>
      </c>
      <c r="S3384" t="s">
        <v>380</v>
      </c>
      <c r="T3384" t="s">
        <v>57</v>
      </c>
      <c r="V3384" t="s">
        <v>478</v>
      </c>
      <c r="W3384" t="s">
        <v>3871</v>
      </c>
      <c r="X3384" t="s">
        <v>3871</v>
      </c>
      <c r="AF3384" t="s">
        <v>451</v>
      </c>
      <c r="AI3384">
        <v>-361</v>
      </c>
      <c r="AL3384" t="s">
        <v>3872</v>
      </c>
      <c r="AN3384" t="s">
        <v>31</v>
      </c>
      <c r="AO3384">
        <v>0</v>
      </c>
      <c r="AS3384" t="s">
        <v>392</v>
      </c>
      <c r="AX3384" t="s">
        <v>57</v>
      </c>
      <c r="AY3384" t="s">
        <v>442</v>
      </c>
      <c r="AZ3384" t="s">
        <v>3873</v>
      </c>
      <c r="BF3384">
        <v>0</v>
      </c>
      <c r="BK3384" t="s">
        <v>31</v>
      </c>
      <c r="BS3384" t="s">
        <v>419</v>
      </c>
      <c r="BT3384" t="s">
        <v>419</v>
      </c>
      <c r="CI3384" t="s">
        <v>388</v>
      </c>
      <c r="CJ3384" s="14">
        <v>45016</v>
      </c>
      <c r="CK3384">
        <v>1</v>
      </c>
    </row>
    <row r="3385" spans="1:89">
      <c r="A3385" t="s">
        <v>1675</v>
      </c>
      <c r="B3385" t="s">
        <v>374</v>
      </c>
      <c r="C3385" t="s">
        <v>1676</v>
      </c>
      <c r="D3385" t="s">
        <v>3874</v>
      </c>
      <c r="E3385" t="s">
        <v>3875</v>
      </c>
      <c r="F3385" s="13">
        <v>44484.672638888886</v>
      </c>
      <c r="G3385" t="s">
        <v>1501</v>
      </c>
      <c r="H3385" t="s">
        <v>1502</v>
      </c>
      <c r="I3385" s="13">
        <v>45012.043576388889</v>
      </c>
      <c r="K3385" t="s">
        <v>415</v>
      </c>
      <c r="M3385" s="13">
        <v>44895</v>
      </c>
      <c r="R3385">
        <v>0</v>
      </c>
      <c r="S3385" t="s">
        <v>380</v>
      </c>
      <c r="T3385" t="s">
        <v>57</v>
      </c>
      <c r="V3385" t="s">
        <v>478</v>
      </c>
      <c r="W3385" t="s">
        <v>1679</v>
      </c>
      <c r="X3385" t="s">
        <v>1679</v>
      </c>
      <c r="AF3385" t="s">
        <v>451</v>
      </c>
      <c r="AI3385">
        <v>-117</v>
      </c>
      <c r="AL3385" t="s">
        <v>1680</v>
      </c>
      <c r="AN3385" t="s">
        <v>57</v>
      </c>
      <c r="AO3385">
        <v>0</v>
      </c>
      <c r="AS3385" t="s">
        <v>392</v>
      </c>
      <c r="AX3385" t="s">
        <v>57</v>
      </c>
      <c r="AY3385" t="s">
        <v>442</v>
      </c>
      <c r="AZ3385" t="s">
        <v>3876</v>
      </c>
      <c r="BF3385">
        <v>0</v>
      </c>
      <c r="BK3385" t="s">
        <v>31</v>
      </c>
      <c r="BS3385" t="s">
        <v>419</v>
      </c>
      <c r="BT3385" t="s">
        <v>419</v>
      </c>
      <c r="CI3385" t="s">
        <v>388</v>
      </c>
      <c r="CJ3385" s="14">
        <v>45016</v>
      </c>
      <c r="CK3385">
        <v>1</v>
      </c>
    </row>
    <row r="3386" spans="1:89">
      <c r="A3386" t="s">
        <v>1497</v>
      </c>
      <c r="B3386" t="s">
        <v>374</v>
      </c>
      <c r="C3386" t="s">
        <v>1498</v>
      </c>
      <c r="D3386" t="s">
        <v>3877</v>
      </c>
      <c r="E3386" t="s">
        <v>3878</v>
      </c>
      <c r="F3386" s="13">
        <v>44484.63517361111</v>
      </c>
      <c r="G3386" t="s">
        <v>1501</v>
      </c>
      <c r="H3386" t="s">
        <v>1502</v>
      </c>
      <c r="I3386" s="13">
        <v>45012.043564814812</v>
      </c>
      <c r="K3386" t="s">
        <v>415</v>
      </c>
      <c r="M3386" s="13">
        <v>44895</v>
      </c>
      <c r="R3386">
        <v>0</v>
      </c>
      <c r="S3386" t="s">
        <v>380</v>
      </c>
      <c r="T3386" t="s">
        <v>57</v>
      </c>
      <c r="V3386" t="s">
        <v>478</v>
      </c>
      <c r="W3386" t="s">
        <v>1679</v>
      </c>
      <c r="X3386" t="s">
        <v>1679</v>
      </c>
      <c r="AF3386" t="s">
        <v>451</v>
      </c>
      <c r="AI3386">
        <v>-117</v>
      </c>
      <c r="AL3386" t="s">
        <v>3879</v>
      </c>
      <c r="AN3386" t="s">
        <v>31</v>
      </c>
      <c r="AO3386">
        <v>0</v>
      </c>
      <c r="AS3386" t="s">
        <v>392</v>
      </c>
      <c r="AX3386" t="s">
        <v>57</v>
      </c>
      <c r="AY3386" t="s">
        <v>442</v>
      </c>
      <c r="AZ3386" t="s">
        <v>3880</v>
      </c>
      <c r="BF3386">
        <v>0</v>
      </c>
      <c r="BK3386" t="s">
        <v>31</v>
      </c>
      <c r="BS3386" t="s">
        <v>419</v>
      </c>
      <c r="BT3386" t="s">
        <v>419</v>
      </c>
      <c r="CI3386" t="s">
        <v>388</v>
      </c>
      <c r="CJ3386" s="14">
        <v>45016</v>
      </c>
      <c r="CK3386">
        <v>1</v>
      </c>
    </row>
    <row r="3387" spans="1:89">
      <c r="A3387" t="s">
        <v>1497</v>
      </c>
      <c r="B3387" t="s">
        <v>374</v>
      </c>
      <c r="C3387" t="s">
        <v>1498</v>
      </c>
      <c r="D3387" t="s">
        <v>3881</v>
      </c>
      <c r="E3387" t="s">
        <v>3882</v>
      </c>
      <c r="F3387" s="13">
        <v>44484.598668981482</v>
      </c>
      <c r="G3387" t="s">
        <v>1501</v>
      </c>
      <c r="H3387" t="s">
        <v>1502</v>
      </c>
      <c r="I3387" s="13">
        <v>45012.043564814812</v>
      </c>
      <c r="K3387" t="s">
        <v>415</v>
      </c>
      <c r="M3387" s="13">
        <v>44895</v>
      </c>
      <c r="R3387">
        <v>0</v>
      </c>
      <c r="S3387" t="s">
        <v>380</v>
      </c>
      <c r="T3387" t="s">
        <v>57</v>
      </c>
      <c r="V3387" t="s">
        <v>478</v>
      </c>
      <c r="W3387" t="s">
        <v>1684</v>
      </c>
      <c r="X3387" t="s">
        <v>1684</v>
      </c>
      <c r="AF3387" t="s">
        <v>451</v>
      </c>
      <c r="AI3387">
        <v>-117</v>
      </c>
      <c r="AL3387" t="s">
        <v>1685</v>
      </c>
      <c r="AN3387" t="s">
        <v>57</v>
      </c>
      <c r="AO3387">
        <v>0</v>
      </c>
      <c r="AS3387" t="s">
        <v>392</v>
      </c>
      <c r="AX3387" t="s">
        <v>57</v>
      </c>
      <c r="AY3387" t="s">
        <v>442</v>
      </c>
      <c r="AZ3387" t="s">
        <v>3883</v>
      </c>
      <c r="BF3387">
        <v>0</v>
      </c>
      <c r="BK3387" t="s">
        <v>31</v>
      </c>
      <c r="BS3387" t="s">
        <v>419</v>
      </c>
      <c r="BT3387" t="s">
        <v>419</v>
      </c>
      <c r="CI3387" t="s">
        <v>388</v>
      </c>
      <c r="CJ3387" s="14">
        <v>45016</v>
      </c>
      <c r="CK3387">
        <v>1</v>
      </c>
    </row>
    <row r="3388" spans="1:89">
      <c r="A3388" t="s">
        <v>1497</v>
      </c>
      <c r="B3388" t="s">
        <v>374</v>
      </c>
      <c r="C3388" t="s">
        <v>1498</v>
      </c>
      <c r="D3388" t="s">
        <v>3884</v>
      </c>
      <c r="E3388" t="s">
        <v>3885</v>
      </c>
      <c r="F3388" s="13">
        <v>44484.595393518517</v>
      </c>
      <c r="G3388" t="s">
        <v>1501</v>
      </c>
      <c r="H3388" t="s">
        <v>1502</v>
      </c>
      <c r="I3388" s="13">
        <v>45012.043564814812</v>
      </c>
      <c r="K3388" t="s">
        <v>415</v>
      </c>
      <c r="M3388" s="13">
        <v>44895</v>
      </c>
      <c r="R3388">
        <v>0</v>
      </c>
      <c r="S3388" t="s">
        <v>380</v>
      </c>
      <c r="T3388" t="s">
        <v>57</v>
      </c>
      <c r="V3388" t="s">
        <v>478</v>
      </c>
      <c r="W3388" t="s">
        <v>1684</v>
      </c>
      <c r="X3388" t="s">
        <v>1684</v>
      </c>
      <c r="AF3388" t="s">
        <v>451</v>
      </c>
      <c r="AI3388">
        <v>-117</v>
      </c>
      <c r="AL3388" t="s">
        <v>1685</v>
      </c>
      <c r="AN3388" t="s">
        <v>57</v>
      </c>
      <c r="AO3388">
        <v>0</v>
      </c>
      <c r="AS3388" t="s">
        <v>392</v>
      </c>
      <c r="AX3388" t="s">
        <v>57</v>
      </c>
      <c r="AY3388" t="s">
        <v>442</v>
      </c>
      <c r="AZ3388" t="s">
        <v>3886</v>
      </c>
      <c r="BF3388">
        <v>0</v>
      </c>
      <c r="BK3388" t="s">
        <v>31</v>
      </c>
      <c r="BS3388" t="s">
        <v>419</v>
      </c>
      <c r="BT3388" t="s">
        <v>419</v>
      </c>
      <c r="CI3388" t="s">
        <v>388</v>
      </c>
      <c r="CJ3388" s="14">
        <v>45016</v>
      </c>
      <c r="CK3388">
        <v>1</v>
      </c>
    </row>
    <row r="3389" spans="1:89">
      <c r="A3389" t="s">
        <v>1497</v>
      </c>
      <c r="B3389" t="s">
        <v>374</v>
      </c>
      <c r="C3389" t="s">
        <v>1498</v>
      </c>
      <c r="D3389" t="s">
        <v>3887</v>
      </c>
      <c r="E3389" t="s">
        <v>3888</v>
      </c>
      <c r="F3389" s="13">
        <v>44484.342002314814</v>
      </c>
      <c r="G3389" t="s">
        <v>1501</v>
      </c>
      <c r="H3389" t="s">
        <v>1502</v>
      </c>
      <c r="I3389" s="13">
        <v>45012.043564814812</v>
      </c>
      <c r="K3389" t="s">
        <v>415</v>
      </c>
      <c r="M3389" s="13">
        <v>44651</v>
      </c>
      <c r="R3389">
        <v>0</v>
      </c>
      <c r="S3389" t="s">
        <v>380</v>
      </c>
      <c r="T3389" t="s">
        <v>57</v>
      </c>
      <c r="V3389" t="s">
        <v>478</v>
      </c>
      <c r="W3389" t="s">
        <v>3871</v>
      </c>
      <c r="X3389" t="s">
        <v>3871</v>
      </c>
      <c r="AF3389" t="s">
        <v>451</v>
      </c>
      <c r="AI3389">
        <v>-361</v>
      </c>
      <c r="AL3389" t="s">
        <v>3889</v>
      </c>
      <c r="AN3389" t="s">
        <v>31</v>
      </c>
      <c r="AO3389">
        <v>0</v>
      </c>
      <c r="AS3389" t="s">
        <v>392</v>
      </c>
      <c r="AX3389" t="s">
        <v>57</v>
      </c>
      <c r="AY3389" t="s">
        <v>442</v>
      </c>
      <c r="AZ3389" t="s">
        <v>3890</v>
      </c>
      <c r="BF3389">
        <v>0</v>
      </c>
      <c r="BK3389" t="s">
        <v>31</v>
      </c>
      <c r="BS3389" t="s">
        <v>419</v>
      </c>
      <c r="BT3389" t="s">
        <v>419</v>
      </c>
      <c r="CI3389" t="s">
        <v>388</v>
      </c>
      <c r="CJ3389" s="14">
        <v>45016</v>
      </c>
      <c r="CK3389">
        <v>1</v>
      </c>
    </row>
    <row r="3390" spans="1:89">
      <c r="A3390" t="s">
        <v>1497</v>
      </c>
      <c r="B3390" t="s">
        <v>374</v>
      </c>
      <c r="C3390" t="s">
        <v>1498</v>
      </c>
      <c r="D3390" t="s">
        <v>3891</v>
      </c>
      <c r="E3390" t="s">
        <v>3892</v>
      </c>
      <c r="F3390" s="13">
        <v>44484.338923611111</v>
      </c>
      <c r="G3390" t="s">
        <v>1501</v>
      </c>
      <c r="H3390" t="s">
        <v>1502</v>
      </c>
      <c r="I3390" s="13">
        <v>45012.043553240743</v>
      </c>
      <c r="K3390" t="s">
        <v>415</v>
      </c>
      <c r="M3390" s="13">
        <v>44651</v>
      </c>
      <c r="R3390">
        <v>0</v>
      </c>
      <c r="S3390" t="s">
        <v>380</v>
      </c>
      <c r="T3390" t="s">
        <v>57</v>
      </c>
      <c r="V3390" t="s">
        <v>478</v>
      </c>
      <c r="W3390" t="s">
        <v>3871</v>
      </c>
      <c r="X3390" t="s">
        <v>3871</v>
      </c>
      <c r="AF3390" t="s">
        <v>451</v>
      </c>
      <c r="AI3390">
        <v>-361</v>
      </c>
      <c r="AL3390" t="s">
        <v>3889</v>
      </c>
      <c r="AN3390" t="s">
        <v>31</v>
      </c>
      <c r="AO3390">
        <v>0</v>
      </c>
      <c r="AS3390" t="s">
        <v>392</v>
      </c>
      <c r="AX3390" t="s">
        <v>57</v>
      </c>
      <c r="AY3390" t="s">
        <v>442</v>
      </c>
      <c r="AZ3390" t="s">
        <v>3893</v>
      </c>
      <c r="BF3390">
        <v>0</v>
      </c>
      <c r="BK3390" t="s">
        <v>31</v>
      </c>
      <c r="BS3390" t="s">
        <v>419</v>
      </c>
      <c r="BT3390" t="s">
        <v>419</v>
      </c>
      <c r="CI3390" t="s">
        <v>388</v>
      </c>
      <c r="CJ3390" s="14">
        <v>45016</v>
      </c>
      <c r="CK3390">
        <v>1</v>
      </c>
    </row>
    <row r="3391" spans="1:89">
      <c r="A3391" t="s">
        <v>1497</v>
      </c>
      <c r="B3391" t="s">
        <v>374</v>
      </c>
      <c r="C3391" t="s">
        <v>1498</v>
      </c>
      <c r="D3391" t="s">
        <v>3894</v>
      </c>
      <c r="E3391" t="s">
        <v>3895</v>
      </c>
      <c r="F3391" s="13">
        <v>44483.414004629631</v>
      </c>
      <c r="G3391" t="s">
        <v>1501</v>
      </c>
      <c r="H3391" t="s">
        <v>1502</v>
      </c>
      <c r="I3391" s="13">
        <v>45012.043530092589</v>
      </c>
      <c r="K3391" t="s">
        <v>415</v>
      </c>
      <c r="M3391" s="13">
        <v>44651</v>
      </c>
      <c r="R3391">
        <v>0</v>
      </c>
      <c r="S3391" t="s">
        <v>380</v>
      </c>
      <c r="T3391" t="s">
        <v>57</v>
      </c>
      <c r="V3391" t="s">
        <v>478</v>
      </c>
      <c r="W3391" t="s">
        <v>3871</v>
      </c>
      <c r="X3391" t="s">
        <v>3871</v>
      </c>
      <c r="AF3391" t="s">
        <v>451</v>
      </c>
      <c r="AI3391">
        <v>-361</v>
      </c>
      <c r="AL3391" t="s">
        <v>3889</v>
      </c>
      <c r="AN3391" t="s">
        <v>31</v>
      </c>
      <c r="AO3391">
        <v>0</v>
      </c>
      <c r="AS3391" t="s">
        <v>392</v>
      </c>
      <c r="AX3391" t="s">
        <v>57</v>
      </c>
      <c r="AY3391" t="s">
        <v>442</v>
      </c>
      <c r="AZ3391" t="s">
        <v>3896</v>
      </c>
      <c r="BF3391">
        <v>0</v>
      </c>
      <c r="BK3391" t="s">
        <v>31</v>
      </c>
      <c r="BS3391" t="s">
        <v>419</v>
      </c>
      <c r="BT3391" t="s">
        <v>419</v>
      </c>
      <c r="CI3391" t="s">
        <v>388</v>
      </c>
      <c r="CJ3391" s="14">
        <v>45016</v>
      </c>
      <c r="CK3391">
        <v>1</v>
      </c>
    </row>
    <row r="3392" spans="1:89">
      <c r="A3392" t="s">
        <v>3376</v>
      </c>
      <c r="B3392" t="s">
        <v>374</v>
      </c>
      <c r="C3392" t="s">
        <v>3377</v>
      </c>
      <c r="D3392" t="s">
        <v>3897</v>
      </c>
      <c r="E3392" t="s">
        <v>3898</v>
      </c>
      <c r="F3392" s="13">
        <v>44482.411689814813</v>
      </c>
      <c r="G3392" t="s">
        <v>3380</v>
      </c>
      <c r="H3392" t="s">
        <v>3381</v>
      </c>
      <c r="I3392" s="13">
        <v>44972.532002314816</v>
      </c>
      <c r="K3392" t="s">
        <v>379</v>
      </c>
      <c r="M3392" s="13">
        <v>44571</v>
      </c>
      <c r="R3392">
        <v>100</v>
      </c>
      <c r="S3392" t="s">
        <v>416</v>
      </c>
      <c r="T3392" t="s">
        <v>57</v>
      </c>
      <c r="V3392" t="s">
        <v>478</v>
      </c>
      <c r="W3392" t="s">
        <v>3899</v>
      </c>
      <c r="X3392" t="s">
        <v>3899</v>
      </c>
      <c r="AE3392" t="s">
        <v>3900</v>
      </c>
      <c r="AF3392" t="s">
        <v>382</v>
      </c>
      <c r="AG3392" t="s">
        <v>3901</v>
      </c>
      <c r="AI3392">
        <v>-29</v>
      </c>
      <c r="AJ3392" s="13">
        <v>44600</v>
      </c>
      <c r="AL3392" t="s">
        <v>3383</v>
      </c>
      <c r="AM3392">
        <v>1</v>
      </c>
      <c r="AN3392" t="s">
        <v>31</v>
      </c>
      <c r="AO3392">
        <v>0</v>
      </c>
      <c r="AR3392" t="s">
        <v>3902</v>
      </c>
      <c r="AS3392" t="s">
        <v>385</v>
      </c>
      <c r="AX3392" t="s">
        <v>31</v>
      </c>
      <c r="AY3392" t="s">
        <v>386</v>
      </c>
      <c r="AZ3392" t="s">
        <v>3903</v>
      </c>
      <c r="BF3392">
        <v>0</v>
      </c>
      <c r="BK3392" t="s">
        <v>31</v>
      </c>
      <c r="BS3392" t="s">
        <v>379</v>
      </c>
      <c r="BT3392" t="s">
        <v>379</v>
      </c>
      <c r="CI3392" t="s">
        <v>388</v>
      </c>
      <c r="CJ3392" s="14">
        <v>45016</v>
      </c>
      <c r="CK3392">
        <v>1</v>
      </c>
    </row>
    <row r="3393" spans="1:89">
      <c r="A3393" t="s">
        <v>3904</v>
      </c>
      <c r="B3393" t="s">
        <v>374</v>
      </c>
      <c r="C3393" t="s">
        <v>1929</v>
      </c>
      <c r="D3393" t="s">
        <v>3905</v>
      </c>
      <c r="E3393" t="s">
        <v>3906</v>
      </c>
      <c r="F3393" s="13">
        <v>44470.426759259259</v>
      </c>
      <c r="G3393" t="s">
        <v>3396</v>
      </c>
      <c r="H3393" t="s">
        <v>3397</v>
      </c>
      <c r="I3393" s="13">
        <v>44833.703101851854</v>
      </c>
      <c r="K3393" t="s">
        <v>379</v>
      </c>
      <c r="M3393" s="13">
        <v>44561</v>
      </c>
      <c r="R3393">
        <v>100</v>
      </c>
      <c r="S3393" t="s">
        <v>380</v>
      </c>
      <c r="T3393" t="s">
        <v>57</v>
      </c>
      <c r="V3393" t="s">
        <v>478</v>
      </c>
      <c r="W3393" t="s">
        <v>3406</v>
      </c>
      <c r="X3393" t="s">
        <v>3406</v>
      </c>
      <c r="AC3393" s="13">
        <v>44561</v>
      </c>
      <c r="AD3393" s="13">
        <v>44561</v>
      </c>
      <c r="AF3393" t="s">
        <v>382</v>
      </c>
      <c r="AG3393" t="s">
        <v>3907</v>
      </c>
      <c r="AI3393">
        <v>-5</v>
      </c>
      <c r="AL3393" t="s">
        <v>3908</v>
      </c>
      <c r="AN3393" t="s">
        <v>31</v>
      </c>
      <c r="AO3393">
        <v>0</v>
      </c>
      <c r="AS3393" t="s">
        <v>385</v>
      </c>
      <c r="AX3393" t="s">
        <v>31</v>
      </c>
      <c r="AY3393" t="s">
        <v>442</v>
      </c>
      <c r="AZ3393" t="s">
        <v>3909</v>
      </c>
      <c r="BF3393">
        <v>0</v>
      </c>
      <c r="BK3393" t="s">
        <v>31</v>
      </c>
      <c r="BS3393" t="s">
        <v>379</v>
      </c>
      <c r="BT3393" t="s">
        <v>379</v>
      </c>
      <c r="CI3393" t="s">
        <v>388</v>
      </c>
      <c r="CJ3393" s="14">
        <v>45016</v>
      </c>
      <c r="CK3393">
        <v>1</v>
      </c>
    </row>
    <row r="3394" spans="1:89">
      <c r="A3394" t="s">
        <v>3910</v>
      </c>
      <c r="B3394" t="s">
        <v>374</v>
      </c>
      <c r="C3394" t="s">
        <v>1929</v>
      </c>
      <c r="D3394" t="s">
        <v>3911</v>
      </c>
      <c r="E3394" t="s">
        <v>3912</v>
      </c>
      <c r="F3394" s="13">
        <v>44470.41883101852</v>
      </c>
      <c r="G3394" t="s">
        <v>3396</v>
      </c>
      <c r="H3394" t="s">
        <v>3397</v>
      </c>
      <c r="I3394" s="13">
        <v>44470.422592592593</v>
      </c>
      <c r="K3394" t="s">
        <v>409</v>
      </c>
      <c r="R3394">
        <v>0</v>
      </c>
      <c r="S3394" t="s">
        <v>380</v>
      </c>
      <c r="T3394" t="s">
        <v>57</v>
      </c>
      <c r="V3394" t="s">
        <v>381</v>
      </c>
      <c r="W3394" t="s">
        <v>3406</v>
      </c>
      <c r="X3394" t="s">
        <v>3406</v>
      </c>
      <c r="AC3394" s="13">
        <v>44561</v>
      </c>
      <c r="AD3394" s="13">
        <v>44561</v>
      </c>
      <c r="AI3394">
        <v>91</v>
      </c>
      <c r="AL3394" t="s">
        <v>3913</v>
      </c>
      <c r="AN3394" t="s">
        <v>31</v>
      </c>
      <c r="AO3394">
        <v>0</v>
      </c>
      <c r="AS3394" t="s">
        <v>385</v>
      </c>
      <c r="AX3394" t="s">
        <v>31</v>
      </c>
      <c r="AY3394" t="s">
        <v>386</v>
      </c>
      <c r="AZ3394" t="s">
        <v>3914</v>
      </c>
      <c r="BF3394">
        <v>0</v>
      </c>
      <c r="BK3394" t="s">
        <v>31</v>
      </c>
      <c r="BS3394" t="s">
        <v>409</v>
      </c>
      <c r="BT3394" t="s">
        <v>409</v>
      </c>
      <c r="CI3394" t="s">
        <v>388</v>
      </c>
      <c r="CJ3394" s="14">
        <v>45016</v>
      </c>
      <c r="CK3394">
        <v>1</v>
      </c>
    </row>
    <row r="3395" spans="1:89">
      <c r="A3395" t="s">
        <v>3915</v>
      </c>
      <c r="B3395" s="13">
        <v>45016.062800925924</v>
      </c>
      <c r="C3395">
        <v>848</v>
      </c>
      <c r="D3395">
        <v>267</v>
      </c>
      <c r="E3395">
        <v>119</v>
      </c>
      <c r="CI3395" t="s">
        <v>3916</v>
      </c>
      <c r="CJ3395" s="14">
        <v>45016</v>
      </c>
      <c r="CK3395">
        <v>1</v>
      </c>
    </row>
  </sheetData>
  <autoFilter ref="A1:CK3395" xr:uid="{57E4F0E7-9A48-474D-B586-CBBAB7FA3FAF}"/>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5DFC-0758-4C5F-B288-E3EEF91CC6B7}">
  <dimension ref="A1:I52"/>
  <sheetViews>
    <sheetView topLeftCell="A3" workbookViewId="0">
      <selection activeCell="G4" sqref="G4"/>
    </sheetView>
  </sheetViews>
  <sheetFormatPr defaultRowHeight="14.5"/>
  <cols>
    <col min="1" max="1" width="27.54296875" customWidth="1"/>
    <col min="2" max="2" width="34.81640625" customWidth="1"/>
    <col min="4" max="4" width="21.453125" customWidth="1"/>
    <col min="5" max="5" width="4.81640625" customWidth="1"/>
    <col min="6" max="6" width="36.7265625" customWidth="1"/>
    <col min="7" max="7" width="47.7265625" customWidth="1"/>
    <col min="8" max="8" width="26.54296875" customWidth="1"/>
    <col min="9" max="9" width="44.7265625" customWidth="1"/>
  </cols>
  <sheetData>
    <row r="1" spans="1:9">
      <c r="A1" s="194" t="s">
        <v>3924</v>
      </c>
      <c r="B1" s="195" t="s">
        <v>3925</v>
      </c>
      <c r="C1" s="196" t="s">
        <v>3926</v>
      </c>
      <c r="D1" s="135" t="s">
        <v>3927</v>
      </c>
      <c r="F1" s="135" t="s">
        <v>3928</v>
      </c>
    </row>
    <row r="2" spans="1:9">
      <c r="A2" s="132" t="s">
        <v>203</v>
      </c>
      <c r="B2" s="197" t="s">
        <v>46</v>
      </c>
      <c r="C2" s="101" t="str" cm="1">
        <f t="array" ref="C2:C24">IF(A2:A24=B2:B24,"FOUND","NFOUND")</f>
        <v>NFOUND</v>
      </c>
      <c r="F2" s="224" t="s">
        <v>46</v>
      </c>
      <c r="G2" t="s">
        <v>3929</v>
      </c>
    </row>
    <row r="3" spans="1:9">
      <c r="A3" s="133" t="s">
        <v>267</v>
      </c>
      <c r="B3" s="134" t="s">
        <v>266</v>
      </c>
      <c r="C3" s="101" t="str">
        <v>FOUND</v>
      </c>
      <c r="F3" s="225" t="s">
        <v>51</v>
      </c>
      <c r="G3" t="s">
        <v>3929</v>
      </c>
      <c r="H3" s="216" t="s">
        <v>3930</v>
      </c>
    </row>
    <row r="4" spans="1:9" ht="14.25" customHeight="1">
      <c r="A4" s="133" t="s">
        <v>270</v>
      </c>
      <c r="B4" s="134" t="s">
        <v>269</v>
      </c>
      <c r="C4" s="101" t="str">
        <v>FOUND</v>
      </c>
      <c r="F4" s="225" t="s">
        <v>61</v>
      </c>
      <c r="G4" t="s">
        <v>3929</v>
      </c>
      <c r="H4" s="217" t="s">
        <v>3931</v>
      </c>
      <c r="I4" s="218" t="s">
        <v>3932</v>
      </c>
    </row>
    <row r="5" spans="1:9" ht="14.25" customHeight="1">
      <c r="A5" s="133" t="s">
        <v>58</v>
      </c>
      <c r="B5" s="134" t="s">
        <v>55</v>
      </c>
      <c r="C5" s="101" t="str">
        <v>FOUND</v>
      </c>
      <c r="F5" s="225" t="s">
        <v>70</v>
      </c>
      <c r="G5" t="s">
        <v>3929</v>
      </c>
      <c r="H5" s="219" t="s">
        <v>3933</v>
      </c>
      <c r="I5" s="220" t="s">
        <v>3932</v>
      </c>
    </row>
    <row r="6" spans="1:9" ht="14.25" customHeight="1">
      <c r="A6" s="133" t="s">
        <v>76</v>
      </c>
      <c r="B6" s="134" t="s">
        <v>70</v>
      </c>
      <c r="C6" s="101" t="str">
        <v>FOUND</v>
      </c>
      <c r="F6" s="225" t="s">
        <v>3934</v>
      </c>
      <c r="G6" t="s">
        <v>3929</v>
      </c>
      <c r="H6" s="219" t="s">
        <v>3935</v>
      </c>
      <c r="I6" s="221" t="s">
        <v>3932</v>
      </c>
    </row>
    <row r="7" spans="1:9" ht="14.25" customHeight="1">
      <c r="A7" s="133" t="s">
        <v>87</v>
      </c>
      <c r="B7" s="134" t="s">
        <v>83</v>
      </c>
      <c r="C7" s="101" t="str">
        <v>FOUND</v>
      </c>
      <c r="F7" s="225" t="s">
        <v>83</v>
      </c>
      <c r="G7" t="s">
        <v>3929</v>
      </c>
      <c r="H7" s="219" t="s">
        <v>3936</v>
      </c>
      <c r="I7" s="222" t="s">
        <v>3932</v>
      </c>
    </row>
    <row r="8" spans="1:9" ht="14.25" customHeight="1">
      <c r="A8" s="133" t="s">
        <v>146</v>
      </c>
      <c r="B8" s="134" t="s">
        <v>3937</v>
      </c>
      <c r="C8" s="101" t="str">
        <v>FOUND</v>
      </c>
      <c r="F8" s="226" t="s">
        <v>89</v>
      </c>
      <c r="G8" t="s">
        <v>3938</v>
      </c>
      <c r="H8" s="219" t="s">
        <v>3939</v>
      </c>
      <c r="I8" s="223" t="s">
        <v>3932</v>
      </c>
    </row>
    <row r="9" spans="1:9">
      <c r="A9" s="133" t="s">
        <v>149</v>
      </c>
      <c r="B9" s="134" t="s">
        <v>321</v>
      </c>
      <c r="C9" s="101" t="str">
        <v>FOUND</v>
      </c>
      <c r="F9" s="226" t="s">
        <v>91</v>
      </c>
      <c r="G9" t="s">
        <v>3938</v>
      </c>
    </row>
    <row r="10" spans="1:9">
      <c r="A10" s="133" t="s">
        <v>176</v>
      </c>
      <c r="B10" s="134" t="s">
        <v>172</v>
      </c>
      <c r="C10" s="101" t="str">
        <v>FOUND</v>
      </c>
      <c r="F10" s="226" t="s">
        <v>276</v>
      </c>
      <c r="G10" t="s">
        <v>3940</v>
      </c>
    </row>
    <row r="11" spans="1:9">
      <c r="A11" s="133" t="s">
        <v>314</v>
      </c>
      <c r="B11" s="134" t="s">
        <v>3941</v>
      </c>
      <c r="C11" s="101" t="str">
        <v>FOUND</v>
      </c>
      <c r="F11" s="226" t="s">
        <v>100</v>
      </c>
      <c r="G11" t="s">
        <v>3938</v>
      </c>
    </row>
    <row r="12" spans="1:9">
      <c r="A12" s="133" t="s">
        <v>317</v>
      </c>
      <c r="B12" s="134" t="s">
        <v>3942</v>
      </c>
      <c r="C12" s="101" t="str">
        <v>FOUND</v>
      </c>
      <c r="F12" s="225" t="s">
        <v>102</v>
      </c>
      <c r="G12" t="s">
        <v>3929</v>
      </c>
    </row>
    <row r="13" spans="1:9">
      <c r="A13" s="133" t="s">
        <v>128</v>
      </c>
      <c r="B13" s="134" t="s">
        <v>124</v>
      </c>
      <c r="C13" s="101" t="str">
        <v>FOUND</v>
      </c>
      <c r="F13" s="225" t="s">
        <v>110</v>
      </c>
      <c r="G13" t="s">
        <v>3929</v>
      </c>
    </row>
    <row r="14" spans="1:9">
      <c r="A14" s="133" t="s">
        <v>305</v>
      </c>
      <c r="B14" s="134" t="s">
        <v>3943</v>
      </c>
      <c r="C14" s="101" t="str">
        <v>FOUND</v>
      </c>
      <c r="F14" s="226" t="s">
        <v>114</v>
      </c>
      <c r="G14" t="s">
        <v>3938</v>
      </c>
    </row>
    <row r="15" spans="1:9">
      <c r="A15" s="133" t="s">
        <v>121</v>
      </c>
      <c r="B15" s="134" t="s">
        <v>3944</v>
      </c>
      <c r="C15" s="101" t="str">
        <v>FOUND</v>
      </c>
      <c r="F15" s="225" t="s">
        <v>117</v>
      </c>
      <c r="G15" t="s">
        <v>3929</v>
      </c>
    </row>
    <row r="16" spans="1:9">
      <c r="A16" s="133" t="s">
        <v>3945</v>
      </c>
      <c r="B16" s="134" t="s">
        <v>3946</v>
      </c>
      <c r="C16" s="101" t="str">
        <v>FOUND</v>
      </c>
      <c r="F16" s="225" t="s">
        <v>124</v>
      </c>
      <c r="G16" t="s">
        <v>3929</v>
      </c>
    </row>
    <row r="17" spans="1:7">
      <c r="A17" s="133" t="s">
        <v>313</v>
      </c>
      <c r="B17" s="134" t="s">
        <v>3947</v>
      </c>
      <c r="C17" s="101" t="str">
        <v>FOUND</v>
      </c>
      <c r="F17" s="225" t="s">
        <v>130</v>
      </c>
      <c r="G17" t="s">
        <v>3929</v>
      </c>
    </row>
    <row r="18" spans="1:7">
      <c r="A18" s="133" t="s">
        <v>3948</v>
      </c>
      <c r="B18" s="134" t="s">
        <v>311</v>
      </c>
      <c r="C18" s="101" t="str">
        <v>FOUND</v>
      </c>
      <c r="F18" s="226" t="s">
        <v>133</v>
      </c>
      <c r="G18" t="s">
        <v>3938</v>
      </c>
    </row>
    <row r="19" spans="1:7">
      <c r="A19" s="133" t="s">
        <v>308</v>
      </c>
      <c r="B19" s="134" t="s">
        <v>307</v>
      </c>
      <c r="C19" s="101" t="str">
        <v>FOUND</v>
      </c>
      <c r="F19" s="226" t="s">
        <v>135</v>
      </c>
      <c r="G19" t="s">
        <v>3938</v>
      </c>
    </row>
    <row r="20" spans="1:7">
      <c r="A20" s="133" t="s">
        <v>3949</v>
      </c>
      <c r="B20" s="134" t="s">
        <v>3950</v>
      </c>
      <c r="C20" s="101" t="str">
        <v>FOUND</v>
      </c>
      <c r="F20" s="226" t="s">
        <v>138</v>
      </c>
      <c r="G20" t="s">
        <v>3938</v>
      </c>
    </row>
    <row r="21" spans="1:7">
      <c r="A21" s="133" t="s">
        <v>3951</v>
      </c>
      <c r="B21" s="134" t="s">
        <v>3952</v>
      </c>
      <c r="C21" s="101" t="str">
        <v>FOUND</v>
      </c>
      <c r="F21" s="225" t="s">
        <v>139</v>
      </c>
      <c r="G21" t="s">
        <v>3929</v>
      </c>
    </row>
    <row r="22" spans="1:7">
      <c r="A22" s="133" t="s">
        <v>3953</v>
      </c>
      <c r="B22" s="134" t="s">
        <v>3954</v>
      </c>
      <c r="C22" s="101" t="str">
        <v>FOUND</v>
      </c>
      <c r="F22" s="225" t="s">
        <v>148</v>
      </c>
      <c r="G22" t="s">
        <v>3929</v>
      </c>
    </row>
    <row r="23" spans="1:7">
      <c r="A23" s="133" t="s">
        <v>112</v>
      </c>
      <c r="B23" s="134" t="s">
        <v>3955</v>
      </c>
      <c r="C23" s="101" t="str">
        <v>FOUND</v>
      </c>
      <c r="D23" s="131"/>
      <c r="F23" s="226" t="s">
        <v>152</v>
      </c>
      <c r="G23" t="s">
        <v>3938</v>
      </c>
    </row>
    <row r="24" spans="1:7">
      <c r="A24" s="104"/>
      <c r="B24" s="134" t="s">
        <v>371</v>
      </c>
      <c r="C24" s="102" t="str">
        <v>NFOUND</v>
      </c>
      <c r="F24" s="226" t="s">
        <v>155</v>
      </c>
      <c r="G24" t="s">
        <v>3938</v>
      </c>
    </row>
    <row r="25" spans="1:7">
      <c r="F25" s="226" t="s">
        <v>156</v>
      </c>
      <c r="G25" t="s">
        <v>3938</v>
      </c>
    </row>
    <row r="26" spans="1:7">
      <c r="F26" s="226" t="s">
        <v>158</v>
      </c>
      <c r="G26" t="s">
        <v>3938</v>
      </c>
    </row>
    <row r="27" spans="1:7">
      <c r="F27" s="226" t="s">
        <v>160</v>
      </c>
      <c r="G27" t="s">
        <v>3938</v>
      </c>
    </row>
    <row r="28" spans="1:7">
      <c r="F28" s="227" t="s">
        <v>163</v>
      </c>
      <c r="G28" t="s">
        <v>3938</v>
      </c>
    </row>
    <row r="29" spans="1:7">
      <c r="F29" s="226" t="s">
        <v>166</v>
      </c>
      <c r="G29" t="s">
        <v>3956</v>
      </c>
    </row>
    <row r="30" spans="1:7">
      <c r="F30" s="226" t="s">
        <v>168</v>
      </c>
      <c r="G30" t="s">
        <v>3938</v>
      </c>
    </row>
    <row r="31" spans="1:7">
      <c r="F31" s="225" t="s">
        <v>172</v>
      </c>
      <c r="G31" t="s">
        <v>3957</v>
      </c>
    </row>
    <row r="32" spans="1:7">
      <c r="F32" s="227" t="s">
        <v>178</v>
      </c>
      <c r="G32" t="s">
        <v>3938</v>
      </c>
    </row>
    <row r="33" spans="5:7">
      <c r="F33" s="227" t="s">
        <v>181</v>
      </c>
      <c r="G33" t="s">
        <v>3940</v>
      </c>
    </row>
    <row r="34" spans="5:7" ht="29">
      <c r="F34" s="227" t="s">
        <v>3958</v>
      </c>
      <c r="G34" t="s">
        <v>3959</v>
      </c>
    </row>
    <row r="35" spans="5:7" ht="29">
      <c r="F35" s="227" t="s">
        <v>3960</v>
      </c>
      <c r="G35" t="s">
        <v>3938</v>
      </c>
    </row>
    <row r="36" spans="5:7">
      <c r="F36" s="226" t="s">
        <v>202</v>
      </c>
      <c r="G36" t="s">
        <v>3961</v>
      </c>
    </row>
    <row r="37" spans="5:7">
      <c r="F37" s="227" t="s">
        <v>208</v>
      </c>
      <c r="G37" t="s">
        <v>3962</v>
      </c>
    </row>
    <row r="38" spans="5:7">
      <c r="F38" s="227" t="s">
        <v>217</v>
      </c>
      <c r="G38" t="s">
        <v>3963</v>
      </c>
    </row>
    <row r="39" spans="5:7">
      <c r="E39" t="s">
        <v>3964</v>
      </c>
      <c r="F39" s="228" t="s">
        <v>318</v>
      </c>
      <c r="G39" s="229" t="s">
        <v>3965</v>
      </c>
    </row>
    <row r="40" spans="5:7">
      <c r="F40" s="228" t="s">
        <v>223</v>
      </c>
      <c r="G40" t="s">
        <v>3966</v>
      </c>
    </row>
    <row r="41" spans="5:7">
      <c r="F41" s="228" t="s">
        <v>227</v>
      </c>
      <c r="G41" t="s">
        <v>3967</v>
      </c>
    </row>
    <row r="42" spans="5:7">
      <c r="F42" s="225" t="s">
        <v>161</v>
      </c>
      <c r="G42" t="s">
        <v>3929</v>
      </c>
    </row>
    <row r="43" spans="5:7">
      <c r="F43" s="227" t="s">
        <v>243</v>
      </c>
      <c r="G43" t="s">
        <v>3968</v>
      </c>
    </row>
    <row r="44" spans="5:7">
      <c r="F44" s="227" t="s">
        <v>256</v>
      </c>
      <c r="G44" t="s">
        <v>3969</v>
      </c>
    </row>
    <row r="45" spans="5:7">
      <c r="F45" s="225" t="s">
        <v>257</v>
      </c>
      <c r="G45" t="s">
        <v>3929</v>
      </c>
    </row>
    <row r="46" spans="5:7">
      <c r="F46" s="225" t="s">
        <v>262</v>
      </c>
      <c r="G46" t="s">
        <v>3929</v>
      </c>
    </row>
    <row r="47" spans="5:7">
      <c r="F47" s="225" t="s">
        <v>266</v>
      </c>
      <c r="G47" t="s">
        <v>3929</v>
      </c>
    </row>
    <row r="48" spans="5:7">
      <c r="F48" s="225" t="s">
        <v>269</v>
      </c>
      <c r="G48" t="s">
        <v>3929</v>
      </c>
    </row>
    <row r="49" spans="6:7">
      <c r="F49" s="225" t="s">
        <v>273</v>
      </c>
      <c r="G49" t="s">
        <v>3929</v>
      </c>
    </row>
    <row r="50" spans="6:7">
      <c r="F50" s="226" t="s">
        <v>275</v>
      </c>
      <c r="G50" t="s">
        <v>3966</v>
      </c>
    </row>
    <row r="51" spans="6:7">
      <c r="F51" s="226" t="s">
        <v>3952</v>
      </c>
      <c r="G51" s="229" t="s">
        <v>3970</v>
      </c>
    </row>
    <row r="52" spans="6:7">
      <c r="F52" s="226" t="s">
        <v>3954</v>
      </c>
      <c r="G52" s="229" t="s">
        <v>3970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2B0F5-0EF7-4B15-9E97-8EA000A15DAB}">
  <dimension ref="A1:F25"/>
  <sheetViews>
    <sheetView workbookViewId="0">
      <selection activeCell="E24" sqref="E24"/>
    </sheetView>
  </sheetViews>
  <sheetFormatPr defaultRowHeight="14.5"/>
  <cols>
    <col min="1" max="1" width="20.54296875" customWidth="1"/>
    <col min="2" max="2" width="39" customWidth="1"/>
    <col min="3" max="3" width="26.1796875" customWidth="1"/>
    <col min="4" max="4" width="28.1796875" customWidth="1"/>
    <col min="5" max="5" width="27.54296875" customWidth="1"/>
    <col min="6" max="6" width="109.7265625" bestFit="1" customWidth="1"/>
  </cols>
  <sheetData>
    <row r="1" spans="1:6">
      <c r="A1" s="96" t="s">
        <v>3971</v>
      </c>
      <c r="B1" s="96" t="s">
        <v>3972</v>
      </c>
      <c r="C1" s="97" t="s">
        <v>3973</v>
      </c>
      <c r="D1" s="97" t="s">
        <v>3974</v>
      </c>
      <c r="E1" s="97" t="s">
        <v>3975</v>
      </c>
      <c r="F1" s="98" t="s">
        <v>76</v>
      </c>
    </row>
    <row r="2" spans="1:6">
      <c r="A2" s="93" t="s">
        <v>43</v>
      </c>
      <c r="B2" s="93" t="s">
        <v>44</v>
      </c>
      <c r="C2" s="99"/>
      <c r="D2" s="94" t="s">
        <v>46</v>
      </c>
      <c r="E2" t="s">
        <v>23</v>
      </c>
      <c r="F2" t="s">
        <v>25</v>
      </c>
    </row>
    <row r="3" spans="1:6">
      <c r="A3" s="93" t="s">
        <v>43</v>
      </c>
      <c r="B3" s="93" t="s">
        <v>44</v>
      </c>
      <c r="C3" s="92"/>
      <c r="D3" s="94" t="s">
        <v>266</v>
      </c>
      <c r="E3" s="93" t="s">
        <v>267</v>
      </c>
      <c r="F3" t="s">
        <v>3976</v>
      </c>
    </row>
    <row r="4" spans="1:6">
      <c r="A4" s="93" t="s">
        <v>43</v>
      </c>
      <c r="B4" s="93" t="s">
        <v>44</v>
      </c>
      <c r="C4" s="92"/>
      <c r="D4" s="94" t="s">
        <v>269</v>
      </c>
      <c r="E4" s="93" t="s">
        <v>270</v>
      </c>
      <c r="F4" t="s">
        <v>3977</v>
      </c>
    </row>
    <row r="5" spans="1:6">
      <c r="A5" s="93" t="s">
        <v>43</v>
      </c>
      <c r="B5" s="93" t="s">
        <v>44</v>
      </c>
      <c r="C5" s="92"/>
      <c r="D5" s="94" t="s">
        <v>51</v>
      </c>
      <c r="E5" s="93" t="s">
        <v>58</v>
      </c>
      <c r="F5" t="s">
        <v>49</v>
      </c>
    </row>
    <row r="6" spans="1:6">
      <c r="A6" s="93" t="s">
        <v>43</v>
      </c>
      <c r="B6" s="93" t="s">
        <v>44</v>
      </c>
      <c r="C6" s="92"/>
      <c r="D6" s="94" t="s">
        <v>70</v>
      </c>
      <c r="E6" s="93" t="s">
        <v>76</v>
      </c>
      <c r="F6" t="s">
        <v>3978</v>
      </c>
    </row>
    <row r="7" spans="1:6">
      <c r="A7" s="93" t="s">
        <v>43</v>
      </c>
      <c r="B7" s="93" t="s">
        <v>44</v>
      </c>
      <c r="C7" s="92"/>
      <c r="D7" s="94" t="s">
        <v>83</v>
      </c>
      <c r="E7" s="93" t="s">
        <v>87</v>
      </c>
      <c r="F7" t="s">
        <v>3979</v>
      </c>
    </row>
    <row r="8" spans="1:6">
      <c r="A8" s="93" t="s">
        <v>43</v>
      </c>
      <c r="B8" s="93" t="s">
        <v>44</v>
      </c>
      <c r="C8" s="92"/>
      <c r="D8" s="95" t="s">
        <v>141</v>
      </c>
      <c r="E8" s="93" t="s">
        <v>146</v>
      </c>
      <c r="F8" t="s">
        <v>3980</v>
      </c>
    </row>
    <row r="9" spans="1:6">
      <c r="A9" s="93" t="s">
        <v>43</v>
      </c>
      <c r="B9" s="93" t="s">
        <v>44</v>
      </c>
      <c r="C9" s="92"/>
      <c r="D9" s="95" t="s">
        <v>148</v>
      </c>
      <c r="E9" s="93" t="s">
        <v>149</v>
      </c>
      <c r="F9" t="s">
        <v>150</v>
      </c>
    </row>
    <row r="10" spans="1:6">
      <c r="A10" s="93" t="s">
        <v>43</v>
      </c>
      <c r="B10" s="93" t="s">
        <v>44</v>
      </c>
      <c r="C10" s="92"/>
      <c r="D10" s="94" t="s">
        <v>172</v>
      </c>
      <c r="E10" s="93" t="s">
        <v>176</v>
      </c>
      <c r="F10" t="s">
        <v>3979</v>
      </c>
    </row>
    <row r="11" spans="1:6">
      <c r="A11" s="93" t="s">
        <v>43</v>
      </c>
      <c r="B11" s="93" t="s">
        <v>44</v>
      </c>
      <c r="C11" s="92"/>
      <c r="D11" s="95" t="s">
        <v>185</v>
      </c>
      <c r="E11" s="93" t="s">
        <v>314</v>
      </c>
      <c r="F11" t="s">
        <v>3981</v>
      </c>
    </row>
    <row r="12" spans="1:6">
      <c r="A12" s="93" t="s">
        <v>43</v>
      </c>
      <c r="B12" s="93" t="s">
        <v>44</v>
      </c>
      <c r="C12" s="92"/>
      <c r="D12" s="95" t="s">
        <v>198</v>
      </c>
      <c r="E12" s="93" t="s">
        <v>317</v>
      </c>
      <c r="F12" t="s">
        <v>3982</v>
      </c>
    </row>
    <row r="13" spans="1:6">
      <c r="A13" s="93" t="s">
        <v>43</v>
      </c>
      <c r="B13" s="93" t="s">
        <v>44</v>
      </c>
      <c r="C13" s="92"/>
      <c r="D13" s="94" t="s">
        <v>124</v>
      </c>
      <c r="E13" s="93" t="s">
        <v>128</v>
      </c>
      <c r="F13" t="s">
        <v>3979</v>
      </c>
    </row>
    <row r="14" spans="1:6">
      <c r="A14" s="93" t="s">
        <v>43</v>
      </c>
      <c r="B14" s="93" t="s">
        <v>44</v>
      </c>
      <c r="C14" s="92"/>
      <c r="D14" s="95" t="s">
        <v>91</v>
      </c>
      <c r="E14" s="93" t="s">
        <v>305</v>
      </c>
      <c r="F14" t="s">
        <v>92</v>
      </c>
    </row>
    <row r="15" spans="1:6">
      <c r="A15" s="93" t="s">
        <v>43</v>
      </c>
      <c r="B15" s="93" t="s">
        <v>44</v>
      </c>
      <c r="C15" s="92"/>
      <c r="D15" s="95" t="s">
        <v>114</v>
      </c>
      <c r="E15" s="93" t="s">
        <v>121</v>
      </c>
      <c r="F15" t="s">
        <v>3983</v>
      </c>
    </row>
    <row r="16" spans="1:6">
      <c r="A16" s="93" t="s">
        <v>43</v>
      </c>
      <c r="B16" s="93" t="s">
        <v>44</v>
      </c>
      <c r="C16" s="92"/>
      <c r="D16" s="95" t="s">
        <v>117</v>
      </c>
      <c r="E16" s="93" t="s">
        <v>3945</v>
      </c>
      <c r="F16" t="s">
        <v>3984</v>
      </c>
    </row>
    <row r="17" spans="1:6">
      <c r="A17" s="93" t="s">
        <v>43</v>
      </c>
      <c r="B17" s="93" t="s">
        <v>44</v>
      </c>
      <c r="C17" s="92"/>
      <c r="D17" s="95" t="s">
        <v>181</v>
      </c>
      <c r="E17" s="93" t="s">
        <v>313</v>
      </c>
      <c r="F17" t="s">
        <v>180</v>
      </c>
    </row>
    <row r="18" spans="1:6">
      <c r="A18" s="93" t="s">
        <v>43</v>
      </c>
      <c r="B18" s="93" t="s">
        <v>44</v>
      </c>
      <c r="C18" s="92"/>
      <c r="D18" s="95" t="s">
        <v>130</v>
      </c>
      <c r="E18" s="93" t="s">
        <v>3948</v>
      </c>
      <c r="F18" t="s">
        <v>131</v>
      </c>
    </row>
    <row r="19" spans="1:6">
      <c r="A19" s="93" t="s">
        <v>43</v>
      </c>
      <c r="B19" s="93" t="s">
        <v>44</v>
      </c>
      <c r="C19" s="92"/>
      <c r="D19" s="94" t="s">
        <v>276</v>
      </c>
      <c r="E19" s="93" t="s">
        <v>308</v>
      </c>
      <c r="F19" t="s">
        <v>3979</v>
      </c>
    </row>
    <row r="20" spans="1:6">
      <c r="A20" s="93" t="s">
        <v>43</v>
      </c>
      <c r="B20" s="93" t="s">
        <v>44</v>
      </c>
      <c r="C20" s="92"/>
      <c r="D20" s="95" t="s">
        <v>100</v>
      </c>
      <c r="E20" s="93" t="s">
        <v>3949</v>
      </c>
      <c r="F20" t="s">
        <v>101</v>
      </c>
    </row>
    <row r="21" spans="1:6">
      <c r="A21" s="93" t="s">
        <v>43</v>
      </c>
      <c r="B21" s="93" t="s">
        <v>44</v>
      </c>
      <c r="C21" s="92"/>
      <c r="D21" s="95" t="s">
        <v>141</v>
      </c>
      <c r="E21" s="93" t="s">
        <v>3951</v>
      </c>
      <c r="F21" t="s">
        <v>145</v>
      </c>
    </row>
    <row r="22" spans="1:6">
      <c r="A22" s="93" t="s">
        <v>43</v>
      </c>
      <c r="B22" s="93" t="s">
        <v>44</v>
      </c>
      <c r="C22" s="100"/>
      <c r="D22" s="95" t="s">
        <v>148</v>
      </c>
      <c r="E22" s="93" t="s">
        <v>3953</v>
      </c>
      <c r="F22" t="s">
        <v>150</v>
      </c>
    </row>
    <row r="23" spans="1:6">
      <c r="A23" s="93" t="s">
        <v>43</v>
      </c>
      <c r="B23" s="93" t="s">
        <v>44</v>
      </c>
      <c r="C23" s="100"/>
      <c r="D23" s="95" t="s">
        <v>102</v>
      </c>
      <c r="E23" s="93" t="s">
        <v>112</v>
      </c>
      <c r="F23" t="s">
        <v>107</v>
      </c>
    </row>
    <row r="24" spans="1:6">
      <c r="A24" s="101" t="s">
        <v>3985</v>
      </c>
    </row>
    <row r="25" spans="1:6">
      <c r="A25" s="102" t="s">
        <v>3986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E01AA-1FFD-424C-94A9-76979955587B}">
  <sheetPr codeName="Sheet6"/>
  <dimension ref="A1:I45"/>
  <sheetViews>
    <sheetView zoomScale="90" zoomScaleNormal="90" workbookViewId="0">
      <selection activeCell="E14" sqref="E14"/>
    </sheetView>
  </sheetViews>
  <sheetFormatPr defaultRowHeight="14.5"/>
  <cols>
    <col min="1" max="1" width="36.453125" bestFit="1" customWidth="1"/>
    <col min="2" max="2" width="12.1796875" bestFit="1" customWidth="1"/>
    <col min="3" max="3" width="32.81640625" customWidth="1"/>
    <col min="4" max="4" width="32.81640625" hidden="1" customWidth="1"/>
    <col min="5" max="5" width="12.1796875" bestFit="1" customWidth="1"/>
    <col min="6" max="6" width="35.54296875" bestFit="1" customWidth="1"/>
    <col min="7" max="7" width="12.1796875" bestFit="1" customWidth="1"/>
    <col min="8" max="8" width="59.54296875" bestFit="1" customWidth="1"/>
    <col min="9" max="9" width="12.1796875" bestFit="1" customWidth="1"/>
  </cols>
  <sheetData>
    <row r="1" spans="1:9" ht="15.65" customHeight="1">
      <c r="A1" s="9" t="s">
        <v>38</v>
      </c>
      <c r="B1" s="9"/>
      <c r="C1" s="2" t="s">
        <v>20</v>
      </c>
      <c r="D1" s="6"/>
      <c r="E1" s="6"/>
      <c r="F1" s="6" t="s">
        <v>35</v>
      </c>
      <c r="G1" s="6"/>
      <c r="H1" s="2" t="s">
        <v>278</v>
      </c>
      <c r="I1" s="2"/>
    </row>
    <row r="2" spans="1:9">
      <c r="A2" s="10" t="s">
        <v>46</v>
      </c>
      <c r="B2" s="10" t="s">
        <v>3987</v>
      </c>
      <c r="C2" s="3" t="s">
        <v>46</v>
      </c>
      <c r="D2" s="55"/>
      <c r="E2" s="10" t="s">
        <v>3987</v>
      </c>
      <c r="F2" s="3" t="s">
        <v>46</v>
      </c>
      <c r="G2" s="10" t="s">
        <v>3987</v>
      </c>
      <c r="H2" s="3" t="s">
        <v>46</v>
      </c>
      <c r="I2" s="10" t="s">
        <v>3987</v>
      </c>
    </row>
    <row r="3" spans="1:9">
      <c r="A3" s="51" t="s">
        <v>263</v>
      </c>
      <c r="B3" s="23" t="str">
        <f>IF(VLOOKUP(A3,'Actions Gap Analysis'!$A$1:$L$44,1,FALSE)&gt;0,"Found","Not Found")</f>
        <v>Found</v>
      </c>
      <c r="C3" s="38" t="s">
        <v>47</v>
      </c>
      <c r="D3" s="40" t="s">
        <v>58</v>
      </c>
      <c r="E3" s="23" t="str">
        <f>IF(VLOOKUP(C3,'Actions Gap Analysis'!$H$1:$L$148,1,FALSE)&gt;0,"Found","Not Found")</f>
        <v>Found</v>
      </c>
      <c r="F3" s="38" t="s">
        <v>47</v>
      </c>
      <c r="G3" s="23" t="str">
        <f>IF(VLOOKUP(F3,'Actions Gap Analysis'!$F$1:$L$148,1,FALSE)&gt;0,"Found","Not Found")</f>
        <v>Found</v>
      </c>
      <c r="H3" s="5" t="s">
        <v>52</v>
      </c>
      <c r="I3" s="23" t="str">
        <f>IF(VLOOKUP(H3,'Actions Gap Analysis'!$G$1:$L$150,1,FALSE)&gt;0,"Found","Not Found")</f>
        <v>Found</v>
      </c>
    </row>
    <row r="4" spans="1:9">
      <c r="A4" s="52" t="s">
        <v>267</v>
      </c>
      <c r="B4" s="23" t="str">
        <f>IF(VLOOKUP(A4,'Actions Gap Analysis'!$A$1:$L$44,1,FALSE)&gt;0,"Found","Not Found")</f>
        <v>Found</v>
      </c>
      <c r="C4" s="38" t="s">
        <v>102</v>
      </c>
      <c r="D4" s="41" t="s">
        <v>102</v>
      </c>
      <c r="E4" s="23" t="s">
        <v>284</v>
      </c>
      <c r="F4" s="38" t="s">
        <v>102</v>
      </c>
      <c r="G4" s="23" t="str">
        <f>IF(VLOOKUP(F4,'Actions Gap Analysis'!$F$1:$L$148,1,FALSE)&gt;0,"Found","Not Found")</f>
        <v>Found</v>
      </c>
      <c r="H4" s="49" t="s">
        <v>104</v>
      </c>
      <c r="I4" s="23" t="str">
        <f>IF(VLOOKUP(H4,'Actions Gap Analysis'!$G$1:$L$150,1,FALSE)&gt;0,"Found","Not Found")</f>
        <v>Found</v>
      </c>
    </row>
    <row r="5" spans="1:9">
      <c r="A5" s="52" t="s">
        <v>270</v>
      </c>
      <c r="B5" s="23" t="str">
        <f>IF(VLOOKUP(A5,'Actions Gap Analysis'!$A$1:$L$44,1,FALSE)&gt;0,"Found","Not Found")</f>
        <v>Found</v>
      </c>
      <c r="C5" s="38" t="s">
        <v>65</v>
      </c>
      <c r="D5" s="40" t="s">
        <v>282</v>
      </c>
      <c r="E5" s="23" t="str">
        <f>IF(VLOOKUP(C5,'Actions Gap Analysis'!$H$1:$L$148,1,FALSE)&gt;0,"Found","Not Found")</f>
        <v>Found</v>
      </c>
      <c r="F5" s="38" t="s">
        <v>65</v>
      </c>
      <c r="G5" s="23" t="str">
        <f>IF(VLOOKUP(F5,'Actions Gap Analysis'!$F$1:$L$148,1,FALSE)&gt;0,"Found","Not Found")</f>
        <v>Found</v>
      </c>
      <c r="H5" s="5" t="s">
        <v>63</v>
      </c>
      <c r="I5" s="23" t="str">
        <f>IF(VLOOKUP(H5,'Actions Gap Analysis'!$G$1:$L$150,1,FALSE)&gt;0,"Found","Not Found")</f>
        <v>Found</v>
      </c>
    </row>
    <row r="6" spans="1:9">
      <c r="A6" s="52" t="s">
        <v>273</v>
      </c>
      <c r="B6" s="23" t="str">
        <f>IF(VLOOKUP(A6,'Actions Gap Analysis'!$A$1:$L$44,1,FALSE)&gt;0,"Found","Not Found")</f>
        <v>Found</v>
      </c>
      <c r="C6" s="38" t="s">
        <v>74</v>
      </c>
      <c r="D6" s="40" t="s">
        <v>76</v>
      </c>
      <c r="E6" s="23" t="str">
        <f>IF(VLOOKUP(C6,'Actions Gap Analysis'!$H$1:$L$148,1,FALSE)&gt;0,"Found","Not Found")</f>
        <v>Found</v>
      </c>
      <c r="F6" s="38" t="s">
        <v>74</v>
      </c>
      <c r="G6" s="23" t="str">
        <f>IF(VLOOKUP(F6,'Actions Gap Analysis'!$F$1:$L$148,1,FALSE)&gt;0,"Found","Not Found")</f>
        <v>Found</v>
      </c>
      <c r="H6" s="5" t="s">
        <v>72</v>
      </c>
      <c r="I6" s="23" t="str">
        <f>IF(VLOOKUP(H6,'Actions Gap Analysis'!$G$1:$L$150,1,FALSE)&gt;0,"Found","Not Found")</f>
        <v>Found</v>
      </c>
    </row>
    <row r="7" spans="1:9">
      <c r="A7" s="52" t="s">
        <v>275</v>
      </c>
      <c r="B7" s="23" t="str">
        <f>IF(VLOOKUP(A7,'Actions Gap Analysis'!$A$1:$L$44,1,FALSE)&gt;0,"Found","Not Found")</f>
        <v>Found</v>
      </c>
      <c r="C7" s="38" t="s">
        <v>80</v>
      </c>
      <c r="D7" s="40" t="s">
        <v>87</v>
      </c>
      <c r="E7" s="23" t="str">
        <f>IF(VLOOKUP(C7,'Actions Gap Analysis'!$H$1:$L$148,1,FALSE)&gt;0,"Found","Not Found")</f>
        <v>Found</v>
      </c>
      <c r="F7" s="38" t="s">
        <v>80</v>
      </c>
      <c r="G7" s="23" t="str">
        <f>IF(VLOOKUP(F7,'Actions Gap Analysis'!$F$1:$L$148,1,FALSE)&gt;0,"Found","Not Found")</f>
        <v>Found</v>
      </c>
      <c r="H7" s="5" t="s">
        <v>84</v>
      </c>
      <c r="I7" s="23" t="str">
        <f>IF(VLOOKUP(H7,'Actions Gap Analysis'!$G$1:$L$150,1,FALSE)&gt;0,"Found","Not Found")</f>
        <v>Found</v>
      </c>
    </row>
    <row r="8" spans="1:9">
      <c r="A8" s="52" t="s">
        <v>55</v>
      </c>
      <c r="B8" s="23" t="str">
        <f>IF(VLOOKUP(A8,'Actions Gap Analysis'!$A$1:$L$44,1,FALSE)&gt;0,"Found","Not Found")</f>
        <v>Found</v>
      </c>
      <c r="C8" s="38" t="s">
        <v>170</v>
      </c>
      <c r="D8" s="40" t="s">
        <v>176</v>
      </c>
      <c r="E8" s="23" t="str">
        <f>IF(VLOOKUP(C8,'Actions Gap Analysis'!$H$1:$L$148,1,FALSE)&gt;0,"Found","Not Found")</f>
        <v>Found</v>
      </c>
      <c r="F8" s="38" t="s">
        <v>170</v>
      </c>
      <c r="G8" s="23" t="str">
        <f>IF(VLOOKUP(F8,'Actions Gap Analysis'!$F$1:$L$148,1,FALSE)&gt;0,"Found","Not Found")</f>
        <v>Found</v>
      </c>
      <c r="H8" s="11" t="s">
        <v>173</v>
      </c>
      <c r="I8" s="23" t="str">
        <f>IF(VLOOKUP(H8,'Actions Gap Analysis'!$G$1:$L$150,1,FALSE)&gt;0,"Found","Not Found")</f>
        <v>Found</v>
      </c>
    </row>
    <row r="9" spans="1:9">
      <c r="A9" s="52" t="s">
        <v>70</v>
      </c>
      <c r="B9" s="23" t="str">
        <f>IF(VLOOKUP(A9,'Actions Gap Analysis'!$A$1:$L$44,1,FALSE)&gt;0,"Found","Not Found")</f>
        <v>Found</v>
      </c>
      <c r="C9" s="38" t="s">
        <v>115</v>
      </c>
      <c r="D9" s="40" t="s">
        <v>285</v>
      </c>
      <c r="E9" s="23" t="str">
        <f>IF(VLOOKUP(C9,'Actions Gap Analysis'!$H$1:$L$148,1,FALSE)&gt;0,"Found","Not Found")</f>
        <v>Found</v>
      </c>
      <c r="F9" s="38" t="s">
        <v>115</v>
      </c>
      <c r="G9" s="23" t="str">
        <f>IF(VLOOKUP(F9,'Actions Gap Analysis'!$F$1:$L$148,1,FALSE)&gt;0,"Found","Not Found")</f>
        <v>Found</v>
      </c>
      <c r="H9" s="5" t="s">
        <v>118</v>
      </c>
      <c r="I9" s="23" t="str">
        <f>IF(VLOOKUP(H9,'Actions Gap Analysis'!$G$1:$L$150,1,FALSE)&gt;0,"Found","Not Found")</f>
        <v>Found</v>
      </c>
    </row>
    <row r="10" spans="1:9">
      <c r="A10" s="52" t="s">
        <v>83</v>
      </c>
      <c r="B10" s="23" t="str">
        <f>IF(VLOOKUP(A10,'Actions Gap Analysis'!$A$1:$L$44,1,FALSE)&gt;0,"Found","Not Found")</f>
        <v>Found</v>
      </c>
      <c r="C10" s="38" t="s">
        <v>122</v>
      </c>
      <c r="D10" s="40" t="s">
        <v>128</v>
      </c>
      <c r="E10" s="23" t="str">
        <f>IF(VLOOKUP(C10,'Actions Gap Analysis'!$H$1:$L$148,1,FALSE)&gt;0,"Found","Not Found")</f>
        <v>Found</v>
      </c>
      <c r="F10" s="38" t="s">
        <v>122</v>
      </c>
      <c r="G10" s="23" t="str">
        <f>IF(VLOOKUP(F10,'Actions Gap Analysis'!$F$1:$L$148,1,FALSE)&gt;0,"Found","Not Found")</f>
        <v>Found</v>
      </c>
      <c r="H10" s="11" t="s">
        <v>125</v>
      </c>
      <c r="I10" s="23" t="str">
        <f>IF(VLOOKUP(H10,'Actions Gap Analysis'!$G$1:$L$150,1,FALSE)&gt;0,"Found","Not Found")</f>
        <v>Found</v>
      </c>
    </row>
    <row r="11" spans="1:9">
      <c r="A11" s="52" t="s">
        <v>61</v>
      </c>
      <c r="B11" s="23" t="str">
        <f>IF(VLOOKUP(A11,'Actions Gap Analysis'!$A$1:$L$44,1,FALSE)&gt;0,"Found","Not Found")</f>
        <v>Found</v>
      </c>
      <c r="C11" s="38" t="s">
        <v>93</v>
      </c>
      <c r="D11" s="40" t="s">
        <v>286</v>
      </c>
      <c r="E11" s="23" t="str">
        <f>IF(VLOOKUP(C11,'Actions Gap Analysis'!$H$1:$L$148,1,FALSE)&gt;0,"Found","Not Found")</f>
        <v>Found</v>
      </c>
      <c r="F11" s="38" t="s">
        <v>93</v>
      </c>
      <c r="G11" s="23" t="str">
        <f>IF(VLOOKUP(F11,'Actions Gap Analysis'!$F$1:$L$148,1,FALSE)&gt;0,"Found","Not Found")</f>
        <v>Found</v>
      </c>
      <c r="H11" s="11" t="s">
        <v>96</v>
      </c>
      <c r="I11" s="23" t="str">
        <f>IF(VLOOKUP(H11,'Actions Gap Analysis'!$G$1:$L$150,1,FALSE)&gt;0,"Found","Not Found")</f>
        <v>Found</v>
      </c>
    </row>
    <row r="12" spans="1:9">
      <c r="A12" s="52" t="s">
        <v>89</v>
      </c>
      <c r="B12" s="23" t="str">
        <f>IF(VLOOKUP(A12,'Actions Gap Analysis'!$A$1:$L$44,1,FALSE)&gt;0,"Found","Not Found")</f>
        <v>Found</v>
      </c>
      <c r="C12" s="38" t="s">
        <v>111</v>
      </c>
      <c r="D12" s="40" t="s">
        <v>281</v>
      </c>
      <c r="E12" s="23" t="str">
        <f>IF(VLOOKUP(C12,'Actions Gap Analysis'!$H$1:$L$148,1,FALSE)&gt;0,"Found","Not Found")</f>
        <v>Found</v>
      </c>
      <c r="F12" s="38" t="s">
        <v>111</v>
      </c>
      <c r="G12" s="23" t="e">
        <f>IF(VLOOKUP(F12,'Actions Gap Analysis'!$F$1:$L$148,1,FALSE)&gt;0,"Found","Not Found")</f>
        <v>#N/A</v>
      </c>
      <c r="H12" s="11" t="s">
        <v>182</v>
      </c>
      <c r="I12" s="23" t="str">
        <f>IF(VLOOKUP(H12,'Actions Gap Analysis'!$G$1:$L$150,1,FALSE)&gt;0,"Found","Not Found")</f>
        <v>Found</v>
      </c>
    </row>
    <row r="13" spans="1:9">
      <c r="A13" s="52" t="s">
        <v>172</v>
      </c>
      <c r="B13" s="23" t="str">
        <f>IF(VLOOKUP(A13,'Actions Gap Analysis'!$A$1:$L$44,1,FALSE)&gt;0,"Found","Not Found")</f>
        <v>Found</v>
      </c>
      <c r="C13" s="38" t="s">
        <v>179</v>
      </c>
      <c r="D13" s="40" t="s">
        <v>287</v>
      </c>
      <c r="E13" s="23" t="str">
        <f>IF(VLOOKUP(C13,'Actions Gap Analysis'!$H$1:$L$148,1,FALSE)&gt;0,"Found","Not Found")</f>
        <v>Found</v>
      </c>
      <c r="F13" s="38" t="s">
        <v>179</v>
      </c>
      <c r="G13" s="23" t="str">
        <f>IF(VLOOKUP(F13,'Actions Gap Analysis'!$F$1:$L$148,1,FALSE)&gt;0,"Found","Not Found")</f>
        <v>Found</v>
      </c>
      <c r="H13" s="11" t="s">
        <v>259</v>
      </c>
      <c r="I13" s="23" t="e">
        <f>IF(VLOOKUP(H13,'Actions Gap Analysis'!$G$1:$L$150,1,FALSE)&gt;0,"Found","Not Found")</f>
        <v>#N/A</v>
      </c>
    </row>
    <row r="14" spans="1:9">
      <c r="A14" s="52" t="s">
        <v>91</v>
      </c>
      <c r="B14" s="23" t="str">
        <f>IF(VLOOKUP(A14,'Actions Gap Analysis'!$A$1:$L$44,1,FALSE)&gt;0,"Found","Not Found")</f>
        <v>Found</v>
      </c>
      <c r="C14" s="38" t="s">
        <v>257</v>
      </c>
      <c r="D14" s="41" t="s">
        <v>257</v>
      </c>
      <c r="E14" s="23" t="str">
        <f>IF(VLOOKUP(C14,'Actions Gap Analysis'!$H$1:$L$148,1,FALSE)&gt;0,"Found","Not Found")</f>
        <v>Found</v>
      </c>
      <c r="F14" s="38" t="s">
        <v>257</v>
      </c>
      <c r="G14" s="23" t="str">
        <f>IF(VLOOKUP(F14,'Actions Gap Analysis'!$F$1:$L$148,1,FALSE)&gt;0,"Found","Not Found")</f>
        <v>Found</v>
      </c>
      <c r="H14" s="11" t="s">
        <v>142</v>
      </c>
      <c r="I14" s="23" t="str">
        <f>IF(VLOOKUP(H14,'Actions Gap Analysis'!$G$1:$L$150,1,FALSE)&gt;0,"Found","Not Found")</f>
        <v>Found</v>
      </c>
    </row>
    <row r="15" spans="1:9">
      <c r="A15" s="52" t="s">
        <v>95</v>
      </c>
      <c r="B15" s="23" t="str">
        <f>IF(VLOOKUP(A15,'Actions Gap Analysis'!$A$1:$L$44,1,FALSE)&gt;0,"Found","Not Found")</f>
        <v>Found</v>
      </c>
      <c r="C15" s="38" t="s">
        <v>183</v>
      </c>
      <c r="D15" s="41" t="s">
        <v>290</v>
      </c>
      <c r="E15" s="23" t="str">
        <f>IF(VLOOKUP(C15,'Actions Gap Analysis'!$H$1:$L$148,1,FALSE)&gt;0,"Found","Not Found")</f>
        <v>Found</v>
      </c>
      <c r="F15" s="38" t="s">
        <v>139</v>
      </c>
      <c r="G15" s="23" t="str">
        <f>IF(VLOOKUP(F15,'Actions Gap Analysis'!$F$1:$L$148,1,FALSE)&gt;0,"Found","Not Found")</f>
        <v>Found</v>
      </c>
      <c r="H15" s="11" t="s">
        <v>234</v>
      </c>
      <c r="I15" s="23" t="str">
        <f>IF(VLOOKUP(H15,'Actions Gap Analysis'!$G$1:$L$150,1,FALSE)&gt;0,"Found","Not Found")</f>
        <v>Found</v>
      </c>
    </row>
    <row r="16" spans="1:9">
      <c r="A16" s="52" t="s">
        <v>100</v>
      </c>
      <c r="B16" s="23" t="str">
        <f>IF(VLOOKUP(A16,'Actions Gap Analysis'!$A$1:$L$44,1,FALSE)&gt;0,"Found","Not Found")</f>
        <v>Found</v>
      </c>
      <c r="C16" s="38" t="s">
        <v>139</v>
      </c>
      <c r="D16" s="40" t="s">
        <v>141</v>
      </c>
      <c r="E16" s="23" t="str">
        <f>IF(VLOOKUP(C16,'Actions Gap Analysis'!$H$1:$L$148,1,FALSE)&gt;0,"Found","Not Found")</f>
        <v>Found</v>
      </c>
      <c r="F16" s="53" t="s">
        <v>203</v>
      </c>
      <c r="G16" s="23" t="e">
        <f>IF(VLOOKUP(F16,'Actions Gap Analysis'!$F$1:$L$148,1,FALSE)&gt;0,"Found","Not Found")</f>
        <v>#N/A</v>
      </c>
      <c r="H16" s="11" t="s">
        <v>187</v>
      </c>
      <c r="I16" s="23" t="e">
        <f>IF(VLOOKUP(H16,'Actions Gap Analysis'!$G$1:$L$150,1,FALSE)&gt;0,"Found","Not Found")</f>
        <v>#N/A</v>
      </c>
    </row>
    <row r="17" spans="1:9">
      <c r="A17" s="52" t="s">
        <v>114</v>
      </c>
      <c r="B17" s="23" t="str">
        <f>IF(VLOOKUP(A17,'Actions Gap Analysis'!$A$1:$L$44,1,FALSE)&gt;0,"Found","Not Found")</f>
        <v>Found</v>
      </c>
      <c r="C17" s="20" t="s">
        <v>232</v>
      </c>
      <c r="D17" s="20" t="s">
        <v>291</v>
      </c>
      <c r="E17" s="23" t="str">
        <f>IF(VLOOKUP(C17,'Actions Gap Analysis'!$H$1:$L$148,1,FALSE)&gt;0,"Found","Not Found")</f>
        <v>Found</v>
      </c>
      <c r="F17" s="43" t="s">
        <v>192</v>
      </c>
      <c r="G17" s="23" t="str">
        <f>IF(VLOOKUP(F17,'Actions Gap Analysis'!$F$1:$L$148,1,FALSE)&gt;0,"Found","Not Found")</f>
        <v>Found</v>
      </c>
      <c r="H17" s="11" t="s">
        <v>209</v>
      </c>
      <c r="I17" s="23" t="e">
        <f>IF(VLOOKUP(H17,'Actions Gap Analysis'!$G$1:$L$150,1,FALSE)&gt;0,"Found","Not Found")</f>
        <v>#N/A</v>
      </c>
    </row>
    <row r="18" spans="1:9">
      <c r="A18" s="52" t="s">
        <v>117</v>
      </c>
      <c r="B18" s="23" t="str">
        <f>IF(VLOOKUP(A18,'Actions Gap Analysis'!$A$1:$L$44,1,FALSE)&gt;0,"Found","Not Found")</f>
        <v>Found</v>
      </c>
      <c r="C18" s="50" t="s">
        <v>240</v>
      </c>
      <c r="D18" s="41" t="s">
        <v>295</v>
      </c>
      <c r="E18" s="23" t="str">
        <f>IF(VLOOKUP(C18,'Actions Gap Analysis'!$H$1:$L$148,1,FALSE)&gt;0,"Found","Not Found")</f>
        <v>Found</v>
      </c>
      <c r="F18" s="44" t="s">
        <v>248</v>
      </c>
      <c r="G18" s="23" t="str">
        <f>IF(VLOOKUP(F18,'Actions Gap Analysis'!$F$1:$L$148,1,FALSE)&gt;0,"Found","Not Found")</f>
        <v>Found</v>
      </c>
      <c r="H18" s="11" t="s">
        <v>219</v>
      </c>
      <c r="I18" s="23" t="str">
        <f>IF(VLOOKUP(H18,'Actions Gap Analysis'!$G$1:$L$150,1,FALSE)&gt;0,"Found","Not Found")</f>
        <v>Found</v>
      </c>
    </row>
    <row r="19" spans="1:9">
      <c r="A19" s="52" t="s">
        <v>124</v>
      </c>
      <c r="B19" s="23" t="str">
        <f>IF(VLOOKUP(A19,'Actions Gap Analysis'!$A$1:$L$44,1,FALSE)&gt;0,"Found","Not Found")</f>
        <v>Found</v>
      </c>
      <c r="C19" s="50" t="s">
        <v>206</v>
      </c>
      <c r="D19" s="41" t="s">
        <v>294</v>
      </c>
      <c r="E19" s="23" t="str">
        <f>IF(VLOOKUP(C19,'Actions Gap Analysis'!$H$1:$L$148,1,FALSE)&gt;0,"Found","Not Found")</f>
        <v>Found</v>
      </c>
      <c r="F19" s="45" t="s">
        <v>211</v>
      </c>
      <c r="G19" s="23" t="str">
        <f>IF(VLOOKUP(F19,'Actions Gap Analysis'!$F$1:$L$148,1,FALSE)&gt;0,"Found","Not Found")</f>
        <v>Found</v>
      </c>
      <c r="H19" s="11" t="s">
        <v>245</v>
      </c>
      <c r="I19" s="23" t="str">
        <f>IF(VLOOKUP(H19,'Actions Gap Analysis'!$G$1:$L$150,1,FALSE)&gt;0,"Found","Not Found")</f>
        <v>Found</v>
      </c>
    </row>
    <row r="20" spans="1:9">
      <c r="A20" s="52" t="s">
        <v>130</v>
      </c>
      <c r="B20" s="23" t="str">
        <f>IF(VLOOKUP(A20,'Actions Gap Analysis'!$A$1:$L$44,1,FALSE)&gt;0,"Found","Not Found")</f>
        <v>Found</v>
      </c>
      <c r="C20" s="50" t="s">
        <v>215</v>
      </c>
      <c r="D20" s="41" t="s">
        <v>296</v>
      </c>
      <c r="E20" s="23" t="str">
        <f>IF(VLOOKUP(C20,'Actions Gap Analysis'!$H$1:$L$148,1,FALSE)&gt;0,"Found","Not Found")</f>
        <v>Found</v>
      </c>
      <c r="F20" s="44" t="s">
        <v>221</v>
      </c>
      <c r="G20" s="23" t="str">
        <f>IF(VLOOKUP(F20,'Actions Gap Analysis'!$F$1:$L$148,1,FALSE)&gt;0,"Found","Not Found")</f>
        <v>Found</v>
      </c>
      <c r="H20" s="53" t="s">
        <v>203</v>
      </c>
      <c r="I20" s="23" t="s">
        <v>284</v>
      </c>
    </row>
    <row r="21" spans="1:9">
      <c r="A21" s="52" t="s">
        <v>133</v>
      </c>
      <c r="B21" s="23" t="str">
        <f>IF(VLOOKUP(A21,'Actions Gap Analysis'!$A$1:$L$44,1,FALSE)&gt;0,"Found","Not Found")</f>
        <v>Found</v>
      </c>
      <c r="C21" s="53" t="s">
        <v>203</v>
      </c>
      <c r="D21" s="40" t="s">
        <v>202</v>
      </c>
      <c r="E21" s="23" t="s">
        <v>284</v>
      </c>
      <c r="F21" s="46" t="s">
        <v>229</v>
      </c>
      <c r="G21" s="23" t="str">
        <f>IF(VLOOKUP(F21,'Actions Gap Analysis'!$F$1:$L$148,1,FALSE)&gt;0,"Found","Not Found")</f>
        <v>Found</v>
      </c>
    </row>
    <row r="22" spans="1:9">
      <c r="A22" s="52" t="s">
        <v>135</v>
      </c>
      <c r="B22" s="23" t="str">
        <f>IF(VLOOKUP(A22,'Actions Gap Analysis'!$A$1:$L$44,1,FALSE)&gt;0,"Found","Not Found")</f>
        <v>Found</v>
      </c>
      <c r="F22" s="53" t="s">
        <v>203</v>
      </c>
      <c r="G22" s="23" t="e">
        <f>IF(VLOOKUP(F22,'Actions Gap Analysis'!$F$1:$L$148,1,FALSE)&gt;0,"Found","Not Found")</f>
        <v>#N/A</v>
      </c>
    </row>
    <row r="23" spans="1:9">
      <c r="A23" s="52" t="s">
        <v>110</v>
      </c>
      <c r="B23" s="23" t="str">
        <f>IF(VLOOKUP(A23,'Actions Gap Analysis'!$A$1:$L$44,1,FALSE)&gt;0,"Found","Not Found")</f>
        <v>Found</v>
      </c>
    </row>
    <row r="24" spans="1:9">
      <c r="A24" s="52" t="s">
        <v>202</v>
      </c>
      <c r="B24" s="23" t="str">
        <f>IF(VLOOKUP(A24,'Actions Gap Analysis'!$A$1:$L$44,1,FALSE)&gt;0,"Found","Not Found")</f>
        <v>Found</v>
      </c>
    </row>
    <row r="25" spans="1:9">
      <c r="A25" s="52" t="s">
        <v>138</v>
      </c>
      <c r="B25" s="23" t="str">
        <f>IF(VLOOKUP(A25,'Actions Gap Analysis'!$A$1:$L$44,1,FALSE)&gt;0,"Found","Not Found")</f>
        <v>Found</v>
      </c>
    </row>
    <row r="26" spans="1:9">
      <c r="A26" s="52" t="s">
        <v>144</v>
      </c>
      <c r="B26" s="23" t="str">
        <f>IF(VLOOKUP(A26,'Actions Gap Analysis'!$A$1:$L$44,1,FALSE)&gt;0,"Found","Not Found")</f>
        <v>Found</v>
      </c>
    </row>
    <row r="27" spans="1:9">
      <c r="A27" s="52" t="s">
        <v>148</v>
      </c>
      <c r="B27" s="23" t="str">
        <f>IF(VLOOKUP(A27,'Actions Gap Analysis'!$A$1:$L$44,1,FALSE)&gt;0,"Found","Not Found")</f>
        <v>Found</v>
      </c>
    </row>
    <row r="28" spans="1:9" ht="15.65" customHeight="1">
      <c r="A28" s="52" t="s">
        <v>152</v>
      </c>
      <c r="B28" s="23" t="str">
        <f>IF(VLOOKUP(A28,'Actions Gap Analysis'!$A$1:$L$44,1,FALSE)&gt;0,"Found","Not Found")</f>
        <v>Found</v>
      </c>
    </row>
    <row r="29" spans="1:9">
      <c r="A29" s="52" t="s">
        <v>155</v>
      </c>
      <c r="B29" s="23" t="str">
        <f>IF(VLOOKUP(A29,'Actions Gap Analysis'!$A$1:$L$44,1,FALSE)&gt;0,"Found","Not Found")</f>
        <v>Found</v>
      </c>
    </row>
    <row r="30" spans="1:9">
      <c r="A30" s="52" t="s">
        <v>156</v>
      </c>
      <c r="B30" s="23" t="str">
        <f>IF(VLOOKUP(A30,'Actions Gap Analysis'!$A$1:$L$44,1,FALSE)&gt;0,"Found","Not Found")</f>
        <v>Found</v>
      </c>
    </row>
    <row r="31" spans="1:9">
      <c r="A31" s="52" t="s">
        <v>158</v>
      </c>
      <c r="B31" s="23" t="str">
        <f>IF(VLOOKUP(A31,'Actions Gap Analysis'!$A$1:$L$44,1,FALSE)&gt;0,"Found","Not Found")</f>
        <v>Found</v>
      </c>
    </row>
    <row r="32" spans="1:9">
      <c r="A32" s="22" t="s">
        <v>161</v>
      </c>
      <c r="B32" s="23" t="str">
        <f>IF(VLOOKUP(A32,'Actions Gap Analysis'!$A$1:$L$44,1,FALSE)&gt;0,"Found","Not Found")</f>
        <v>Found</v>
      </c>
    </row>
    <row r="33" spans="1:2">
      <c r="A33" s="52" t="s">
        <v>163</v>
      </c>
      <c r="B33" s="23" t="str">
        <f>IF(VLOOKUP(A33,'Actions Gap Analysis'!$A$1:$L$44,1,FALSE)&gt;0,"Found","Not Found")</f>
        <v>Found</v>
      </c>
    </row>
    <row r="34" spans="1:2">
      <c r="A34" s="52" t="s">
        <v>166</v>
      </c>
      <c r="B34" s="23" t="str">
        <f>IF(VLOOKUP(A34,'Actions Gap Analysis'!$A$1:$L$44,1,FALSE)&gt;0,"Found","Not Found")</f>
        <v>Found</v>
      </c>
    </row>
    <row r="35" spans="1:2">
      <c r="A35" s="52" t="s">
        <v>168</v>
      </c>
      <c r="B35" s="23" t="str">
        <f>IF(VLOOKUP(A35,'Actions Gap Analysis'!$A$1:$L$44,1,FALSE)&gt;0,"Found","Not Found")</f>
        <v>Found</v>
      </c>
    </row>
    <row r="36" spans="1:2">
      <c r="A36" s="52" t="s">
        <v>178</v>
      </c>
      <c r="B36" s="23" t="str">
        <f>IF(VLOOKUP(A36,'Actions Gap Analysis'!$A$1:$L$44,1,FALSE)&gt;0,"Found","Not Found")</f>
        <v>Found</v>
      </c>
    </row>
    <row r="37" spans="1:2">
      <c r="A37" s="52" t="s">
        <v>181</v>
      </c>
      <c r="B37" s="23" t="str">
        <f>IF(VLOOKUP(A37,'Actions Gap Analysis'!$A$1:$L$44,1,FALSE)&gt;0,"Found","Not Found")</f>
        <v>Found</v>
      </c>
    </row>
    <row r="38" spans="1:2">
      <c r="A38" s="54" t="s">
        <v>185</v>
      </c>
      <c r="B38" s="23" t="str">
        <f>IF(VLOOKUP(A38,'Actions Gap Analysis'!$A$1:$L$44,1,FALSE)&gt;0,"Found","Not Found")</f>
        <v>Found</v>
      </c>
    </row>
    <row r="39" spans="1:2">
      <c r="A39" s="54" t="s">
        <v>198</v>
      </c>
      <c r="B39" s="23" t="str">
        <f>IF(VLOOKUP(A39,'Actions Gap Analysis'!$A$1:$L$44,1,FALSE)&gt;0,"Found","Not Found")</f>
        <v>Found</v>
      </c>
    </row>
    <row r="40" spans="1:2">
      <c r="A40" s="54" t="s">
        <v>208</v>
      </c>
      <c r="B40" s="23" t="str">
        <f>IF(VLOOKUP(A40,'Actions Gap Analysis'!$A$1:$L$44,1,FALSE)&gt;0,"Found","Not Found")</f>
        <v>Found</v>
      </c>
    </row>
    <row r="41" spans="1:2">
      <c r="A41" s="54" t="s">
        <v>318</v>
      </c>
      <c r="B41" s="23" t="str">
        <f>IF(VLOOKUP(A41,'Actions Gap Analysis'!$A$1:$L$44,1,FALSE)&gt;0,"Found","Not Found")</f>
        <v>Found</v>
      </c>
    </row>
    <row r="42" spans="1:2">
      <c r="A42" s="54" t="s">
        <v>223</v>
      </c>
      <c r="B42" s="23" t="str">
        <f>IF(VLOOKUP(A42,'Actions Gap Analysis'!$A$1:$L$44,1,FALSE)&gt;0,"Found","Not Found")</f>
        <v>Found</v>
      </c>
    </row>
    <row r="43" spans="1:2">
      <c r="A43" s="53" t="s">
        <v>203</v>
      </c>
      <c r="B43" s="23" t="e">
        <f>IF(VLOOKUP(A43,'Actions Gap Analysis'!$A$1:$L$44,1,FALSE)&gt;0,"Found","Not Found")</f>
        <v>#N/A</v>
      </c>
    </row>
    <row r="44" spans="1:2">
      <c r="A44" s="53" t="s">
        <v>203</v>
      </c>
      <c r="B44" s="23" t="e">
        <f>IF(VLOOKUP(A44,'Actions Gap Analysis'!$A$1:$L$44,1,FALSE)&gt;0,"Found","Not Found")</f>
        <v>#N/A</v>
      </c>
    </row>
    <row r="45" spans="1:2">
      <c r="A45" s="53" t="s">
        <v>203</v>
      </c>
      <c r="B45" s="23" t="e">
        <f>IF(VLOOKUP(A45,'Actions Gap Analysis'!$A$1:$L$44,1,FALSE)&gt;0,"Found","Not Found")</f>
        <v>#N/A</v>
      </c>
    </row>
  </sheetData>
  <autoFilter ref="A2:I66" xr:uid="{02AE01AA-1FFD-424C-94A9-76979955587B}"/>
  <conditionalFormatting sqref="C3:C15">
    <cfRule type="duplicateValues" dxfId="5" priority="1"/>
  </conditionalFormatting>
  <conditionalFormatting sqref="I3:I20 E3:E21 G3:G22 B3:B45">
    <cfRule type="containsText" dxfId="4" priority="3" operator="containsText" text="Found">
      <formula>NOT(ISERROR(SEARCH("Found",B3)))</formula>
    </cfRule>
  </conditionalFormatting>
  <conditionalFormatting sqref="I3:I20 E3:E21 G3:G22">
    <cfRule type="containsErrors" dxfId="3" priority="2">
      <formula>ISERROR(E3)</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C97E9-A02E-47A7-895C-AFF5AC74CFD8}">
  <sheetPr codeName="Sheet7"/>
  <dimension ref="A1:I66"/>
  <sheetViews>
    <sheetView zoomScale="90" zoomScaleNormal="90" workbookViewId="0">
      <selection activeCell="C14" sqref="C14"/>
    </sheetView>
  </sheetViews>
  <sheetFormatPr defaultRowHeight="14.5"/>
  <cols>
    <col min="1" max="1" width="36.453125" bestFit="1" customWidth="1"/>
    <col min="2" max="2" width="12.1796875" bestFit="1" customWidth="1"/>
    <col min="3" max="4" width="32.81640625" customWidth="1"/>
    <col min="5" max="5" width="12.1796875" bestFit="1" customWidth="1"/>
    <col min="6" max="6" width="35.54296875" bestFit="1" customWidth="1"/>
    <col min="7" max="7" width="12.1796875" bestFit="1" customWidth="1"/>
    <col min="8" max="8" width="59.54296875" bestFit="1" customWidth="1"/>
    <col min="9" max="9" width="12.1796875" bestFit="1" customWidth="1"/>
  </cols>
  <sheetData>
    <row r="1" spans="1:9" ht="15.65" customHeight="1">
      <c r="A1" s="9" t="s">
        <v>38</v>
      </c>
      <c r="B1" s="9"/>
      <c r="C1" s="2" t="s">
        <v>20</v>
      </c>
      <c r="D1" s="6"/>
      <c r="E1" s="6"/>
      <c r="F1" s="6" t="s">
        <v>35</v>
      </c>
      <c r="G1" s="6"/>
      <c r="H1" s="2" t="s">
        <v>278</v>
      </c>
      <c r="I1" s="2"/>
    </row>
    <row r="2" spans="1:9">
      <c r="A2" s="10" t="s">
        <v>303</v>
      </c>
      <c r="B2" s="10" t="s">
        <v>3988</v>
      </c>
      <c r="C2" s="3" t="s">
        <v>303</v>
      </c>
      <c r="D2" s="55"/>
      <c r="E2" s="10" t="s">
        <v>3988</v>
      </c>
      <c r="F2" s="3" t="s">
        <v>303</v>
      </c>
      <c r="G2" s="10" t="s">
        <v>3988</v>
      </c>
      <c r="H2" s="3" t="s">
        <v>303</v>
      </c>
      <c r="I2" s="10" t="s">
        <v>3988</v>
      </c>
    </row>
    <row r="3" spans="1:9">
      <c r="A3" s="29" t="s">
        <v>262</v>
      </c>
      <c r="B3" s="23" t="str">
        <f>IF(VLOOKUP(A3,'Actions Gap Analysis'!$A$1:$L$44,1,FALSE)&gt;0,"Found","Not Found")</f>
        <v>Found</v>
      </c>
      <c r="C3" s="40" t="s">
        <v>58</v>
      </c>
      <c r="D3" s="38" t="s">
        <v>47</v>
      </c>
      <c r="E3" s="23" t="e">
        <f>IF(VLOOKUP(C3,'Actions Gap Analysis'!$H$1:$L$148,1,FALSE)&gt;0,"Found","Not Found")</f>
        <v>#N/A</v>
      </c>
      <c r="F3" s="7" t="s">
        <v>3989</v>
      </c>
      <c r="G3" s="23" t="e">
        <f>IF(VLOOKUP(F3,'Actions Gap Analysis'!$F$1:$L$148,1,FALSE)&gt;0,"Found","Not Found")</f>
        <v>#N/A</v>
      </c>
      <c r="H3" s="37" t="s">
        <v>3990</v>
      </c>
      <c r="I3" s="23" t="e">
        <f>IF(VLOOKUP(H3,'Actions Gap Analysis'!$G$1:$L$150,1,FALSE)&gt;0,"Found","Not Found")</f>
        <v>#N/A</v>
      </c>
    </row>
    <row r="4" spans="1:9">
      <c r="A4" s="28" t="s">
        <v>269</v>
      </c>
      <c r="B4" s="23" t="str">
        <f>IF(VLOOKUP(A4,'Actions Gap Analysis'!$A$1:$L$44,1,FALSE)&gt;0,"Found","Not Found")</f>
        <v>Found</v>
      </c>
      <c r="C4" s="41" t="s">
        <v>102</v>
      </c>
      <c r="D4" s="38" t="s">
        <v>102</v>
      </c>
      <c r="E4" s="23" t="e">
        <f>IF(VLOOKUP(C4,'Actions Gap Analysis'!$H$1:$L$148,1,FALSE)&gt;0,"Found","Not Found")</f>
        <v>#N/A</v>
      </c>
      <c r="F4" s="7" t="s">
        <v>3991</v>
      </c>
      <c r="G4" s="23" t="e">
        <f>IF(VLOOKUP(F4,'Actions Gap Analysis'!$F$1:$L$148,1,FALSE)&gt;0,"Found","Not Found")</f>
        <v>#N/A</v>
      </c>
      <c r="H4" s="37" t="s">
        <v>3992</v>
      </c>
      <c r="I4" s="23" t="e">
        <f>IF(VLOOKUP(H4,'Actions Gap Analysis'!$G$1:$L$150,1,FALSE)&gt;0,"Found","Not Found")</f>
        <v>#N/A</v>
      </c>
    </row>
    <row r="5" spans="1:9">
      <c r="A5" s="28" t="s">
        <v>55</v>
      </c>
      <c r="B5" s="23" t="str">
        <f>IF(VLOOKUP(A5,'Actions Gap Analysis'!$A$1:$L$44,1,FALSE)&gt;0,"Found","Not Found")</f>
        <v>Found</v>
      </c>
      <c r="C5" s="40" t="s">
        <v>282</v>
      </c>
      <c r="D5" s="38" t="s">
        <v>65</v>
      </c>
      <c r="E5" s="23" t="e">
        <f>IF(VLOOKUP(C5,'Actions Gap Analysis'!$H$1:$L$148,1,FALSE)&gt;0,"Found","Not Found")</f>
        <v>#N/A</v>
      </c>
      <c r="F5" s="1" t="s">
        <v>3993</v>
      </c>
      <c r="G5" s="23" t="e">
        <f>IF(VLOOKUP(F5,'Actions Gap Analysis'!$F$1:$L$148,1,FALSE)&gt;0,"Found","Not Found")</f>
        <v>#N/A</v>
      </c>
      <c r="H5" s="37" t="s">
        <v>3994</v>
      </c>
      <c r="I5" s="23" t="e">
        <f>IF(VLOOKUP(H5,'Actions Gap Analysis'!$G$1:$L$150,1,FALSE)&gt;0,"Found","Not Found")</f>
        <v>#N/A</v>
      </c>
    </row>
    <row r="6" spans="1:9">
      <c r="A6" s="28" t="s">
        <v>70</v>
      </c>
      <c r="B6" s="23" t="str">
        <f>IF(VLOOKUP(A6,'Actions Gap Analysis'!$A$1:$L$44,1,FALSE)&gt;0,"Found","Not Found")</f>
        <v>Found</v>
      </c>
      <c r="C6" s="40" t="s">
        <v>76</v>
      </c>
      <c r="D6" s="38" t="s">
        <v>74</v>
      </c>
      <c r="E6" s="23" t="e">
        <f>IF(VLOOKUP(C6,'Actions Gap Analysis'!$H$1:$L$148,1,FALSE)&gt;0,"Found","Not Found")</f>
        <v>#N/A</v>
      </c>
      <c r="F6" s="1" t="s">
        <v>3995</v>
      </c>
      <c r="G6" s="23" t="e">
        <f>IF(VLOOKUP(F6,'Actions Gap Analysis'!$F$1:$L$148,1,FALSE)&gt;0,"Found","Not Found")</f>
        <v>#N/A</v>
      </c>
      <c r="H6" s="35" t="s">
        <v>3996</v>
      </c>
      <c r="I6" s="23" t="e">
        <f>IF(VLOOKUP(H6,'Actions Gap Analysis'!$G$1:$L$150,1,FALSE)&gt;0,"Found","Not Found")</f>
        <v>#N/A</v>
      </c>
    </row>
    <row r="7" spans="1:9">
      <c r="A7" s="28" t="s">
        <v>172</v>
      </c>
      <c r="B7" s="23" t="str">
        <f>IF(VLOOKUP(A7,'Actions Gap Analysis'!$A$1:$L$44,1,FALSE)&gt;0,"Found","Not Found")</f>
        <v>Found</v>
      </c>
      <c r="C7" s="40" t="s">
        <v>87</v>
      </c>
      <c r="D7" s="38" t="s">
        <v>80</v>
      </c>
      <c r="E7" s="23" t="e">
        <f>IF(VLOOKUP(C7,'Actions Gap Analysis'!$H$1:$L$148,1,FALSE)&gt;0,"Found","Not Found")</f>
        <v>#N/A</v>
      </c>
      <c r="F7" s="1" t="s">
        <v>3997</v>
      </c>
      <c r="G7" s="23" t="e">
        <f>IF(VLOOKUP(F7,'Actions Gap Analysis'!$F$1:$L$148,1,FALSE)&gt;0,"Found","Not Found")</f>
        <v>#N/A</v>
      </c>
      <c r="H7" s="35" t="s">
        <v>3998</v>
      </c>
      <c r="I7" s="23" t="e">
        <f>IF(VLOOKUP(H7,'Actions Gap Analysis'!$G$1:$L$150,1,FALSE)&gt;0,"Found","Not Found")</f>
        <v>#N/A</v>
      </c>
    </row>
    <row r="8" spans="1:9">
      <c r="A8" s="28" t="s">
        <v>3999</v>
      </c>
      <c r="B8" s="23" t="e">
        <f>IF(VLOOKUP(A8,'Actions Gap Analysis'!$A$1:$L$44,1,FALSE)&gt;0,"Found","Not Found")</f>
        <v>#N/A</v>
      </c>
      <c r="C8" s="40" t="s">
        <v>176</v>
      </c>
      <c r="D8" s="38" t="s">
        <v>170</v>
      </c>
      <c r="E8" s="23" t="e">
        <f>IF(VLOOKUP(C8,'Actions Gap Analysis'!$H$1:$L$148,1,FALSE)&gt;0,"Found","Not Found")</f>
        <v>#N/A</v>
      </c>
      <c r="F8" s="1" t="s">
        <v>211</v>
      </c>
      <c r="G8" s="23" t="str">
        <f>IF(VLOOKUP(F8,'Actions Gap Analysis'!$F$1:$L$148,1,FALSE)&gt;0,"Found","Not Found")</f>
        <v>Found</v>
      </c>
      <c r="H8" s="35" t="s">
        <v>209</v>
      </c>
      <c r="I8" s="23" t="e">
        <f>IF(VLOOKUP(H8,'Actions Gap Analysis'!$G$1:$L$150,1,FALSE)&gt;0,"Found","Not Found")</f>
        <v>#N/A</v>
      </c>
    </row>
    <row r="9" spans="1:9">
      <c r="A9" s="28" t="s">
        <v>4000</v>
      </c>
      <c r="B9" s="23" t="e">
        <f>IF(VLOOKUP(A9,'Actions Gap Analysis'!$A$1:$L$44,1,FALSE)&gt;0,"Found","Not Found")</f>
        <v>#N/A</v>
      </c>
      <c r="C9" s="40" t="s">
        <v>285</v>
      </c>
      <c r="D9" s="38" t="s">
        <v>115</v>
      </c>
      <c r="E9" s="23" t="e">
        <f>IF(VLOOKUP(C9,'Actions Gap Analysis'!$H$1:$L$148,1,FALSE)&gt;0,"Found","Not Found")</f>
        <v>#N/A</v>
      </c>
      <c r="F9" s="1" t="s">
        <v>4001</v>
      </c>
      <c r="G9" s="23" t="e">
        <f>IF(VLOOKUP(F9,'Actions Gap Analysis'!$F$1:$L$148,1,FALSE)&gt;0,"Found","Not Found")</f>
        <v>#N/A</v>
      </c>
      <c r="H9" s="37" t="s">
        <v>4002</v>
      </c>
      <c r="I9" s="23" t="e">
        <f>IF(VLOOKUP(H9,'Actions Gap Analysis'!$G$1:$L$150,1,FALSE)&gt;0,"Found","Not Found")</f>
        <v>#N/A</v>
      </c>
    </row>
    <row r="10" spans="1:9">
      <c r="A10" s="28" t="s">
        <v>4003</v>
      </c>
      <c r="B10" s="23" t="e">
        <f>IF(VLOOKUP(A10,'Actions Gap Analysis'!$A$1:$L$44,1,FALSE)&gt;0,"Found","Not Found")</f>
        <v>#N/A</v>
      </c>
      <c r="C10" s="40" t="s">
        <v>128</v>
      </c>
      <c r="D10" s="38" t="s">
        <v>122</v>
      </c>
      <c r="E10" s="23" t="e">
        <f>IF(VLOOKUP(C10,'Actions Gap Analysis'!$H$1:$L$148,1,FALSE)&gt;0,"Found","Not Found")</f>
        <v>#N/A</v>
      </c>
      <c r="F10" s="1" t="s">
        <v>4004</v>
      </c>
      <c r="G10" s="23" t="e">
        <f>IF(VLOOKUP(F10,'Actions Gap Analysis'!$F$1:$L$148,1,FALSE)&gt;0,"Found","Not Found")</f>
        <v>#N/A</v>
      </c>
      <c r="H10" s="36" t="s">
        <v>4005</v>
      </c>
      <c r="I10" s="23" t="e">
        <f>IF(VLOOKUP(H10,'Actions Gap Analysis'!$G$1:$L$150,1,FALSE)&gt;0,"Found","Not Found")</f>
        <v>#N/A</v>
      </c>
    </row>
    <row r="11" spans="1:9">
      <c r="A11" s="28" t="s">
        <v>4006</v>
      </c>
      <c r="B11" s="23" t="e">
        <f>IF(VLOOKUP(A11,'Actions Gap Analysis'!$A$1:$L$44,1,FALSE)&gt;0,"Found","Not Found")</f>
        <v>#N/A</v>
      </c>
      <c r="C11" s="40" t="s">
        <v>286</v>
      </c>
      <c r="D11" s="38" t="s">
        <v>93</v>
      </c>
      <c r="E11" s="23" t="e">
        <f>IF(VLOOKUP(C11,'Actions Gap Analysis'!$H$1:$L$148,1,FALSE)&gt;0,"Found","Not Found")</f>
        <v>#N/A</v>
      </c>
      <c r="F11" s="1" t="s">
        <v>4007</v>
      </c>
      <c r="G11" s="23" t="e">
        <f>IF(VLOOKUP(F11,'Actions Gap Analysis'!$F$1:$L$148,1,FALSE)&gt;0,"Found","Not Found")</f>
        <v>#N/A</v>
      </c>
      <c r="H11" s="35" t="s">
        <v>4008</v>
      </c>
      <c r="I11" s="23" t="e">
        <f>IF(VLOOKUP(H11,'Actions Gap Analysis'!$G$1:$L$150,1,FALSE)&gt;0,"Found","Not Found")</f>
        <v>#N/A</v>
      </c>
    </row>
    <row r="12" spans="1:9">
      <c r="A12" s="28" t="s">
        <v>135</v>
      </c>
      <c r="B12" s="23" t="str">
        <f>IF(VLOOKUP(A12,'Actions Gap Analysis'!$A$1:$L$44,1,FALSE)&gt;0,"Found","Not Found")</f>
        <v>Found</v>
      </c>
      <c r="C12" s="40" t="s">
        <v>281</v>
      </c>
      <c r="D12" s="38" t="s">
        <v>111</v>
      </c>
      <c r="E12" s="23" t="e">
        <f>IF(VLOOKUP(C12,'Actions Gap Analysis'!$H$1:$L$148,1,FALSE)&gt;0,"Found","Not Found")</f>
        <v>#N/A</v>
      </c>
      <c r="F12" s="1" t="s">
        <v>4009</v>
      </c>
      <c r="G12" s="23" t="e">
        <f>IF(VLOOKUP(F12,'Actions Gap Analysis'!$F$1:$L$148,1,FALSE)&gt;0,"Found","Not Found")</f>
        <v>#N/A</v>
      </c>
      <c r="H12" s="35" t="s">
        <v>187</v>
      </c>
      <c r="I12" s="23" t="e">
        <f>IF(VLOOKUP(H12,'Actions Gap Analysis'!$G$1:$L$150,1,FALSE)&gt;0,"Found","Not Found")</f>
        <v>#N/A</v>
      </c>
    </row>
    <row r="13" spans="1:9">
      <c r="A13" s="28" t="s">
        <v>114</v>
      </c>
      <c r="B13" s="23" t="str">
        <f>IF(VLOOKUP(A13,'Actions Gap Analysis'!$A$1:$L$44,1,FALSE)&gt;0,"Found","Not Found")</f>
        <v>Found</v>
      </c>
      <c r="C13" s="40" t="s">
        <v>287</v>
      </c>
      <c r="D13" s="38" t="s">
        <v>179</v>
      </c>
      <c r="E13" s="23" t="e">
        <f>IF(VLOOKUP(C13,'Actions Gap Analysis'!$H$1:$L$148,1,FALSE)&gt;0,"Found","Not Found")</f>
        <v>#N/A</v>
      </c>
      <c r="F13" s="1" t="s">
        <v>4010</v>
      </c>
      <c r="G13" s="23" t="e">
        <f>IF(VLOOKUP(F13,'Actions Gap Analysis'!$F$1:$L$148,1,FALSE)&gt;0,"Found","Not Found")</f>
        <v>#N/A</v>
      </c>
      <c r="H13" s="37" t="s">
        <v>4011</v>
      </c>
      <c r="I13" s="23" t="e">
        <f>IF(VLOOKUP(H13,'Actions Gap Analysis'!$G$1:$L$150,1,FALSE)&gt;0,"Found","Not Found")</f>
        <v>#N/A</v>
      </c>
    </row>
    <row r="14" spans="1:9">
      <c r="A14" s="28" t="s">
        <v>3944</v>
      </c>
      <c r="B14" s="23" t="e">
        <f>IF(VLOOKUP(A14,'Actions Gap Analysis'!$A$1:$L$44,1,FALSE)&gt;0,"Found","Not Found")</f>
        <v>#N/A</v>
      </c>
      <c r="C14" s="41" t="s">
        <v>257</v>
      </c>
      <c r="D14" s="38" t="s">
        <v>257</v>
      </c>
      <c r="E14" s="23" t="str">
        <f>IF(VLOOKUP(C14,'Actions Gap Analysis'!$H$1:$L$148,1,FALSE)&gt;0,"Found","Not Found")</f>
        <v>Found</v>
      </c>
      <c r="F14" s="1" t="s">
        <v>4012</v>
      </c>
      <c r="G14" s="23" t="e">
        <f>IF(VLOOKUP(F14,'Actions Gap Analysis'!$F$1:$L$148,1,FALSE)&gt;0,"Found","Not Found")</f>
        <v>#N/A</v>
      </c>
      <c r="H14" s="35" t="s">
        <v>4013</v>
      </c>
      <c r="I14" s="23" t="e">
        <f>IF(VLOOKUP(H14,'Actions Gap Analysis'!$G$1:$L$150,1,FALSE)&gt;0,"Found","Not Found")</f>
        <v>#N/A</v>
      </c>
    </row>
    <row r="15" spans="1:9">
      <c r="A15" s="28" t="s">
        <v>4014</v>
      </c>
      <c r="B15" s="23" t="e">
        <f>IF(VLOOKUP(A15,'Actions Gap Analysis'!$A$1:$L$44,1,FALSE)&gt;0,"Found","Not Found")</f>
        <v>#N/A</v>
      </c>
      <c r="C15" s="41" t="s">
        <v>290</v>
      </c>
      <c r="D15" s="38" t="s">
        <v>183</v>
      </c>
      <c r="E15" s="23" t="e">
        <f>IF(VLOOKUP(C15,'Actions Gap Analysis'!$H$1:$L$148,1,FALSE)&gt;0,"Found","Not Found")</f>
        <v>#N/A</v>
      </c>
      <c r="F15" s="1" t="s">
        <v>4015</v>
      </c>
      <c r="G15" s="23" t="e">
        <f>IF(VLOOKUP(F15,'Actions Gap Analysis'!$F$1:$L$148,1,FALSE)&gt;0,"Found","Not Found")</f>
        <v>#N/A</v>
      </c>
      <c r="H15" s="35" t="s">
        <v>4016</v>
      </c>
      <c r="I15" s="23" t="e">
        <f>IF(VLOOKUP(H15,'Actions Gap Analysis'!$G$1:$L$150,1,FALSE)&gt;0,"Found","Not Found")</f>
        <v>#N/A</v>
      </c>
    </row>
    <row r="16" spans="1:9">
      <c r="A16" s="28" t="s">
        <v>158</v>
      </c>
      <c r="B16" s="23" t="str">
        <f>IF(VLOOKUP(A16,'Actions Gap Analysis'!$A$1:$L$44,1,FALSE)&gt;0,"Found","Not Found")</f>
        <v>Found</v>
      </c>
      <c r="C16" s="40" t="s">
        <v>141</v>
      </c>
      <c r="D16" s="38" t="s">
        <v>139</v>
      </c>
      <c r="E16" s="23" t="e">
        <f>IF(VLOOKUP(C16,'Actions Gap Analysis'!$H$1:$L$148,1,FALSE)&gt;0,"Found","Not Found")</f>
        <v>#N/A</v>
      </c>
      <c r="F16" s="1" t="s">
        <v>4017</v>
      </c>
      <c r="G16" s="23" t="e">
        <f>IF(VLOOKUP(F16,'Actions Gap Analysis'!$F$1:$L$148,1,FALSE)&gt;0,"Found","Not Found")</f>
        <v>#N/A</v>
      </c>
      <c r="H16" s="35" t="s">
        <v>4018</v>
      </c>
      <c r="I16" s="23" t="e">
        <f>IF(VLOOKUP(H16,'Actions Gap Analysis'!$G$1:$L$150,1,FALSE)&gt;0,"Found","Not Found")</f>
        <v>#N/A</v>
      </c>
    </row>
    <row r="17" spans="1:9">
      <c r="A17" s="28" t="s">
        <v>307</v>
      </c>
      <c r="B17" s="23" t="e">
        <f>IF(VLOOKUP(A17,'Actions Gap Analysis'!$A$1:$L$44,1,FALSE)&gt;0,"Found","Not Found")</f>
        <v>#N/A</v>
      </c>
      <c r="C17" s="20" t="s">
        <v>291</v>
      </c>
      <c r="D17" s="20" t="s">
        <v>232</v>
      </c>
      <c r="E17" s="23" t="e">
        <f>IF(VLOOKUP(C17,'Actions Gap Analysis'!$H$1:$L$148,1,FALSE)&gt;0,"Found","Not Found")</f>
        <v>#N/A</v>
      </c>
      <c r="F17" s="1" t="s">
        <v>4019</v>
      </c>
      <c r="G17" s="23" t="e">
        <f>IF(VLOOKUP(F17,'Actions Gap Analysis'!$F$1:$L$148,1,FALSE)&gt;0,"Found","Not Found")</f>
        <v>#N/A</v>
      </c>
      <c r="H17" s="34" t="s">
        <v>4020</v>
      </c>
      <c r="I17" s="23" t="e">
        <f>IF(VLOOKUP(H17,'Actions Gap Analysis'!$G$1:$L$150,1,FALSE)&gt;0,"Found","Not Found")</f>
        <v>#N/A</v>
      </c>
    </row>
    <row r="18" spans="1:9">
      <c r="A18" s="28" t="s">
        <v>4021</v>
      </c>
      <c r="B18" s="23" t="e">
        <f>IF(VLOOKUP(A18,'Actions Gap Analysis'!$A$1:$L$44,1,FALSE)&gt;0,"Found","Not Found")</f>
        <v>#N/A</v>
      </c>
      <c r="C18" s="41" t="s">
        <v>295</v>
      </c>
      <c r="D18" s="50" t="s">
        <v>240</v>
      </c>
      <c r="E18" s="23" t="e">
        <f>IF(VLOOKUP(C18,'Actions Gap Analysis'!$H$1:$L$148,1,FALSE)&gt;0,"Found","Not Found")</f>
        <v>#N/A</v>
      </c>
      <c r="F18" s="1" t="s">
        <v>4022</v>
      </c>
      <c r="G18" s="23" t="e">
        <f>IF(VLOOKUP(F18,'Actions Gap Analysis'!$F$1:$L$148,1,FALSE)&gt;0,"Found","Not Found")</f>
        <v>#N/A</v>
      </c>
      <c r="H18" s="34" t="s">
        <v>245</v>
      </c>
      <c r="I18" s="23" t="str">
        <f>IF(VLOOKUP(H18,'Actions Gap Analysis'!$G$1:$L$150,1,FALSE)&gt;0,"Found","Not Found")</f>
        <v>Found</v>
      </c>
    </row>
    <row r="19" spans="1:9">
      <c r="A19" s="28" t="s">
        <v>4023</v>
      </c>
      <c r="B19" s="23" t="e">
        <f>IF(VLOOKUP(A19,'Actions Gap Analysis'!$A$1:$L$44,1,FALSE)&gt;0,"Found","Not Found")</f>
        <v>#N/A</v>
      </c>
      <c r="C19" s="41" t="s">
        <v>294</v>
      </c>
      <c r="D19" s="50" t="s">
        <v>206</v>
      </c>
      <c r="E19" s="23" t="e">
        <f>IF(VLOOKUP(C19,'Actions Gap Analysis'!$H$1:$L$148,1,FALSE)&gt;0,"Found","Not Found")</f>
        <v>#N/A</v>
      </c>
      <c r="F19" s="1" t="s">
        <v>4024</v>
      </c>
      <c r="G19" s="23" t="e">
        <f>IF(VLOOKUP(F19,'Actions Gap Analysis'!$F$1:$L$148,1,FALSE)&gt;0,"Found","Not Found")</f>
        <v>#N/A</v>
      </c>
      <c r="H19" s="34" t="s">
        <v>219</v>
      </c>
      <c r="I19" s="23" t="str">
        <f>IF(VLOOKUP(H19,'Actions Gap Analysis'!$G$1:$L$150,1,FALSE)&gt;0,"Found","Not Found")</f>
        <v>Found</v>
      </c>
    </row>
    <row r="20" spans="1:9">
      <c r="A20" s="28" t="s">
        <v>4025</v>
      </c>
      <c r="B20" s="23" t="e">
        <f>IF(VLOOKUP(A20,'Actions Gap Analysis'!$A$1:$L$44,1,FALSE)&gt;0,"Found","Not Found")</f>
        <v>#N/A</v>
      </c>
      <c r="C20" s="41" t="s">
        <v>296</v>
      </c>
      <c r="D20" s="50" t="s">
        <v>215</v>
      </c>
      <c r="E20" s="23" t="e">
        <f>IF(VLOOKUP(C20,'Actions Gap Analysis'!$H$1:$L$148,1,FALSE)&gt;0,"Found","Not Found")</f>
        <v>#N/A</v>
      </c>
      <c r="F20" s="1" t="s">
        <v>4026</v>
      </c>
      <c r="G20" s="23" t="e">
        <f>IF(VLOOKUP(F20,'Actions Gap Analysis'!$F$1:$L$148,1,FALSE)&gt;0,"Found","Not Found")</f>
        <v>#N/A</v>
      </c>
      <c r="H20" s="33" t="s">
        <v>4027</v>
      </c>
      <c r="I20" s="23" t="s">
        <v>284</v>
      </c>
    </row>
    <row r="21" spans="1:9">
      <c r="A21" s="28" t="s">
        <v>4028</v>
      </c>
      <c r="B21" s="23" t="e">
        <f>IF(VLOOKUP(A21,'Actions Gap Analysis'!$A$1:$L$44,1,FALSE)&gt;0,"Found","Not Found")</f>
        <v>#N/A</v>
      </c>
      <c r="C21" s="40" t="s">
        <v>202</v>
      </c>
      <c r="D21" s="75" t="s">
        <v>3932</v>
      </c>
      <c r="E21" s="23" t="e">
        <f>IF(VLOOKUP(C21,'Actions Gap Analysis'!$H$1:$L$148,1,FALSE)&gt;0,"Found","Not Found")</f>
        <v>#N/A</v>
      </c>
      <c r="F21" s="1" t="s">
        <v>4029</v>
      </c>
      <c r="G21" s="23" t="e">
        <f>IF(VLOOKUP(F21,'Actions Gap Analysis'!$F$1:$L$148,1,FALSE)&gt;0,"Found","Not Found")</f>
        <v>#N/A</v>
      </c>
      <c r="H21" s="33" t="s">
        <v>4030</v>
      </c>
      <c r="I21" s="23" t="s">
        <v>284</v>
      </c>
    </row>
    <row r="22" spans="1:9">
      <c r="A22" s="28" t="s">
        <v>4031</v>
      </c>
      <c r="B22" s="23" t="e">
        <f>IF(VLOOKUP(A22,'Actions Gap Analysis'!$A$1:$L$44,1,FALSE)&gt;0,"Found","Not Found")</f>
        <v>#N/A</v>
      </c>
      <c r="F22" s="1" t="s">
        <v>4032</v>
      </c>
      <c r="G22" s="23" t="e">
        <f>IF(VLOOKUP(F22,'Actions Gap Analysis'!$F$1:$L$148,1,FALSE)&gt;0,"Found","Not Found")</f>
        <v>#N/A</v>
      </c>
      <c r="H22" s="33" t="s">
        <v>4033</v>
      </c>
      <c r="I22" s="23" t="s">
        <v>284</v>
      </c>
    </row>
    <row r="23" spans="1:9">
      <c r="A23" s="28" t="s">
        <v>4034</v>
      </c>
      <c r="B23" s="23" t="e">
        <f>IF(VLOOKUP(A23,'Actions Gap Analysis'!$A$1:$L$44,1,FALSE)&gt;0,"Found","Not Found")</f>
        <v>#N/A</v>
      </c>
      <c r="F23" s="1" t="s">
        <v>4035</v>
      </c>
      <c r="G23" s="23" t="e">
        <f>IF(VLOOKUP(F23,'Actions Gap Analysis'!$F$1:$L$148,1,FALSE)&gt;0,"Found","Not Found")</f>
        <v>#N/A</v>
      </c>
    </row>
    <row r="24" spans="1:9">
      <c r="A24" s="28" t="s">
        <v>4036</v>
      </c>
      <c r="B24" s="23" t="e">
        <f>IF(VLOOKUP(A24,'Actions Gap Analysis'!$A$1:$L$44,1,FALSE)&gt;0,"Found","Not Found")</f>
        <v>#N/A</v>
      </c>
      <c r="F24" s="1" t="s">
        <v>4037</v>
      </c>
      <c r="G24" s="23" t="e">
        <f>IF(VLOOKUP(F24,'Actions Gap Analysis'!$F$1:$L$148,1,FALSE)&gt;0,"Found","Not Found")</f>
        <v>#N/A</v>
      </c>
    </row>
    <row r="25" spans="1:9">
      <c r="A25" s="28" t="s">
        <v>4038</v>
      </c>
      <c r="B25" s="23" t="e">
        <f>IF(VLOOKUP(A25,'Actions Gap Analysis'!$A$1:$L$44,1,FALSE)&gt;0,"Found","Not Found")</f>
        <v>#N/A</v>
      </c>
      <c r="F25" s="4" t="s">
        <v>4039</v>
      </c>
      <c r="G25" s="23" t="e">
        <f>IF(VLOOKUP(F25,'Actions Gap Analysis'!$F$1:$L$148,1,FALSE)&gt;0,"Found","Not Found")</f>
        <v>#N/A</v>
      </c>
    </row>
    <row r="26" spans="1:9">
      <c r="A26" s="28" t="s">
        <v>4040</v>
      </c>
      <c r="B26" s="23" t="e">
        <f>IF(VLOOKUP(A26,'Actions Gap Analysis'!$A$1:$L$44,1,FALSE)&gt;0,"Found","Not Found")</f>
        <v>#N/A</v>
      </c>
      <c r="F26" s="8" t="s">
        <v>248</v>
      </c>
      <c r="G26" s="23" t="str">
        <f>IF(VLOOKUP(F26,'Actions Gap Analysis'!$F$1:$L$148,1,FALSE)&gt;0,"Found","Not Found")</f>
        <v>Found</v>
      </c>
    </row>
    <row r="27" spans="1:9">
      <c r="A27" s="28" t="s">
        <v>4041</v>
      </c>
      <c r="B27" s="23" t="e">
        <f>IF(VLOOKUP(A27,'Actions Gap Analysis'!$A$1:$L$44,1,FALSE)&gt;0,"Found","Not Found")</f>
        <v>#N/A</v>
      </c>
      <c r="F27" s="8" t="s">
        <v>221</v>
      </c>
      <c r="G27" s="23" t="str">
        <f>IF(VLOOKUP(F27,'Actions Gap Analysis'!$F$1:$L$148,1,FALSE)&gt;0,"Found","Not Found")</f>
        <v>Found</v>
      </c>
    </row>
    <row r="28" spans="1:9" ht="15.65" customHeight="1">
      <c r="A28" s="28" t="s">
        <v>4042</v>
      </c>
      <c r="B28" s="23" t="e">
        <f>IF(VLOOKUP(A28,'Actions Gap Analysis'!$A$1:$L$44,1,FALSE)&gt;0,"Found","Not Found")</f>
        <v>#N/A</v>
      </c>
      <c r="F28" s="8" t="s">
        <v>229</v>
      </c>
      <c r="G28" s="23" t="str">
        <f>IF(VLOOKUP(F28,'Actions Gap Analysis'!$F$1:$L$148,1,FALSE)&gt;0,"Found","Not Found")</f>
        <v>Found</v>
      </c>
    </row>
    <row r="29" spans="1:9">
      <c r="A29" s="28" t="s">
        <v>4043</v>
      </c>
      <c r="B29" s="23" t="e">
        <f>IF(VLOOKUP(A29,'Actions Gap Analysis'!$A$1:$L$44,1,FALSE)&gt;0,"Found","Not Found")</f>
        <v>#N/A</v>
      </c>
      <c r="F29" s="21" t="s">
        <v>4027</v>
      </c>
      <c r="G29" s="23" t="s">
        <v>284</v>
      </c>
    </row>
    <row r="30" spans="1:9">
      <c r="A30" s="28" t="s">
        <v>61</v>
      </c>
      <c r="B30" s="23" t="str">
        <f>IF(VLOOKUP(A30,'Actions Gap Analysis'!$A$1:$L$44,1,FALSE)&gt;0,"Found","Not Found")</f>
        <v>Found</v>
      </c>
      <c r="F30" s="21" t="s">
        <v>4030</v>
      </c>
      <c r="G30" s="23" t="s">
        <v>284</v>
      </c>
    </row>
    <row r="31" spans="1:9">
      <c r="A31" s="28" t="s">
        <v>4044</v>
      </c>
      <c r="B31" s="23" t="e">
        <f>IF(VLOOKUP(A31,'Actions Gap Analysis'!$A$1:$L$44,1,FALSE)&gt;0,"Found","Not Found")</f>
        <v>#N/A</v>
      </c>
      <c r="F31" s="21" t="s">
        <v>4033</v>
      </c>
      <c r="G31" s="23" t="s">
        <v>284</v>
      </c>
    </row>
    <row r="32" spans="1:9">
      <c r="A32" s="28" t="s">
        <v>185</v>
      </c>
      <c r="B32" s="23" t="str">
        <f>IF(VLOOKUP(A32,'Actions Gap Analysis'!$A$1:$L$44,1,FALSE)&gt;0,"Found","Not Found")</f>
        <v>Found</v>
      </c>
    </row>
    <row r="33" spans="1:2">
      <c r="A33" s="28" t="s">
        <v>198</v>
      </c>
      <c r="B33" s="23" t="str">
        <f>IF(VLOOKUP(A33,'Actions Gap Analysis'!$A$1:$L$44,1,FALSE)&gt;0,"Found","Not Found")</f>
        <v>Found</v>
      </c>
    </row>
    <row r="34" spans="1:2">
      <c r="A34" s="28" t="s">
        <v>4045</v>
      </c>
      <c r="B34" s="23" t="e">
        <f>IF(VLOOKUP(A34,'Actions Gap Analysis'!$A$1:$L$44,1,FALSE)&gt;0,"Found","Not Found")</f>
        <v>#N/A</v>
      </c>
    </row>
    <row r="35" spans="1:2">
      <c r="A35" s="28" t="s">
        <v>4046</v>
      </c>
      <c r="B35" s="23" t="e">
        <f>IF(VLOOKUP(A35,'Actions Gap Analysis'!$A$1:$L$44,1,FALSE)&gt;0,"Found","Not Found")</f>
        <v>#N/A</v>
      </c>
    </row>
    <row r="36" spans="1:2">
      <c r="A36" s="28" t="s">
        <v>4047</v>
      </c>
      <c r="B36" s="23" t="e">
        <f>IF(VLOOKUP(A36,'Actions Gap Analysis'!$A$1:$L$44,1,FALSE)&gt;0,"Found","Not Found")</f>
        <v>#N/A</v>
      </c>
    </row>
    <row r="37" spans="1:2">
      <c r="A37" s="20" t="s">
        <v>160</v>
      </c>
      <c r="B37" s="23" t="s">
        <v>284</v>
      </c>
    </row>
    <row r="38" spans="1:2">
      <c r="A38" s="28" t="s">
        <v>275</v>
      </c>
      <c r="B38" s="23" t="str">
        <f>IF(VLOOKUP(A38,'Actions Gap Analysis'!$A$1:$L$44,1,FALSE)&gt;0,"Found","Not Found")</f>
        <v>Found</v>
      </c>
    </row>
    <row r="39" spans="1:2">
      <c r="A39" s="28" t="s">
        <v>4048</v>
      </c>
      <c r="B39" s="23" t="e">
        <f>IF(VLOOKUP(A39,'Actions Gap Analysis'!$A$1:$L$44,1,FALSE)&gt;0,"Found","Not Found")</f>
        <v>#N/A</v>
      </c>
    </row>
    <row r="40" spans="1:2">
      <c r="A40" s="28" t="s">
        <v>4049</v>
      </c>
      <c r="B40" s="23" t="e">
        <f>IF(VLOOKUP(A40,'Actions Gap Analysis'!$A$1:$L$44,1,FALSE)&gt;0,"Found","Not Found")</f>
        <v>#N/A</v>
      </c>
    </row>
    <row r="41" spans="1:2">
      <c r="A41" s="28" t="s">
        <v>4050</v>
      </c>
      <c r="B41" s="23" t="e">
        <f>IF(VLOOKUP(A41,'Actions Gap Analysis'!$A$1:$L$44,1,FALSE)&gt;0,"Found","Not Found")</f>
        <v>#N/A</v>
      </c>
    </row>
    <row r="42" spans="1:2">
      <c r="A42" s="28" t="s">
        <v>4051</v>
      </c>
      <c r="B42" s="23" t="e">
        <f>IF(VLOOKUP(A42,'Actions Gap Analysis'!$A$1:$L$44,1,FALSE)&gt;0,"Found","Not Found")</f>
        <v>#N/A</v>
      </c>
    </row>
    <row r="43" spans="1:2">
      <c r="A43" s="28" t="s">
        <v>273</v>
      </c>
      <c r="B43" s="23" t="str">
        <f>IF(VLOOKUP(A43,'Actions Gap Analysis'!$A$1:$L$44,1,FALSE)&gt;0,"Found","Not Found")</f>
        <v>Found</v>
      </c>
    </row>
    <row r="44" spans="1:2">
      <c r="A44" s="28" t="s">
        <v>4052</v>
      </c>
      <c r="B44" s="23" t="e">
        <f>IF(VLOOKUP(A44,'Actions Gap Analysis'!$A$1:$L$44,1,FALSE)&gt;0,"Found","Not Found")</f>
        <v>#N/A</v>
      </c>
    </row>
    <row r="45" spans="1:2">
      <c r="A45" s="28" t="s">
        <v>4053</v>
      </c>
      <c r="B45" s="23" t="e">
        <f>IF(VLOOKUP(A45,'Actions Gap Analysis'!$A$1:$L$44,1,FALSE)&gt;0,"Found","Not Found")</f>
        <v>#N/A</v>
      </c>
    </row>
    <row r="46" spans="1:2">
      <c r="A46" s="28" t="s">
        <v>155</v>
      </c>
      <c r="B46" s="23" t="str">
        <f>IF(VLOOKUP(A46,'Actions Gap Analysis'!$A$1:$L$44,1,FALSE)&gt;0,"Found","Not Found")</f>
        <v>Found</v>
      </c>
    </row>
    <row r="47" spans="1:2">
      <c r="A47" s="28" t="s">
        <v>4054</v>
      </c>
      <c r="B47" s="23" t="e">
        <f>IF(VLOOKUP(A47,'Actions Gap Analysis'!$A$1:$L$44,1,FALSE)&gt;0,"Found","Not Found")</f>
        <v>#N/A</v>
      </c>
    </row>
    <row r="48" spans="1:2">
      <c r="A48" s="28" t="s">
        <v>4055</v>
      </c>
      <c r="B48" s="23" t="e">
        <f>IF(VLOOKUP(A48,'Actions Gap Analysis'!$A$1:$L$44,1,FALSE)&gt;0,"Found","Not Found")</f>
        <v>#N/A</v>
      </c>
    </row>
    <row r="49" spans="1:2">
      <c r="A49" s="28" t="s">
        <v>4056</v>
      </c>
      <c r="B49" s="23" t="e">
        <f>IF(VLOOKUP(A49,'Actions Gap Analysis'!$A$1:$L$44,1,FALSE)&gt;0,"Found","Not Found")</f>
        <v>#N/A</v>
      </c>
    </row>
    <row r="50" spans="1:2">
      <c r="A50" s="28" t="s">
        <v>208</v>
      </c>
      <c r="B50" s="23" t="str">
        <f>IF(VLOOKUP(A50,'Actions Gap Analysis'!$A$1:$L$44,1,FALSE)&gt;0,"Found","Not Found")</f>
        <v>Found</v>
      </c>
    </row>
    <row r="51" spans="1:2">
      <c r="A51" s="28" t="s">
        <v>4057</v>
      </c>
      <c r="B51" s="23" t="e">
        <f>IF(VLOOKUP(A51,'Actions Gap Analysis'!$A$1:$L$44,1,FALSE)&gt;0,"Found","Not Found")</f>
        <v>#N/A</v>
      </c>
    </row>
    <row r="52" spans="1:2">
      <c r="A52" s="28" t="s">
        <v>4058</v>
      </c>
      <c r="B52" s="23" t="e">
        <f>IF(VLOOKUP(A52,'Actions Gap Analysis'!$A$1:$L$44,1,FALSE)&gt;0,"Found","Not Found")</f>
        <v>#N/A</v>
      </c>
    </row>
    <row r="53" spans="1:2">
      <c r="A53" s="28" t="s">
        <v>4059</v>
      </c>
      <c r="B53" s="23" t="e">
        <f>IF(VLOOKUP(A53,'Actions Gap Analysis'!$A$1:$L$44,1,FALSE)&gt;0,"Found","Not Found")</f>
        <v>#N/A</v>
      </c>
    </row>
    <row r="54" spans="1:2">
      <c r="A54" s="30" t="s">
        <v>364</v>
      </c>
      <c r="B54" s="23" t="e">
        <f>IF(VLOOKUP(A54,'Actions Gap Analysis'!$A$1:$L$44,1,FALSE)&gt;0,"Found","Not Found")</f>
        <v>#N/A</v>
      </c>
    </row>
    <row r="55" spans="1:2">
      <c r="A55" s="28" t="s">
        <v>4060</v>
      </c>
      <c r="B55" s="23" t="e">
        <f>IF(VLOOKUP(A55,'Actions Gap Analysis'!$A$1:$L$44,1,FALSE)&gt;0,"Found","Not Found")</f>
        <v>#N/A</v>
      </c>
    </row>
    <row r="56" spans="1:2">
      <c r="A56" s="28" t="s">
        <v>318</v>
      </c>
      <c r="B56" s="23" t="str">
        <f>IF(VLOOKUP(A56,'Actions Gap Analysis'!$A$1:$L$44,1,FALSE)&gt;0,"Found","Not Found")</f>
        <v>Found</v>
      </c>
    </row>
    <row r="57" spans="1:2">
      <c r="A57" s="28" t="s">
        <v>223</v>
      </c>
      <c r="B57" s="23" t="str">
        <f>IF(VLOOKUP(A57,'Actions Gap Analysis'!$A$1:$L$44,1,FALSE)&gt;0,"Found","Not Found")</f>
        <v>Found</v>
      </c>
    </row>
    <row r="58" spans="1:2">
      <c r="A58" s="28" t="s">
        <v>4061</v>
      </c>
      <c r="B58" s="23" t="e">
        <f>IF(VLOOKUP(A58,'Actions Gap Analysis'!$A$1:$L$44,1,FALSE)&gt;0,"Found","Not Found")</f>
        <v>#N/A</v>
      </c>
    </row>
    <row r="59" spans="1:2">
      <c r="A59" s="30" t="s">
        <v>349</v>
      </c>
      <c r="B59" s="23" t="e">
        <f>IF(VLOOKUP(A59,'Actions Gap Analysis'!$A$1:$L$44,1,FALSE)&gt;0,"Found","Not Found")</f>
        <v>#N/A</v>
      </c>
    </row>
    <row r="60" spans="1:2">
      <c r="A60" s="28" t="s">
        <v>4062</v>
      </c>
      <c r="B60" s="23" t="e">
        <f>IF(VLOOKUP(A60,'Actions Gap Analysis'!$A$1:$L$44,1,FALSE)&gt;0,"Found","Not Found")</f>
        <v>#N/A</v>
      </c>
    </row>
    <row r="61" spans="1:2">
      <c r="A61" s="28" t="s">
        <v>4063</v>
      </c>
      <c r="B61" s="23" t="e">
        <f>IF(VLOOKUP(A61,'Actions Gap Analysis'!$A$1:$L$44,1,FALSE)&gt;0,"Found","Not Found")</f>
        <v>#N/A</v>
      </c>
    </row>
    <row r="62" spans="1:2">
      <c r="A62" s="28" t="s">
        <v>4064</v>
      </c>
      <c r="B62" s="23" t="e">
        <f>IF(VLOOKUP(A62,'Actions Gap Analysis'!$A$1:$L$44,1,FALSE)&gt;0,"Found","Not Found")</f>
        <v>#N/A</v>
      </c>
    </row>
    <row r="63" spans="1:2">
      <c r="A63" s="28" t="s">
        <v>4065</v>
      </c>
      <c r="B63" s="23" t="e">
        <f>IF(VLOOKUP(A63,'Actions Gap Analysis'!$A$1:$L$44,1,FALSE)&gt;0,"Found","Not Found")</f>
        <v>#N/A</v>
      </c>
    </row>
    <row r="64" spans="1:2">
      <c r="A64" s="20" t="s">
        <v>161</v>
      </c>
      <c r="B64" s="23" t="str">
        <f>IF(VLOOKUP(A64,'Actions Gap Analysis'!$A$1:$L$44,1,FALSE)&gt;0,"Found","Not Found")</f>
        <v>Found</v>
      </c>
    </row>
    <row r="65" spans="1:2">
      <c r="A65" s="31" t="s">
        <v>295</v>
      </c>
      <c r="B65" s="23" t="str">
        <f>IF(VLOOKUP(A65,'Actions Gap Analysis'!$A$1:$L$44,1,FALSE)&gt;0,"Found","Not Found")</f>
        <v>Found</v>
      </c>
    </row>
    <row r="66" spans="1:2">
      <c r="A66" s="29" t="s">
        <v>300</v>
      </c>
      <c r="B66" s="23" t="str">
        <f>IF(VLOOKUP(A66,'Actions Gap Analysis'!$A$1:$L$44,1,FALSE)&gt;0,"Found","Not Found")</f>
        <v>Found</v>
      </c>
    </row>
  </sheetData>
  <autoFilter ref="A2:I66" xr:uid="{02AE01AA-1FFD-424C-94A9-76979955587B}"/>
  <conditionalFormatting sqref="D3:D15">
    <cfRule type="duplicateValues" dxfId="2" priority="1"/>
  </conditionalFormatting>
  <conditionalFormatting sqref="E3:E21 I3:I22 G3:G31 B3:B66">
    <cfRule type="containsText" dxfId="1" priority="3" operator="containsText" text="Found">
      <formula>NOT(ISERROR(SEARCH("Found",B3)))</formula>
    </cfRule>
  </conditionalFormatting>
  <conditionalFormatting sqref="E3:E21 I3:I22 G3:G31">
    <cfRule type="containsErrors" dxfId="0" priority="2">
      <formula>ISERROR(E3)</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5A8D4-25C9-4E24-A11C-20212CA359F9}">
  <sheetPr codeName="Sheet9"/>
  <dimension ref="A1:C20"/>
  <sheetViews>
    <sheetView workbookViewId="0"/>
  </sheetViews>
  <sheetFormatPr defaultRowHeight="14.5"/>
  <cols>
    <col min="1" max="1" width="48" customWidth="1"/>
    <col min="2" max="2" width="20" hidden="1" customWidth="1"/>
    <col min="3" max="3" width="20" customWidth="1"/>
  </cols>
  <sheetData>
    <row r="1" spans="1:3">
      <c r="A1" s="38" t="s">
        <v>47</v>
      </c>
      <c r="B1" s="38" t="str">
        <f>VLOOKUP(A1,'[2]UAT DB Attributes'!$A:$B,2,FALSE)</f>
        <v>int</v>
      </c>
      <c r="C1" s="39" t="s">
        <v>49</v>
      </c>
    </row>
    <row r="2" spans="1:3">
      <c r="A2" s="38" t="s">
        <v>102</v>
      </c>
      <c r="B2" s="38" t="str">
        <f>VLOOKUP(A2,'[2]UAT DB Attributes'!$A:$B,2,FALSE)</f>
        <v>string</v>
      </c>
      <c r="C2" s="39" t="s">
        <v>103</v>
      </c>
    </row>
    <row r="3" spans="1:3">
      <c r="A3" s="38" t="s">
        <v>65</v>
      </c>
      <c r="B3" s="38" t="str">
        <f>VLOOKUP(A3,'[2]UAT DB Attributes'!$A:$B,2,FALSE)</f>
        <v>string</v>
      </c>
      <c r="C3" s="39" t="s">
        <v>60</v>
      </c>
    </row>
    <row r="4" spans="1:3">
      <c r="A4" s="38" t="s">
        <v>74</v>
      </c>
      <c r="B4" s="38" t="str">
        <f>VLOOKUP(A4,'[2]UAT DB Attributes'!$A:$B,2,FALSE)</f>
        <v>string</v>
      </c>
      <c r="C4" s="39" t="s">
        <v>69</v>
      </c>
    </row>
    <row r="5" spans="1:3">
      <c r="A5" s="38" t="s">
        <v>80</v>
      </c>
      <c r="B5" s="38" t="str">
        <f>VLOOKUP(A5,'[2]UAT DB Attributes'!$A:$B,2,FALSE)</f>
        <v>string</v>
      </c>
      <c r="C5" s="39" t="s">
        <v>82</v>
      </c>
    </row>
    <row r="6" spans="1:3">
      <c r="A6" s="38" t="s">
        <v>170</v>
      </c>
      <c r="B6" s="38" t="str">
        <f>VLOOKUP(A6,'[2]UAT DB Attributes'!$A:$B,2,FALSE)</f>
        <v>string</v>
      </c>
      <c r="C6" s="39" t="s">
        <v>171</v>
      </c>
    </row>
    <row r="7" spans="1:3">
      <c r="A7" s="38" t="s">
        <v>115</v>
      </c>
      <c r="B7" s="38" t="s">
        <v>4066</v>
      </c>
      <c r="C7" s="39" t="s">
        <v>116</v>
      </c>
    </row>
    <row r="8" spans="1:3">
      <c r="A8" s="38" t="s">
        <v>122</v>
      </c>
      <c r="B8" s="38" t="str">
        <f>VLOOKUP(A8,'[2]UAT DB Attributes'!$A:$B,2,FALSE)</f>
        <v>string</v>
      </c>
      <c r="C8" s="39" t="s">
        <v>123</v>
      </c>
    </row>
    <row r="9" spans="1:3">
      <c r="A9" s="38" t="s">
        <v>93</v>
      </c>
      <c r="B9" s="38" t="str">
        <f>VLOOKUP(A9,'[2]UAT DB Attributes'!$A:$B,2,FALSE)</f>
        <v>string</v>
      </c>
      <c r="C9" s="39" t="s">
        <v>94</v>
      </c>
    </row>
    <row r="10" spans="1:3">
      <c r="A10" s="38" t="s">
        <v>111</v>
      </c>
      <c r="B10" s="38" t="str">
        <f>VLOOKUP(A10,'[2]UAT DB Attributes'!$A:$B,2,FALSE)</f>
        <v>string</v>
      </c>
      <c r="C10" s="39" t="s">
        <v>109</v>
      </c>
    </row>
    <row r="11" spans="1:3">
      <c r="A11" s="38" t="s">
        <v>179</v>
      </c>
      <c r="B11" s="38" t="str">
        <f>VLOOKUP(A11,'[2]UAT DB Attributes'!$A:$B,2,FALSE)</f>
        <v>int</v>
      </c>
      <c r="C11" s="39" t="s">
        <v>4067</v>
      </c>
    </row>
    <row r="12" spans="1:3">
      <c r="A12" s="38" t="s">
        <v>257</v>
      </c>
      <c r="B12" s="38" t="str">
        <f>VLOOKUP(A12,'[2]UAT DB Attributes'!$A:$B,2,FALSE)</f>
        <v>string</v>
      </c>
      <c r="C12" s="39" t="s">
        <v>258</v>
      </c>
    </row>
    <row r="13" spans="1:3">
      <c r="A13" s="38" t="s">
        <v>139</v>
      </c>
      <c r="B13" s="38" t="s">
        <v>24</v>
      </c>
      <c r="C13" s="39" t="s">
        <v>140</v>
      </c>
    </row>
    <row r="14" spans="1:3">
      <c r="A14" s="42"/>
      <c r="B14" s="42"/>
      <c r="C14" s="42"/>
    </row>
    <row r="15" spans="1:3">
      <c r="A15" s="43" t="s">
        <v>192</v>
      </c>
      <c r="B15" s="43" t="s">
        <v>24</v>
      </c>
      <c r="C15" s="39" t="s">
        <v>184</v>
      </c>
    </row>
    <row r="16" spans="1:3">
      <c r="A16" s="44" t="s">
        <v>248</v>
      </c>
      <c r="B16" s="44" t="s">
        <v>24</v>
      </c>
      <c r="C16" s="39" t="s">
        <v>241</v>
      </c>
    </row>
    <row r="17" spans="1:3">
      <c r="A17" s="45" t="s">
        <v>211</v>
      </c>
      <c r="B17" s="45" t="s">
        <v>24</v>
      </c>
      <c r="C17" s="39" t="s">
        <v>212</v>
      </c>
    </row>
    <row r="18" spans="1:3">
      <c r="A18" s="44" t="s">
        <v>221</v>
      </c>
      <c r="B18" s="44" t="s">
        <v>24</v>
      </c>
      <c r="C18" s="39" t="s">
        <v>4068</v>
      </c>
    </row>
    <row r="19" spans="1:3">
      <c r="A19" s="46" t="s">
        <v>229</v>
      </c>
      <c r="B19" s="44" t="s">
        <v>24</v>
      </c>
      <c r="C19" s="39" t="s">
        <v>226</v>
      </c>
    </row>
    <row r="20" spans="1:3">
      <c r="A20" s="47"/>
      <c r="B20" s="48"/>
      <c r="C20" s="39" t="s">
        <v>201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c308614-ec95-42cd-9166-c5ef7bfb1ba2">
      <Terms xmlns="http://schemas.microsoft.com/office/infopath/2007/PartnerControls"/>
    </lcf76f155ced4ddcb4097134ff3c332f>
    <TaxCatchAll xmlns="a3acd8a4-09de-4e67-a80c-1396f37be8e0" xsi:nil="true"/>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1398419A8CC134A96E0AA0CB69B21FC" ma:contentTypeVersion="16" ma:contentTypeDescription="Create a new document." ma:contentTypeScope="" ma:versionID="4b006a68ac79b2c42b152d775e034ccb">
  <xsd:schema xmlns:xsd="http://www.w3.org/2001/XMLSchema" xmlns:xs="http://www.w3.org/2001/XMLSchema" xmlns:p="http://schemas.microsoft.com/office/2006/metadata/properties" xmlns:ns1="http://schemas.microsoft.com/sharepoint/v3" xmlns:ns2="bc308614-ec95-42cd-9166-c5ef7bfb1ba2" xmlns:ns3="a3acd8a4-09de-4e67-a80c-1396f37be8e0" targetNamespace="http://schemas.microsoft.com/office/2006/metadata/properties" ma:root="true" ma:fieldsID="b760b0bce1d7528a5612cf0fc8cd5d7a" ns1:_="" ns2:_="" ns3:_="">
    <xsd:import namespace="http://schemas.microsoft.com/sharepoint/v3"/>
    <xsd:import namespace="bc308614-ec95-42cd-9166-c5ef7bfb1ba2"/>
    <xsd:import namespace="a3acd8a4-09de-4e67-a80c-1396f37be8e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c308614-ec95-42cd-9166-c5ef7bfb1b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b62a7dff-40eb-4a4d-9220-56208a340031"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3acd8a4-09de-4e67-a80c-1396f37be8e0"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677272b5-b47f-4499-9bfe-8ff443b734e3}" ma:internalName="TaxCatchAll" ma:showField="CatchAllData" ma:web="a3acd8a4-09de-4e67-a80c-1396f37be8e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79756A6-D061-4487-835A-D04D423B6A4E}">
  <ds:schemaRefs>
    <ds:schemaRef ds:uri="http://www.w3.org/XML/1998/namespace"/>
    <ds:schemaRef ds:uri="http://schemas.microsoft.com/office/2006/documentManagement/types"/>
    <ds:schemaRef ds:uri="http://purl.org/dc/terms/"/>
    <ds:schemaRef ds:uri="http://schemas.microsoft.com/sharepoint/v3"/>
    <ds:schemaRef ds:uri="bc308614-ec95-42cd-9166-c5ef7bfb1ba2"/>
    <ds:schemaRef ds:uri="a3acd8a4-09de-4e67-a80c-1396f37be8e0"/>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684DC5-E1C2-48A6-8DC0-F52CE7FD0A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c308614-ec95-42cd-9166-c5ef7bfb1ba2"/>
    <ds:schemaRef ds:uri="a3acd8a4-09de-4e67-a80c-1396f37be8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ED9AAF8-F636-49B2-B3B8-E544F80FCE3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Actions Target Matching</vt:lpstr>
      <vt:lpstr>Actions Target Definition</vt:lpstr>
      <vt:lpstr>Actions STTM</vt:lpstr>
      <vt:lpstr>Target Check</vt:lpstr>
      <vt:lpstr>Actions Gap Analysis</vt:lpstr>
      <vt:lpstr>ORMS Extract</vt:lpstr>
      <vt:lpstr>PCM TARGET CHECK</vt:lpstr>
      <vt:lpstr>PCM</vt:lpstr>
      <vt:lpstr>Issues Source Check</vt:lpstr>
      <vt:lpstr>Issues Target Check</vt:lpstr>
      <vt:lpstr>Fincrime</vt:lpstr>
    </vt:vector>
  </TitlesOfParts>
  <Manager/>
  <Company>Absa Bank Limited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Marphil Mokoena (ZA)</dc:creator>
  <cp:keywords/>
  <dc:description/>
  <cp:lastModifiedBy>Marphil Mokoena (ZA)</cp:lastModifiedBy>
  <cp:revision/>
  <dcterms:created xsi:type="dcterms:W3CDTF">2024-04-17T08:29:10Z</dcterms:created>
  <dcterms:modified xsi:type="dcterms:W3CDTF">2024-06-24T13:57:44Z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d7e46fc-7da6-4861-b6af-2416c1fa99ae_Enabled">
    <vt:lpwstr>true</vt:lpwstr>
  </property>
  <property fmtid="{D5CDD505-2E9C-101B-9397-08002B2CF9AE}" pid="3" name="MSIP_Label_4d7e46fc-7da6-4861-b6af-2416c1fa99ae_SetDate">
    <vt:lpwstr>2024-04-18T07:23:52Z</vt:lpwstr>
  </property>
  <property fmtid="{D5CDD505-2E9C-101B-9397-08002B2CF9AE}" pid="4" name="MSIP_Label_4d7e46fc-7da6-4861-b6af-2416c1fa99ae_Method">
    <vt:lpwstr>Standard</vt:lpwstr>
  </property>
  <property fmtid="{D5CDD505-2E9C-101B-9397-08002B2CF9AE}" pid="5" name="MSIP_Label_4d7e46fc-7da6-4861-b6af-2416c1fa99ae_Name">
    <vt:lpwstr>Restricted Internal</vt:lpwstr>
  </property>
  <property fmtid="{D5CDD505-2E9C-101B-9397-08002B2CF9AE}" pid="6" name="MSIP_Label_4d7e46fc-7da6-4861-b6af-2416c1fa99ae_SiteId">
    <vt:lpwstr>5be1f46d-495f-465b-9507-996e8c8cdcb6</vt:lpwstr>
  </property>
  <property fmtid="{D5CDD505-2E9C-101B-9397-08002B2CF9AE}" pid="7" name="MSIP_Label_4d7e46fc-7da6-4861-b6af-2416c1fa99ae_ActionId">
    <vt:lpwstr>056fce13-e621-4afc-86a6-22bbf9309cbe</vt:lpwstr>
  </property>
  <property fmtid="{D5CDD505-2E9C-101B-9397-08002B2CF9AE}" pid="8" name="MSIP_Label_4d7e46fc-7da6-4861-b6af-2416c1fa99ae_ContentBits">
    <vt:lpwstr>0</vt:lpwstr>
  </property>
  <property fmtid="{D5CDD505-2E9C-101B-9397-08002B2CF9AE}" pid="9" name="ContentTypeId">
    <vt:lpwstr>0x010100B1398419A8CC134A96E0AA0CB69B21FC</vt:lpwstr>
  </property>
  <property fmtid="{D5CDD505-2E9C-101B-9397-08002B2CF9AE}" pid="10" name="MediaServiceImageTags">
    <vt:lpwstr/>
  </property>
</Properties>
</file>